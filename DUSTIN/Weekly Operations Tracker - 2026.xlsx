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ml.chartshapes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drawings/drawing16.xml" ContentType="application/vnd.openxmlformats-officedocument.drawingml.chartshapes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omments2.xml" ContentType="application/vnd.openxmlformats-officedocument.spreadsheetml.comments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ml.chartshapes+xml"/>
  <Override PartName="/xl/charts/chart2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2.xml" ContentType="application/vnd.openxmlformats-officedocument.drawingml.chartshapes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4.xml" ContentType="application/vnd.openxmlformats-officedocument.drawingml.chartshapes+xml"/>
  <Override PartName="/xl/charts/chart3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3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omments3.xml" ContentType="application/vnd.openxmlformats-officedocument.spreadsheetml.comments+xml"/>
  <Override PartName="/xl/drawings/drawing27.xml" ContentType="application/vnd.openxmlformats-officedocument.drawing+xml"/>
  <Override PartName="/xl/charts/chart3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8.xml" ContentType="application/vnd.openxmlformats-officedocument.drawing+xml"/>
  <Override PartName="/xl/charts/chart3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9.xml" ContentType="application/vnd.openxmlformats-officedocument.drawing+xml"/>
  <Override PartName="/xl/charts/chart3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0.xml" ContentType="application/vnd.openxmlformats-officedocument.drawing+xml"/>
  <Override PartName="/xl/charts/chart37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1.xml" ContentType="application/vnd.openxmlformats-officedocument.drawingml.chartshapes+xml"/>
  <Override PartName="/xl/charts/chart38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2.xml" ContentType="application/vnd.openxmlformats-officedocument.drawing+xml"/>
  <Override PartName="/xl/charts/chart39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0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3.xml" ContentType="application/vnd.openxmlformats-officedocument.drawing+xml"/>
  <Override PartName="/xl/charts/chart41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2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34.xml" ContentType="application/vnd.openxmlformats-officedocument.drawing+xml"/>
  <Override PartName="/xl/charts/chart43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4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5.xml" ContentType="application/vnd.openxmlformats-officedocument.drawing+xml"/>
  <Override PartName="/xl/charts/chart4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6.xml" ContentType="application/vnd.openxmlformats-officedocument.drawing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3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Operations\Weekly Operations Reports\"/>
    </mc:Choice>
  </mc:AlternateContent>
  <xr:revisionPtr revIDLastSave="0" documentId="13_ncr:1_{9D230BED-DBD6-4DBA-A513-9F8E695DF088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2026 Dashboard" sheetId="27" r:id="rId1"/>
    <sheet name="2026 Data" sheetId="28" r:id="rId2"/>
    <sheet name="2025 Dashboard" sheetId="23" r:id="rId3"/>
    <sheet name="2025 Data" sheetId="22" r:id="rId4"/>
    <sheet name="Safety" sheetId="10" r:id="rId5"/>
    <sheet name="QC Data 2026" sheetId="24" r:id="rId6"/>
    <sheet name="2026 QC 1" sheetId="25" r:id="rId7"/>
    <sheet name="2026 QC 2" sheetId="26" r:id="rId8"/>
    <sheet name="2024 Dashboard" sheetId="20" r:id="rId9"/>
    <sheet name="2024 Data" sheetId="19" r:id="rId10"/>
    <sheet name="QC Data 2024" sheetId="21" r:id="rId11"/>
    <sheet name="QC 1" sheetId="15" r:id="rId12"/>
    <sheet name="QC 2" sheetId="16" r:id="rId13"/>
    <sheet name="2023 Dashboard" sheetId="7" r:id="rId14"/>
    <sheet name="2023 Data" sheetId="18" r:id="rId15"/>
    <sheet name="QC Data 2023" sheetId="14" r:id="rId16"/>
    <sheet name="2022 Data" sheetId="17" r:id="rId17"/>
    <sheet name="2021 Data" sheetId="13" r:id="rId18"/>
    <sheet name="2020 Data" sheetId="8" r:id="rId19"/>
    <sheet name="On Time" sheetId="11" r:id="rId20"/>
    <sheet name="Cost" sheetId="12" r:id="rId21"/>
    <sheet name="Overhead" sheetId="6" r:id="rId22"/>
    <sheet name="Weekly Labor Efficiency" sheetId="2" r:id="rId23"/>
    <sheet name="Monthly Labor Efficiency" sheetId="3" r:id="rId24"/>
    <sheet name="Rework" sheetId="5" r:id="rId25"/>
    <sheet name="Efficiency x EE" sheetId="9" r:id="rId26"/>
  </sheets>
  <definedNames>
    <definedName name="Operation">'2020 Data'!$BT$22:$BU$162</definedName>
    <definedName name="_xlnm.Print_Area" localSheetId="13">'2023 Dashboard'!$B$1:$AD$60</definedName>
    <definedName name="_xlnm.Print_Area" localSheetId="8">'2024 Dashboard'!$B$1:$AD$60</definedName>
    <definedName name="_xlnm.Print_Area" localSheetId="2">'2025 Dashboard'!$B$1:$AD$58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24" l="1"/>
  <c r="X14" i="24"/>
  <c r="V14" i="24"/>
  <c r="U14" i="24"/>
  <c r="W13" i="24"/>
  <c r="X13" i="24" s="1"/>
  <c r="V13" i="24"/>
  <c r="U13" i="24"/>
  <c r="N30" i="27"/>
  <c r="J30" i="27"/>
  <c r="E30" i="27"/>
  <c r="M11" i="28"/>
  <c r="W12" i="24"/>
  <c r="X12" i="24" s="1"/>
  <c r="V12" i="24"/>
  <c r="U12" i="24"/>
  <c r="W11" i="24"/>
  <c r="X11" i="24"/>
  <c r="V11" i="24"/>
  <c r="U11" i="24"/>
  <c r="W10" i="24"/>
  <c r="X10" i="24" s="1"/>
  <c r="V10" i="24"/>
  <c r="U10" i="24"/>
  <c r="X8" i="24"/>
  <c r="X9" i="24"/>
  <c r="U8" i="24"/>
  <c r="U9" i="24"/>
  <c r="W9" i="24"/>
  <c r="V9" i="24"/>
  <c r="W8" i="24"/>
  <c r="V8" i="24"/>
  <c r="W7" i="24"/>
  <c r="V7" i="24"/>
  <c r="U7" i="24"/>
  <c r="X7" i="24" s="1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S56" i="24"/>
  <c r="I56" i="24"/>
  <c r="AN45" i="27"/>
  <c r="AO44" i="27" s="1"/>
  <c r="AQ37" i="27"/>
  <c r="Y30" i="27"/>
  <c r="T1" i="27"/>
  <c r="BF104" i="28"/>
  <c r="BD104" i="28"/>
  <c r="BC104" i="28"/>
  <c r="BB104" i="28"/>
  <c r="BE101" i="28"/>
  <c r="BD101" i="28"/>
  <c r="BC101" i="28"/>
  <c r="BB101" i="28"/>
  <c r="BF100" i="28"/>
  <c r="BD100" i="28"/>
  <c r="BC100" i="28"/>
  <c r="BB100" i="28"/>
  <c r="BF99" i="28"/>
  <c r="BD99" i="28"/>
  <c r="BC99" i="28"/>
  <c r="BB99" i="28"/>
  <c r="BF98" i="28"/>
  <c r="BD98" i="28"/>
  <c r="BC98" i="28"/>
  <c r="BB98" i="28"/>
  <c r="BD97" i="28"/>
  <c r="BC97" i="28"/>
  <c r="BB97" i="28"/>
  <c r="BF96" i="28"/>
  <c r="BD96" i="28"/>
  <c r="BC96" i="28"/>
  <c r="BB96" i="28"/>
  <c r="BE87" i="28"/>
  <c r="BE86" i="28"/>
  <c r="BE85" i="28"/>
  <c r="BE84" i="28"/>
  <c r="BE83" i="28"/>
  <c r="BE82" i="28"/>
  <c r="BE81" i="28"/>
  <c r="BG80" i="28"/>
  <c r="BF80" i="28"/>
  <c r="BE80" i="28"/>
  <c r="BG79" i="28"/>
  <c r="BF79" i="28"/>
  <c r="BE79" i="28"/>
  <c r="I79" i="28"/>
  <c r="I82" i="28" s="1"/>
  <c r="I84" i="28" s="1"/>
  <c r="I86" i="28" s="1"/>
  <c r="BG78" i="28"/>
  <c r="BF78" i="28"/>
  <c r="BE78" i="28"/>
  <c r="BG77" i="28"/>
  <c r="BF77" i="28"/>
  <c r="BE77" i="28"/>
  <c r="BG76" i="28"/>
  <c r="BF76" i="28"/>
  <c r="BE76" i="28"/>
  <c r="BE96" i="28" s="1"/>
  <c r="BG75" i="28"/>
  <c r="BF75" i="28"/>
  <c r="BE75" i="28"/>
  <c r="BG74" i="28"/>
  <c r="BF74" i="28"/>
  <c r="BE74" i="28"/>
  <c r="BG73" i="28"/>
  <c r="BF73" i="28"/>
  <c r="BE73" i="28"/>
  <c r="BG72" i="28"/>
  <c r="BF72" i="28"/>
  <c r="BE72" i="28"/>
  <c r="BG71" i="28"/>
  <c r="BF71" i="28"/>
  <c r="BH80" i="28" s="1"/>
  <c r="BE71" i="28"/>
  <c r="BG70" i="28"/>
  <c r="BF70" i="28"/>
  <c r="BE70" i="28"/>
  <c r="BG69" i="28"/>
  <c r="BF69" i="28"/>
  <c r="BE69" i="28"/>
  <c r="BG68" i="28"/>
  <c r="BF68" i="28"/>
  <c r="BE68" i="28"/>
  <c r="BG67" i="28"/>
  <c r="BF67" i="28"/>
  <c r="BH77" i="28" s="1"/>
  <c r="BE67" i="28"/>
  <c r="BG66" i="28"/>
  <c r="BF66" i="28"/>
  <c r="BE66" i="28"/>
  <c r="BH65" i="28"/>
  <c r="BG65" i="28"/>
  <c r="BI65" i="28" s="1"/>
  <c r="BF65" i="28"/>
  <c r="BE65" i="28"/>
  <c r="BH64" i="28"/>
  <c r="BG64" i="28"/>
  <c r="BI64" i="28" s="1"/>
  <c r="BF64" i="28"/>
  <c r="BE64" i="28"/>
  <c r="BI63" i="28"/>
  <c r="BH63" i="28"/>
  <c r="BG63" i="28"/>
  <c r="BE63" i="28"/>
  <c r="BH62" i="28"/>
  <c r="BI62" i="28" s="1"/>
  <c r="BG62" i="28"/>
  <c r="BE62" i="28"/>
  <c r="BI61" i="28"/>
  <c r="BH61" i="28"/>
  <c r="BG61" i="28"/>
  <c r="BE61" i="28"/>
  <c r="BH60" i="28"/>
  <c r="BI60" i="28" s="1"/>
  <c r="BG60" i="28"/>
  <c r="BE60" i="28"/>
  <c r="BI59" i="28"/>
  <c r="BH59" i="28"/>
  <c r="BG59" i="28"/>
  <c r="BE59" i="28"/>
  <c r="BH58" i="28"/>
  <c r="BG58" i="28"/>
  <c r="BI58" i="28" s="1"/>
  <c r="BE58" i="28"/>
  <c r="J58" i="28"/>
  <c r="BH57" i="28"/>
  <c r="BG57" i="28"/>
  <c r="BI57" i="28" s="1"/>
  <c r="BE57" i="28"/>
  <c r="AB57" i="28"/>
  <c r="AA57" i="28"/>
  <c r="BH56" i="28"/>
  <c r="BG56" i="28"/>
  <c r="BI56" i="28" s="1"/>
  <c r="BE56" i="28"/>
  <c r="AD56" i="28"/>
  <c r="AC56" i="28"/>
  <c r="M56" i="28"/>
  <c r="L56" i="28"/>
  <c r="BH55" i="28"/>
  <c r="BI55" i="28" s="1"/>
  <c r="BG55" i="28"/>
  <c r="BE55" i="28"/>
  <c r="AL55" i="28"/>
  <c r="AD55" i="28"/>
  <c r="AC55" i="28"/>
  <c r="M55" i="28"/>
  <c r="L55" i="28"/>
  <c r="BH54" i="28"/>
  <c r="BI54" i="28" s="1"/>
  <c r="BG54" i="28"/>
  <c r="BE54" i="28"/>
  <c r="AL54" i="28"/>
  <c r="AD54" i="28"/>
  <c r="AC54" i="28"/>
  <c r="M54" i="28"/>
  <c r="L54" i="28"/>
  <c r="BH53" i="28"/>
  <c r="BI53" i="28" s="1"/>
  <c r="BG53" i="28"/>
  <c r="BE53" i="28"/>
  <c r="AL53" i="28"/>
  <c r="AD53" i="28"/>
  <c r="AC53" i="28"/>
  <c r="M53" i="28"/>
  <c r="L53" i="28"/>
  <c r="BH52" i="28"/>
  <c r="BI52" i="28" s="1"/>
  <c r="BG52" i="28"/>
  <c r="BE52" i="28"/>
  <c r="BE98" i="28" s="1"/>
  <c r="AL52" i="28"/>
  <c r="AD52" i="28"/>
  <c r="AC52" i="28"/>
  <c r="M52" i="28"/>
  <c r="L52" i="28"/>
  <c r="BH51" i="28"/>
  <c r="BI51" i="28" s="1"/>
  <c r="BG51" i="28"/>
  <c r="BE51" i="28"/>
  <c r="AL51" i="28"/>
  <c r="AD51" i="28"/>
  <c r="AC51" i="28"/>
  <c r="M51" i="28"/>
  <c r="L51" i="28"/>
  <c r="BI50" i="28"/>
  <c r="BH50" i="28"/>
  <c r="BG50" i="28"/>
  <c r="BE50" i="28"/>
  <c r="AL50" i="28"/>
  <c r="AC50" i="28"/>
  <c r="AD50" i="28" s="1"/>
  <c r="M50" i="28"/>
  <c r="L50" i="28"/>
  <c r="BI49" i="28"/>
  <c r="BH49" i="28"/>
  <c r="BG49" i="28"/>
  <c r="BE49" i="28"/>
  <c r="AL49" i="28"/>
  <c r="AC49" i="28"/>
  <c r="AD49" i="28" s="1"/>
  <c r="M49" i="28"/>
  <c r="L49" i="28"/>
  <c r="BH48" i="28"/>
  <c r="BG48" i="28"/>
  <c r="BI48" i="28" s="1"/>
  <c r="BE48" i="28"/>
  <c r="AL48" i="28"/>
  <c r="AC48" i="28"/>
  <c r="AD48" i="28" s="1"/>
  <c r="M48" i="28"/>
  <c r="L48" i="28"/>
  <c r="BH47" i="28"/>
  <c r="BG47" i="28"/>
  <c r="BI47" i="28" s="1"/>
  <c r="BE47" i="28"/>
  <c r="AS14" i="28"/>
  <c r="AC47" i="28"/>
  <c r="AD47" i="28" s="1"/>
  <c r="M47" i="28"/>
  <c r="L47" i="28"/>
  <c r="BH46" i="28"/>
  <c r="BG46" i="28"/>
  <c r="BI46" i="28" s="1"/>
  <c r="BE46" i="28"/>
  <c r="AL46" i="28"/>
  <c r="AC46" i="28"/>
  <c r="AD46" i="28" s="1"/>
  <c r="M46" i="28"/>
  <c r="L46" i="28"/>
  <c r="BH45" i="28"/>
  <c r="BG45" i="28"/>
  <c r="BI45" i="28" s="1"/>
  <c r="BE45" i="28"/>
  <c r="AL45" i="28"/>
  <c r="AC45" i="28"/>
  <c r="AD45" i="28" s="1"/>
  <c r="M45" i="28"/>
  <c r="L45" i="28"/>
  <c r="BH44" i="28"/>
  <c r="BG44" i="28"/>
  <c r="BI44" i="28" s="1"/>
  <c r="BE44" i="28"/>
  <c r="AL44" i="28"/>
  <c r="AC44" i="28"/>
  <c r="AD44" i="28" s="1"/>
  <c r="M44" i="28"/>
  <c r="L44" i="28"/>
  <c r="BH43" i="28"/>
  <c r="BG43" i="28"/>
  <c r="BI43" i="28" s="1"/>
  <c r="BE43" i="28"/>
  <c r="AL43" i="28"/>
  <c r="AC43" i="28"/>
  <c r="AD43" i="28" s="1"/>
  <c r="M43" i="28"/>
  <c r="L43" i="28"/>
  <c r="BH42" i="28"/>
  <c r="BG42" i="28"/>
  <c r="BI42" i="28" s="1"/>
  <c r="BE42" i="28"/>
  <c r="AL42" i="28"/>
  <c r="AC42" i="28"/>
  <c r="AD42" i="28" s="1"/>
  <c r="M42" i="28"/>
  <c r="L42" i="28"/>
  <c r="BO41" i="28"/>
  <c r="BP41" i="28" s="1"/>
  <c r="BN41" i="28"/>
  <c r="BQ41" i="28" s="1"/>
  <c r="BH41" i="28"/>
  <c r="BG41" i="28"/>
  <c r="BI41" i="28" s="1"/>
  <c r="BE41" i="28"/>
  <c r="AL41" i="28"/>
  <c r="AC41" i="28"/>
  <c r="AD41" i="28" s="1"/>
  <c r="M41" i="28"/>
  <c r="L41" i="28"/>
  <c r="BO40" i="28"/>
  <c r="BO69" i="28" s="1"/>
  <c r="BN40" i="28"/>
  <c r="BN69" i="28" s="1"/>
  <c r="BH40" i="28"/>
  <c r="BG40" i="28"/>
  <c r="BI40" i="28" s="1"/>
  <c r="BE40" i="28"/>
  <c r="AL40" i="28"/>
  <c r="AC40" i="28"/>
  <c r="AD40" i="28" s="1"/>
  <c r="M40" i="28"/>
  <c r="L40" i="28"/>
  <c r="BH39" i="28"/>
  <c r="BG39" i="28"/>
  <c r="BI39" i="28" s="1"/>
  <c r="BE39" i="28"/>
  <c r="AL39" i="28"/>
  <c r="AC39" i="28"/>
  <c r="AD39" i="28" s="1"/>
  <c r="M39" i="28"/>
  <c r="L39" i="28"/>
  <c r="BH38" i="28"/>
  <c r="BG38" i="28"/>
  <c r="BI38" i="28" s="1"/>
  <c r="BE38" i="28"/>
  <c r="AL38" i="28"/>
  <c r="AC38" i="28"/>
  <c r="AD38" i="28" s="1"/>
  <c r="M38" i="28"/>
  <c r="L38" i="28"/>
  <c r="BH37" i="28"/>
  <c r="BG37" i="28"/>
  <c r="BI37" i="28" s="1"/>
  <c r="BE37" i="28"/>
  <c r="AL37" i="28"/>
  <c r="AC37" i="28"/>
  <c r="AD37" i="28" s="1"/>
  <c r="M37" i="28"/>
  <c r="L37" i="28"/>
  <c r="BH36" i="28"/>
  <c r="BG36" i="28"/>
  <c r="BI36" i="28" s="1"/>
  <c r="BE36" i="28"/>
  <c r="AL36" i="28"/>
  <c r="AC36" i="28"/>
  <c r="AD36" i="28" s="1"/>
  <c r="M36" i="28"/>
  <c r="L36" i="28"/>
  <c r="BH35" i="28"/>
  <c r="BG35" i="28"/>
  <c r="BI35" i="28" s="1"/>
  <c r="BE35" i="28"/>
  <c r="AL35" i="28"/>
  <c r="AC35" i="28"/>
  <c r="AD35" i="28" s="1"/>
  <c r="M35" i="28"/>
  <c r="L35" i="28"/>
  <c r="BH34" i="28"/>
  <c r="BG34" i="28"/>
  <c r="BI34" i="28" s="1"/>
  <c r="BE34" i="28"/>
  <c r="AL34" i="28"/>
  <c r="AC34" i="28"/>
  <c r="AD34" i="28" s="1"/>
  <c r="M34" i="28"/>
  <c r="L34" i="28"/>
  <c r="BH33" i="28"/>
  <c r="BG33" i="28"/>
  <c r="BI33" i="28" s="1"/>
  <c r="BE33" i="28"/>
  <c r="AL33" i="28"/>
  <c r="AC33" i="28"/>
  <c r="AD33" i="28" s="1"/>
  <c r="M33" i="28"/>
  <c r="L33" i="28"/>
  <c r="BH32" i="28"/>
  <c r="BG32" i="28"/>
  <c r="BI32" i="28" s="1"/>
  <c r="BE32" i="28"/>
  <c r="AL32" i="28"/>
  <c r="AC32" i="28"/>
  <c r="AD32" i="28" s="1"/>
  <c r="M32" i="28"/>
  <c r="L32" i="28"/>
  <c r="BG31" i="28"/>
  <c r="BE31" i="28"/>
  <c r="AL31" i="28"/>
  <c r="AC31" i="28"/>
  <c r="AD31" i="28" s="1"/>
  <c r="M31" i="28"/>
  <c r="L31" i="28"/>
  <c r="BG30" i="28"/>
  <c r="BI30" i="28" s="1"/>
  <c r="BE30" i="28"/>
  <c r="AL30" i="28"/>
  <c r="AC30" i="28"/>
  <c r="AD30" i="28" s="1"/>
  <c r="M30" i="28"/>
  <c r="L30" i="28"/>
  <c r="BG29" i="28"/>
  <c r="BE29" i="28"/>
  <c r="AS9" i="28"/>
  <c r="AC29" i="28"/>
  <c r="AD29" i="28" s="1"/>
  <c r="M29" i="28"/>
  <c r="L29" i="28"/>
  <c r="BG28" i="28"/>
  <c r="BE28" i="28"/>
  <c r="BE100" i="28" s="1"/>
  <c r="AL28" i="28"/>
  <c r="AC28" i="28"/>
  <c r="AD28" i="28" s="1"/>
  <c r="M28" i="28"/>
  <c r="L28" i="28"/>
  <c r="BG27" i="28"/>
  <c r="BE27" i="28"/>
  <c r="AL27" i="28"/>
  <c r="AC27" i="28"/>
  <c r="AD27" i="28" s="1"/>
  <c r="M27" i="28"/>
  <c r="L27" i="28"/>
  <c r="BG26" i="28"/>
  <c r="BE26" i="28"/>
  <c r="AL26" i="28"/>
  <c r="AC26" i="28"/>
  <c r="AD26" i="28" s="1"/>
  <c r="M26" i="28"/>
  <c r="L26" i="28"/>
  <c r="BG25" i="28"/>
  <c r="BE25" i="28"/>
  <c r="AL25" i="28"/>
  <c r="AC25" i="28"/>
  <c r="AD25" i="28" s="1"/>
  <c r="M25" i="28"/>
  <c r="L25" i="28"/>
  <c r="BG24" i="28"/>
  <c r="BE24" i="28"/>
  <c r="AL24" i="28"/>
  <c r="AC24" i="28"/>
  <c r="AD24" i="28" s="1"/>
  <c r="M24" i="28"/>
  <c r="L24" i="28"/>
  <c r="BG23" i="28"/>
  <c r="BE23" i="28"/>
  <c r="AL23" i="28"/>
  <c r="AC23" i="28"/>
  <c r="AD23" i="28" s="1"/>
  <c r="M23" i="28"/>
  <c r="L23" i="28"/>
  <c r="BG22" i="28"/>
  <c r="BE22" i="28"/>
  <c r="AL22" i="28"/>
  <c r="AC22" i="28"/>
  <c r="AD22" i="28" s="1"/>
  <c r="M22" i="28"/>
  <c r="L22" i="28"/>
  <c r="BG21" i="28"/>
  <c r="BE21" i="28"/>
  <c r="AS8" i="28"/>
  <c r="AC21" i="28"/>
  <c r="AD21" i="28" s="1"/>
  <c r="M21" i="28"/>
  <c r="L21" i="28"/>
  <c r="BQ20" i="28"/>
  <c r="BG20" i="28"/>
  <c r="BF20" i="28"/>
  <c r="BH31" i="28" s="1"/>
  <c r="BE20" i="28"/>
  <c r="AL20" i="28"/>
  <c r="AC20" i="28"/>
  <c r="AD20" i="28" s="1"/>
  <c r="M20" i="28"/>
  <c r="L20" i="28"/>
  <c r="BQ19" i="28"/>
  <c r="BG19" i="28"/>
  <c r="BI19" i="28" s="1"/>
  <c r="BF19" i="28"/>
  <c r="BH30" i="28" s="1"/>
  <c r="BE19" i="28"/>
  <c r="AL19" i="28"/>
  <c r="AC19" i="28"/>
  <c r="AD19" i="28" s="1"/>
  <c r="M19" i="28"/>
  <c r="L19" i="28"/>
  <c r="BQ18" i="28"/>
  <c r="BG18" i="28"/>
  <c r="BF18" i="28"/>
  <c r="BH29" i="28" s="1"/>
  <c r="BE18" i="28"/>
  <c r="AL18" i="28"/>
  <c r="AD18" i="28"/>
  <c r="AC18" i="28"/>
  <c r="M18" i="28"/>
  <c r="L18" i="28"/>
  <c r="BQ17" i="28"/>
  <c r="BP17" i="28"/>
  <c r="BG17" i="28"/>
  <c r="BF17" i="28"/>
  <c r="BH28" i="28" s="1"/>
  <c r="BE17" i="28"/>
  <c r="AT17" i="28"/>
  <c r="AL17" i="28"/>
  <c r="AC17" i="28"/>
  <c r="AD17" i="28" s="1"/>
  <c r="M17" i="28"/>
  <c r="L17" i="28"/>
  <c r="BP16" i="28"/>
  <c r="BQ16" i="28" s="1"/>
  <c r="BG16" i="28"/>
  <c r="BF16" i="28"/>
  <c r="BH27" i="28" s="1"/>
  <c r="BE16" i="28"/>
  <c r="AL16" i="28"/>
  <c r="AC16" i="28"/>
  <c r="AD16" i="28" s="1"/>
  <c r="M16" i="28"/>
  <c r="L16" i="28"/>
  <c r="BP15" i="28"/>
  <c r="BQ15" i="28" s="1"/>
  <c r="BG15" i="28"/>
  <c r="BF15" i="28"/>
  <c r="BE15" i="28"/>
  <c r="AS15" i="28"/>
  <c r="AL15" i="28"/>
  <c r="AC15" i="28"/>
  <c r="AD15" i="28" s="1"/>
  <c r="M15" i="28"/>
  <c r="L15" i="28"/>
  <c r="BQ14" i="28"/>
  <c r="BP14" i="28"/>
  <c r="BE14" i="28"/>
  <c r="AL14" i="28"/>
  <c r="AD14" i="28"/>
  <c r="AC14" i="28"/>
  <c r="M14" i="28"/>
  <c r="L14" i="28"/>
  <c r="BZ13" i="28"/>
  <c r="BY13" i="28"/>
  <c r="BV13" i="28"/>
  <c r="BP13" i="28"/>
  <c r="BQ13" i="28" s="1"/>
  <c r="BF13" i="28"/>
  <c r="BE13" i="28"/>
  <c r="AL13" i="28"/>
  <c r="AC13" i="28"/>
  <c r="AD13" i="28" s="1"/>
  <c r="M13" i="28"/>
  <c r="L13" i="28"/>
  <c r="BZ12" i="28"/>
  <c r="BY12" i="28"/>
  <c r="BV12" i="28"/>
  <c r="BP12" i="28"/>
  <c r="BQ12" i="28" s="1"/>
  <c r="BF12" i="28"/>
  <c r="BE12" i="28"/>
  <c r="AS12" i="28"/>
  <c r="AL12" i="28"/>
  <c r="AC12" i="28"/>
  <c r="AD12" i="28" s="1"/>
  <c r="M12" i="28"/>
  <c r="L12" i="28"/>
  <c r="BZ11" i="28"/>
  <c r="BY11" i="28"/>
  <c r="BV11" i="28"/>
  <c r="BP11" i="28"/>
  <c r="BQ11" i="28" s="1"/>
  <c r="BF11" i="28"/>
  <c r="BH22" i="28" s="1"/>
  <c r="BE11" i="28"/>
  <c r="AS11" i="28"/>
  <c r="AL11" i="28"/>
  <c r="AC11" i="28"/>
  <c r="AD11" i="28" s="1"/>
  <c r="L11" i="28"/>
  <c r="BZ10" i="28"/>
  <c r="BY10" i="28"/>
  <c r="BV10" i="28"/>
  <c r="BP10" i="28"/>
  <c r="BQ10" i="28" s="1"/>
  <c r="BF10" i="28"/>
  <c r="BH21" i="28" s="1"/>
  <c r="BE10" i="28"/>
  <c r="AS10" i="28"/>
  <c r="AL10" i="28"/>
  <c r="AD10" i="28"/>
  <c r="AC10" i="28"/>
  <c r="L10" i="28"/>
  <c r="BZ9" i="28"/>
  <c r="BY9" i="28"/>
  <c r="BV9" i="28"/>
  <c r="BQ9" i="28"/>
  <c r="BP9" i="28"/>
  <c r="BF9" i="28"/>
  <c r="BH20" i="28" s="1"/>
  <c r="BI20" i="28" s="1"/>
  <c r="BE9" i="28"/>
  <c r="AL9" i="28"/>
  <c r="AC9" i="28"/>
  <c r="AD9" i="28" s="1"/>
  <c r="L9" i="28"/>
  <c r="BZ8" i="28"/>
  <c r="BY8" i="28"/>
  <c r="BV8" i="28"/>
  <c r="BP8" i="28"/>
  <c r="BQ8" i="28" s="1"/>
  <c r="BF8" i="28"/>
  <c r="BH19" i="28" s="1"/>
  <c r="BE8" i="28"/>
  <c r="AL8" i="28"/>
  <c r="AC8" i="28"/>
  <c r="AD8" i="28" s="1"/>
  <c r="L8" i="28"/>
  <c r="BZ7" i="28"/>
  <c r="BY7" i="28"/>
  <c r="BV7" i="28"/>
  <c r="BQ7" i="28"/>
  <c r="BP7" i="28"/>
  <c r="BF7" i="28"/>
  <c r="BH18" i="28" s="1"/>
  <c r="BE7" i="28"/>
  <c r="AS7" i="28"/>
  <c r="AL7" i="28"/>
  <c r="AC7" i="28"/>
  <c r="AD7" i="28" s="1"/>
  <c r="L7" i="28"/>
  <c r="BZ6" i="28"/>
  <c r="BY6" i="28"/>
  <c r="BV6" i="28"/>
  <c r="BQ6" i="28"/>
  <c r="BP6" i="28"/>
  <c r="BF6" i="28"/>
  <c r="BH17" i="28" s="1"/>
  <c r="BE6" i="28"/>
  <c r="AL6" i="28"/>
  <c r="AC6" i="28"/>
  <c r="AD6" i="28" s="1"/>
  <c r="BZ5" i="28"/>
  <c r="BY5" i="28"/>
  <c r="BV5" i="28"/>
  <c r="BQ5" i="28"/>
  <c r="BP5" i="28"/>
  <c r="BE5" i="28"/>
  <c r="AV5" i="28"/>
  <c r="AV6" i="28" s="1"/>
  <c r="AV7" i="28" s="1"/>
  <c r="AV8" i="28" s="1"/>
  <c r="AV9" i="28" s="1"/>
  <c r="AV10" i="28" s="1"/>
  <c r="AV11" i="28" s="1"/>
  <c r="AV12" i="28" s="1"/>
  <c r="AV13" i="28" s="1"/>
  <c r="AV14" i="28" s="1"/>
  <c r="AV15" i="28" s="1"/>
  <c r="AS5" i="28"/>
  <c r="AL5" i="28"/>
  <c r="AC5" i="28"/>
  <c r="AD5" i="28" s="1"/>
  <c r="BZ4" i="28"/>
  <c r="BY4" i="28"/>
  <c r="BV4" i="28"/>
  <c r="BP4" i="28"/>
  <c r="BQ4" i="28" s="1"/>
  <c r="BF4" i="28"/>
  <c r="BH15" i="28" s="1"/>
  <c r="BE4" i="28"/>
  <c r="AV4" i="28"/>
  <c r="AG4" i="28"/>
  <c r="AG5" i="28" s="1"/>
  <c r="AG6" i="28" s="1"/>
  <c r="AF4" i="28"/>
  <c r="AF5" i="28" s="1"/>
  <c r="AF6" i="28" s="1"/>
  <c r="AF7" i="28" s="1"/>
  <c r="AF8" i="28" s="1"/>
  <c r="AF9" i="28" s="1"/>
  <c r="AF10" i="28" s="1"/>
  <c r="AF11" i="28" s="1"/>
  <c r="AF12" i="28" s="1"/>
  <c r="AF13" i="28" s="1"/>
  <c r="AF14" i="28" s="1"/>
  <c r="AF15" i="28" s="1"/>
  <c r="AF16" i="28" s="1"/>
  <c r="AF17" i="28" s="1"/>
  <c r="AF18" i="28" s="1"/>
  <c r="AF19" i="28" s="1"/>
  <c r="AF20" i="28" s="1"/>
  <c r="AF21" i="28" s="1"/>
  <c r="AF22" i="28" s="1"/>
  <c r="AF23" i="28" s="1"/>
  <c r="AF24" i="28" s="1"/>
  <c r="AF25" i="28" s="1"/>
  <c r="AF26" i="28" s="1"/>
  <c r="AF27" i="28" s="1"/>
  <c r="AF28" i="28" s="1"/>
  <c r="AF29" i="28" s="1"/>
  <c r="AF30" i="28" s="1"/>
  <c r="AF31" i="28" s="1"/>
  <c r="AF32" i="28" s="1"/>
  <c r="AF33" i="28" s="1"/>
  <c r="AF34" i="28" s="1"/>
  <c r="AF35" i="28" s="1"/>
  <c r="AF36" i="28" s="1"/>
  <c r="AF37" i="28" s="1"/>
  <c r="AF38" i="28" s="1"/>
  <c r="AF39" i="28" s="1"/>
  <c r="AF40" i="28" s="1"/>
  <c r="AF41" i="28" s="1"/>
  <c r="AF42" i="28" s="1"/>
  <c r="AF43" i="28" s="1"/>
  <c r="AF44" i="28" s="1"/>
  <c r="AF45" i="28" s="1"/>
  <c r="AF46" i="28" s="1"/>
  <c r="AF47" i="28" s="1"/>
  <c r="AF48" i="28" s="1"/>
  <c r="AF49" i="28" s="1"/>
  <c r="AF50" i="28" s="1"/>
  <c r="AF51" i="28" s="1"/>
  <c r="AF52" i="28" s="1"/>
  <c r="AF53" i="28" s="1"/>
  <c r="AF54" i="28" s="1"/>
  <c r="AF55" i="28" s="1"/>
  <c r="AF56" i="28" s="1"/>
  <c r="AC4" i="28"/>
  <c r="AD4" i="28" s="1"/>
  <c r="S54" i="24"/>
  <c r="S55" i="24"/>
  <c r="N30" i="23"/>
  <c r="J30" i="23"/>
  <c r="E30" i="23"/>
  <c r="S53" i="24"/>
  <c r="S52" i="24"/>
  <c r="S51" i="24"/>
  <c r="S50" i="24"/>
  <c r="S49" i="24"/>
  <c r="S48" i="24"/>
  <c r="S47" i="24"/>
  <c r="S46" i="24"/>
  <c r="S45" i="24"/>
  <c r="S44" i="24"/>
  <c r="S43" i="24"/>
  <c r="S42" i="24"/>
  <c r="S41" i="24"/>
  <c r="S40" i="24"/>
  <c r="S38" i="24"/>
  <c r="S39" i="24"/>
  <c r="S37" i="24"/>
  <c r="S36" i="24"/>
  <c r="S35" i="24"/>
  <c r="S34" i="24"/>
  <c r="S33" i="24"/>
  <c r="S32" i="24"/>
  <c r="S31" i="24"/>
  <c r="AC57" i="28" l="1"/>
  <c r="AD57" i="28" s="1"/>
  <c r="AH4" i="28"/>
  <c r="AH5" i="28" s="1"/>
  <c r="AH6" i="28" s="1"/>
  <c r="AH7" i="28" s="1"/>
  <c r="AH8" i="28" s="1"/>
  <c r="AH9" i="28" s="1"/>
  <c r="AH10" i="28" s="1"/>
  <c r="AH11" i="28" s="1"/>
  <c r="AH12" i="28" s="1"/>
  <c r="AH13" i="28" s="1"/>
  <c r="AH14" i="28" s="1"/>
  <c r="AH15" i="28" s="1"/>
  <c r="AH16" i="28" s="1"/>
  <c r="AH17" i="28" s="1"/>
  <c r="AH18" i="28" s="1"/>
  <c r="AH19" i="28" s="1"/>
  <c r="AH20" i="28" s="1"/>
  <c r="AH21" i="28" s="1"/>
  <c r="AH22" i="28" s="1"/>
  <c r="AH23" i="28" s="1"/>
  <c r="AH24" i="28" s="1"/>
  <c r="AH25" i="28" s="1"/>
  <c r="AH26" i="28" s="1"/>
  <c r="AH27" i="28" s="1"/>
  <c r="AH28" i="28" s="1"/>
  <c r="AH29" i="28" s="1"/>
  <c r="AH30" i="28" s="1"/>
  <c r="AH31" i="28" s="1"/>
  <c r="AH32" i="28" s="1"/>
  <c r="AH33" i="28" s="1"/>
  <c r="AH34" i="28" s="1"/>
  <c r="AH35" i="28" s="1"/>
  <c r="AH36" i="28" s="1"/>
  <c r="AH37" i="28" s="1"/>
  <c r="AH38" i="28" s="1"/>
  <c r="AH39" i="28" s="1"/>
  <c r="AH40" i="28" s="1"/>
  <c r="AH41" i="28" s="1"/>
  <c r="AH42" i="28" s="1"/>
  <c r="AH43" i="28" s="1"/>
  <c r="AH44" i="28" s="1"/>
  <c r="AH45" i="28" s="1"/>
  <c r="AH46" i="28" s="1"/>
  <c r="AH47" i="28" s="1"/>
  <c r="AH48" i="28" s="1"/>
  <c r="AH49" i="28" s="1"/>
  <c r="AH50" i="28" s="1"/>
  <c r="AH51" i="28" s="1"/>
  <c r="AH52" i="28" s="1"/>
  <c r="AH53" i="28" s="1"/>
  <c r="AH54" i="28" s="1"/>
  <c r="AH55" i="28" s="1"/>
  <c r="AH56" i="28" s="1"/>
  <c r="AO43" i="27"/>
  <c r="AI4" i="28"/>
  <c r="BI16" i="28"/>
  <c r="AG7" i="28"/>
  <c r="BI66" i="28"/>
  <c r="BI77" i="28"/>
  <c r="AS13" i="28"/>
  <c r="BH26" i="28"/>
  <c r="BH25" i="28"/>
  <c r="AL29" i="28"/>
  <c r="BI31" i="28"/>
  <c r="BI80" i="28"/>
  <c r="AS6" i="28"/>
  <c r="BH16" i="28"/>
  <c r="BI18" i="28"/>
  <c r="AL21" i="28"/>
  <c r="BI28" i="28"/>
  <c r="AL47" i="28"/>
  <c r="BH78" i="28"/>
  <c r="BI78" i="28" s="1"/>
  <c r="BH69" i="28"/>
  <c r="BI69" i="28" s="1"/>
  <c r="BH71" i="28"/>
  <c r="BI71" i="28" s="1"/>
  <c r="BH67" i="28"/>
  <c r="BI67" i="28" s="1"/>
  <c r="BH24" i="28"/>
  <c r="BI17" i="28"/>
  <c r="BI27" i="28"/>
  <c r="BH79" i="28"/>
  <c r="BI79" i="28" s="1"/>
  <c r="BQ40" i="28"/>
  <c r="BP40" i="28"/>
  <c r="BM69" i="28" s="1"/>
  <c r="BI21" i="28"/>
  <c r="BI22" i="28"/>
  <c r="BI24" i="28"/>
  <c r="BI25" i="28"/>
  <c r="BI26" i="28"/>
  <c r="BE97" i="28"/>
  <c r="BI74" i="28"/>
  <c r="BI15" i="28"/>
  <c r="BI29" i="28"/>
  <c r="BH76" i="28"/>
  <c r="BI76" i="28" s="1"/>
  <c r="BH23" i="28"/>
  <c r="BI23" i="28" s="1"/>
  <c r="BE104" i="28"/>
  <c r="BE99" i="28"/>
  <c r="BH75" i="28"/>
  <c r="BI75" i="28" s="1"/>
  <c r="BH68" i="28"/>
  <c r="BI68" i="28" s="1"/>
  <c r="BH72" i="28"/>
  <c r="BI72" i="28" s="1"/>
  <c r="BH74" i="28"/>
  <c r="BF101" i="28"/>
  <c r="BH73" i="28"/>
  <c r="BI73" i="28" s="1"/>
  <c r="BH66" i="28"/>
  <c r="BH70" i="28"/>
  <c r="BI70" i="28" s="1"/>
  <c r="BF97" i="28"/>
  <c r="S30" i="24"/>
  <c r="S29" i="24"/>
  <c r="S28" i="24"/>
  <c r="S27" i="24"/>
  <c r="BI78" i="22"/>
  <c r="BI79" i="22"/>
  <c r="BI80" i="22"/>
  <c r="BI77" i="22"/>
  <c r="BI76" i="22"/>
  <c r="BI75" i="22"/>
  <c r="BI71" i="22"/>
  <c r="BI72" i="22"/>
  <c r="BI73" i="22"/>
  <c r="BI74" i="22"/>
  <c r="BE97" i="22"/>
  <c r="BD97" i="22"/>
  <c r="BC97" i="22"/>
  <c r="BB97" i="22"/>
  <c r="BH80" i="22"/>
  <c r="BH79" i="22"/>
  <c r="BG79" i="22"/>
  <c r="BG80" i="22"/>
  <c r="BF80" i="22"/>
  <c r="BF79" i="22"/>
  <c r="S26" i="24"/>
  <c r="S25" i="24"/>
  <c r="S24" i="24"/>
  <c r="S23" i="24"/>
  <c r="S22" i="24"/>
  <c r="S21" i="24"/>
  <c r="S19" i="24"/>
  <c r="S20" i="24"/>
  <c r="S18" i="24"/>
  <c r="BF97" i="22"/>
  <c r="BH76" i="22"/>
  <c r="BH77" i="22"/>
  <c r="BH78" i="22"/>
  <c r="BG75" i="22"/>
  <c r="BG76" i="22"/>
  <c r="BG77" i="22"/>
  <c r="BG78" i="22"/>
  <c r="BF78" i="22"/>
  <c r="BF77" i="22"/>
  <c r="BF76" i="22"/>
  <c r="S17" i="24"/>
  <c r="S16" i="24"/>
  <c r="S15" i="24"/>
  <c r="S12" i="24"/>
  <c r="N1" i="26"/>
  <c r="N1" i="25"/>
  <c r="AL7" i="22"/>
  <c r="AQ37" i="20"/>
  <c r="AI6" i="28" l="1"/>
  <c r="AI5" i="28"/>
  <c r="BP69" i="28"/>
  <c r="BN48" i="28"/>
  <c r="BN50" i="28" s="1"/>
  <c r="AG8" i="28"/>
  <c r="AI7" i="28"/>
  <c r="Y30" i="23"/>
  <c r="AG9" i="28" l="1"/>
  <c r="AI8" i="28"/>
  <c r="BD96" i="22"/>
  <c r="BB96" i="22"/>
  <c r="BE96" i="22"/>
  <c r="BC96" i="22"/>
  <c r="BF96" i="22"/>
  <c r="BE87" i="22"/>
  <c r="BE86" i="22"/>
  <c r="BE85" i="22"/>
  <c r="BE84" i="22"/>
  <c r="BE83" i="22"/>
  <c r="BE82" i="22"/>
  <c r="BE81" i="22"/>
  <c r="BE80" i="22"/>
  <c r="BE79" i="22"/>
  <c r="BE78" i="22"/>
  <c r="BE77" i="22"/>
  <c r="BE76" i="22"/>
  <c r="AK20" i="22"/>
  <c r="AL20" i="22" s="1"/>
  <c r="Y57" i="24"/>
  <c r="M57" i="24"/>
  <c r="L57" i="24"/>
  <c r="K57" i="24"/>
  <c r="H57" i="24"/>
  <c r="G57" i="24"/>
  <c r="F57" i="24"/>
  <c r="AK55" i="22"/>
  <c r="AL55" i="22" s="1"/>
  <c r="I55" i="24"/>
  <c r="AK54" i="22"/>
  <c r="AL54" i="22" s="1"/>
  <c r="I54" i="24"/>
  <c r="AK53" i="22"/>
  <c r="AL53" i="22" s="1"/>
  <c r="I53" i="24"/>
  <c r="AK52" i="22"/>
  <c r="AL52" i="22" s="1"/>
  <c r="I52" i="24"/>
  <c r="AK51" i="22"/>
  <c r="AL51" i="22" s="1"/>
  <c r="I51" i="24"/>
  <c r="AK50" i="22"/>
  <c r="AL50" i="22" s="1"/>
  <c r="I50" i="24"/>
  <c r="AK49" i="22"/>
  <c r="AL49" i="22" s="1"/>
  <c r="I49" i="24"/>
  <c r="AK48" i="22"/>
  <c r="AL48" i="22" s="1"/>
  <c r="I48" i="24"/>
  <c r="AK47" i="22"/>
  <c r="AL47" i="22" s="1"/>
  <c r="I47" i="24"/>
  <c r="AK46" i="22"/>
  <c r="AL46" i="22" s="1"/>
  <c r="I46" i="24"/>
  <c r="AK45" i="22"/>
  <c r="AL45" i="22" s="1"/>
  <c r="I45" i="24"/>
  <c r="AK44" i="22"/>
  <c r="AL44" i="22" s="1"/>
  <c r="I44" i="24"/>
  <c r="AK43" i="22"/>
  <c r="AL43" i="22" s="1"/>
  <c r="I43" i="24"/>
  <c r="AK42" i="22"/>
  <c r="AL42" i="22" s="1"/>
  <c r="I42" i="24"/>
  <c r="AK41" i="22"/>
  <c r="AL41" i="22" s="1"/>
  <c r="I41" i="24"/>
  <c r="AK40" i="22"/>
  <c r="AL40" i="22" s="1"/>
  <c r="I40" i="24"/>
  <c r="AK39" i="22"/>
  <c r="AL39" i="22" s="1"/>
  <c r="I39" i="24"/>
  <c r="AK38" i="22"/>
  <c r="AL38" i="22" s="1"/>
  <c r="I38" i="24"/>
  <c r="AK37" i="22"/>
  <c r="AL37" i="22" s="1"/>
  <c r="I37" i="24"/>
  <c r="AK36" i="22"/>
  <c r="AL36" i="22" s="1"/>
  <c r="I36" i="24"/>
  <c r="AK35" i="22"/>
  <c r="AL35" i="22" s="1"/>
  <c r="I35" i="24"/>
  <c r="AK34" i="22"/>
  <c r="AL34" i="22" s="1"/>
  <c r="I34" i="24"/>
  <c r="AK33" i="22"/>
  <c r="AL33" i="22" s="1"/>
  <c r="I33" i="24"/>
  <c r="AK32" i="22"/>
  <c r="AL32" i="22" s="1"/>
  <c r="I32" i="24"/>
  <c r="AK31" i="22"/>
  <c r="AL31" i="22" s="1"/>
  <c r="I31" i="24"/>
  <c r="AK30" i="22"/>
  <c r="AL30" i="22" s="1"/>
  <c r="I30" i="24"/>
  <c r="AK29" i="22"/>
  <c r="AL29" i="22" s="1"/>
  <c r="I29" i="24"/>
  <c r="AK28" i="22"/>
  <c r="AL28" i="22" s="1"/>
  <c r="I28" i="24"/>
  <c r="AK27" i="22"/>
  <c r="AL27" i="22" s="1"/>
  <c r="I27" i="24"/>
  <c r="AK26" i="22"/>
  <c r="AL26" i="22" s="1"/>
  <c r="I26" i="24"/>
  <c r="AK25" i="22"/>
  <c r="AL25" i="22" s="1"/>
  <c r="I25" i="24"/>
  <c r="AK24" i="22"/>
  <c r="AL24" i="22" s="1"/>
  <c r="I24" i="24"/>
  <c r="AK23" i="22"/>
  <c r="AL23" i="22" s="1"/>
  <c r="I23" i="24"/>
  <c r="AK22" i="22"/>
  <c r="AL22" i="22" s="1"/>
  <c r="I22" i="24"/>
  <c r="AK21" i="22"/>
  <c r="AL21" i="22" s="1"/>
  <c r="I21" i="24"/>
  <c r="I20" i="24"/>
  <c r="AK19" i="22"/>
  <c r="AL19" i="22" s="1"/>
  <c r="I19" i="24"/>
  <c r="AK18" i="22"/>
  <c r="AL18" i="22" s="1"/>
  <c r="I18" i="24"/>
  <c r="AK17" i="22"/>
  <c r="AL17" i="22" s="1"/>
  <c r="I17" i="24"/>
  <c r="AK16" i="22"/>
  <c r="AL16" i="22" s="1"/>
  <c r="I16" i="24"/>
  <c r="AK15" i="22"/>
  <c r="AL15" i="22" s="1"/>
  <c r="I15" i="24"/>
  <c r="S14" i="24"/>
  <c r="AK14" i="22"/>
  <c r="AL14" i="22" s="1"/>
  <c r="I14" i="24"/>
  <c r="S13" i="24"/>
  <c r="AK13" i="22"/>
  <c r="AL13" i="22" s="1"/>
  <c r="I13" i="24"/>
  <c r="AK12" i="22"/>
  <c r="AL12" i="22" s="1"/>
  <c r="I12" i="24"/>
  <c r="AB11" i="24"/>
  <c r="S11" i="24"/>
  <c r="AK11" i="22"/>
  <c r="AL11" i="22" s="1"/>
  <c r="I11" i="24"/>
  <c r="S10" i="24"/>
  <c r="AK10" i="22"/>
  <c r="AL10" i="22" s="1"/>
  <c r="I10" i="24"/>
  <c r="AC5" i="24"/>
  <c r="S9" i="24"/>
  <c r="AK9" i="22"/>
  <c r="AL9" i="22" s="1"/>
  <c r="I9" i="24"/>
  <c r="S8" i="24"/>
  <c r="AK8" i="22"/>
  <c r="AL8" i="22" s="1"/>
  <c r="I8" i="24"/>
  <c r="S7" i="24"/>
  <c r="I7" i="24"/>
  <c r="W6" i="24"/>
  <c r="V6" i="24"/>
  <c r="U6" i="24"/>
  <c r="S6" i="24"/>
  <c r="AK6" i="22"/>
  <c r="AL6" i="22" s="1"/>
  <c r="I6" i="24"/>
  <c r="W5" i="24"/>
  <c r="V5" i="24"/>
  <c r="U5" i="24"/>
  <c r="S5" i="24"/>
  <c r="AK5" i="22"/>
  <c r="I5" i="24"/>
  <c r="W4" i="24"/>
  <c r="V4" i="24"/>
  <c r="U4" i="24"/>
  <c r="S4" i="24"/>
  <c r="AK4" i="28"/>
  <c r="I4" i="24"/>
  <c r="AB4" i="24" l="1"/>
  <c r="AK4" i="22"/>
  <c r="AK57" i="22" s="1"/>
  <c r="AC4" i="24"/>
  <c r="AL4" i="28"/>
  <c r="AK57" i="28"/>
  <c r="AL57" i="28" s="1"/>
  <c r="AM4" i="28"/>
  <c r="AS4" i="28"/>
  <c r="AD4" i="24"/>
  <c r="X5" i="24"/>
  <c r="AB5" i="24"/>
  <c r="AD5" i="24"/>
  <c r="AI9" i="28"/>
  <c r="AG10" i="28"/>
  <c r="AC6" i="24"/>
  <c r="AD13" i="24"/>
  <c r="AB6" i="24"/>
  <c r="AD6" i="24"/>
  <c r="AC8" i="24"/>
  <c r="AC10" i="24"/>
  <c r="AC12" i="24"/>
  <c r="X6" i="24"/>
  <c r="AD11" i="24"/>
  <c r="AB13" i="24"/>
  <c r="AB9" i="24"/>
  <c r="AD7" i="24"/>
  <c r="AC7" i="24"/>
  <c r="AB8" i="24"/>
  <c r="AB14" i="24"/>
  <c r="AD9" i="24"/>
  <c r="AB15" i="24"/>
  <c r="W57" i="24"/>
  <c r="AD8" i="24"/>
  <c r="AC15" i="24"/>
  <c r="N57" i="24"/>
  <c r="AD15" i="24"/>
  <c r="AB10" i="24"/>
  <c r="X4" i="24"/>
  <c r="AC14" i="24"/>
  <c r="AC13" i="24"/>
  <c r="I57" i="24"/>
  <c r="U57" i="24"/>
  <c r="AC11" i="24"/>
  <c r="V57" i="24"/>
  <c r="AC9" i="24"/>
  <c r="AB7" i="24"/>
  <c r="AB12" i="24"/>
  <c r="AD14" i="24"/>
  <c r="AD12" i="24"/>
  <c r="AD10" i="24"/>
  <c r="AU4" i="28" l="1"/>
  <c r="AU5" i="28" s="1"/>
  <c r="AU6" i="28" s="1"/>
  <c r="AU7" i="28" s="1"/>
  <c r="AU8" i="28" s="1"/>
  <c r="AU9" i="28" s="1"/>
  <c r="AU10" i="28" s="1"/>
  <c r="AU11" i="28" s="1"/>
  <c r="AU12" i="28" s="1"/>
  <c r="AU13" i="28" s="1"/>
  <c r="AU14" i="28" s="1"/>
  <c r="AU15" i="28" s="1"/>
  <c r="AS17" i="28"/>
  <c r="AM5" i="28"/>
  <c r="AN4" i="28"/>
  <c r="AG11" i="28"/>
  <c r="AI10" i="28"/>
  <c r="AE10" i="24"/>
  <c r="AE11" i="24"/>
  <c r="AE7" i="24"/>
  <c r="AE9" i="24"/>
  <c r="AE5" i="24"/>
  <c r="AE13" i="24"/>
  <c r="X57" i="24"/>
  <c r="AE6" i="24"/>
  <c r="AE4" i="24"/>
  <c r="AE8" i="24"/>
  <c r="AE14" i="24"/>
  <c r="AE15" i="24"/>
  <c r="AE12" i="24"/>
  <c r="AM6" i="28" l="1"/>
  <c r="AN5" i="28"/>
  <c r="AG12" i="28"/>
  <c r="AI11" i="28"/>
  <c r="J23" i="26"/>
  <c r="AN45" i="23"/>
  <c r="AO43" i="23" s="1"/>
  <c r="AO44" i="23"/>
  <c r="AQ37" i="23"/>
  <c r="T1" i="23"/>
  <c r="AS15" i="22"/>
  <c r="BF104" i="22"/>
  <c r="BD104" i="22"/>
  <c r="BC104" i="22"/>
  <c r="BB104" i="22"/>
  <c r="BD101" i="22"/>
  <c r="BC101" i="22"/>
  <c r="BB101" i="22"/>
  <c r="BF100" i="22"/>
  <c r="BD100" i="22"/>
  <c r="BC100" i="22"/>
  <c r="BB100" i="22"/>
  <c r="BF99" i="22"/>
  <c r="BD99" i="22"/>
  <c r="BC99" i="22"/>
  <c r="BB99" i="22"/>
  <c r="BF98" i="22"/>
  <c r="BD98" i="22"/>
  <c r="BC98" i="22"/>
  <c r="BB98" i="22"/>
  <c r="I79" i="22"/>
  <c r="I82" i="22" s="1"/>
  <c r="I84" i="22" s="1"/>
  <c r="I86" i="22" s="1"/>
  <c r="BF75" i="22"/>
  <c r="BE75" i="22"/>
  <c r="BG74" i="22"/>
  <c r="BF74" i="22"/>
  <c r="BE74" i="22"/>
  <c r="BG73" i="22"/>
  <c r="BF73" i="22"/>
  <c r="BE73" i="22"/>
  <c r="BG72" i="22"/>
  <c r="BF72" i="22"/>
  <c r="BE72" i="22"/>
  <c r="BG71" i="22"/>
  <c r="BF71" i="22"/>
  <c r="BE71" i="22"/>
  <c r="BG70" i="22"/>
  <c r="BF70" i="22"/>
  <c r="BE70" i="22"/>
  <c r="BG69" i="22"/>
  <c r="BF69" i="22"/>
  <c r="BE69" i="22"/>
  <c r="BG68" i="22"/>
  <c r="BF68" i="22"/>
  <c r="BE68" i="22"/>
  <c r="BG67" i="22"/>
  <c r="BF67" i="22"/>
  <c r="BE67" i="22"/>
  <c r="BG66" i="22"/>
  <c r="BF66" i="22"/>
  <c r="BE66" i="22"/>
  <c r="BG65" i="22"/>
  <c r="BF65" i="22"/>
  <c r="BE65" i="22"/>
  <c r="BG64" i="22"/>
  <c r="BF64" i="22"/>
  <c r="BE64" i="22"/>
  <c r="BH63" i="22"/>
  <c r="BI63" i="22" s="1"/>
  <c r="BG63" i="22"/>
  <c r="BE63" i="22"/>
  <c r="BH62" i="22"/>
  <c r="BG62" i="22"/>
  <c r="BE62" i="22"/>
  <c r="BH61" i="22"/>
  <c r="BG61" i="22"/>
  <c r="BI61" i="22" s="1"/>
  <c r="BE61" i="22"/>
  <c r="BH60" i="22"/>
  <c r="BG60" i="22"/>
  <c r="BI60" i="22" s="1"/>
  <c r="BE60" i="22"/>
  <c r="BH59" i="22"/>
  <c r="BG59" i="22"/>
  <c r="BE59" i="22"/>
  <c r="BH58" i="22"/>
  <c r="BG58" i="22"/>
  <c r="BE58" i="22"/>
  <c r="J58" i="22"/>
  <c r="BH57" i="22"/>
  <c r="BG57" i="22"/>
  <c r="BE57" i="22"/>
  <c r="AB57" i="22"/>
  <c r="AA57" i="22"/>
  <c r="AL57" i="22" s="1"/>
  <c r="BH56" i="22"/>
  <c r="BG56" i="22"/>
  <c r="BE56" i="22"/>
  <c r="AC56" i="22"/>
  <c r="AD56" i="22" s="1"/>
  <c r="M56" i="22"/>
  <c r="L56" i="22"/>
  <c r="BH55" i="22"/>
  <c r="BG55" i="22"/>
  <c r="BE55" i="22"/>
  <c r="AC55" i="22"/>
  <c r="AD55" i="22" s="1"/>
  <c r="M55" i="22"/>
  <c r="L55" i="22"/>
  <c r="BH54" i="22"/>
  <c r="BG54" i="22"/>
  <c r="BE54" i="22"/>
  <c r="AC54" i="22"/>
  <c r="AD54" i="22" s="1"/>
  <c r="M54" i="22"/>
  <c r="L54" i="22"/>
  <c r="BH53" i="22"/>
  <c r="BG53" i="22"/>
  <c r="BE53" i="22"/>
  <c r="AC53" i="22"/>
  <c r="AD53" i="22" s="1"/>
  <c r="M53" i="22"/>
  <c r="L53" i="22"/>
  <c r="BH52" i="22"/>
  <c r="BG52" i="22"/>
  <c r="BE52" i="22"/>
  <c r="AC52" i="22"/>
  <c r="AD52" i="22" s="1"/>
  <c r="M52" i="22"/>
  <c r="L52" i="22"/>
  <c r="BH51" i="22"/>
  <c r="BG51" i="22"/>
  <c r="BE51" i="22"/>
  <c r="AC51" i="22"/>
  <c r="AD51" i="22" s="1"/>
  <c r="M51" i="22"/>
  <c r="L51" i="22"/>
  <c r="BH50" i="22"/>
  <c r="BG50" i="22"/>
  <c r="BE50" i="22"/>
  <c r="AC50" i="22"/>
  <c r="AD50" i="22" s="1"/>
  <c r="M50" i="22"/>
  <c r="L50" i="22"/>
  <c r="BH49" i="22"/>
  <c r="BG49" i="22"/>
  <c r="BE49" i="22"/>
  <c r="AC49" i="22"/>
  <c r="AD49" i="22" s="1"/>
  <c r="M49" i="22"/>
  <c r="L49" i="22"/>
  <c r="BH48" i="22"/>
  <c r="BG48" i="22"/>
  <c r="BE48" i="22"/>
  <c r="AC48" i="22"/>
  <c r="AD48" i="22" s="1"/>
  <c r="M48" i="22"/>
  <c r="L48" i="22"/>
  <c r="BH47" i="22"/>
  <c r="BG47" i="22"/>
  <c r="BE47" i="22"/>
  <c r="AC47" i="22"/>
  <c r="AD47" i="22" s="1"/>
  <c r="M47" i="22"/>
  <c r="L47" i="22"/>
  <c r="BH46" i="22"/>
  <c r="BG46" i="22"/>
  <c r="BE46" i="22"/>
  <c r="AC46" i="22"/>
  <c r="AD46" i="22" s="1"/>
  <c r="M46" i="22"/>
  <c r="L46" i="22"/>
  <c r="BH45" i="22"/>
  <c r="BG45" i="22"/>
  <c r="BE45" i="22"/>
  <c r="AC45" i="22"/>
  <c r="AD45" i="22" s="1"/>
  <c r="M45" i="22"/>
  <c r="L45" i="22"/>
  <c r="BH44" i="22"/>
  <c r="BI44" i="22" s="1"/>
  <c r="BG44" i="22"/>
  <c r="BE44" i="22"/>
  <c r="AC44" i="22"/>
  <c r="AD44" i="22" s="1"/>
  <c r="M44" i="22"/>
  <c r="L44" i="22"/>
  <c r="BH43" i="22"/>
  <c r="BG43" i="22"/>
  <c r="BI43" i="22" s="1"/>
  <c r="BE43" i="22"/>
  <c r="AC43" i="22"/>
  <c r="AD43" i="22" s="1"/>
  <c r="M43" i="22"/>
  <c r="L43" i="22"/>
  <c r="BH42" i="22"/>
  <c r="BG42" i="22"/>
  <c r="BI42" i="22" s="1"/>
  <c r="BE42" i="22"/>
  <c r="AC42" i="22"/>
  <c r="AD42" i="22" s="1"/>
  <c r="M42" i="22"/>
  <c r="L42" i="22"/>
  <c r="BO41" i="22"/>
  <c r="BN41" i="22"/>
  <c r="BH41" i="22"/>
  <c r="BG41" i="22"/>
  <c r="BE41" i="22"/>
  <c r="AC41" i="22"/>
  <c r="AD41" i="22" s="1"/>
  <c r="M41" i="22"/>
  <c r="L41" i="22"/>
  <c r="BO40" i="22"/>
  <c r="BO69" i="22" s="1"/>
  <c r="BN40" i="22"/>
  <c r="BN69" i="22" s="1"/>
  <c r="BH40" i="22"/>
  <c r="BG40" i="22"/>
  <c r="BE40" i="22"/>
  <c r="BE99" i="22" s="1"/>
  <c r="AC40" i="22"/>
  <c r="AD40" i="22" s="1"/>
  <c r="M40" i="22"/>
  <c r="L40" i="22"/>
  <c r="BH39" i="22"/>
  <c r="BG39" i="22"/>
  <c r="BE39" i="22"/>
  <c r="AC39" i="22"/>
  <c r="AD39" i="22" s="1"/>
  <c r="M39" i="22"/>
  <c r="L39" i="22"/>
  <c r="BH38" i="22"/>
  <c r="BG38" i="22"/>
  <c r="BE38" i="22"/>
  <c r="AC38" i="22"/>
  <c r="AD38" i="22" s="1"/>
  <c r="M38" i="22"/>
  <c r="L38" i="22"/>
  <c r="BH37" i="22"/>
  <c r="BG37" i="22"/>
  <c r="BE37" i="22"/>
  <c r="AC37" i="22"/>
  <c r="AD37" i="22" s="1"/>
  <c r="M37" i="22"/>
  <c r="L37" i="22"/>
  <c r="BH36" i="22"/>
  <c r="BG36" i="22"/>
  <c r="BE36" i="22"/>
  <c r="AC36" i="22"/>
  <c r="AD36" i="22" s="1"/>
  <c r="M36" i="22"/>
  <c r="L36" i="22"/>
  <c r="BH35" i="22"/>
  <c r="BG35" i="22"/>
  <c r="BE35" i="22"/>
  <c r="AC35" i="22"/>
  <c r="AD35" i="22" s="1"/>
  <c r="M35" i="22"/>
  <c r="L35" i="22"/>
  <c r="BH34" i="22"/>
  <c r="BG34" i="22"/>
  <c r="BE34" i="22"/>
  <c r="AC34" i="22"/>
  <c r="AD34" i="22" s="1"/>
  <c r="M34" i="22"/>
  <c r="L34" i="22"/>
  <c r="BH33" i="22"/>
  <c r="BG33" i="22"/>
  <c r="BE33" i="22"/>
  <c r="AC33" i="22"/>
  <c r="AD33" i="22" s="1"/>
  <c r="M33" i="22"/>
  <c r="L33" i="22"/>
  <c r="BH32" i="22"/>
  <c r="BG32" i="22"/>
  <c r="BI32" i="22" s="1"/>
  <c r="BE32" i="22"/>
  <c r="AC32" i="22"/>
  <c r="AD32" i="22" s="1"/>
  <c r="M32" i="22"/>
  <c r="L32" i="22"/>
  <c r="BG31" i="22"/>
  <c r="BE31" i="22"/>
  <c r="AC31" i="22"/>
  <c r="AD31" i="22" s="1"/>
  <c r="M31" i="22"/>
  <c r="L31" i="22"/>
  <c r="BG30" i="22"/>
  <c r="BE30" i="22"/>
  <c r="AC30" i="22"/>
  <c r="AD30" i="22" s="1"/>
  <c r="M30" i="22"/>
  <c r="L30" i="22"/>
  <c r="BG29" i="22"/>
  <c r="BE29" i="22"/>
  <c r="AC29" i="22"/>
  <c r="AD29" i="22" s="1"/>
  <c r="M29" i="22"/>
  <c r="L29" i="22"/>
  <c r="BG28" i="22"/>
  <c r="BE28" i="22"/>
  <c r="AC28" i="22"/>
  <c r="AD28" i="22" s="1"/>
  <c r="M28" i="22"/>
  <c r="L28" i="22"/>
  <c r="BG27" i="22"/>
  <c r="BE27" i="22"/>
  <c r="AC27" i="22"/>
  <c r="AD27" i="22" s="1"/>
  <c r="M27" i="22"/>
  <c r="L27" i="22"/>
  <c r="BG26" i="22"/>
  <c r="BE26" i="22"/>
  <c r="AC26" i="22"/>
  <c r="AD26" i="22" s="1"/>
  <c r="M26" i="22"/>
  <c r="L26" i="22"/>
  <c r="BG25" i="22"/>
  <c r="BE25" i="22"/>
  <c r="AS9" i="22"/>
  <c r="AC25" i="22"/>
  <c r="AD25" i="22" s="1"/>
  <c r="M25" i="22"/>
  <c r="L25" i="22"/>
  <c r="BG24" i="22"/>
  <c r="BE24" i="22"/>
  <c r="AC24" i="22"/>
  <c r="AD24" i="22" s="1"/>
  <c r="M24" i="22"/>
  <c r="L24" i="22"/>
  <c r="BG23" i="22"/>
  <c r="BE23" i="22"/>
  <c r="AC23" i="22"/>
  <c r="AD23" i="22" s="1"/>
  <c r="M23" i="22"/>
  <c r="L23" i="22"/>
  <c r="BG22" i="22"/>
  <c r="BE22" i="22"/>
  <c r="AC22" i="22"/>
  <c r="AD22" i="22" s="1"/>
  <c r="M22" i="22"/>
  <c r="L22" i="22"/>
  <c r="BG21" i="22"/>
  <c r="BE21" i="22"/>
  <c r="AC21" i="22"/>
  <c r="AD21" i="22" s="1"/>
  <c r="M21" i="22"/>
  <c r="L21" i="22"/>
  <c r="BQ20" i="22"/>
  <c r="BG20" i="22"/>
  <c r="BF20" i="22"/>
  <c r="BH31" i="22" s="1"/>
  <c r="BE20" i="22"/>
  <c r="AC20" i="22"/>
  <c r="AD20" i="22" s="1"/>
  <c r="M20" i="22"/>
  <c r="L20" i="22"/>
  <c r="BQ19" i="22"/>
  <c r="BG19" i="22"/>
  <c r="BF19" i="22"/>
  <c r="BH30" i="22" s="1"/>
  <c r="BE19" i="22"/>
  <c r="AC19" i="22"/>
  <c r="AD19" i="22" s="1"/>
  <c r="M19" i="22"/>
  <c r="L19" i="22"/>
  <c r="BQ18" i="22"/>
  <c r="BG18" i="22"/>
  <c r="BF18" i="22"/>
  <c r="BE18" i="22"/>
  <c r="AC18" i="22"/>
  <c r="AD18" i="22" s="1"/>
  <c r="M18" i="22"/>
  <c r="L18" i="22"/>
  <c r="BP17" i="22"/>
  <c r="BQ17" i="22" s="1"/>
  <c r="BG17" i="22"/>
  <c r="BF17" i="22"/>
  <c r="BE17" i="22"/>
  <c r="AT17" i="22"/>
  <c r="AC17" i="22"/>
  <c r="AD17" i="22" s="1"/>
  <c r="M17" i="22"/>
  <c r="L17" i="22"/>
  <c r="BP16" i="22"/>
  <c r="BQ16" i="22" s="1"/>
  <c r="BG16" i="22"/>
  <c r="BF16" i="22"/>
  <c r="BE16" i="22"/>
  <c r="AC16" i="22"/>
  <c r="AD16" i="22" s="1"/>
  <c r="M16" i="22"/>
  <c r="L16" i="22"/>
  <c r="BP15" i="22"/>
  <c r="BQ15" i="22" s="1"/>
  <c r="BG15" i="22"/>
  <c r="BF15" i="22"/>
  <c r="BE15" i="22"/>
  <c r="AC15" i="22"/>
  <c r="AD15" i="22" s="1"/>
  <c r="M15" i="22"/>
  <c r="L15" i="22"/>
  <c r="BP14" i="22"/>
  <c r="BQ14" i="22" s="1"/>
  <c r="BE14" i="22"/>
  <c r="AS14" i="22"/>
  <c r="AC14" i="22"/>
  <c r="AD14" i="22" s="1"/>
  <c r="M14" i="22"/>
  <c r="L14" i="22"/>
  <c r="BZ13" i="22"/>
  <c r="BY13" i="22"/>
  <c r="BV13" i="22"/>
  <c r="BP13" i="22"/>
  <c r="BQ13" i="22" s="1"/>
  <c r="BF13" i="22"/>
  <c r="BE13" i="22"/>
  <c r="AS13" i="22"/>
  <c r="AC13" i="22"/>
  <c r="AD13" i="22" s="1"/>
  <c r="M13" i="22"/>
  <c r="L13" i="22"/>
  <c r="BZ12" i="22"/>
  <c r="BY12" i="22"/>
  <c r="BV12" i="22"/>
  <c r="BQ12" i="22"/>
  <c r="BP12" i="22"/>
  <c r="BF12" i="22"/>
  <c r="BE12" i="22"/>
  <c r="AS12" i="22"/>
  <c r="AC12" i="22"/>
  <c r="AD12" i="22" s="1"/>
  <c r="M12" i="22"/>
  <c r="L12" i="22"/>
  <c r="BZ11" i="22"/>
  <c r="BY11" i="22"/>
  <c r="BV11" i="22"/>
  <c r="BP11" i="22"/>
  <c r="BQ11" i="22" s="1"/>
  <c r="BF11" i="22"/>
  <c r="BE11" i="22"/>
  <c r="AC11" i="22"/>
  <c r="AD11" i="22" s="1"/>
  <c r="M11" i="22"/>
  <c r="L11" i="22"/>
  <c r="BZ10" i="22"/>
  <c r="BY10" i="22"/>
  <c r="BV10" i="22"/>
  <c r="BP10" i="22"/>
  <c r="BQ10" i="22" s="1"/>
  <c r="BF10" i="22"/>
  <c r="BE10" i="22"/>
  <c r="AS10" i="22"/>
  <c r="AC10" i="22"/>
  <c r="AD10" i="22" s="1"/>
  <c r="L10" i="22"/>
  <c r="BZ9" i="22"/>
  <c r="BY9" i="22"/>
  <c r="BV9" i="22"/>
  <c r="BP9" i="22"/>
  <c r="BQ9" i="22" s="1"/>
  <c r="BF9" i="22"/>
  <c r="BE9" i="22"/>
  <c r="AC9" i="22"/>
  <c r="AD9" i="22" s="1"/>
  <c r="L9" i="22"/>
  <c r="BZ8" i="22"/>
  <c r="BY8" i="22"/>
  <c r="BV8" i="22"/>
  <c r="BP8" i="22"/>
  <c r="BQ8" i="22" s="1"/>
  <c r="BF8" i="22"/>
  <c r="BE8" i="22"/>
  <c r="AS8" i="22"/>
  <c r="AC8" i="22"/>
  <c r="AD8" i="22" s="1"/>
  <c r="L8" i="22"/>
  <c r="BZ7" i="22"/>
  <c r="BY7" i="22"/>
  <c r="BV7" i="22"/>
  <c r="BP7" i="22"/>
  <c r="BQ7" i="22" s="1"/>
  <c r="BF7" i="22"/>
  <c r="BE7" i="22"/>
  <c r="AS7" i="22"/>
  <c r="AC7" i="22"/>
  <c r="AD7" i="22" s="1"/>
  <c r="L7" i="22"/>
  <c r="BZ6" i="22"/>
  <c r="BY6" i="22"/>
  <c r="BV6" i="22"/>
  <c r="BP6" i="22"/>
  <c r="BQ6" i="22" s="1"/>
  <c r="BF6" i="22"/>
  <c r="BE6" i="22"/>
  <c r="AC6" i="22"/>
  <c r="AD6" i="22" s="1"/>
  <c r="BZ5" i="22"/>
  <c r="BY5" i="22"/>
  <c r="BV5" i="22"/>
  <c r="BP5" i="22"/>
  <c r="BQ5" i="22" s="1"/>
  <c r="BE5" i="22"/>
  <c r="AL5" i="22"/>
  <c r="AC5" i="22"/>
  <c r="AD5" i="22" s="1"/>
  <c r="BZ4" i="22"/>
  <c r="BY4" i="22"/>
  <c r="BV4" i="22"/>
  <c r="BP4" i="22"/>
  <c r="BQ4" i="22" s="1"/>
  <c r="BF4" i="22"/>
  <c r="BE4" i="22"/>
  <c r="AV4" i="22"/>
  <c r="AV5" i="22" s="1"/>
  <c r="AV6" i="22" s="1"/>
  <c r="AV7" i="22" s="1"/>
  <c r="AV8" i="22" s="1"/>
  <c r="AV9" i="22" s="1"/>
  <c r="AV10" i="22" s="1"/>
  <c r="AV11" i="22" s="1"/>
  <c r="AV12" i="22" s="1"/>
  <c r="AV13" i="22" s="1"/>
  <c r="AV14" i="22" s="1"/>
  <c r="AV15" i="22" s="1"/>
  <c r="AG4" i="22"/>
  <c r="AG5" i="22" s="1"/>
  <c r="AF4" i="22"/>
  <c r="AH4" i="22" s="1"/>
  <c r="AC4" i="22"/>
  <c r="AD4" i="22" s="1"/>
  <c r="X64" i="21"/>
  <c r="AK58" i="19"/>
  <c r="AM56" i="19"/>
  <c r="X54" i="21"/>
  <c r="X55" i="21"/>
  <c r="W54" i="21"/>
  <c r="W55" i="21"/>
  <c r="V54" i="21"/>
  <c r="V55" i="21"/>
  <c r="U54" i="21"/>
  <c r="U55" i="21"/>
  <c r="S55" i="21"/>
  <c r="S54" i="21"/>
  <c r="T1" i="10"/>
  <c r="T1" i="20"/>
  <c r="BB89" i="19"/>
  <c r="BG75" i="19"/>
  <c r="BG74" i="19"/>
  <c r="BG73" i="19"/>
  <c r="BG72" i="19"/>
  <c r="BG71" i="19"/>
  <c r="BH75" i="19"/>
  <c r="BH74" i="19"/>
  <c r="BF75" i="19"/>
  <c r="BF74" i="19"/>
  <c r="Y30" i="20"/>
  <c r="AU14" i="19"/>
  <c r="N30" i="20"/>
  <c r="J30" i="20"/>
  <c r="E30" i="20"/>
  <c r="X53" i="21"/>
  <c r="W53" i="21"/>
  <c r="V53" i="21"/>
  <c r="U53" i="21"/>
  <c r="S53" i="21"/>
  <c r="X52" i="21"/>
  <c r="W52" i="21"/>
  <c r="V52" i="21"/>
  <c r="U52" i="21"/>
  <c r="S52" i="21"/>
  <c r="X51" i="21"/>
  <c r="W51" i="21"/>
  <c r="V51" i="21"/>
  <c r="U51" i="21"/>
  <c r="S51" i="21"/>
  <c r="X50" i="21"/>
  <c r="W50" i="21"/>
  <c r="V50" i="21"/>
  <c r="U50" i="21"/>
  <c r="S50" i="21"/>
  <c r="W47" i="21"/>
  <c r="X47" i="21" s="1"/>
  <c r="W48" i="21"/>
  <c r="W49" i="21"/>
  <c r="X49" i="21"/>
  <c r="V47" i="21"/>
  <c r="V48" i="21"/>
  <c r="V49" i="21"/>
  <c r="U47" i="21"/>
  <c r="U48" i="21"/>
  <c r="U49" i="21"/>
  <c r="S47" i="21"/>
  <c r="S48" i="21"/>
  <c r="S49" i="21"/>
  <c r="BI73" i="19"/>
  <c r="BH73" i="19"/>
  <c r="BF73" i="19"/>
  <c r="X46" i="21"/>
  <c r="W46" i="21"/>
  <c r="V46" i="21"/>
  <c r="U46" i="21"/>
  <c r="S46" i="21"/>
  <c r="T30" i="23" l="1"/>
  <c r="AC30" i="23" s="1"/>
  <c r="T30" i="27"/>
  <c r="AC30" i="27" s="1"/>
  <c r="AN6" i="28"/>
  <c r="AM7" i="28"/>
  <c r="AI12" i="28"/>
  <c r="AG13" i="28"/>
  <c r="Y60" i="24"/>
  <c r="Y62" i="24" s="1"/>
  <c r="BI38" i="22"/>
  <c r="BI48" i="22"/>
  <c r="BI54" i="22"/>
  <c r="BI40" i="22"/>
  <c r="BH29" i="22"/>
  <c r="BI29" i="22" s="1"/>
  <c r="BI53" i="22"/>
  <c r="BH28" i="22"/>
  <c r="BI28" i="22" s="1"/>
  <c r="BE100" i="22"/>
  <c r="BI36" i="22"/>
  <c r="BI52" i="22"/>
  <c r="BI56" i="22"/>
  <c r="BI47" i="22"/>
  <c r="BH68" i="22"/>
  <c r="BI68" i="22" s="1"/>
  <c r="BH19" i="22"/>
  <c r="BI19" i="22" s="1"/>
  <c r="BI39" i="22"/>
  <c r="BI46" i="22"/>
  <c r="BI59" i="22"/>
  <c r="BI31" i="22"/>
  <c r="BI33" i="22"/>
  <c r="BI49" i="22"/>
  <c r="BI57" i="22"/>
  <c r="BI62" i="22"/>
  <c r="BI37" i="22"/>
  <c r="BP41" i="22"/>
  <c r="BQ41" i="22" s="1"/>
  <c r="BH26" i="22"/>
  <c r="BI26" i="22" s="1"/>
  <c r="BE98" i="22"/>
  <c r="BH22" i="22"/>
  <c r="BI22" i="22" s="1"/>
  <c r="BH23" i="22"/>
  <c r="BI23" i="22" s="1"/>
  <c r="BH15" i="22"/>
  <c r="BI15" i="22" s="1"/>
  <c r="BE101" i="22"/>
  <c r="BI30" i="22"/>
  <c r="BE104" i="22"/>
  <c r="BI35" i="22"/>
  <c r="BI45" i="22"/>
  <c r="BI51" i="22"/>
  <c r="BH74" i="22"/>
  <c r="BH21" i="22"/>
  <c r="BI21" i="22" s="1"/>
  <c r="BH18" i="22"/>
  <c r="BI18" i="22" s="1"/>
  <c r="BH24" i="22"/>
  <c r="BI24" i="22" s="1"/>
  <c r="BH25" i="22"/>
  <c r="BI25" i="22" s="1"/>
  <c r="BH27" i="22"/>
  <c r="BI27" i="22" s="1"/>
  <c r="BI34" i="22"/>
  <c r="BI41" i="22"/>
  <c r="BI50" i="22"/>
  <c r="BI55" i="22"/>
  <c r="BI58" i="22"/>
  <c r="BH75" i="22"/>
  <c r="BH72" i="22"/>
  <c r="AS11" i="22"/>
  <c r="AS6" i="22"/>
  <c r="AH5" i="22"/>
  <c r="AH6" i="22" s="1"/>
  <c r="AH7" i="22" s="1"/>
  <c r="AH8" i="22" s="1"/>
  <c r="AH9" i="22" s="1"/>
  <c r="AH10" i="22" s="1"/>
  <c r="AH11" i="22" s="1"/>
  <c r="AH12" i="22" s="1"/>
  <c r="AH13" i="22" s="1"/>
  <c r="AH14" i="22" s="1"/>
  <c r="AH15" i="22" s="1"/>
  <c r="AH16" i="22" s="1"/>
  <c r="AH17" i="22" s="1"/>
  <c r="AH18" i="22" s="1"/>
  <c r="AH19" i="22" s="1"/>
  <c r="AH20" i="22" s="1"/>
  <c r="AH21" i="22" s="1"/>
  <c r="AH22" i="22" s="1"/>
  <c r="AH23" i="22" s="1"/>
  <c r="AH24" i="22" s="1"/>
  <c r="AH25" i="22" s="1"/>
  <c r="AH26" i="22" s="1"/>
  <c r="AH27" i="22" s="1"/>
  <c r="AH28" i="22" s="1"/>
  <c r="AH29" i="22" s="1"/>
  <c r="AH30" i="22" s="1"/>
  <c r="AH31" i="22" s="1"/>
  <c r="AH32" i="22" s="1"/>
  <c r="AH33" i="22" s="1"/>
  <c r="AH34" i="22" s="1"/>
  <c r="AH35" i="22" s="1"/>
  <c r="AH36" i="22" s="1"/>
  <c r="AH37" i="22" s="1"/>
  <c r="AH38" i="22" s="1"/>
  <c r="AH39" i="22" s="1"/>
  <c r="AH40" i="22" s="1"/>
  <c r="AH41" i="22" s="1"/>
  <c r="AH42" i="22" s="1"/>
  <c r="AH43" i="22" s="1"/>
  <c r="AH44" i="22" s="1"/>
  <c r="AH45" i="22" s="1"/>
  <c r="AH46" i="22" s="1"/>
  <c r="AH47" i="22" s="1"/>
  <c r="AH48" i="22" s="1"/>
  <c r="AH49" i="22" s="1"/>
  <c r="AH50" i="22" s="1"/>
  <c r="AH51" i="22" s="1"/>
  <c r="AH52" i="22" s="1"/>
  <c r="AH53" i="22" s="1"/>
  <c r="AH54" i="22" s="1"/>
  <c r="AH55" i="22" s="1"/>
  <c r="AH56" i="22" s="1"/>
  <c r="AF5" i="22"/>
  <c r="AF6" i="22" s="1"/>
  <c r="AF7" i="22" s="1"/>
  <c r="AF8" i="22" s="1"/>
  <c r="AF9" i="22" s="1"/>
  <c r="AF10" i="22" s="1"/>
  <c r="AF11" i="22" s="1"/>
  <c r="AF12" i="22" s="1"/>
  <c r="AF13" i="22" s="1"/>
  <c r="AF14" i="22" s="1"/>
  <c r="AF15" i="22" s="1"/>
  <c r="AF16" i="22" s="1"/>
  <c r="AF17" i="22" s="1"/>
  <c r="AF18" i="22" s="1"/>
  <c r="AF19" i="22" s="1"/>
  <c r="AF20" i="22" s="1"/>
  <c r="AF21" i="22" s="1"/>
  <c r="AF22" i="22" s="1"/>
  <c r="AF23" i="22" s="1"/>
  <c r="AF24" i="22" s="1"/>
  <c r="AF25" i="22" s="1"/>
  <c r="AF26" i="22" s="1"/>
  <c r="AF27" i="22" s="1"/>
  <c r="AF28" i="22" s="1"/>
  <c r="AF29" i="22" s="1"/>
  <c r="AF30" i="22" s="1"/>
  <c r="AF31" i="22" s="1"/>
  <c r="AF32" i="22" s="1"/>
  <c r="AF33" i="22" s="1"/>
  <c r="AF34" i="22" s="1"/>
  <c r="AF35" i="22" s="1"/>
  <c r="AF36" i="22" s="1"/>
  <c r="AF37" i="22" s="1"/>
  <c r="AF38" i="22" s="1"/>
  <c r="AF39" i="22" s="1"/>
  <c r="AF40" i="22" s="1"/>
  <c r="AF41" i="22" s="1"/>
  <c r="AF42" i="22" s="1"/>
  <c r="AF43" i="22" s="1"/>
  <c r="AF44" i="22" s="1"/>
  <c r="AF45" i="22" s="1"/>
  <c r="AF46" i="22" s="1"/>
  <c r="AF47" i="22" s="1"/>
  <c r="AF48" i="22" s="1"/>
  <c r="AF49" i="22" s="1"/>
  <c r="AF50" i="22" s="1"/>
  <c r="AF51" i="22" s="1"/>
  <c r="AF52" i="22" s="1"/>
  <c r="AF53" i="22" s="1"/>
  <c r="AF54" i="22" s="1"/>
  <c r="AF55" i="22" s="1"/>
  <c r="AF56" i="22" s="1"/>
  <c r="AI4" i="22"/>
  <c r="AC57" i="22"/>
  <c r="AD57" i="22" s="1"/>
  <c r="AS4" i="22"/>
  <c r="AL4" i="22"/>
  <c r="AM4" i="22"/>
  <c r="AS5" i="22"/>
  <c r="BI20" i="22"/>
  <c r="BH16" i="22"/>
  <c r="BI16" i="22" s="1"/>
  <c r="BH17" i="22"/>
  <c r="BI17" i="22" s="1"/>
  <c r="BH20" i="22"/>
  <c r="AG6" i="22"/>
  <c r="BH67" i="22"/>
  <c r="BI67" i="22" s="1"/>
  <c r="BH71" i="22"/>
  <c r="BH64" i="22"/>
  <c r="BI64" i="22" s="1"/>
  <c r="BH69" i="22"/>
  <c r="BI69" i="22" s="1"/>
  <c r="BH73" i="22"/>
  <c r="BF101" i="22"/>
  <c r="BH66" i="22"/>
  <c r="BI66" i="22" s="1"/>
  <c r="BH70" i="22"/>
  <c r="BI70" i="22" s="1"/>
  <c r="BP40" i="22"/>
  <c r="BM69" i="22" s="1"/>
  <c r="BH65" i="22"/>
  <c r="BI65" i="22" s="1"/>
  <c r="BI74" i="19"/>
  <c r="BI75" i="19"/>
  <c r="X48" i="21"/>
  <c r="X45" i="21"/>
  <c r="W45" i="21"/>
  <c r="V45" i="21"/>
  <c r="U45" i="21"/>
  <c r="S45" i="21"/>
  <c r="X44" i="21"/>
  <c r="W44" i="21"/>
  <c r="V44" i="21"/>
  <c r="U44" i="21"/>
  <c r="S44" i="21"/>
  <c r="X43" i="21"/>
  <c r="W43" i="21"/>
  <c r="V43" i="21"/>
  <c r="U43" i="21"/>
  <c r="S43" i="21"/>
  <c r="BF72" i="19"/>
  <c r="BH72" i="19"/>
  <c r="X42" i="21"/>
  <c r="W42" i="21"/>
  <c r="V42" i="21"/>
  <c r="U42" i="21"/>
  <c r="S42" i="21"/>
  <c r="BG70" i="19"/>
  <c r="BI70" i="19"/>
  <c r="BH70" i="19"/>
  <c r="BH71" i="19"/>
  <c r="BI71" i="19"/>
  <c r="BF71" i="19"/>
  <c r="BF70" i="19"/>
  <c r="AD33" i="19"/>
  <c r="AD56" i="19"/>
  <c r="AU11" i="19"/>
  <c r="M41" i="19"/>
  <c r="W41" i="21"/>
  <c r="V41" i="21"/>
  <c r="U41" i="21"/>
  <c r="S41" i="21"/>
  <c r="X40" i="21"/>
  <c r="W40" i="21"/>
  <c r="V40" i="21"/>
  <c r="U40" i="21"/>
  <c r="S40" i="21"/>
  <c r="X38" i="21"/>
  <c r="X39" i="21"/>
  <c r="W38" i="21"/>
  <c r="W39" i="21"/>
  <c r="V38" i="21"/>
  <c r="V39" i="21"/>
  <c r="U38" i="21"/>
  <c r="U39" i="21"/>
  <c r="S39" i="21"/>
  <c r="S38" i="21"/>
  <c r="W37" i="21"/>
  <c r="V37" i="21"/>
  <c r="S37" i="21"/>
  <c r="U37" i="21"/>
  <c r="X36" i="21"/>
  <c r="W36" i="21"/>
  <c r="V36" i="21"/>
  <c r="U36" i="21"/>
  <c r="S36" i="21"/>
  <c r="X35" i="21"/>
  <c r="W35" i="21"/>
  <c r="V35" i="21"/>
  <c r="U35" i="21"/>
  <c r="S35" i="21"/>
  <c r="X34" i="21"/>
  <c r="W34" i="21"/>
  <c r="V34" i="21"/>
  <c r="U34" i="21"/>
  <c r="S34" i="21"/>
  <c r="X33" i="21"/>
  <c r="W33" i="21"/>
  <c r="V33" i="21"/>
  <c r="U33" i="21"/>
  <c r="S33" i="21"/>
  <c r="X32" i="21"/>
  <c r="W32" i="21"/>
  <c r="V32" i="21"/>
  <c r="U32" i="21"/>
  <c r="S32" i="21"/>
  <c r="X31" i="21"/>
  <c r="W31" i="21"/>
  <c r="V31" i="21"/>
  <c r="U31" i="21"/>
  <c r="S31" i="21"/>
  <c r="BG69" i="19"/>
  <c r="BI69" i="19" s="1"/>
  <c r="BH69" i="19"/>
  <c r="BF69" i="19"/>
  <c r="X30" i="21"/>
  <c r="W30" i="21"/>
  <c r="U30" i="21"/>
  <c r="S30" i="21"/>
  <c r="V30" i="21"/>
  <c r="V29" i="21"/>
  <c r="X29" i="21" s="1"/>
  <c r="U29" i="21"/>
  <c r="W29" i="21"/>
  <c r="S29" i="21"/>
  <c r="W28" i="21"/>
  <c r="X28" i="21" s="1"/>
  <c r="V28" i="21"/>
  <c r="U28" i="21"/>
  <c r="S28" i="21"/>
  <c r="X27" i="21"/>
  <c r="V27" i="21"/>
  <c r="U27" i="21"/>
  <c r="S27" i="21"/>
  <c r="W27" i="21"/>
  <c r="X25" i="21"/>
  <c r="X26" i="21"/>
  <c r="W25" i="21"/>
  <c r="W26" i="21"/>
  <c r="V25" i="21"/>
  <c r="V26" i="21"/>
  <c r="U25" i="21"/>
  <c r="U26" i="21"/>
  <c r="S25" i="21"/>
  <c r="S26" i="21"/>
  <c r="BG68" i="19"/>
  <c r="BI68" i="19" s="1"/>
  <c r="BH68" i="19"/>
  <c r="BF68" i="19"/>
  <c r="X24" i="21"/>
  <c r="W24" i="21"/>
  <c r="V24" i="21"/>
  <c r="U24" i="21"/>
  <c r="S24" i="21"/>
  <c r="X23" i="21"/>
  <c r="W23" i="21"/>
  <c r="V23" i="21"/>
  <c r="U23" i="21"/>
  <c r="S23" i="21"/>
  <c r="AN7" i="28" l="1"/>
  <c r="AM8" i="28"/>
  <c r="AG14" i="28"/>
  <c r="AI13" i="28"/>
  <c r="BQ40" i="22"/>
  <c r="AI5" i="22"/>
  <c r="AI6" i="22"/>
  <c r="AG7" i="22"/>
  <c r="AS17" i="22"/>
  <c r="AU4" i="22"/>
  <c r="AU5" i="22" s="1"/>
  <c r="AU6" i="22" s="1"/>
  <c r="AU7" i="22" s="1"/>
  <c r="AU8" i="22" s="1"/>
  <c r="AU9" i="22" s="1"/>
  <c r="AU10" i="22" s="1"/>
  <c r="AU11" i="22" s="1"/>
  <c r="AU12" i="22" s="1"/>
  <c r="AU13" i="22" s="1"/>
  <c r="AU14" i="22" s="1"/>
  <c r="AU15" i="22" s="1"/>
  <c r="BP69" i="22"/>
  <c r="BN48" i="22"/>
  <c r="BN50" i="22" s="1"/>
  <c r="AM5" i="22"/>
  <c r="AN4" i="22"/>
  <c r="BI72" i="19"/>
  <c r="X41" i="21"/>
  <c r="X37" i="21"/>
  <c r="X22" i="21"/>
  <c r="W22" i="21"/>
  <c r="V22" i="21"/>
  <c r="U22" i="21"/>
  <c r="S22" i="21"/>
  <c r="BF90" i="19"/>
  <c r="BF89" i="19"/>
  <c r="BC90" i="19"/>
  <c r="BD90" i="19"/>
  <c r="BE90" i="19"/>
  <c r="BB90" i="19"/>
  <c r="BI67" i="19"/>
  <c r="BH67" i="19"/>
  <c r="BG67" i="19"/>
  <c r="BG66" i="19"/>
  <c r="BF67" i="19"/>
  <c r="W21" i="21"/>
  <c r="V21" i="21"/>
  <c r="U21" i="21"/>
  <c r="X21" i="21" s="1"/>
  <c r="S21" i="21"/>
  <c r="BD89" i="19"/>
  <c r="BC89" i="19"/>
  <c r="X19" i="21"/>
  <c r="X20" i="21"/>
  <c r="W19" i="21"/>
  <c r="W20" i="21"/>
  <c r="V19" i="21"/>
  <c r="V20" i="21"/>
  <c r="U19" i="21"/>
  <c r="U20" i="21"/>
  <c r="S19" i="21"/>
  <c r="S20" i="21"/>
  <c r="AN8" i="28" l="1"/>
  <c r="AM9" i="28"/>
  <c r="AG15" i="28"/>
  <c r="AI14" i="28"/>
  <c r="AI7" i="22"/>
  <c r="AG8" i="22"/>
  <c r="AN5" i="22"/>
  <c r="AM6" i="22"/>
  <c r="AN6" i="22" s="1"/>
  <c r="X18" i="21"/>
  <c r="W18" i="21"/>
  <c r="V18" i="21"/>
  <c r="U18" i="21"/>
  <c r="S18" i="21"/>
  <c r="AB57" i="19"/>
  <c r="AA57" i="19"/>
  <c r="X17" i="21"/>
  <c r="W17" i="21"/>
  <c r="V17" i="21"/>
  <c r="U17" i="21"/>
  <c r="S17" i="21"/>
  <c r="BI16" i="18"/>
  <c r="BI17" i="18"/>
  <c r="BI18" i="18"/>
  <c r="BI19" i="18"/>
  <c r="BI20" i="18"/>
  <c r="BI21" i="18"/>
  <c r="BI22" i="18"/>
  <c r="BI23" i="18"/>
  <c r="BI24" i="18"/>
  <c r="BI25" i="18"/>
  <c r="BI26" i="18"/>
  <c r="BI27" i="18"/>
  <c r="BI28" i="18"/>
  <c r="BI29" i="18"/>
  <c r="BI30" i="18"/>
  <c r="BI31" i="18"/>
  <c r="BI32" i="18"/>
  <c r="BI33" i="18"/>
  <c r="BI34" i="18"/>
  <c r="BI35" i="18"/>
  <c r="BI36" i="18"/>
  <c r="BI37" i="18"/>
  <c r="BI38" i="18"/>
  <c r="BI39" i="18"/>
  <c r="BI40" i="18"/>
  <c r="BI41" i="18"/>
  <c r="BI42" i="18"/>
  <c r="BI43" i="18"/>
  <c r="BI44" i="18"/>
  <c r="BI45" i="18"/>
  <c r="BI46" i="18"/>
  <c r="BI47" i="18"/>
  <c r="BI48" i="18"/>
  <c r="BI49" i="18"/>
  <c r="BI50" i="18"/>
  <c r="BI51" i="18"/>
  <c r="BI52" i="18"/>
  <c r="BI53" i="18"/>
  <c r="BI54" i="18"/>
  <c r="BI55" i="18"/>
  <c r="BI56" i="18"/>
  <c r="BI57" i="18"/>
  <c r="BI58" i="18"/>
  <c r="BI59" i="18"/>
  <c r="BI60" i="18"/>
  <c r="BI61" i="18"/>
  <c r="BI62" i="18"/>
  <c r="BI63" i="18"/>
  <c r="BI15" i="18"/>
  <c r="BI66" i="19"/>
  <c r="BI65" i="19"/>
  <c r="BI64" i="19"/>
  <c r="BI63" i="19"/>
  <c r="BI62" i="19"/>
  <c r="BI61" i="19"/>
  <c r="BI60" i="19"/>
  <c r="BI59" i="19"/>
  <c r="BI58" i="19"/>
  <c r="BI57" i="19"/>
  <c r="BI56" i="19"/>
  <c r="BI55" i="19"/>
  <c r="BI54" i="19"/>
  <c r="BI53" i="19"/>
  <c r="BI52" i="19"/>
  <c r="BI51" i="19"/>
  <c r="BI50" i="19"/>
  <c r="BI49" i="19"/>
  <c r="BI48" i="19"/>
  <c r="BI47" i="19"/>
  <c r="BI46" i="19"/>
  <c r="BI45" i="19"/>
  <c r="BI44" i="19"/>
  <c r="BI43" i="19"/>
  <c r="BI42" i="19"/>
  <c r="BI41" i="19"/>
  <c r="BI40" i="19"/>
  <c r="BI39" i="19"/>
  <c r="BI38" i="19"/>
  <c r="BI37" i="19"/>
  <c r="BI36" i="19"/>
  <c r="BI35" i="19"/>
  <c r="BI34" i="19"/>
  <c r="BI33" i="19"/>
  <c r="BI32" i="19"/>
  <c r="BI31" i="19"/>
  <c r="BI30" i="19"/>
  <c r="BI29" i="19"/>
  <c r="BI28" i="19"/>
  <c r="BI27" i="19"/>
  <c r="BI26" i="19"/>
  <c r="BI25" i="19"/>
  <c r="BI24" i="19"/>
  <c r="BI23" i="19"/>
  <c r="BI22" i="19"/>
  <c r="BI21" i="19"/>
  <c r="BI20" i="19"/>
  <c r="BI19" i="19"/>
  <c r="BI18" i="19"/>
  <c r="BI17" i="19"/>
  <c r="BI16" i="19"/>
  <c r="BI15" i="19"/>
  <c r="BH66" i="19"/>
  <c r="BF66" i="19"/>
  <c r="X16" i="21"/>
  <c r="W16" i="21"/>
  <c r="V16" i="21"/>
  <c r="U16" i="21"/>
  <c r="S16" i="21"/>
  <c r="AM10" i="28" l="1"/>
  <c r="AN9" i="28"/>
  <c r="AG16" i="28"/>
  <c r="AI15" i="28"/>
  <c r="AM7" i="22"/>
  <c r="AN7" i="22" s="1"/>
  <c r="AG9" i="22"/>
  <c r="AI8" i="22"/>
  <c r="AC57" i="19"/>
  <c r="AD57" i="19" s="1"/>
  <c r="X15" i="21"/>
  <c r="W15" i="21"/>
  <c r="V15" i="21"/>
  <c r="U15" i="21"/>
  <c r="S15" i="21"/>
  <c r="W14" i="21"/>
  <c r="V14" i="21"/>
  <c r="U14" i="21"/>
  <c r="S14" i="21"/>
  <c r="BG65" i="19"/>
  <c r="BH65" i="19"/>
  <c r="BH64" i="19"/>
  <c r="BF65" i="19"/>
  <c r="AU5" i="19"/>
  <c r="W13" i="21"/>
  <c r="V13" i="21"/>
  <c r="X13" i="21" s="1"/>
  <c r="U13" i="21"/>
  <c r="S13" i="21"/>
  <c r="X12" i="21"/>
  <c r="W12" i="21"/>
  <c r="V12" i="21"/>
  <c r="U12" i="21"/>
  <c r="S12" i="21"/>
  <c r="X11" i="21"/>
  <c r="W11" i="21"/>
  <c r="V11" i="21"/>
  <c r="U11" i="21"/>
  <c r="S11" i="21"/>
  <c r="BG64" i="19"/>
  <c r="BF64" i="19"/>
  <c r="AN10" i="28" l="1"/>
  <c r="AM11" i="28"/>
  <c r="AG17" i="28"/>
  <c r="AI16" i="28"/>
  <c r="AG10" i="22"/>
  <c r="AI9" i="22"/>
  <c r="AM8" i="22"/>
  <c r="AN8" i="22" s="1"/>
  <c r="X14" i="21"/>
  <c r="X10" i="21"/>
  <c r="W10" i="21"/>
  <c r="V10" i="21"/>
  <c r="U10" i="21"/>
  <c r="S10" i="21"/>
  <c r="AK20" i="19"/>
  <c r="AK22" i="19"/>
  <c r="AK50" i="19"/>
  <c r="AK6" i="19"/>
  <c r="AK5" i="19"/>
  <c r="AK4" i="19"/>
  <c r="N1" i="16"/>
  <c r="U5" i="21"/>
  <c r="V5" i="21"/>
  <c r="W5" i="21"/>
  <c r="X5" i="21" s="1"/>
  <c r="U6" i="21"/>
  <c r="V6" i="21"/>
  <c r="X6" i="21" s="1"/>
  <c r="W6" i="21"/>
  <c r="U7" i="21"/>
  <c r="V7" i="21"/>
  <c r="X7" i="21" s="1"/>
  <c r="W7" i="21"/>
  <c r="U8" i="21"/>
  <c r="V8" i="21"/>
  <c r="W8" i="21"/>
  <c r="AD5" i="21" s="1"/>
  <c r="U9" i="21"/>
  <c r="V9" i="21"/>
  <c r="AC5" i="21" s="1"/>
  <c r="W9" i="21"/>
  <c r="AB6" i="21"/>
  <c r="AB7" i="21"/>
  <c r="AD7" i="21"/>
  <c r="AD8" i="21"/>
  <c r="AB9" i="21"/>
  <c r="AC9" i="21"/>
  <c r="AD9" i="21"/>
  <c r="AC10" i="21"/>
  <c r="AB10" i="21"/>
  <c r="AC11" i="21"/>
  <c r="AD12" i="21"/>
  <c r="AB13" i="21"/>
  <c r="AD13" i="21"/>
  <c r="AC13" i="21"/>
  <c r="AC14" i="21"/>
  <c r="AD14" i="21"/>
  <c r="AB15" i="21"/>
  <c r="AD15" i="21"/>
  <c r="W4" i="21"/>
  <c r="V4" i="21"/>
  <c r="U4" i="21"/>
  <c r="Y56" i="21"/>
  <c r="M56" i="21"/>
  <c r="L56" i="21"/>
  <c r="K56" i="21"/>
  <c r="H56" i="21"/>
  <c r="G56" i="21"/>
  <c r="F56" i="21"/>
  <c r="N55" i="21"/>
  <c r="AK55" i="19" s="1"/>
  <c r="I55" i="21"/>
  <c r="N54" i="21"/>
  <c r="AK54" i="19" s="1"/>
  <c r="I54" i="21"/>
  <c r="N53" i="21"/>
  <c r="AK53" i="19" s="1"/>
  <c r="I53" i="21"/>
  <c r="N52" i="21"/>
  <c r="AK52" i="19" s="1"/>
  <c r="I52" i="21"/>
  <c r="N51" i="21"/>
  <c r="AK51" i="19" s="1"/>
  <c r="I51" i="21"/>
  <c r="N50" i="21"/>
  <c r="I50" i="21"/>
  <c r="N49" i="21"/>
  <c r="AK49" i="19" s="1"/>
  <c r="I49" i="21"/>
  <c r="N48" i="21"/>
  <c r="AK48" i="19" s="1"/>
  <c r="I48" i="21"/>
  <c r="N47" i="21"/>
  <c r="AK47" i="19" s="1"/>
  <c r="I47" i="21"/>
  <c r="N46" i="21"/>
  <c r="AK46" i="19" s="1"/>
  <c r="I46" i="21"/>
  <c r="N45" i="21"/>
  <c r="AK45" i="19" s="1"/>
  <c r="I45" i="21"/>
  <c r="N44" i="21"/>
  <c r="AK44" i="19" s="1"/>
  <c r="I44" i="21"/>
  <c r="N43" i="21"/>
  <c r="AK43" i="19" s="1"/>
  <c r="I43" i="21"/>
  <c r="N42" i="21"/>
  <c r="AK42" i="19" s="1"/>
  <c r="I42" i="21"/>
  <c r="N41" i="21"/>
  <c r="AK41" i="19" s="1"/>
  <c r="I41" i="21"/>
  <c r="N40" i="21"/>
  <c r="AK40" i="19" s="1"/>
  <c r="I40" i="21"/>
  <c r="N39" i="21"/>
  <c r="AK39" i="19" s="1"/>
  <c r="I39" i="21"/>
  <c r="N38" i="21"/>
  <c r="AK38" i="19" s="1"/>
  <c r="I38" i="21"/>
  <c r="N37" i="21"/>
  <c r="AK37" i="19" s="1"/>
  <c r="I37" i="21"/>
  <c r="N36" i="21"/>
  <c r="AK36" i="19" s="1"/>
  <c r="I36" i="21"/>
  <c r="N35" i="21"/>
  <c r="AK35" i="19" s="1"/>
  <c r="I35" i="21"/>
  <c r="N34" i="21"/>
  <c r="AK34" i="19" s="1"/>
  <c r="I34" i="21"/>
  <c r="N33" i="21"/>
  <c r="AK33" i="19" s="1"/>
  <c r="I33" i="21"/>
  <c r="N32" i="21"/>
  <c r="AK32" i="19" s="1"/>
  <c r="I32" i="21"/>
  <c r="N31" i="21"/>
  <c r="AK31" i="19" s="1"/>
  <c r="I31" i="21"/>
  <c r="N30" i="21"/>
  <c r="AK30" i="19" s="1"/>
  <c r="I30" i="21"/>
  <c r="N29" i="21"/>
  <c r="AK29" i="19" s="1"/>
  <c r="I29" i="21"/>
  <c r="N28" i="21"/>
  <c r="AK28" i="19" s="1"/>
  <c r="I28" i="21"/>
  <c r="N27" i="21"/>
  <c r="AK27" i="19" s="1"/>
  <c r="I27" i="21"/>
  <c r="N26" i="21"/>
  <c r="AK26" i="19" s="1"/>
  <c r="I26" i="21"/>
  <c r="N25" i="21"/>
  <c r="AK25" i="19" s="1"/>
  <c r="I25" i="21"/>
  <c r="N24" i="21"/>
  <c r="AK24" i="19" s="1"/>
  <c r="I24" i="21"/>
  <c r="N23" i="21"/>
  <c r="AK23" i="19" s="1"/>
  <c r="I23" i="21"/>
  <c r="N22" i="21"/>
  <c r="I22" i="21"/>
  <c r="N21" i="21"/>
  <c r="AK21" i="19" s="1"/>
  <c r="I21" i="21"/>
  <c r="N20" i="21"/>
  <c r="I20" i="21"/>
  <c r="N19" i="21"/>
  <c r="AK19" i="19" s="1"/>
  <c r="I19" i="21"/>
  <c r="N18" i="21"/>
  <c r="AK18" i="19" s="1"/>
  <c r="I18" i="21"/>
  <c r="N17" i="21"/>
  <c r="AK17" i="19" s="1"/>
  <c r="I17" i="21"/>
  <c r="N16" i="21"/>
  <c r="AK16" i="19" s="1"/>
  <c r="I16" i="21"/>
  <c r="N15" i="21"/>
  <c r="AK15" i="19" s="1"/>
  <c r="I15" i="21"/>
  <c r="N14" i="21"/>
  <c r="AK14" i="19" s="1"/>
  <c r="I14" i="21"/>
  <c r="N13" i="21"/>
  <c r="AK13" i="19" s="1"/>
  <c r="I13" i="21"/>
  <c r="N12" i="21"/>
  <c r="AK12" i="19" s="1"/>
  <c r="I12" i="21"/>
  <c r="N11" i="21"/>
  <c r="AK11" i="19" s="1"/>
  <c r="I11" i="21"/>
  <c r="N10" i="21"/>
  <c r="AK10" i="19" s="1"/>
  <c r="I10" i="21"/>
  <c r="X9" i="21"/>
  <c r="S9" i="21"/>
  <c r="N9" i="21"/>
  <c r="AK9" i="19" s="1"/>
  <c r="I9" i="21"/>
  <c r="S8" i="21"/>
  <c r="N8" i="21"/>
  <c r="AK8" i="19" s="1"/>
  <c r="I8" i="21"/>
  <c r="AC7" i="21"/>
  <c r="S7" i="21"/>
  <c r="N7" i="21"/>
  <c r="AK7" i="19" s="1"/>
  <c r="I7" i="21"/>
  <c r="AD6" i="21"/>
  <c r="S6" i="21"/>
  <c r="N6" i="21"/>
  <c r="I6" i="21"/>
  <c r="S5" i="21"/>
  <c r="N5" i="21"/>
  <c r="I5" i="21"/>
  <c r="S4" i="21"/>
  <c r="N4" i="21"/>
  <c r="I4" i="21"/>
  <c r="AN45" i="20"/>
  <c r="AO44" i="20" s="1"/>
  <c r="AN11" i="28" l="1"/>
  <c r="AM12" i="28"/>
  <c r="AG18" i="28"/>
  <c r="AI17" i="28"/>
  <c r="AI10" i="22"/>
  <c r="AG11" i="22"/>
  <c r="AM9" i="22"/>
  <c r="AN9" i="22" s="1"/>
  <c r="X8" i="21"/>
  <c r="AD4" i="21"/>
  <c r="AE9" i="21"/>
  <c r="AB12" i="21"/>
  <c r="N56" i="21"/>
  <c r="AB4" i="21"/>
  <c r="AC6" i="21"/>
  <c r="AE6" i="21" s="1"/>
  <c r="AC15" i="21"/>
  <c r="AE15" i="21" s="1"/>
  <c r="AD11" i="21"/>
  <c r="X4" i="21"/>
  <c r="I56" i="21"/>
  <c r="AE7" i="21"/>
  <c r="AB5" i="21"/>
  <c r="AE5" i="21" s="1"/>
  <c r="AC12" i="21"/>
  <c r="AC8" i="21"/>
  <c r="W56" i="21"/>
  <c r="U56" i="21"/>
  <c r="V56" i="21"/>
  <c r="AB14" i="21"/>
  <c r="AE14" i="21" s="1"/>
  <c r="AC4" i="21"/>
  <c r="AE13" i="21"/>
  <c r="AB8" i="21"/>
  <c r="AD10" i="21"/>
  <c r="AE10" i="21" s="1"/>
  <c r="AB11" i="21"/>
  <c r="AO43" i="20"/>
  <c r="AM13" i="28" l="1"/>
  <c r="AN12" i="28"/>
  <c r="AI18" i="28"/>
  <c r="AG19" i="28"/>
  <c r="AM10" i="22"/>
  <c r="AN10" i="22" s="1"/>
  <c r="AI11" i="22"/>
  <c r="AG12" i="22"/>
  <c r="AE12" i="21"/>
  <c r="AE4" i="21"/>
  <c r="AE11" i="21"/>
  <c r="X56" i="21"/>
  <c r="Y59" i="21" s="1"/>
  <c r="Y61" i="21" s="1"/>
  <c r="AE8" i="21"/>
  <c r="AM14" i="28" l="1"/>
  <c r="AN13" i="28"/>
  <c r="AG20" i="28"/>
  <c r="AI19" i="28"/>
  <c r="AG13" i="22"/>
  <c r="AI12" i="22"/>
  <c r="AM11" i="22"/>
  <c r="AN11" i="22" s="1"/>
  <c r="V62" i="6"/>
  <c r="W61" i="6"/>
  <c r="W60" i="6"/>
  <c r="Y54" i="6"/>
  <c r="Y7" i="6"/>
  <c r="E45" i="5"/>
  <c r="N30" i="12"/>
  <c r="J30" i="12"/>
  <c r="E30" i="12"/>
  <c r="T1" i="12"/>
  <c r="P1" i="11"/>
  <c r="N1" i="15"/>
  <c r="Y61" i="14"/>
  <c r="Y59" i="14"/>
  <c r="Y56" i="14"/>
  <c r="X56" i="14"/>
  <c r="W56" i="14"/>
  <c r="V56" i="14"/>
  <c r="U56" i="14"/>
  <c r="N56" i="14"/>
  <c r="M56" i="14"/>
  <c r="L56" i="14"/>
  <c r="K56" i="14"/>
  <c r="I56" i="14"/>
  <c r="H56" i="14"/>
  <c r="G56" i="14"/>
  <c r="F56" i="14"/>
  <c r="X55" i="14"/>
  <c r="W55" i="14"/>
  <c r="V55" i="14"/>
  <c r="U55" i="14"/>
  <c r="S55" i="14"/>
  <c r="N55" i="14"/>
  <c r="I55" i="14"/>
  <c r="X54" i="14"/>
  <c r="W54" i="14"/>
  <c r="V54" i="14"/>
  <c r="U54" i="14"/>
  <c r="S54" i="14"/>
  <c r="N54" i="14"/>
  <c r="I54" i="14"/>
  <c r="X53" i="14"/>
  <c r="W53" i="14"/>
  <c r="V53" i="14"/>
  <c r="U53" i="14"/>
  <c r="S53" i="14"/>
  <c r="N53" i="14"/>
  <c r="I53" i="14"/>
  <c r="X52" i="14"/>
  <c r="W52" i="14"/>
  <c r="V52" i="14"/>
  <c r="U52" i="14"/>
  <c r="S52" i="14"/>
  <c r="N52" i="14"/>
  <c r="I52" i="14"/>
  <c r="X51" i="14"/>
  <c r="W51" i="14"/>
  <c r="V51" i="14"/>
  <c r="U51" i="14"/>
  <c r="S51" i="14"/>
  <c r="N51" i="14"/>
  <c r="I51" i="14"/>
  <c r="X50" i="14"/>
  <c r="W50" i="14"/>
  <c r="V50" i="14"/>
  <c r="U50" i="14"/>
  <c r="S50" i="14"/>
  <c r="N50" i="14"/>
  <c r="I50" i="14"/>
  <c r="X49" i="14"/>
  <c r="W49" i="14"/>
  <c r="V49" i="14"/>
  <c r="U49" i="14"/>
  <c r="S49" i="14"/>
  <c r="N49" i="14"/>
  <c r="I49" i="14"/>
  <c r="X48" i="14"/>
  <c r="W48" i="14"/>
  <c r="V48" i="14"/>
  <c r="U48" i="14"/>
  <c r="S48" i="14"/>
  <c r="N48" i="14"/>
  <c r="I48" i="14"/>
  <c r="X47" i="14"/>
  <c r="W47" i="14"/>
  <c r="V47" i="14"/>
  <c r="U47" i="14"/>
  <c r="S47" i="14"/>
  <c r="N47" i="14"/>
  <c r="I47" i="14"/>
  <c r="X46" i="14"/>
  <c r="W46" i="14"/>
  <c r="V46" i="14"/>
  <c r="U46" i="14"/>
  <c r="S46" i="14"/>
  <c r="N46" i="14"/>
  <c r="I46" i="14"/>
  <c r="X45" i="14"/>
  <c r="W45" i="14"/>
  <c r="V45" i="14"/>
  <c r="U45" i="14"/>
  <c r="S45" i="14"/>
  <c r="N45" i="14"/>
  <c r="I45" i="14"/>
  <c r="X44" i="14"/>
  <c r="W44" i="14"/>
  <c r="V44" i="14"/>
  <c r="U44" i="14"/>
  <c r="S44" i="14"/>
  <c r="N44" i="14"/>
  <c r="I44" i="14"/>
  <c r="X43" i="14"/>
  <c r="W43" i="14"/>
  <c r="V43" i="14"/>
  <c r="U43" i="14"/>
  <c r="S43" i="14"/>
  <c r="N43" i="14"/>
  <c r="I43" i="14"/>
  <c r="X42" i="14"/>
  <c r="W42" i="14"/>
  <c r="V42" i="14"/>
  <c r="U42" i="14"/>
  <c r="S42" i="14"/>
  <c r="N42" i="14"/>
  <c r="I42" i="14"/>
  <c r="X41" i="14"/>
  <c r="W41" i="14"/>
  <c r="V41" i="14"/>
  <c r="U41" i="14"/>
  <c r="S41" i="14"/>
  <c r="N41" i="14"/>
  <c r="I41" i="14"/>
  <c r="X40" i="14"/>
  <c r="W40" i="14"/>
  <c r="V40" i="14"/>
  <c r="U40" i="14"/>
  <c r="S40" i="14"/>
  <c r="N40" i="14"/>
  <c r="I40" i="14"/>
  <c r="X39" i="14"/>
  <c r="W39" i="14"/>
  <c r="V39" i="14"/>
  <c r="U39" i="14"/>
  <c r="S39" i="14"/>
  <c r="N39" i="14"/>
  <c r="I39" i="14"/>
  <c r="X38" i="14"/>
  <c r="W38" i="14"/>
  <c r="V38" i="14"/>
  <c r="U38" i="14"/>
  <c r="S38" i="14"/>
  <c r="N38" i="14"/>
  <c r="I38" i="14"/>
  <c r="X37" i="14"/>
  <c r="W37" i="14"/>
  <c r="V37" i="14"/>
  <c r="U37" i="14"/>
  <c r="S37" i="14"/>
  <c r="N37" i="14"/>
  <c r="I37" i="14"/>
  <c r="X36" i="14"/>
  <c r="W36" i="14"/>
  <c r="V36" i="14"/>
  <c r="U36" i="14"/>
  <c r="S36" i="14"/>
  <c r="N36" i="14"/>
  <c r="I36" i="14"/>
  <c r="X35" i="14"/>
  <c r="W35" i="14"/>
  <c r="V35" i="14"/>
  <c r="U35" i="14"/>
  <c r="S35" i="14"/>
  <c r="N35" i="14"/>
  <c r="I35" i="14"/>
  <c r="X34" i="14"/>
  <c r="W34" i="14"/>
  <c r="V34" i="14"/>
  <c r="U34" i="14"/>
  <c r="S34" i="14"/>
  <c r="N34" i="14"/>
  <c r="I34" i="14"/>
  <c r="X33" i="14"/>
  <c r="W33" i="14"/>
  <c r="V33" i="14"/>
  <c r="U33" i="14"/>
  <c r="S33" i="14"/>
  <c r="N33" i="14"/>
  <c r="I33" i="14"/>
  <c r="X32" i="14"/>
  <c r="W32" i="14"/>
  <c r="V32" i="14"/>
  <c r="U32" i="14"/>
  <c r="S32" i="14"/>
  <c r="N32" i="14"/>
  <c r="I32" i="14"/>
  <c r="X31" i="14"/>
  <c r="W31" i="14"/>
  <c r="V31" i="14"/>
  <c r="U31" i="14"/>
  <c r="S31" i="14"/>
  <c r="N31" i="14"/>
  <c r="I31" i="14"/>
  <c r="X30" i="14"/>
  <c r="W30" i="14"/>
  <c r="V30" i="14"/>
  <c r="U30" i="14"/>
  <c r="S30" i="14"/>
  <c r="N30" i="14"/>
  <c r="I30" i="14"/>
  <c r="X29" i="14"/>
  <c r="W29" i="14"/>
  <c r="V29" i="14"/>
  <c r="U29" i="14"/>
  <c r="S29" i="14"/>
  <c r="N29" i="14"/>
  <c r="I29" i="14"/>
  <c r="X28" i="14"/>
  <c r="W28" i="14"/>
  <c r="V28" i="14"/>
  <c r="U28" i="14"/>
  <c r="S28" i="14"/>
  <c r="N28" i="14"/>
  <c r="I28" i="14"/>
  <c r="X27" i="14"/>
  <c r="V27" i="14"/>
  <c r="U27" i="14"/>
  <c r="S27" i="14"/>
  <c r="N27" i="14"/>
  <c r="I27" i="14"/>
  <c r="X26" i="14"/>
  <c r="W26" i="14"/>
  <c r="V26" i="14"/>
  <c r="U26" i="14"/>
  <c r="S26" i="14"/>
  <c r="N26" i="14"/>
  <c r="I26" i="14"/>
  <c r="X25" i="14"/>
  <c r="W25" i="14"/>
  <c r="V25" i="14"/>
  <c r="U25" i="14"/>
  <c r="S25" i="14"/>
  <c r="N25" i="14"/>
  <c r="I25" i="14"/>
  <c r="X24" i="14"/>
  <c r="W24" i="14"/>
  <c r="V24" i="14"/>
  <c r="U24" i="14"/>
  <c r="S24" i="14"/>
  <c r="N24" i="14"/>
  <c r="I24" i="14"/>
  <c r="X23" i="14"/>
  <c r="W23" i="14"/>
  <c r="V23" i="14"/>
  <c r="U23" i="14"/>
  <c r="S23" i="14"/>
  <c r="N23" i="14"/>
  <c r="I23" i="14"/>
  <c r="X22" i="14"/>
  <c r="W22" i="14"/>
  <c r="V22" i="14"/>
  <c r="U22" i="14"/>
  <c r="S22" i="14"/>
  <c r="N22" i="14"/>
  <c r="I22" i="14"/>
  <c r="X21" i="14"/>
  <c r="W21" i="14"/>
  <c r="V21" i="14"/>
  <c r="U21" i="14"/>
  <c r="S21" i="14"/>
  <c r="N21" i="14"/>
  <c r="I21" i="14"/>
  <c r="X20" i="14"/>
  <c r="W20" i="14"/>
  <c r="V20" i="14"/>
  <c r="U20" i="14"/>
  <c r="S20" i="14"/>
  <c r="N20" i="14"/>
  <c r="I20" i="14"/>
  <c r="X19" i="14"/>
  <c r="W19" i="14"/>
  <c r="V19" i="14"/>
  <c r="U19" i="14"/>
  <c r="S19" i="14"/>
  <c r="N19" i="14"/>
  <c r="I19" i="14"/>
  <c r="X18" i="14"/>
  <c r="W18" i="14"/>
  <c r="V18" i="14"/>
  <c r="U18" i="14"/>
  <c r="S18" i="14"/>
  <c r="N18" i="14"/>
  <c r="I18" i="14"/>
  <c r="X17" i="14"/>
  <c r="W17" i="14"/>
  <c r="V17" i="14"/>
  <c r="U17" i="14"/>
  <c r="S17" i="14"/>
  <c r="N17" i="14"/>
  <c r="I17" i="14"/>
  <c r="X16" i="14"/>
  <c r="W16" i="14"/>
  <c r="V16" i="14"/>
  <c r="U16" i="14"/>
  <c r="S16" i="14"/>
  <c r="N16" i="14"/>
  <c r="I16" i="14"/>
  <c r="AE15" i="14"/>
  <c r="AD15" i="14"/>
  <c r="AC15" i="14"/>
  <c r="AB15" i="14"/>
  <c r="X15" i="14"/>
  <c r="W15" i="14"/>
  <c r="V15" i="14"/>
  <c r="U15" i="14"/>
  <c r="S15" i="14"/>
  <c r="N15" i="14"/>
  <c r="I15" i="14"/>
  <c r="AE14" i="14"/>
  <c r="AD14" i="14"/>
  <c r="AC14" i="14"/>
  <c r="AB14" i="14"/>
  <c r="X14" i="14"/>
  <c r="W14" i="14"/>
  <c r="V14" i="14"/>
  <c r="U14" i="14"/>
  <c r="S14" i="14"/>
  <c r="N14" i="14"/>
  <c r="I14" i="14"/>
  <c r="AE13" i="14"/>
  <c r="AD13" i="14"/>
  <c r="AC13" i="14"/>
  <c r="AB13" i="14"/>
  <c r="X13" i="14"/>
  <c r="W13" i="14"/>
  <c r="V13" i="14"/>
  <c r="U13" i="14"/>
  <c r="S13" i="14"/>
  <c r="N13" i="14"/>
  <c r="I13" i="14"/>
  <c r="AE12" i="14"/>
  <c r="AD12" i="14"/>
  <c r="AC12" i="14"/>
  <c r="AB12" i="14"/>
  <c r="X12" i="14"/>
  <c r="W12" i="14"/>
  <c r="V12" i="14"/>
  <c r="U12" i="14"/>
  <c r="S12" i="14"/>
  <c r="N12" i="14"/>
  <c r="I12" i="14"/>
  <c r="AE11" i="14"/>
  <c r="AD11" i="14"/>
  <c r="AC11" i="14"/>
  <c r="AB11" i="14"/>
  <c r="X11" i="14"/>
  <c r="W11" i="14"/>
  <c r="V11" i="14"/>
  <c r="U11" i="14"/>
  <c r="S11" i="14"/>
  <c r="N11" i="14"/>
  <c r="I11" i="14"/>
  <c r="AE10" i="14"/>
  <c r="AD10" i="14"/>
  <c r="AC10" i="14"/>
  <c r="AB10" i="14"/>
  <c r="X10" i="14"/>
  <c r="W10" i="14"/>
  <c r="V10" i="14"/>
  <c r="U10" i="14"/>
  <c r="S10" i="14"/>
  <c r="N10" i="14"/>
  <c r="I10" i="14"/>
  <c r="AE9" i="14"/>
  <c r="AD9" i="14"/>
  <c r="AC9" i="14"/>
  <c r="AB9" i="14"/>
  <c r="X9" i="14"/>
  <c r="W9" i="14"/>
  <c r="V9" i="14"/>
  <c r="U9" i="14"/>
  <c r="S9" i="14"/>
  <c r="N9" i="14"/>
  <c r="I9" i="14"/>
  <c r="AE8" i="14"/>
  <c r="AD8" i="14"/>
  <c r="AC8" i="14"/>
  <c r="AB8" i="14"/>
  <c r="X8" i="14"/>
  <c r="W8" i="14"/>
  <c r="V8" i="14"/>
  <c r="U8" i="14"/>
  <c r="S8" i="14"/>
  <c r="N8" i="14"/>
  <c r="I8" i="14"/>
  <c r="AE7" i="14"/>
  <c r="AD7" i="14"/>
  <c r="AC7" i="14"/>
  <c r="AB7" i="14"/>
  <c r="X7" i="14"/>
  <c r="W7" i="14"/>
  <c r="V7" i="14"/>
  <c r="U7" i="14"/>
  <c r="S7" i="14"/>
  <c r="N7" i="14"/>
  <c r="I7" i="14"/>
  <c r="AE6" i="14"/>
  <c r="AD6" i="14"/>
  <c r="AC6" i="14"/>
  <c r="AB6" i="14"/>
  <c r="X6" i="14"/>
  <c r="W6" i="14"/>
  <c r="V6" i="14"/>
  <c r="U6" i="14"/>
  <c r="S6" i="14"/>
  <c r="N6" i="14"/>
  <c r="I6" i="14"/>
  <c r="AE5" i="14"/>
  <c r="AD5" i="14"/>
  <c r="AC5" i="14"/>
  <c r="AB5" i="14"/>
  <c r="X5" i="14"/>
  <c r="W5" i="14"/>
  <c r="V5" i="14"/>
  <c r="U5" i="14"/>
  <c r="S5" i="14"/>
  <c r="N5" i="14"/>
  <c r="I5" i="14"/>
  <c r="AE4" i="14"/>
  <c r="AD4" i="14"/>
  <c r="AC4" i="14"/>
  <c r="AB4" i="14"/>
  <c r="X4" i="14"/>
  <c r="W4" i="14"/>
  <c r="V4" i="14"/>
  <c r="U4" i="14"/>
  <c r="S4" i="14"/>
  <c r="N4" i="14"/>
  <c r="I4" i="14"/>
  <c r="AO56" i="8"/>
  <c r="AL56" i="8"/>
  <c r="AK56" i="8"/>
  <c r="AH56" i="8"/>
  <c r="AG56" i="8"/>
  <c r="AF56" i="8"/>
  <c r="AE56" i="8"/>
  <c r="AC56" i="8"/>
  <c r="AB56" i="8"/>
  <c r="M56" i="8"/>
  <c r="L56" i="8"/>
  <c r="AO55" i="8"/>
  <c r="AL55" i="8"/>
  <c r="AK55" i="8"/>
  <c r="AH55" i="8"/>
  <c r="AG55" i="8"/>
  <c r="AF55" i="8"/>
  <c r="AE55" i="8"/>
  <c r="AC55" i="8"/>
  <c r="AB55" i="8"/>
  <c r="M55" i="8"/>
  <c r="L55" i="8"/>
  <c r="AO54" i="8"/>
  <c r="AL54" i="8"/>
  <c r="AK54" i="8"/>
  <c r="AH54" i="8"/>
  <c r="AG54" i="8"/>
  <c r="AF54" i="8"/>
  <c r="AE54" i="8"/>
  <c r="AC54" i="8"/>
  <c r="AB54" i="8"/>
  <c r="M54" i="8"/>
  <c r="L54" i="8"/>
  <c r="AO53" i="8"/>
  <c r="AM53" i="8"/>
  <c r="AL53" i="8"/>
  <c r="AK53" i="8"/>
  <c r="AH53" i="8"/>
  <c r="AG53" i="8"/>
  <c r="AF53" i="8"/>
  <c r="AE53" i="8"/>
  <c r="AC53" i="8"/>
  <c r="AB53" i="8"/>
  <c r="M53" i="8"/>
  <c r="L53" i="8"/>
  <c r="AO52" i="8"/>
  <c r="AM52" i="8"/>
  <c r="AL52" i="8"/>
  <c r="AK52" i="8"/>
  <c r="AH52" i="8"/>
  <c r="AG52" i="8"/>
  <c r="AF52" i="8"/>
  <c r="AE52" i="8"/>
  <c r="AC52" i="8"/>
  <c r="AB52" i="8"/>
  <c r="M52" i="8"/>
  <c r="L52" i="8"/>
  <c r="AO51" i="8"/>
  <c r="AM51" i="8"/>
  <c r="AL51" i="8"/>
  <c r="AK51" i="8"/>
  <c r="AH51" i="8"/>
  <c r="AG51" i="8"/>
  <c r="AF51" i="8"/>
  <c r="AE51" i="8"/>
  <c r="AC51" i="8"/>
  <c r="AB51" i="8"/>
  <c r="M51" i="8"/>
  <c r="L51" i="8"/>
  <c r="AO50" i="8"/>
  <c r="AM50" i="8"/>
  <c r="AL50" i="8"/>
  <c r="AK50" i="8"/>
  <c r="AH50" i="8"/>
  <c r="AG50" i="8"/>
  <c r="AF50" i="8"/>
  <c r="AE50" i="8"/>
  <c r="AC50" i="8"/>
  <c r="AB50" i="8"/>
  <c r="M50" i="8"/>
  <c r="L50" i="8"/>
  <c r="AO49" i="8"/>
  <c r="AM49" i="8"/>
  <c r="AL49" i="8"/>
  <c r="AK49" i="8"/>
  <c r="AH49" i="8"/>
  <c r="AG49" i="8"/>
  <c r="AF49" i="8"/>
  <c r="AE49" i="8"/>
  <c r="AC49" i="8"/>
  <c r="AB49" i="8"/>
  <c r="M49" i="8"/>
  <c r="L49" i="8"/>
  <c r="AO48" i="8"/>
  <c r="AM48" i="8"/>
  <c r="AL48" i="8"/>
  <c r="AK48" i="8"/>
  <c r="AH48" i="8"/>
  <c r="AG48" i="8"/>
  <c r="AF48" i="8"/>
  <c r="AE48" i="8"/>
  <c r="AC48" i="8"/>
  <c r="AB48" i="8"/>
  <c r="M48" i="8"/>
  <c r="L48" i="8"/>
  <c r="AO47" i="8"/>
  <c r="AM47" i="8"/>
  <c r="AL47" i="8"/>
  <c r="AK47" i="8"/>
  <c r="AH47" i="8"/>
  <c r="AG47" i="8"/>
  <c r="AF47" i="8"/>
  <c r="AE47" i="8"/>
  <c r="AC47" i="8"/>
  <c r="AB47" i="8"/>
  <c r="M47" i="8"/>
  <c r="L47" i="8"/>
  <c r="AO46" i="8"/>
  <c r="AM46" i="8"/>
  <c r="AL46" i="8"/>
  <c r="AK46" i="8"/>
  <c r="AH46" i="8"/>
  <c r="AG46" i="8"/>
  <c r="AF46" i="8"/>
  <c r="AE46" i="8"/>
  <c r="AC46" i="8"/>
  <c r="AB46" i="8"/>
  <c r="M46" i="8"/>
  <c r="L46" i="8"/>
  <c r="AO45" i="8"/>
  <c r="AM45" i="8"/>
  <c r="AL45" i="8"/>
  <c r="AK45" i="8"/>
  <c r="AH45" i="8"/>
  <c r="AG45" i="8"/>
  <c r="AF45" i="8"/>
  <c r="AE45" i="8"/>
  <c r="AC45" i="8"/>
  <c r="AB45" i="8"/>
  <c r="M45" i="8"/>
  <c r="L45" i="8"/>
  <c r="AO44" i="8"/>
  <c r="AM44" i="8"/>
  <c r="AL44" i="8"/>
  <c r="AK44" i="8"/>
  <c r="AH44" i="8"/>
  <c r="AG44" i="8"/>
  <c r="AF44" i="8"/>
  <c r="AE44" i="8"/>
  <c r="AC44" i="8"/>
  <c r="AB44" i="8"/>
  <c r="M44" i="8"/>
  <c r="L44" i="8"/>
  <c r="AO43" i="8"/>
  <c r="AM43" i="8"/>
  <c r="AL43" i="8"/>
  <c r="AK43" i="8"/>
  <c r="AH43" i="8"/>
  <c r="AG43" i="8"/>
  <c r="AF43" i="8"/>
  <c r="AE43" i="8"/>
  <c r="AC43" i="8"/>
  <c r="AB43" i="8"/>
  <c r="M43" i="8"/>
  <c r="L43" i="8"/>
  <c r="AO42" i="8"/>
  <c r="AM42" i="8"/>
  <c r="AL42" i="8"/>
  <c r="AK42" i="8"/>
  <c r="AH42" i="8"/>
  <c r="AG42" i="8"/>
  <c r="AF42" i="8"/>
  <c r="AE42" i="8"/>
  <c r="AC42" i="8"/>
  <c r="AB42" i="8"/>
  <c r="M42" i="8"/>
  <c r="L42" i="8"/>
  <c r="AO41" i="8"/>
  <c r="AM41" i="8"/>
  <c r="AL41" i="8"/>
  <c r="AK41" i="8"/>
  <c r="AH41" i="8"/>
  <c r="AG41" i="8"/>
  <c r="AF41" i="8"/>
  <c r="AE41" i="8"/>
  <c r="AC41" i="8"/>
  <c r="AB41" i="8"/>
  <c r="M41" i="8"/>
  <c r="L41" i="8"/>
  <c r="AO40" i="8"/>
  <c r="AM40" i="8"/>
  <c r="AL40" i="8"/>
  <c r="AK40" i="8"/>
  <c r="AH40" i="8"/>
  <c r="AG40" i="8"/>
  <c r="AF40" i="8"/>
  <c r="AE40" i="8"/>
  <c r="AC40" i="8"/>
  <c r="AB40" i="8"/>
  <c r="M40" i="8"/>
  <c r="L40" i="8"/>
  <c r="AO39" i="8"/>
  <c r="AM39" i="8"/>
  <c r="AL39" i="8"/>
  <c r="AK39" i="8"/>
  <c r="AH39" i="8"/>
  <c r="AG39" i="8"/>
  <c r="AF39" i="8"/>
  <c r="AE39" i="8"/>
  <c r="AC39" i="8"/>
  <c r="AB39" i="8"/>
  <c r="M39" i="8"/>
  <c r="L39" i="8"/>
  <c r="AO38" i="8"/>
  <c r="AM38" i="8"/>
  <c r="AL38" i="8"/>
  <c r="AK38" i="8"/>
  <c r="AH38" i="8"/>
  <c r="AG38" i="8"/>
  <c r="AF38" i="8"/>
  <c r="AE38" i="8"/>
  <c r="AC38" i="8"/>
  <c r="AB38" i="8"/>
  <c r="M38" i="8"/>
  <c r="L38" i="8"/>
  <c r="AO37" i="8"/>
  <c r="AM37" i="8"/>
  <c r="AL37" i="8"/>
  <c r="AK37" i="8"/>
  <c r="AH37" i="8"/>
  <c r="AG37" i="8"/>
  <c r="AF37" i="8"/>
  <c r="AE37" i="8"/>
  <c r="AC37" i="8"/>
  <c r="AB37" i="8"/>
  <c r="M37" i="8"/>
  <c r="L37" i="8"/>
  <c r="AO36" i="8"/>
  <c r="AM36" i="8"/>
  <c r="AL36" i="8"/>
  <c r="AK36" i="8"/>
  <c r="AH36" i="8"/>
  <c r="AG36" i="8"/>
  <c r="AF36" i="8"/>
  <c r="AE36" i="8"/>
  <c r="AC36" i="8"/>
  <c r="AB36" i="8"/>
  <c r="M36" i="8"/>
  <c r="L36" i="8"/>
  <c r="AO35" i="8"/>
  <c r="AM35" i="8"/>
  <c r="AL35" i="8"/>
  <c r="AK35" i="8"/>
  <c r="AH35" i="8"/>
  <c r="AG35" i="8"/>
  <c r="AF35" i="8"/>
  <c r="AE35" i="8"/>
  <c r="AC35" i="8"/>
  <c r="AB35" i="8"/>
  <c r="M35" i="8"/>
  <c r="L35" i="8"/>
  <c r="AO34" i="8"/>
  <c r="AM34" i="8"/>
  <c r="AL34" i="8"/>
  <c r="AK34" i="8"/>
  <c r="AH34" i="8"/>
  <c r="AG34" i="8"/>
  <c r="AF34" i="8"/>
  <c r="AE34" i="8"/>
  <c r="AC34" i="8"/>
  <c r="AB34" i="8"/>
  <c r="M34" i="8"/>
  <c r="L34" i="8"/>
  <c r="AO33" i="8"/>
  <c r="AM33" i="8"/>
  <c r="AL33" i="8"/>
  <c r="AK33" i="8"/>
  <c r="AH33" i="8"/>
  <c r="AG33" i="8"/>
  <c r="AF33" i="8"/>
  <c r="AE33" i="8"/>
  <c r="AC33" i="8"/>
  <c r="AB33" i="8"/>
  <c r="M33" i="8"/>
  <c r="L33" i="8"/>
  <c r="BE32" i="8"/>
  <c r="BD32" i="8"/>
  <c r="BC32" i="8"/>
  <c r="BB32" i="8"/>
  <c r="BA32" i="8"/>
  <c r="AO32" i="8"/>
  <c r="AM32" i="8"/>
  <c r="AL32" i="8"/>
  <c r="AK32" i="8"/>
  <c r="AH32" i="8"/>
  <c r="AG32" i="8"/>
  <c r="AF32" i="8"/>
  <c r="AE32" i="8"/>
  <c r="AC32" i="8"/>
  <c r="AB32" i="8"/>
  <c r="M32" i="8"/>
  <c r="L32" i="8"/>
  <c r="BO31" i="8"/>
  <c r="BN31" i="8"/>
  <c r="BM31" i="8"/>
  <c r="BL31" i="8"/>
  <c r="AO31" i="8"/>
  <c r="AM31" i="8"/>
  <c r="AL31" i="8"/>
  <c r="AK31" i="8"/>
  <c r="AH31" i="8"/>
  <c r="AG31" i="8"/>
  <c r="AF31" i="8"/>
  <c r="AE31" i="8"/>
  <c r="AC31" i="8"/>
  <c r="AB31" i="8"/>
  <c r="M31" i="8"/>
  <c r="L31" i="8"/>
  <c r="BE30" i="8"/>
  <c r="BD30" i="8"/>
  <c r="BC30" i="8"/>
  <c r="BB30" i="8"/>
  <c r="BA30" i="8"/>
  <c r="AO30" i="8"/>
  <c r="AM30" i="8"/>
  <c r="AL30" i="8"/>
  <c r="AK30" i="8"/>
  <c r="AH30" i="8"/>
  <c r="AG30" i="8"/>
  <c r="AF30" i="8"/>
  <c r="AE30" i="8"/>
  <c r="AC30" i="8"/>
  <c r="AB30" i="8"/>
  <c r="M30" i="8"/>
  <c r="L30" i="8"/>
  <c r="BE29" i="8"/>
  <c r="BD29" i="8"/>
  <c r="BC29" i="8"/>
  <c r="BB29" i="8"/>
  <c r="BA29" i="8"/>
  <c r="AO29" i="8"/>
  <c r="AM29" i="8"/>
  <c r="AL29" i="8"/>
  <c r="AK29" i="8"/>
  <c r="AH29" i="8"/>
  <c r="AG29" i="8"/>
  <c r="AF29" i="8"/>
  <c r="AE29" i="8"/>
  <c r="AC29" i="8"/>
  <c r="AB29" i="8"/>
  <c r="M29" i="8"/>
  <c r="L29" i="8"/>
  <c r="AO28" i="8"/>
  <c r="AM28" i="8"/>
  <c r="AL28" i="8"/>
  <c r="AK28" i="8"/>
  <c r="AH28" i="8"/>
  <c r="AG28" i="8"/>
  <c r="AF28" i="8"/>
  <c r="AE28" i="8"/>
  <c r="AC28" i="8"/>
  <c r="AB28" i="8"/>
  <c r="M28" i="8"/>
  <c r="L28" i="8"/>
  <c r="BH27" i="8"/>
  <c r="BG27" i="8"/>
  <c r="BF27" i="8"/>
  <c r="AO27" i="8"/>
  <c r="AM27" i="8"/>
  <c r="AL27" i="8"/>
  <c r="AK27" i="8"/>
  <c r="AH27" i="8"/>
  <c r="AG27" i="8"/>
  <c r="AF27" i="8"/>
  <c r="AE27" i="8"/>
  <c r="AC27" i="8"/>
  <c r="AB27" i="8"/>
  <c r="M27" i="8"/>
  <c r="L27" i="8"/>
  <c r="BM26" i="8"/>
  <c r="BH26" i="8"/>
  <c r="BG26" i="8"/>
  <c r="BF26" i="8"/>
  <c r="BD26" i="8"/>
  <c r="AO26" i="8"/>
  <c r="AM26" i="8"/>
  <c r="AL26" i="8"/>
  <c r="AK26" i="8"/>
  <c r="AH26" i="8"/>
  <c r="AG26" i="8"/>
  <c r="AF26" i="8"/>
  <c r="AE26" i="8"/>
  <c r="AC26" i="8"/>
  <c r="AB26" i="8"/>
  <c r="M26" i="8"/>
  <c r="L26" i="8"/>
  <c r="BH25" i="8"/>
  <c r="BG25" i="8"/>
  <c r="BF25" i="8"/>
  <c r="BD25" i="8"/>
  <c r="AO25" i="8"/>
  <c r="AM25" i="8"/>
  <c r="AL25" i="8"/>
  <c r="AK25" i="8"/>
  <c r="AH25" i="8"/>
  <c r="AG25" i="8"/>
  <c r="AF25" i="8"/>
  <c r="AE25" i="8"/>
  <c r="AC25" i="8"/>
  <c r="AB25" i="8"/>
  <c r="M25" i="8"/>
  <c r="L25" i="8"/>
  <c r="BM24" i="8"/>
  <c r="BH24" i="8"/>
  <c r="BG24" i="8"/>
  <c r="BF24" i="8"/>
  <c r="BD24" i="8"/>
  <c r="AO24" i="8"/>
  <c r="AM24" i="8"/>
  <c r="AL24" i="8"/>
  <c r="AK24" i="8"/>
  <c r="AH24" i="8"/>
  <c r="AG24" i="8"/>
  <c r="AF24" i="8"/>
  <c r="AE24" i="8"/>
  <c r="AC24" i="8"/>
  <c r="AB24" i="8"/>
  <c r="M24" i="8"/>
  <c r="L24" i="8"/>
  <c r="BH23" i="8"/>
  <c r="BG23" i="8"/>
  <c r="BF23" i="8"/>
  <c r="BD23" i="8"/>
  <c r="AO23" i="8"/>
  <c r="AM23" i="8"/>
  <c r="AL23" i="8"/>
  <c r="AK23" i="8"/>
  <c r="AH23" i="8"/>
  <c r="AG23" i="8"/>
  <c r="AF23" i="8"/>
  <c r="AE23" i="8"/>
  <c r="AC23" i="8"/>
  <c r="AB23" i="8"/>
  <c r="M23" i="8"/>
  <c r="L23" i="8"/>
  <c r="BH22" i="8"/>
  <c r="BG22" i="8"/>
  <c r="BF22" i="8"/>
  <c r="BD22" i="8"/>
  <c r="AO22" i="8"/>
  <c r="AM22" i="8"/>
  <c r="AL22" i="8"/>
  <c r="AK22" i="8"/>
  <c r="AH22" i="8"/>
  <c r="AG22" i="8"/>
  <c r="AF22" i="8"/>
  <c r="AE22" i="8"/>
  <c r="AC22" i="8"/>
  <c r="AB22" i="8"/>
  <c r="M22" i="8"/>
  <c r="L22" i="8"/>
  <c r="BH21" i="8"/>
  <c r="BG21" i="8"/>
  <c r="BF21" i="8"/>
  <c r="BD21" i="8"/>
  <c r="AO21" i="8"/>
  <c r="AM21" i="8"/>
  <c r="AL21" i="8"/>
  <c r="AK21" i="8"/>
  <c r="AH21" i="8"/>
  <c r="AG21" i="8"/>
  <c r="AF21" i="8"/>
  <c r="AE21" i="8"/>
  <c r="AC21" i="8"/>
  <c r="AB21" i="8"/>
  <c r="M21" i="8"/>
  <c r="L21" i="8"/>
  <c r="BH20" i="8"/>
  <c r="BG20" i="8"/>
  <c r="BF20" i="8"/>
  <c r="BE20" i="8"/>
  <c r="BD20" i="8"/>
  <c r="AO20" i="8"/>
  <c r="AM20" i="8"/>
  <c r="AL20" i="8"/>
  <c r="AK20" i="8"/>
  <c r="AH20" i="8"/>
  <c r="AG20" i="8"/>
  <c r="AF20" i="8"/>
  <c r="AE20" i="8"/>
  <c r="AC20" i="8"/>
  <c r="AB20" i="8"/>
  <c r="M20" i="8"/>
  <c r="L20" i="8"/>
  <c r="BH19" i="8"/>
  <c r="BG19" i="8"/>
  <c r="BF19" i="8"/>
  <c r="BE19" i="8"/>
  <c r="BD19" i="8"/>
  <c r="AO19" i="8"/>
  <c r="AM19" i="8"/>
  <c r="AL19" i="8"/>
  <c r="AK19" i="8"/>
  <c r="AH19" i="8"/>
  <c r="AG19" i="8"/>
  <c r="AF19" i="8"/>
  <c r="AE19" i="8"/>
  <c r="AC19" i="8"/>
  <c r="AB19" i="8"/>
  <c r="M19" i="8"/>
  <c r="L19" i="8"/>
  <c r="BH18" i="8"/>
  <c r="BG18" i="8"/>
  <c r="BF18" i="8"/>
  <c r="BE18" i="8"/>
  <c r="BD18" i="8"/>
  <c r="AO18" i="8"/>
  <c r="AM18" i="8"/>
  <c r="AL18" i="8"/>
  <c r="AK18" i="8"/>
  <c r="AH18" i="8"/>
  <c r="AG18" i="8"/>
  <c r="AF18" i="8"/>
  <c r="AE18" i="8"/>
  <c r="AC18" i="8"/>
  <c r="AB18" i="8"/>
  <c r="M18" i="8"/>
  <c r="L18" i="8"/>
  <c r="BH17" i="8"/>
  <c r="BG17" i="8"/>
  <c r="BF17" i="8"/>
  <c r="BE17" i="8"/>
  <c r="BD17" i="8"/>
  <c r="AS17" i="8"/>
  <c r="AR17" i="8"/>
  <c r="AO17" i="8"/>
  <c r="AM17" i="8"/>
  <c r="AL17" i="8"/>
  <c r="AK17" i="8"/>
  <c r="AH17" i="8"/>
  <c r="AG17" i="8"/>
  <c r="AF17" i="8"/>
  <c r="AE17" i="8"/>
  <c r="AC17" i="8"/>
  <c r="AB17" i="8"/>
  <c r="M17" i="8"/>
  <c r="L17" i="8"/>
  <c r="BP16" i="8"/>
  <c r="BO16" i="8"/>
  <c r="BN16" i="8"/>
  <c r="BM16" i="8"/>
  <c r="BH16" i="8"/>
  <c r="BG16" i="8"/>
  <c r="BF16" i="8"/>
  <c r="BE16" i="8"/>
  <c r="BD16" i="8"/>
  <c r="AO16" i="8"/>
  <c r="AM16" i="8"/>
  <c r="AL16" i="8"/>
  <c r="AK16" i="8"/>
  <c r="AH16" i="8"/>
  <c r="AG16" i="8"/>
  <c r="AF16" i="8"/>
  <c r="AE16" i="8"/>
  <c r="AC16" i="8"/>
  <c r="AB16" i="8"/>
  <c r="M16" i="8"/>
  <c r="L16" i="8"/>
  <c r="BH15" i="8"/>
  <c r="BG15" i="8"/>
  <c r="BF15" i="8"/>
  <c r="BE15" i="8"/>
  <c r="BD15" i="8"/>
  <c r="AU15" i="8"/>
  <c r="AT15" i="8"/>
  <c r="AO15" i="8"/>
  <c r="AM15" i="8"/>
  <c r="AL15" i="8"/>
  <c r="AK15" i="8"/>
  <c r="AH15" i="8"/>
  <c r="AG15" i="8"/>
  <c r="AF15" i="8"/>
  <c r="AE15" i="8"/>
  <c r="AC15" i="8"/>
  <c r="AB15" i="8"/>
  <c r="M15" i="8"/>
  <c r="L15" i="8"/>
  <c r="BD14" i="8"/>
  <c r="AU14" i="8"/>
  <c r="AT14" i="8"/>
  <c r="AO14" i="8"/>
  <c r="AM14" i="8"/>
  <c r="AL14" i="8"/>
  <c r="AK14" i="8"/>
  <c r="AH14" i="8"/>
  <c r="AG14" i="8"/>
  <c r="AF14" i="8"/>
  <c r="AE14" i="8"/>
  <c r="AC14" i="8"/>
  <c r="AB14" i="8"/>
  <c r="M14" i="8"/>
  <c r="L14" i="8"/>
  <c r="BY13" i="8"/>
  <c r="BX13" i="8"/>
  <c r="BU13" i="8"/>
  <c r="BP13" i="8"/>
  <c r="BO13" i="8"/>
  <c r="BE13" i="8"/>
  <c r="BD13" i="8"/>
  <c r="AU13" i="8"/>
  <c r="AT13" i="8"/>
  <c r="AO13" i="8"/>
  <c r="AM13" i="8"/>
  <c r="AL13" i="8"/>
  <c r="AK13" i="8"/>
  <c r="AH13" i="8"/>
  <c r="AG13" i="8"/>
  <c r="AF13" i="8"/>
  <c r="AE13" i="8"/>
  <c r="AC13" i="8"/>
  <c r="AB13" i="8"/>
  <c r="M13" i="8"/>
  <c r="L13" i="8"/>
  <c r="BY12" i="8"/>
  <c r="BX12" i="8"/>
  <c r="BU12" i="8"/>
  <c r="BP12" i="8"/>
  <c r="BO12" i="8"/>
  <c r="BE12" i="8"/>
  <c r="BD12" i="8"/>
  <c r="AU12" i="8"/>
  <c r="AT12" i="8"/>
  <c r="AO12" i="8"/>
  <c r="AM12" i="8"/>
  <c r="AL12" i="8"/>
  <c r="AK12" i="8"/>
  <c r="AH12" i="8"/>
  <c r="AG12" i="8"/>
  <c r="AF12" i="8"/>
  <c r="AE12" i="8"/>
  <c r="AC12" i="8"/>
  <c r="AB12" i="8"/>
  <c r="M12" i="8"/>
  <c r="L12" i="8"/>
  <c r="BY11" i="8"/>
  <c r="BX11" i="8"/>
  <c r="BU11" i="8"/>
  <c r="BP11" i="8"/>
  <c r="BO11" i="8"/>
  <c r="BE11" i="8"/>
  <c r="BD11" i="8"/>
  <c r="AU11" i="8"/>
  <c r="AT11" i="8"/>
  <c r="AO11" i="8"/>
  <c r="AM11" i="8"/>
  <c r="AL11" i="8"/>
  <c r="AK11" i="8"/>
  <c r="AH11" i="8"/>
  <c r="AG11" i="8"/>
  <c r="AF11" i="8"/>
  <c r="AE11" i="8"/>
  <c r="AC11" i="8"/>
  <c r="AB11" i="8"/>
  <c r="M11" i="8"/>
  <c r="L11" i="8"/>
  <c r="BY10" i="8"/>
  <c r="BX10" i="8"/>
  <c r="BU10" i="8"/>
  <c r="BP10" i="8"/>
  <c r="BO10" i="8"/>
  <c r="BE10" i="8"/>
  <c r="BD10" i="8"/>
  <c r="AU10" i="8"/>
  <c r="AT10" i="8"/>
  <c r="AR10" i="8"/>
  <c r="AO10" i="8"/>
  <c r="AM10" i="8"/>
  <c r="AL10" i="8"/>
  <c r="AK10" i="8"/>
  <c r="AH10" i="8"/>
  <c r="AG10" i="8"/>
  <c r="AF10" i="8"/>
  <c r="AE10" i="8"/>
  <c r="AC10" i="8"/>
  <c r="AB10" i="8"/>
  <c r="L10" i="8"/>
  <c r="BY9" i="8"/>
  <c r="BX9" i="8"/>
  <c r="BU9" i="8"/>
  <c r="BP9" i="8"/>
  <c r="BO9" i="8"/>
  <c r="BE9" i="8"/>
  <c r="BD9" i="8"/>
  <c r="AU9" i="8"/>
  <c r="AT9" i="8"/>
  <c r="AR9" i="8"/>
  <c r="AO9" i="8"/>
  <c r="AM9" i="8"/>
  <c r="AL9" i="8"/>
  <c r="AK9" i="8"/>
  <c r="AH9" i="8"/>
  <c r="AG9" i="8"/>
  <c r="AF9" i="8"/>
  <c r="AE9" i="8"/>
  <c r="AC9" i="8"/>
  <c r="AB9" i="8"/>
  <c r="L9" i="8"/>
  <c r="BY8" i="8"/>
  <c r="BX8" i="8"/>
  <c r="BU8" i="8"/>
  <c r="BP8" i="8"/>
  <c r="BO8" i="8"/>
  <c r="BE8" i="8"/>
  <c r="BD8" i="8"/>
  <c r="AU8" i="8"/>
  <c r="AT8" i="8"/>
  <c r="AR8" i="8"/>
  <c r="AO8" i="8"/>
  <c r="AM8" i="8"/>
  <c r="AL8" i="8"/>
  <c r="AK8" i="8"/>
  <c r="AH8" i="8"/>
  <c r="AG8" i="8"/>
  <c r="AF8" i="8"/>
  <c r="AE8" i="8"/>
  <c r="AC8" i="8"/>
  <c r="AB8" i="8"/>
  <c r="L8" i="8"/>
  <c r="BY7" i="8"/>
  <c r="BX7" i="8"/>
  <c r="BU7" i="8"/>
  <c r="BP7" i="8"/>
  <c r="BO7" i="8"/>
  <c r="BE7" i="8"/>
  <c r="BD7" i="8"/>
  <c r="AU7" i="8"/>
  <c r="AT7" i="8"/>
  <c r="AR7" i="8"/>
  <c r="AO7" i="8"/>
  <c r="AM7" i="8"/>
  <c r="AL7" i="8"/>
  <c r="AK7" i="8"/>
  <c r="AH7" i="8"/>
  <c r="AG7" i="8"/>
  <c r="AF7" i="8"/>
  <c r="AE7" i="8"/>
  <c r="AC7" i="8"/>
  <c r="AB7" i="8"/>
  <c r="L7" i="8"/>
  <c r="BY6" i="8"/>
  <c r="BX6" i="8"/>
  <c r="BU6" i="8"/>
  <c r="BP6" i="8"/>
  <c r="BO6" i="8"/>
  <c r="BE6" i="8"/>
  <c r="BD6" i="8"/>
  <c r="AU6" i="8"/>
  <c r="AT6" i="8"/>
  <c r="AR6" i="8"/>
  <c r="AO6" i="8"/>
  <c r="AM6" i="8"/>
  <c r="AL6" i="8"/>
  <c r="AK6" i="8"/>
  <c r="AH6" i="8"/>
  <c r="AG6" i="8"/>
  <c r="AF6" i="8"/>
  <c r="AE6" i="8"/>
  <c r="AC6" i="8"/>
  <c r="AB6" i="8"/>
  <c r="BY5" i="8"/>
  <c r="BX5" i="8"/>
  <c r="BU5" i="8"/>
  <c r="BP5" i="8"/>
  <c r="BO5" i="8"/>
  <c r="BD5" i="8"/>
  <c r="AU5" i="8"/>
  <c r="AT5" i="8"/>
  <c r="AR5" i="8"/>
  <c r="AO5" i="8"/>
  <c r="AM5" i="8"/>
  <c r="AL5" i="8"/>
  <c r="AK5" i="8"/>
  <c r="AH5" i="8"/>
  <c r="AG5" i="8"/>
  <c r="AF5" i="8"/>
  <c r="AE5" i="8"/>
  <c r="AC5" i="8"/>
  <c r="AB5" i="8"/>
  <c r="BY4" i="8"/>
  <c r="BX4" i="8"/>
  <c r="BU4" i="8"/>
  <c r="BP4" i="8"/>
  <c r="BO4" i="8"/>
  <c r="BE4" i="8"/>
  <c r="BD4" i="8"/>
  <c r="AU4" i="8"/>
  <c r="AT4" i="8"/>
  <c r="AR4" i="8"/>
  <c r="AO4" i="8"/>
  <c r="AM4" i="8"/>
  <c r="AL4" i="8"/>
  <c r="AK4" i="8"/>
  <c r="AH4" i="8"/>
  <c r="AG4" i="8"/>
  <c r="AF4" i="8"/>
  <c r="AE4" i="8"/>
  <c r="AC4" i="8"/>
  <c r="AB4" i="8"/>
  <c r="BP58" i="13"/>
  <c r="BO58" i="13"/>
  <c r="BN58" i="13"/>
  <c r="BM58" i="13"/>
  <c r="AP56" i="13"/>
  <c r="AM56" i="13"/>
  <c r="AL56" i="13"/>
  <c r="AI56" i="13"/>
  <c r="AH56" i="13"/>
  <c r="AG56" i="13"/>
  <c r="AF56" i="13"/>
  <c r="AD56" i="13"/>
  <c r="AC56" i="13"/>
  <c r="M56" i="13"/>
  <c r="L56" i="13"/>
  <c r="AP55" i="13"/>
  <c r="AM55" i="13"/>
  <c r="AL55" i="13"/>
  <c r="AI55" i="13"/>
  <c r="AH55" i="13"/>
  <c r="AG55" i="13"/>
  <c r="AF55" i="13"/>
  <c r="AD55" i="13"/>
  <c r="AC55" i="13"/>
  <c r="M55" i="13"/>
  <c r="L55" i="13"/>
  <c r="AP54" i="13"/>
  <c r="AM54" i="13"/>
  <c r="AL54" i="13"/>
  <c r="AI54" i="13"/>
  <c r="AH54" i="13"/>
  <c r="AG54" i="13"/>
  <c r="AF54" i="13"/>
  <c r="AD54" i="13"/>
  <c r="AC54" i="13"/>
  <c r="M54" i="13"/>
  <c r="L54" i="13"/>
  <c r="AP53" i="13"/>
  <c r="AN53" i="13"/>
  <c r="AM53" i="13"/>
  <c r="AL53" i="13"/>
  <c r="AI53" i="13"/>
  <c r="AH53" i="13"/>
  <c r="AG53" i="13"/>
  <c r="AF53" i="13"/>
  <c r="AD53" i="13"/>
  <c r="AC53" i="13"/>
  <c r="M53" i="13"/>
  <c r="L53" i="13"/>
  <c r="AP52" i="13"/>
  <c r="AN52" i="13"/>
  <c r="AM52" i="13"/>
  <c r="AL52" i="13"/>
  <c r="AI52" i="13"/>
  <c r="AH52" i="13"/>
  <c r="AG52" i="13"/>
  <c r="AF52" i="13"/>
  <c r="AD52" i="13"/>
  <c r="AC52" i="13"/>
  <c r="M52" i="13"/>
  <c r="L52" i="13"/>
  <c r="AP51" i="13"/>
  <c r="AN51" i="13"/>
  <c r="AM51" i="13"/>
  <c r="AL51" i="13"/>
  <c r="AI51" i="13"/>
  <c r="AH51" i="13"/>
  <c r="AG51" i="13"/>
  <c r="AF51" i="13"/>
  <c r="AD51" i="13"/>
  <c r="AC51" i="13"/>
  <c r="M51" i="13"/>
  <c r="L51" i="13"/>
  <c r="AP50" i="13"/>
  <c r="AN50" i="13"/>
  <c r="AM50" i="13"/>
  <c r="AL50" i="13"/>
  <c r="AI50" i="13"/>
  <c r="AH50" i="13"/>
  <c r="AG50" i="13"/>
  <c r="AF50" i="13"/>
  <c r="AD50" i="13"/>
  <c r="AC50" i="13"/>
  <c r="M50" i="13"/>
  <c r="L50" i="13"/>
  <c r="AP49" i="13"/>
  <c r="AN49" i="13"/>
  <c r="AM49" i="13"/>
  <c r="AL49" i="13"/>
  <c r="AI49" i="13"/>
  <c r="AH49" i="13"/>
  <c r="AG49" i="13"/>
  <c r="AF49" i="13"/>
  <c r="AD49" i="13"/>
  <c r="AC49" i="13"/>
  <c r="M49" i="13"/>
  <c r="L49" i="13"/>
  <c r="AP48" i="13"/>
  <c r="AN48" i="13"/>
  <c r="AM48" i="13"/>
  <c r="AL48" i="13"/>
  <c r="AI48" i="13"/>
  <c r="AH48" i="13"/>
  <c r="AG48" i="13"/>
  <c r="AF48" i="13"/>
  <c r="AD48" i="13"/>
  <c r="AC48" i="13"/>
  <c r="M48" i="13"/>
  <c r="L48" i="13"/>
  <c r="AP47" i="13"/>
  <c r="AN47" i="13"/>
  <c r="AM47" i="13"/>
  <c r="AL47" i="13"/>
  <c r="AI47" i="13"/>
  <c r="AH47" i="13"/>
  <c r="AG47" i="13"/>
  <c r="AF47" i="13"/>
  <c r="AD47" i="13"/>
  <c r="AC47" i="13"/>
  <c r="M47" i="13"/>
  <c r="L47" i="13"/>
  <c r="BF46" i="13"/>
  <c r="BE46" i="13"/>
  <c r="BD46" i="13"/>
  <c r="BC46" i="13"/>
  <c r="BB46" i="13"/>
  <c r="AP46" i="13"/>
  <c r="AN46" i="13"/>
  <c r="AM46" i="13"/>
  <c r="AL46" i="13"/>
  <c r="AI46" i="13"/>
  <c r="AH46" i="13"/>
  <c r="AG46" i="13"/>
  <c r="AF46" i="13"/>
  <c r="AD46" i="13"/>
  <c r="AC46" i="13"/>
  <c r="M46" i="13"/>
  <c r="L46" i="13"/>
  <c r="AP45" i="13"/>
  <c r="AN45" i="13"/>
  <c r="AM45" i="13"/>
  <c r="AL45" i="13"/>
  <c r="AI45" i="13"/>
  <c r="AH45" i="13"/>
  <c r="AG45" i="13"/>
  <c r="AF45" i="13"/>
  <c r="AD45" i="13"/>
  <c r="AC45" i="13"/>
  <c r="M45" i="13"/>
  <c r="L45" i="13"/>
  <c r="BF44" i="13"/>
  <c r="BE44" i="13"/>
  <c r="BD44" i="13"/>
  <c r="BC44" i="13"/>
  <c r="BB44" i="13"/>
  <c r="AP44" i="13"/>
  <c r="AN44" i="13"/>
  <c r="AM44" i="13"/>
  <c r="AL44" i="13"/>
  <c r="AI44" i="13"/>
  <c r="AH44" i="13"/>
  <c r="AG44" i="13"/>
  <c r="AF44" i="13"/>
  <c r="AD44" i="13"/>
  <c r="AC44" i="13"/>
  <c r="M44" i="13"/>
  <c r="L44" i="13"/>
  <c r="BF43" i="13"/>
  <c r="BE43" i="13"/>
  <c r="BD43" i="13"/>
  <c r="BC43" i="13"/>
  <c r="BB43" i="13"/>
  <c r="AP43" i="13"/>
  <c r="AN43" i="13"/>
  <c r="AM43" i="13"/>
  <c r="AL43" i="13"/>
  <c r="AI43" i="13"/>
  <c r="AH43" i="13"/>
  <c r="AG43" i="13"/>
  <c r="AF43" i="13"/>
  <c r="AD43" i="13"/>
  <c r="AC43" i="13"/>
  <c r="M43" i="13"/>
  <c r="L43" i="13"/>
  <c r="BF42" i="13"/>
  <c r="BE42" i="13"/>
  <c r="BD42" i="13"/>
  <c r="BC42" i="13"/>
  <c r="BB42" i="13"/>
  <c r="AP42" i="13"/>
  <c r="AN42" i="13"/>
  <c r="AM42" i="13"/>
  <c r="AL42" i="13"/>
  <c r="AI42" i="13"/>
  <c r="AH42" i="13"/>
  <c r="AG42" i="13"/>
  <c r="AF42" i="13"/>
  <c r="AD42" i="13"/>
  <c r="AC42" i="13"/>
  <c r="M42" i="13"/>
  <c r="L42" i="13"/>
  <c r="AP41" i="13"/>
  <c r="AN41" i="13"/>
  <c r="AM41" i="13"/>
  <c r="AL41" i="13"/>
  <c r="AI41" i="13"/>
  <c r="AH41" i="13"/>
  <c r="AG41" i="13"/>
  <c r="AF41" i="13"/>
  <c r="AD41" i="13"/>
  <c r="AC41" i="13"/>
  <c r="M41" i="13"/>
  <c r="L41" i="13"/>
  <c r="AP40" i="13"/>
  <c r="AN40" i="13"/>
  <c r="AM40" i="13"/>
  <c r="AL40" i="13"/>
  <c r="AI40" i="13"/>
  <c r="AH40" i="13"/>
  <c r="AG40" i="13"/>
  <c r="AF40" i="13"/>
  <c r="AD40" i="13"/>
  <c r="AC40" i="13"/>
  <c r="M40" i="13"/>
  <c r="L40" i="13"/>
  <c r="BN39" i="13"/>
  <c r="AP39" i="13"/>
  <c r="AN39" i="13"/>
  <c r="AM39" i="13"/>
  <c r="AL39" i="13"/>
  <c r="AI39" i="13"/>
  <c r="AH39" i="13"/>
  <c r="AG39" i="13"/>
  <c r="AF39" i="13"/>
  <c r="AD39" i="13"/>
  <c r="AC39" i="13"/>
  <c r="M39" i="13"/>
  <c r="L39" i="13"/>
  <c r="AP38" i="13"/>
  <c r="AN38" i="13"/>
  <c r="AM38" i="13"/>
  <c r="AL38" i="13"/>
  <c r="AI38" i="13"/>
  <c r="AH38" i="13"/>
  <c r="AG38" i="13"/>
  <c r="AF38" i="13"/>
  <c r="AD38" i="13"/>
  <c r="AC38" i="13"/>
  <c r="M38" i="13"/>
  <c r="L38" i="13"/>
  <c r="BN37" i="13"/>
  <c r="AP37" i="13"/>
  <c r="AN37" i="13"/>
  <c r="AM37" i="13"/>
  <c r="AL37" i="13"/>
  <c r="AI37" i="13"/>
  <c r="AH37" i="13"/>
  <c r="AG37" i="13"/>
  <c r="AF37" i="13"/>
  <c r="AD37" i="13"/>
  <c r="AC37" i="13"/>
  <c r="M37" i="13"/>
  <c r="L37" i="13"/>
  <c r="AP36" i="13"/>
  <c r="AN36" i="13"/>
  <c r="AM36" i="13"/>
  <c r="AL36" i="13"/>
  <c r="AI36" i="13"/>
  <c r="AH36" i="13"/>
  <c r="AG36" i="13"/>
  <c r="AF36" i="13"/>
  <c r="AD36" i="13"/>
  <c r="AC36" i="13"/>
  <c r="M36" i="13"/>
  <c r="L36" i="13"/>
  <c r="AP35" i="13"/>
  <c r="AN35" i="13"/>
  <c r="AM35" i="13"/>
  <c r="AL35" i="13"/>
  <c r="AI35" i="13"/>
  <c r="AH35" i="13"/>
  <c r="AG35" i="13"/>
  <c r="AF35" i="13"/>
  <c r="AD35" i="13"/>
  <c r="AC35" i="13"/>
  <c r="M35" i="13"/>
  <c r="L35" i="13"/>
  <c r="AP34" i="13"/>
  <c r="AN34" i="13"/>
  <c r="AM34" i="13"/>
  <c r="AL34" i="13"/>
  <c r="AI34" i="13"/>
  <c r="AH34" i="13"/>
  <c r="AG34" i="13"/>
  <c r="AF34" i="13"/>
  <c r="AD34" i="13"/>
  <c r="AC34" i="13"/>
  <c r="M34" i="13"/>
  <c r="L34" i="13"/>
  <c r="BH33" i="13"/>
  <c r="BG33" i="13"/>
  <c r="BE33" i="13"/>
  <c r="AP33" i="13"/>
  <c r="AN33" i="13"/>
  <c r="AM33" i="13"/>
  <c r="AL33" i="13"/>
  <c r="AI33" i="13"/>
  <c r="AH33" i="13"/>
  <c r="AG33" i="13"/>
  <c r="AF33" i="13"/>
  <c r="AD33" i="13"/>
  <c r="AC33" i="13"/>
  <c r="M33" i="13"/>
  <c r="L33" i="13"/>
  <c r="BH32" i="13"/>
  <c r="BG32" i="13"/>
  <c r="BE32" i="13"/>
  <c r="AP32" i="13"/>
  <c r="AN32" i="13"/>
  <c r="AM32" i="13"/>
  <c r="AL32" i="13"/>
  <c r="AI32" i="13"/>
  <c r="AH32" i="13"/>
  <c r="AG32" i="13"/>
  <c r="AF32" i="13"/>
  <c r="AD32" i="13"/>
  <c r="AC32" i="13"/>
  <c r="M32" i="13"/>
  <c r="L32" i="13"/>
  <c r="BH31" i="13"/>
  <c r="BG31" i="13"/>
  <c r="BE31" i="13"/>
  <c r="AP31" i="13"/>
  <c r="AN31" i="13"/>
  <c r="AM31" i="13"/>
  <c r="AL31" i="13"/>
  <c r="AI31" i="13"/>
  <c r="AH31" i="13"/>
  <c r="AG31" i="13"/>
  <c r="AF31" i="13"/>
  <c r="AD31" i="13"/>
  <c r="AC31" i="13"/>
  <c r="M31" i="13"/>
  <c r="L31" i="13"/>
  <c r="BQ30" i="13"/>
  <c r="BP30" i="13"/>
  <c r="BO30" i="13"/>
  <c r="BN30" i="13"/>
  <c r="BH30" i="13"/>
  <c r="BG30" i="13"/>
  <c r="BE30" i="13"/>
  <c r="AP30" i="13"/>
  <c r="AN30" i="13"/>
  <c r="AM30" i="13"/>
  <c r="AL30" i="13"/>
  <c r="AI30" i="13"/>
  <c r="AH30" i="13"/>
  <c r="AG30" i="13"/>
  <c r="AF30" i="13"/>
  <c r="AD30" i="13"/>
  <c r="AC30" i="13"/>
  <c r="M30" i="13"/>
  <c r="L30" i="13"/>
  <c r="BQ29" i="13"/>
  <c r="BP29" i="13"/>
  <c r="BO29" i="13"/>
  <c r="BN29" i="13"/>
  <c r="BH29" i="13"/>
  <c r="BG29" i="13"/>
  <c r="BE29" i="13"/>
  <c r="AP29" i="13"/>
  <c r="AN29" i="13"/>
  <c r="AM29" i="13"/>
  <c r="AL29" i="13"/>
  <c r="AI29" i="13"/>
  <c r="AH29" i="13"/>
  <c r="AG29" i="13"/>
  <c r="AF29" i="13"/>
  <c r="AD29" i="13"/>
  <c r="AC29" i="13"/>
  <c r="M29" i="13"/>
  <c r="L29" i="13"/>
  <c r="BI28" i="13"/>
  <c r="BH28" i="13"/>
  <c r="BG28" i="13"/>
  <c r="BE28" i="13"/>
  <c r="AP28" i="13"/>
  <c r="AN28" i="13"/>
  <c r="AM28" i="13"/>
  <c r="AL28" i="13"/>
  <c r="AI28" i="13"/>
  <c r="AH28" i="13"/>
  <c r="AG28" i="13"/>
  <c r="AF28" i="13"/>
  <c r="AD28" i="13"/>
  <c r="AC28" i="13"/>
  <c r="M28" i="13"/>
  <c r="L28" i="13"/>
  <c r="BI27" i="13"/>
  <c r="BH27" i="13"/>
  <c r="BG27" i="13"/>
  <c r="BE27" i="13"/>
  <c r="AP27" i="13"/>
  <c r="AN27" i="13"/>
  <c r="AM27" i="13"/>
  <c r="AL27" i="13"/>
  <c r="AI27" i="13"/>
  <c r="AH27" i="13"/>
  <c r="AG27" i="13"/>
  <c r="AF27" i="13"/>
  <c r="AD27" i="13"/>
  <c r="AC27" i="13"/>
  <c r="M27" i="13"/>
  <c r="L27" i="13"/>
  <c r="BI26" i="13"/>
  <c r="BH26" i="13"/>
  <c r="BG26" i="13"/>
  <c r="BE26" i="13"/>
  <c r="AP26" i="13"/>
  <c r="AN26" i="13"/>
  <c r="AM26" i="13"/>
  <c r="AL26" i="13"/>
  <c r="AI26" i="13"/>
  <c r="AH26" i="13"/>
  <c r="AG26" i="13"/>
  <c r="AF26" i="13"/>
  <c r="AD26" i="13"/>
  <c r="AC26" i="13"/>
  <c r="M26" i="13"/>
  <c r="L26" i="13"/>
  <c r="BI25" i="13"/>
  <c r="BH25" i="13"/>
  <c r="BG25" i="13"/>
  <c r="BE25" i="13"/>
  <c r="AP25" i="13"/>
  <c r="AN25" i="13"/>
  <c r="AM25" i="13"/>
  <c r="AL25" i="13"/>
  <c r="AI25" i="13"/>
  <c r="AH25" i="13"/>
  <c r="AG25" i="13"/>
  <c r="AF25" i="13"/>
  <c r="AD25" i="13"/>
  <c r="AC25" i="13"/>
  <c r="M25" i="13"/>
  <c r="L25" i="13"/>
  <c r="BI24" i="13"/>
  <c r="BH24" i="13"/>
  <c r="BG24" i="13"/>
  <c r="BE24" i="13"/>
  <c r="AP24" i="13"/>
  <c r="AN24" i="13"/>
  <c r="AM24" i="13"/>
  <c r="AL24" i="13"/>
  <c r="AI24" i="13"/>
  <c r="AH24" i="13"/>
  <c r="AG24" i="13"/>
  <c r="AF24" i="13"/>
  <c r="AD24" i="13"/>
  <c r="AC24" i="13"/>
  <c r="M24" i="13"/>
  <c r="L24" i="13"/>
  <c r="BI23" i="13"/>
  <c r="BH23" i="13"/>
  <c r="BG23" i="13"/>
  <c r="BE23" i="13"/>
  <c r="AP23" i="13"/>
  <c r="AN23" i="13"/>
  <c r="AM23" i="13"/>
  <c r="AL23" i="13"/>
  <c r="AI23" i="13"/>
  <c r="AH23" i="13"/>
  <c r="AG23" i="13"/>
  <c r="AF23" i="13"/>
  <c r="AD23" i="13"/>
  <c r="AC23" i="13"/>
  <c r="M23" i="13"/>
  <c r="L23" i="13"/>
  <c r="BI22" i="13"/>
  <c r="BH22" i="13"/>
  <c r="BG22" i="13"/>
  <c r="BE22" i="13"/>
  <c r="AP22" i="13"/>
  <c r="AN22" i="13"/>
  <c r="AM22" i="13"/>
  <c r="AL22" i="13"/>
  <c r="AI22" i="13"/>
  <c r="AH22" i="13"/>
  <c r="AG22" i="13"/>
  <c r="AF22" i="13"/>
  <c r="AD22" i="13"/>
  <c r="AC22" i="13"/>
  <c r="M22" i="13"/>
  <c r="L22" i="13"/>
  <c r="BI21" i="13"/>
  <c r="BH21" i="13"/>
  <c r="BG21" i="13"/>
  <c r="BE21" i="13"/>
  <c r="AP21" i="13"/>
  <c r="AN21" i="13"/>
  <c r="AM21" i="13"/>
  <c r="AL21" i="13"/>
  <c r="AI21" i="13"/>
  <c r="AH21" i="13"/>
  <c r="AG21" i="13"/>
  <c r="AF21" i="13"/>
  <c r="AD21" i="13"/>
  <c r="AC21" i="13"/>
  <c r="M21" i="13"/>
  <c r="L21" i="13"/>
  <c r="BQ20" i="13"/>
  <c r="BI20" i="13"/>
  <c r="BH20" i="13"/>
  <c r="BG20" i="13"/>
  <c r="BF20" i="13"/>
  <c r="BE20" i="13"/>
  <c r="AP20" i="13"/>
  <c r="AN20" i="13"/>
  <c r="AM20" i="13"/>
  <c r="AL20" i="13"/>
  <c r="AI20" i="13"/>
  <c r="AH20" i="13"/>
  <c r="AG20" i="13"/>
  <c r="AF20" i="13"/>
  <c r="AD20" i="13"/>
  <c r="AC20" i="13"/>
  <c r="M20" i="13"/>
  <c r="L20" i="13"/>
  <c r="BQ19" i="13"/>
  <c r="BI19" i="13"/>
  <c r="BH19" i="13"/>
  <c r="BG19" i="13"/>
  <c r="BF19" i="13"/>
  <c r="BE19" i="13"/>
  <c r="AP19" i="13"/>
  <c r="AN19" i="13"/>
  <c r="AM19" i="13"/>
  <c r="AL19" i="13"/>
  <c r="AI19" i="13"/>
  <c r="AH19" i="13"/>
  <c r="AG19" i="13"/>
  <c r="AF19" i="13"/>
  <c r="AD19" i="13"/>
  <c r="AC19" i="13"/>
  <c r="M19" i="13"/>
  <c r="L19" i="13"/>
  <c r="BQ18" i="13"/>
  <c r="BI18" i="13"/>
  <c r="BH18" i="13"/>
  <c r="BG18" i="13"/>
  <c r="BF18" i="13"/>
  <c r="BE18" i="13"/>
  <c r="AP18" i="13"/>
  <c r="AN18" i="13"/>
  <c r="AM18" i="13"/>
  <c r="AL18" i="13"/>
  <c r="AI18" i="13"/>
  <c r="AH18" i="13"/>
  <c r="AG18" i="13"/>
  <c r="AF18" i="13"/>
  <c r="AD18" i="13"/>
  <c r="AC18" i="13"/>
  <c r="M18" i="13"/>
  <c r="L18" i="13"/>
  <c r="BQ17" i="13"/>
  <c r="BP17" i="13"/>
  <c r="BI17" i="13"/>
  <c r="BH17" i="13"/>
  <c r="BG17" i="13"/>
  <c r="BF17" i="13"/>
  <c r="BE17" i="13"/>
  <c r="AT17" i="13"/>
  <c r="AS17" i="13"/>
  <c r="AP17" i="13"/>
  <c r="AN17" i="13"/>
  <c r="AM17" i="13"/>
  <c r="AL17" i="13"/>
  <c r="AI17" i="13"/>
  <c r="AH17" i="13"/>
  <c r="AG17" i="13"/>
  <c r="AF17" i="13"/>
  <c r="AD17" i="13"/>
  <c r="AC17" i="13"/>
  <c r="M17" i="13"/>
  <c r="L17" i="13"/>
  <c r="BQ16" i="13"/>
  <c r="BP16" i="13"/>
  <c r="BI16" i="13"/>
  <c r="BH16" i="13"/>
  <c r="BG16" i="13"/>
  <c r="BF16" i="13"/>
  <c r="BE16" i="13"/>
  <c r="AP16" i="13"/>
  <c r="AN16" i="13"/>
  <c r="AM16" i="13"/>
  <c r="AL16" i="13"/>
  <c r="AI16" i="13"/>
  <c r="AH16" i="13"/>
  <c r="AG16" i="13"/>
  <c r="AF16" i="13"/>
  <c r="AD16" i="13"/>
  <c r="AC16" i="13"/>
  <c r="M16" i="13"/>
  <c r="L16" i="13"/>
  <c r="BQ15" i="13"/>
  <c r="BP15" i="13"/>
  <c r="BI15" i="13"/>
  <c r="BH15" i="13"/>
  <c r="BG15" i="13"/>
  <c r="BF15" i="13"/>
  <c r="BE15" i="13"/>
  <c r="AV15" i="13"/>
  <c r="AP15" i="13"/>
  <c r="AN15" i="13"/>
  <c r="AM15" i="13"/>
  <c r="AL15" i="13"/>
  <c r="AI15" i="13"/>
  <c r="AH15" i="13"/>
  <c r="AG15" i="13"/>
  <c r="AF15" i="13"/>
  <c r="AD15" i="13"/>
  <c r="AC15" i="13"/>
  <c r="M15" i="13"/>
  <c r="L15" i="13"/>
  <c r="BQ14" i="13"/>
  <c r="BP14" i="13"/>
  <c r="BE14" i="13"/>
  <c r="AV14" i="13"/>
  <c r="AP14" i="13"/>
  <c r="AN14" i="13"/>
  <c r="AM14" i="13"/>
  <c r="AL14" i="13"/>
  <c r="AI14" i="13"/>
  <c r="AH14" i="13"/>
  <c r="AG14" i="13"/>
  <c r="AF14" i="13"/>
  <c r="AD14" i="13"/>
  <c r="AC14" i="13"/>
  <c r="M14" i="13"/>
  <c r="L14" i="13"/>
  <c r="BZ13" i="13"/>
  <c r="BY13" i="13"/>
  <c r="BV13" i="13"/>
  <c r="BQ13" i="13"/>
  <c r="BP13" i="13"/>
  <c r="BF13" i="13"/>
  <c r="BE13" i="13"/>
  <c r="AV13" i="13"/>
  <c r="AP13" i="13"/>
  <c r="AN13" i="13"/>
  <c r="AM13" i="13"/>
  <c r="AL13" i="13"/>
  <c r="AI13" i="13"/>
  <c r="AH13" i="13"/>
  <c r="AG13" i="13"/>
  <c r="AF13" i="13"/>
  <c r="AD13" i="13"/>
  <c r="AC13" i="13"/>
  <c r="M13" i="13"/>
  <c r="L13" i="13"/>
  <c r="BZ12" i="13"/>
  <c r="BY12" i="13"/>
  <c r="BV12" i="13"/>
  <c r="BQ12" i="13"/>
  <c r="BP12" i="13"/>
  <c r="BF12" i="13"/>
  <c r="BE12" i="13"/>
  <c r="AV12" i="13"/>
  <c r="AP12" i="13"/>
  <c r="AN12" i="13"/>
  <c r="AM12" i="13"/>
  <c r="AL12" i="13"/>
  <c r="AI12" i="13"/>
  <c r="AH12" i="13"/>
  <c r="AG12" i="13"/>
  <c r="AF12" i="13"/>
  <c r="AD12" i="13"/>
  <c r="AC12" i="13"/>
  <c r="M12" i="13"/>
  <c r="L12" i="13"/>
  <c r="BZ11" i="13"/>
  <c r="BY11" i="13"/>
  <c r="BV11" i="13"/>
  <c r="BQ11" i="13"/>
  <c r="BP11" i="13"/>
  <c r="BF11" i="13"/>
  <c r="BE11" i="13"/>
  <c r="AV11" i="13"/>
  <c r="AP11" i="13"/>
  <c r="AN11" i="13"/>
  <c r="AM11" i="13"/>
  <c r="AL11" i="13"/>
  <c r="AI11" i="13"/>
  <c r="AH11" i="13"/>
  <c r="AG11" i="13"/>
  <c r="AF11" i="13"/>
  <c r="AD11" i="13"/>
  <c r="AC11" i="13"/>
  <c r="M11" i="13"/>
  <c r="L11" i="13"/>
  <c r="BZ10" i="13"/>
  <c r="BY10" i="13"/>
  <c r="BV10" i="13"/>
  <c r="BQ10" i="13"/>
  <c r="BP10" i="13"/>
  <c r="BF10" i="13"/>
  <c r="BE10" i="13"/>
  <c r="AV10" i="13"/>
  <c r="AU10" i="13"/>
  <c r="AS10" i="13"/>
  <c r="AP10" i="13"/>
  <c r="AN10" i="13"/>
  <c r="AM10" i="13"/>
  <c r="AL10" i="13"/>
  <c r="AI10" i="13"/>
  <c r="AH10" i="13"/>
  <c r="AG10" i="13"/>
  <c r="AF10" i="13"/>
  <c r="AD10" i="13"/>
  <c r="AC10" i="13"/>
  <c r="L10" i="13"/>
  <c r="BZ9" i="13"/>
  <c r="BY9" i="13"/>
  <c r="BV9" i="13"/>
  <c r="BQ9" i="13"/>
  <c r="BP9" i="13"/>
  <c r="BF9" i="13"/>
  <c r="BE9" i="13"/>
  <c r="AV9" i="13"/>
  <c r="AU9" i="13"/>
  <c r="AS9" i="13"/>
  <c r="AP9" i="13"/>
  <c r="AN9" i="13"/>
  <c r="AM9" i="13"/>
  <c r="AL9" i="13"/>
  <c r="AI9" i="13"/>
  <c r="AH9" i="13"/>
  <c r="AG9" i="13"/>
  <c r="AF9" i="13"/>
  <c r="AD9" i="13"/>
  <c r="AC9" i="13"/>
  <c r="L9" i="13"/>
  <c r="BZ8" i="13"/>
  <c r="BY8" i="13"/>
  <c r="BV8" i="13"/>
  <c r="BQ8" i="13"/>
  <c r="BP8" i="13"/>
  <c r="BF8" i="13"/>
  <c r="BE8" i="13"/>
  <c r="AV8" i="13"/>
  <c r="AU8" i="13"/>
  <c r="AS8" i="13"/>
  <c r="AP8" i="13"/>
  <c r="AN8" i="13"/>
  <c r="AM8" i="13"/>
  <c r="AL8" i="13"/>
  <c r="AI8" i="13"/>
  <c r="AH8" i="13"/>
  <c r="AG8" i="13"/>
  <c r="AF8" i="13"/>
  <c r="AD8" i="13"/>
  <c r="AC8" i="13"/>
  <c r="L8" i="13"/>
  <c r="BZ7" i="13"/>
  <c r="BY7" i="13"/>
  <c r="BV7" i="13"/>
  <c r="BQ7" i="13"/>
  <c r="BP7" i="13"/>
  <c r="BF7" i="13"/>
  <c r="BE7" i="13"/>
  <c r="AV7" i="13"/>
  <c r="AU7" i="13"/>
  <c r="AS7" i="13"/>
  <c r="AP7" i="13"/>
  <c r="AN7" i="13"/>
  <c r="AM7" i="13"/>
  <c r="AL7" i="13"/>
  <c r="AI7" i="13"/>
  <c r="AH7" i="13"/>
  <c r="AG7" i="13"/>
  <c r="AF7" i="13"/>
  <c r="AD7" i="13"/>
  <c r="AC7" i="13"/>
  <c r="L7" i="13"/>
  <c r="BZ6" i="13"/>
  <c r="BY6" i="13"/>
  <c r="BV6" i="13"/>
  <c r="BQ6" i="13"/>
  <c r="BP6" i="13"/>
  <c r="BF6" i="13"/>
  <c r="BE6" i="13"/>
  <c r="AV6" i="13"/>
  <c r="AU6" i="13"/>
  <c r="AS6" i="13"/>
  <c r="AP6" i="13"/>
  <c r="AN6" i="13"/>
  <c r="AM6" i="13"/>
  <c r="AL6" i="13"/>
  <c r="AI6" i="13"/>
  <c r="AH6" i="13"/>
  <c r="AG6" i="13"/>
  <c r="AF6" i="13"/>
  <c r="AD6" i="13"/>
  <c r="AC6" i="13"/>
  <c r="BZ5" i="13"/>
  <c r="BY5" i="13"/>
  <c r="BV5" i="13"/>
  <c r="BQ5" i="13"/>
  <c r="BP5" i="13"/>
  <c r="BE5" i="13"/>
  <c r="AV5" i="13"/>
  <c r="AU5" i="13"/>
  <c r="AS5" i="13"/>
  <c r="AP5" i="13"/>
  <c r="AN5" i="13"/>
  <c r="AM5" i="13"/>
  <c r="AL5" i="13"/>
  <c r="AI5" i="13"/>
  <c r="AH5" i="13"/>
  <c r="AG5" i="13"/>
  <c r="AF5" i="13"/>
  <c r="AD5" i="13"/>
  <c r="AC5" i="13"/>
  <c r="BZ4" i="13"/>
  <c r="BY4" i="13"/>
  <c r="BV4" i="13"/>
  <c r="BQ4" i="13"/>
  <c r="BP4" i="13"/>
  <c r="BF4" i="13"/>
  <c r="BE4" i="13"/>
  <c r="AV4" i="13"/>
  <c r="AU4" i="13"/>
  <c r="AS4" i="13"/>
  <c r="AP4" i="13"/>
  <c r="AN4" i="13"/>
  <c r="AM4" i="13"/>
  <c r="AL4" i="13"/>
  <c r="AI4" i="13"/>
  <c r="AH4" i="13"/>
  <c r="AG4" i="13"/>
  <c r="AF4" i="13"/>
  <c r="AD4" i="13"/>
  <c r="AC4" i="13"/>
  <c r="BP69" i="17"/>
  <c r="BO69" i="17"/>
  <c r="BN69" i="17"/>
  <c r="BM69" i="17"/>
  <c r="BF59" i="17"/>
  <c r="BE59" i="17"/>
  <c r="BD59" i="17"/>
  <c r="BC59" i="17"/>
  <c r="BB59" i="17"/>
  <c r="BF57" i="17"/>
  <c r="BE57" i="17"/>
  <c r="BD57" i="17"/>
  <c r="BC57" i="17"/>
  <c r="BB57" i="17"/>
  <c r="BF56" i="17"/>
  <c r="BE56" i="17"/>
  <c r="BD56" i="17"/>
  <c r="BC56" i="17"/>
  <c r="BB56" i="17"/>
  <c r="AP56" i="17"/>
  <c r="AM56" i="17"/>
  <c r="AL56" i="17"/>
  <c r="AK56" i="17"/>
  <c r="AI56" i="17"/>
  <c r="AH56" i="17"/>
  <c r="AG56" i="17"/>
  <c r="AF56" i="17"/>
  <c r="AD56" i="17"/>
  <c r="AC56" i="17"/>
  <c r="M56" i="17"/>
  <c r="L56" i="17"/>
  <c r="BF55" i="17"/>
  <c r="BE55" i="17"/>
  <c r="BD55" i="17"/>
  <c r="BC55" i="17"/>
  <c r="BB55" i="17"/>
  <c r="AP55" i="17"/>
  <c r="AM55" i="17"/>
  <c r="AL55" i="17"/>
  <c r="AI55" i="17"/>
  <c r="AH55" i="17"/>
  <c r="AG55" i="17"/>
  <c r="AF55" i="17"/>
  <c r="AD55" i="17"/>
  <c r="AC55" i="17"/>
  <c r="M55" i="17"/>
  <c r="L55" i="17"/>
  <c r="BF54" i="17"/>
  <c r="BE54" i="17"/>
  <c r="BD54" i="17"/>
  <c r="BC54" i="17"/>
  <c r="BB54" i="17"/>
  <c r="AP54" i="17"/>
  <c r="AM54" i="17"/>
  <c r="AL54" i="17"/>
  <c r="AI54" i="17"/>
  <c r="AH54" i="17"/>
  <c r="AG54" i="17"/>
  <c r="AF54" i="17"/>
  <c r="AD54" i="17"/>
  <c r="AC54" i="17"/>
  <c r="M54" i="17"/>
  <c r="L54" i="17"/>
  <c r="AP53" i="17"/>
  <c r="AN53" i="17"/>
  <c r="AM53" i="17"/>
  <c r="AL53" i="17"/>
  <c r="AI53" i="17"/>
  <c r="AH53" i="17"/>
  <c r="AG53" i="17"/>
  <c r="AF53" i="17"/>
  <c r="AD53" i="17"/>
  <c r="AC53" i="17"/>
  <c r="M53" i="17"/>
  <c r="L53" i="17"/>
  <c r="AP52" i="17"/>
  <c r="AN52" i="17"/>
  <c r="AM52" i="17"/>
  <c r="AL52" i="17"/>
  <c r="AI52" i="17"/>
  <c r="AH52" i="17"/>
  <c r="AG52" i="17"/>
  <c r="AF52" i="17"/>
  <c r="AD52" i="17"/>
  <c r="AC52" i="17"/>
  <c r="M52" i="17"/>
  <c r="L52" i="17"/>
  <c r="BE51" i="17"/>
  <c r="AP51" i="17"/>
  <c r="AN51" i="17"/>
  <c r="AM51" i="17"/>
  <c r="AL51" i="17"/>
  <c r="AI51" i="17"/>
  <c r="AH51" i="17"/>
  <c r="AG51" i="17"/>
  <c r="AF51" i="17"/>
  <c r="AD51" i="17"/>
  <c r="AC51" i="17"/>
  <c r="M51" i="17"/>
  <c r="L51" i="17"/>
  <c r="BN50" i="17"/>
  <c r="BE50" i="17"/>
  <c r="AP50" i="17"/>
  <c r="AN50" i="17"/>
  <c r="AM50" i="17"/>
  <c r="AL50" i="17"/>
  <c r="AI50" i="17"/>
  <c r="AH50" i="17"/>
  <c r="AG50" i="17"/>
  <c r="AF50" i="17"/>
  <c r="AD50" i="17"/>
  <c r="AC50" i="17"/>
  <c r="M50" i="17"/>
  <c r="L50" i="17"/>
  <c r="BE49" i="17"/>
  <c r="AP49" i="17"/>
  <c r="AN49" i="17"/>
  <c r="AM49" i="17"/>
  <c r="AL49" i="17"/>
  <c r="AI49" i="17"/>
  <c r="AH49" i="17"/>
  <c r="AG49" i="17"/>
  <c r="AF49" i="17"/>
  <c r="AD49" i="17"/>
  <c r="AC49" i="17"/>
  <c r="M49" i="17"/>
  <c r="L49" i="17"/>
  <c r="BN48" i="17"/>
  <c r="BE48" i="17"/>
  <c r="AP48" i="17"/>
  <c r="AN48" i="17"/>
  <c r="AM48" i="17"/>
  <c r="AL48" i="17"/>
  <c r="AI48" i="17"/>
  <c r="AH48" i="17"/>
  <c r="AG48" i="17"/>
  <c r="AF48" i="17"/>
  <c r="AD48" i="17"/>
  <c r="AC48" i="17"/>
  <c r="M48" i="17"/>
  <c r="L48" i="17"/>
  <c r="BI47" i="17"/>
  <c r="BH47" i="17"/>
  <c r="BG47" i="17"/>
  <c r="BE47" i="17"/>
  <c r="AP47" i="17"/>
  <c r="AN47" i="17"/>
  <c r="AM47" i="17"/>
  <c r="AL47" i="17"/>
  <c r="AI47" i="17"/>
  <c r="AH47" i="17"/>
  <c r="AG47" i="17"/>
  <c r="AF47" i="17"/>
  <c r="AD47" i="17"/>
  <c r="AC47" i="17"/>
  <c r="M47" i="17"/>
  <c r="L47" i="17"/>
  <c r="BI46" i="17"/>
  <c r="BH46" i="17"/>
  <c r="BG46" i="17"/>
  <c r="BE46" i="17"/>
  <c r="AP46" i="17"/>
  <c r="AN46" i="17"/>
  <c r="AM46" i="17"/>
  <c r="AL46" i="17"/>
  <c r="AI46" i="17"/>
  <c r="AH46" i="17"/>
  <c r="AG46" i="17"/>
  <c r="AF46" i="17"/>
  <c r="AD46" i="17"/>
  <c r="AC46" i="17"/>
  <c r="M46" i="17"/>
  <c r="L46" i="17"/>
  <c r="BI45" i="17"/>
  <c r="BH45" i="17"/>
  <c r="BG45" i="17"/>
  <c r="BE45" i="17"/>
  <c r="AP45" i="17"/>
  <c r="AN45" i="17"/>
  <c r="AM45" i="17"/>
  <c r="AL45" i="17"/>
  <c r="AI45" i="17"/>
  <c r="AH45" i="17"/>
  <c r="AG45" i="17"/>
  <c r="AF45" i="17"/>
  <c r="AD45" i="17"/>
  <c r="AC45" i="17"/>
  <c r="M45" i="17"/>
  <c r="L45" i="17"/>
  <c r="BI44" i="17"/>
  <c r="BH44" i="17"/>
  <c r="BG44" i="17"/>
  <c r="BE44" i="17"/>
  <c r="AP44" i="17"/>
  <c r="AN44" i="17"/>
  <c r="AM44" i="17"/>
  <c r="AL44" i="17"/>
  <c r="AI44" i="17"/>
  <c r="AH44" i="17"/>
  <c r="AG44" i="17"/>
  <c r="AF44" i="17"/>
  <c r="AD44" i="17"/>
  <c r="AC44" i="17"/>
  <c r="M44" i="17"/>
  <c r="L44" i="17"/>
  <c r="BI43" i="17"/>
  <c r="BH43" i="17"/>
  <c r="BG43" i="17"/>
  <c r="BE43" i="17"/>
  <c r="AP43" i="17"/>
  <c r="AN43" i="17"/>
  <c r="AM43" i="17"/>
  <c r="AL43" i="17"/>
  <c r="AI43" i="17"/>
  <c r="AH43" i="17"/>
  <c r="AG43" i="17"/>
  <c r="AF43" i="17"/>
  <c r="AD43" i="17"/>
  <c r="AC43" i="17"/>
  <c r="M43" i="17"/>
  <c r="L43" i="17"/>
  <c r="BI42" i="17"/>
  <c r="BH42" i="17"/>
  <c r="BG42" i="17"/>
  <c r="BE42" i="17"/>
  <c r="AP42" i="17"/>
  <c r="AN42" i="17"/>
  <c r="AM42" i="17"/>
  <c r="AL42" i="17"/>
  <c r="AI42" i="17"/>
  <c r="AH42" i="17"/>
  <c r="AG42" i="17"/>
  <c r="AF42" i="17"/>
  <c r="AD42" i="17"/>
  <c r="AC42" i="17"/>
  <c r="M42" i="17"/>
  <c r="L42" i="17"/>
  <c r="BQ41" i="17"/>
  <c r="BP41" i="17"/>
  <c r="BO41" i="17"/>
  <c r="BN41" i="17"/>
  <c r="BI41" i="17"/>
  <c r="BH41" i="17"/>
  <c r="BG41" i="17"/>
  <c r="BE41" i="17"/>
  <c r="AP41" i="17"/>
  <c r="AN41" i="17"/>
  <c r="AM41" i="17"/>
  <c r="AL41" i="17"/>
  <c r="AI41" i="17"/>
  <c r="AH41" i="17"/>
  <c r="AG41" i="17"/>
  <c r="AF41" i="17"/>
  <c r="AD41" i="17"/>
  <c r="AC41" i="17"/>
  <c r="M41" i="17"/>
  <c r="L41" i="17"/>
  <c r="BQ40" i="17"/>
  <c r="BP40" i="17"/>
  <c r="BO40" i="17"/>
  <c r="BN40" i="17"/>
  <c r="BI40" i="17"/>
  <c r="BH40" i="17"/>
  <c r="BG40" i="17"/>
  <c r="BE40" i="17"/>
  <c r="AP40" i="17"/>
  <c r="AN40" i="17"/>
  <c r="AM40" i="17"/>
  <c r="AL40" i="17"/>
  <c r="AI40" i="17"/>
  <c r="AH40" i="17"/>
  <c r="AG40" i="17"/>
  <c r="AF40" i="17"/>
  <c r="AD40" i="17"/>
  <c r="AC40" i="17"/>
  <c r="M40" i="17"/>
  <c r="L40" i="17"/>
  <c r="BI39" i="17"/>
  <c r="BH39" i="17"/>
  <c r="BG39" i="17"/>
  <c r="BE39" i="17"/>
  <c r="AP39" i="17"/>
  <c r="AN39" i="17"/>
  <c r="AM39" i="17"/>
  <c r="AL39" i="17"/>
  <c r="AI39" i="17"/>
  <c r="AH39" i="17"/>
  <c r="AG39" i="17"/>
  <c r="AF39" i="17"/>
  <c r="AD39" i="17"/>
  <c r="AC39" i="17"/>
  <c r="M39" i="17"/>
  <c r="L39" i="17"/>
  <c r="BI38" i="17"/>
  <c r="BH38" i="17"/>
  <c r="BG38" i="17"/>
  <c r="BE38" i="17"/>
  <c r="AP38" i="17"/>
  <c r="AN38" i="17"/>
  <c r="AM38" i="17"/>
  <c r="AL38" i="17"/>
  <c r="AI38" i="17"/>
  <c r="AH38" i="17"/>
  <c r="AG38" i="17"/>
  <c r="AF38" i="17"/>
  <c r="AD38" i="17"/>
  <c r="AC38" i="17"/>
  <c r="M38" i="17"/>
  <c r="L38" i="17"/>
  <c r="BI37" i="17"/>
  <c r="BH37" i="17"/>
  <c r="BG37" i="17"/>
  <c r="BE37" i="17"/>
  <c r="AP37" i="17"/>
  <c r="AN37" i="17"/>
  <c r="AM37" i="17"/>
  <c r="AL37" i="17"/>
  <c r="AI37" i="17"/>
  <c r="AH37" i="17"/>
  <c r="AG37" i="17"/>
  <c r="AF37" i="17"/>
  <c r="AD37" i="17"/>
  <c r="AC37" i="17"/>
  <c r="M37" i="17"/>
  <c r="L37" i="17"/>
  <c r="BI36" i="17"/>
  <c r="BH36" i="17"/>
  <c r="BG36" i="17"/>
  <c r="BE36" i="17"/>
  <c r="AP36" i="17"/>
  <c r="AN36" i="17"/>
  <c r="AM36" i="17"/>
  <c r="AL36" i="17"/>
  <c r="AI36" i="17"/>
  <c r="AH36" i="17"/>
  <c r="AG36" i="17"/>
  <c r="AF36" i="17"/>
  <c r="AD36" i="17"/>
  <c r="AC36" i="17"/>
  <c r="M36" i="17"/>
  <c r="L36" i="17"/>
  <c r="BI35" i="17"/>
  <c r="BH35" i="17"/>
  <c r="BG35" i="17"/>
  <c r="BE35" i="17"/>
  <c r="AP35" i="17"/>
  <c r="AN35" i="17"/>
  <c r="AM35" i="17"/>
  <c r="AL35" i="17"/>
  <c r="AI35" i="17"/>
  <c r="AH35" i="17"/>
  <c r="AG35" i="17"/>
  <c r="AF35" i="17"/>
  <c r="AD35" i="17"/>
  <c r="AC35" i="17"/>
  <c r="M35" i="17"/>
  <c r="L35" i="17"/>
  <c r="BI34" i="17"/>
  <c r="BH34" i="17"/>
  <c r="BG34" i="17"/>
  <c r="BE34" i="17"/>
  <c r="AP34" i="17"/>
  <c r="AN34" i="17"/>
  <c r="AM34" i="17"/>
  <c r="AL34" i="17"/>
  <c r="AI34" i="17"/>
  <c r="AH34" i="17"/>
  <c r="AG34" i="17"/>
  <c r="AF34" i="17"/>
  <c r="AD34" i="17"/>
  <c r="AC34" i="17"/>
  <c r="M34" i="17"/>
  <c r="L34" i="17"/>
  <c r="BI33" i="17"/>
  <c r="BH33" i="17"/>
  <c r="BG33" i="17"/>
  <c r="BE33" i="17"/>
  <c r="AP33" i="17"/>
  <c r="AN33" i="17"/>
  <c r="AM33" i="17"/>
  <c r="AL33" i="17"/>
  <c r="AI33" i="17"/>
  <c r="AH33" i="17"/>
  <c r="AG33" i="17"/>
  <c r="AF33" i="17"/>
  <c r="AD33" i="17"/>
  <c r="AC33" i="17"/>
  <c r="M33" i="17"/>
  <c r="L33" i="17"/>
  <c r="BI32" i="17"/>
  <c r="BH32" i="17"/>
  <c r="BG32" i="17"/>
  <c r="BE32" i="17"/>
  <c r="AP32" i="17"/>
  <c r="AN32" i="17"/>
  <c r="AM32" i="17"/>
  <c r="AL32" i="17"/>
  <c r="AI32" i="17"/>
  <c r="AH32" i="17"/>
  <c r="AG32" i="17"/>
  <c r="AF32" i="17"/>
  <c r="AD32" i="17"/>
  <c r="AC32" i="17"/>
  <c r="M32" i="17"/>
  <c r="L32" i="17"/>
  <c r="BI31" i="17"/>
  <c r="BH31" i="17"/>
  <c r="BG31" i="17"/>
  <c r="BE31" i="17"/>
  <c r="AP31" i="17"/>
  <c r="AN31" i="17"/>
  <c r="AM31" i="17"/>
  <c r="AL31" i="17"/>
  <c r="AI31" i="17"/>
  <c r="AH31" i="17"/>
  <c r="AG31" i="17"/>
  <c r="AF31" i="17"/>
  <c r="AD31" i="17"/>
  <c r="AC31" i="17"/>
  <c r="M31" i="17"/>
  <c r="L31" i="17"/>
  <c r="BI30" i="17"/>
  <c r="BH30" i="17"/>
  <c r="BG30" i="17"/>
  <c r="BE30" i="17"/>
  <c r="AP30" i="17"/>
  <c r="AN30" i="17"/>
  <c r="AM30" i="17"/>
  <c r="AL30" i="17"/>
  <c r="AI30" i="17"/>
  <c r="AH30" i="17"/>
  <c r="AG30" i="17"/>
  <c r="AF30" i="17"/>
  <c r="AD30" i="17"/>
  <c r="AC30" i="17"/>
  <c r="M30" i="17"/>
  <c r="L30" i="17"/>
  <c r="BI29" i="17"/>
  <c r="BH29" i="17"/>
  <c r="BG29" i="17"/>
  <c r="BE29" i="17"/>
  <c r="AP29" i="17"/>
  <c r="AN29" i="17"/>
  <c r="AM29" i="17"/>
  <c r="AL29" i="17"/>
  <c r="AI29" i="17"/>
  <c r="AH29" i="17"/>
  <c r="AG29" i="17"/>
  <c r="AF29" i="17"/>
  <c r="AD29" i="17"/>
  <c r="AC29" i="17"/>
  <c r="M29" i="17"/>
  <c r="L29" i="17"/>
  <c r="BI28" i="17"/>
  <c r="BH28" i="17"/>
  <c r="BG28" i="17"/>
  <c r="BE28" i="17"/>
  <c r="AP28" i="17"/>
  <c r="AN28" i="17"/>
  <c r="AM28" i="17"/>
  <c r="AL28" i="17"/>
  <c r="AI28" i="17"/>
  <c r="AH28" i="17"/>
  <c r="AG28" i="17"/>
  <c r="AF28" i="17"/>
  <c r="AD28" i="17"/>
  <c r="AC28" i="17"/>
  <c r="M28" i="17"/>
  <c r="L28" i="17"/>
  <c r="BI27" i="17"/>
  <c r="BH27" i="17"/>
  <c r="BG27" i="17"/>
  <c r="BE27" i="17"/>
  <c r="AP27" i="17"/>
  <c r="AN27" i="17"/>
  <c r="AM27" i="17"/>
  <c r="AL27" i="17"/>
  <c r="AI27" i="17"/>
  <c r="AH27" i="17"/>
  <c r="AG27" i="17"/>
  <c r="AF27" i="17"/>
  <c r="AD27" i="17"/>
  <c r="AC27" i="17"/>
  <c r="M27" i="17"/>
  <c r="L27" i="17"/>
  <c r="BI26" i="17"/>
  <c r="BH26" i="17"/>
  <c r="BG26" i="17"/>
  <c r="BE26" i="17"/>
  <c r="AP26" i="17"/>
  <c r="AN26" i="17"/>
  <c r="AM26" i="17"/>
  <c r="AL26" i="17"/>
  <c r="AI26" i="17"/>
  <c r="AH26" i="17"/>
  <c r="AG26" i="17"/>
  <c r="AF26" i="17"/>
  <c r="AD26" i="17"/>
  <c r="AC26" i="17"/>
  <c r="M26" i="17"/>
  <c r="L26" i="17"/>
  <c r="BI25" i="17"/>
  <c r="BH25" i="17"/>
  <c r="BG25" i="17"/>
  <c r="BE25" i="17"/>
  <c r="AP25" i="17"/>
  <c r="AN25" i="17"/>
  <c r="AM25" i="17"/>
  <c r="AL25" i="17"/>
  <c r="AI25" i="17"/>
  <c r="AH25" i="17"/>
  <c r="AG25" i="17"/>
  <c r="AF25" i="17"/>
  <c r="AD25" i="17"/>
  <c r="AC25" i="17"/>
  <c r="M25" i="17"/>
  <c r="L25" i="17"/>
  <c r="BI24" i="17"/>
  <c r="BH24" i="17"/>
  <c r="BG24" i="17"/>
  <c r="BE24" i="17"/>
  <c r="AP24" i="17"/>
  <c r="AN24" i="17"/>
  <c r="AM24" i="17"/>
  <c r="AL24" i="17"/>
  <c r="AI24" i="17"/>
  <c r="AH24" i="17"/>
  <c r="AG24" i="17"/>
  <c r="AF24" i="17"/>
  <c r="AD24" i="17"/>
  <c r="AC24" i="17"/>
  <c r="M24" i="17"/>
  <c r="L24" i="17"/>
  <c r="BI23" i="17"/>
  <c r="BH23" i="17"/>
  <c r="BG23" i="17"/>
  <c r="BE23" i="17"/>
  <c r="AP23" i="17"/>
  <c r="AN23" i="17"/>
  <c r="AM23" i="17"/>
  <c r="AL23" i="17"/>
  <c r="AI23" i="17"/>
  <c r="AH23" i="17"/>
  <c r="AG23" i="17"/>
  <c r="AF23" i="17"/>
  <c r="AD23" i="17"/>
  <c r="AC23" i="17"/>
  <c r="M23" i="17"/>
  <c r="L23" i="17"/>
  <c r="BI22" i="17"/>
  <c r="BH22" i="17"/>
  <c r="BG22" i="17"/>
  <c r="BE22" i="17"/>
  <c r="AP22" i="17"/>
  <c r="AN22" i="17"/>
  <c r="AM22" i="17"/>
  <c r="AL22" i="17"/>
  <c r="AI22" i="17"/>
  <c r="AH22" i="17"/>
  <c r="AG22" i="17"/>
  <c r="AF22" i="17"/>
  <c r="AD22" i="17"/>
  <c r="AC22" i="17"/>
  <c r="M22" i="17"/>
  <c r="L22" i="17"/>
  <c r="BI21" i="17"/>
  <c r="BH21" i="17"/>
  <c r="BG21" i="17"/>
  <c r="BE21" i="17"/>
  <c r="AP21" i="17"/>
  <c r="AN21" i="17"/>
  <c r="AM21" i="17"/>
  <c r="AL21" i="17"/>
  <c r="AI21" i="17"/>
  <c r="AH21" i="17"/>
  <c r="AG21" i="17"/>
  <c r="AF21" i="17"/>
  <c r="AD21" i="17"/>
  <c r="AC21" i="17"/>
  <c r="M21" i="17"/>
  <c r="L21" i="17"/>
  <c r="BQ20" i="17"/>
  <c r="BI20" i="17"/>
  <c r="BH20" i="17"/>
  <c r="BG20" i="17"/>
  <c r="BF20" i="17"/>
  <c r="BE20" i="17"/>
  <c r="AP20" i="17"/>
  <c r="AN20" i="17"/>
  <c r="AM20" i="17"/>
  <c r="AL20" i="17"/>
  <c r="AI20" i="17"/>
  <c r="AH20" i="17"/>
  <c r="AG20" i="17"/>
  <c r="AF20" i="17"/>
  <c r="AD20" i="17"/>
  <c r="AC20" i="17"/>
  <c r="M20" i="17"/>
  <c r="L20" i="17"/>
  <c r="BQ19" i="17"/>
  <c r="BI19" i="17"/>
  <c r="BH19" i="17"/>
  <c r="BG19" i="17"/>
  <c r="BF19" i="17"/>
  <c r="BE19" i="17"/>
  <c r="AP19" i="17"/>
  <c r="AN19" i="17"/>
  <c r="AM19" i="17"/>
  <c r="AL19" i="17"/>
  <c r="AI19" i="17"/>
  <c r="AH19" i="17"/>
  <c r="AG19" i="17"/>
  <c r="AF19" i="17"/>
  <c r="AD19" i="17"/>
  <c r="AC19" i="17"/>
  <c r="M19" i="17"/>
  <c r="L19" i="17"/>
  <c r="BQ18" i="17"/>
  <c r="BI18" i="17"/>
  <c r="BH18" i="17"/>
  <c r="BG18" i="17"/>
  <c r="BF18" i="17"/>
  <c r="BE18" i="17"/>
  <c r="AP18" i="17"/>
  <c r="AN18" i="17"/>
  <c r="AM18" i="17"/>
  <c r="AL18" i="17"/>
  <c r="AI18" i="17"/>
  <c r="AH18" i="17"/>
  <c r="AG18" i="17"/>
  <c r="AF18" i="17"/>
  <c r="AD18" i="17"/>
  <c r="AC18" i="17"/>
  <c r="M18" i="17"/>
  <c r="L18" i="17"/>
  <c r="BQ17" i="17"/>
  <c r="BP17" i="17"/>
  <c r="BI17" i="17"/>
  <c r="BH17" i="17"/>
  <c r="BG17" i="17"/>
  <c r="BF17" i="17"/>
  <c r="BE17" i="17"/>
  <c r="AT17" i="17"/>
  <c r="AS17" i="17"/>
  <c r="AP17" i="17"/>
  <c r="AN17" i="17"/>
  <c r="AM17" i="17"/>
  <c r="AL17" i="17"/>
  <c r="AI17" i="17"/>
  <c r="AH17" i="17"/>
  <c r="AG17" i="17"/>
  <c r="AF17" i="17"/>
  <c r="AD17" i="17"/>
  <c r="AC17" i="17"/>
  <c r="M17" i="17"/>
  <c r="L17" i="17"/>
  <c r="BQ16" i="17"/>
  <c r="BP16" i="17"/>
  <c r="BI16" i="17"/>
  <c r="BH16" i="17"/>
  <c r="BG16" i="17"/>
  <c r="BF16" i="17"/>
  <c r="BE16" i="17"/>
  <c r="AP16" i="17"/>
  <c r="AN16" i="17"/>
  <c r="AM16" i="17"/>
  <c r="AL16" i="17"/>
  <c r="AI16" i="17"/>
  <c r="AH16" i="17"/>
  <c r="AG16" i="17"/>
  <c r="AF16" i="17"/>
  <c r="AD16" i="17"/>
  <c r="AC16" i="17"/>
  <c r="M16" i="17"/>
  <c r="L16" i="17"/>
  <c r="BQ15" i="17"/>
  <c r="BP15" i="17"/>
  <c r="BI15" i="17"/>
  <c r="BH15" i="17"/>
  <c r="BG15" i="17"/>
  <c r="BF15" i="17"/>
  <c r="BE15" i="17"/>
  <c r="AV15" i="17"/>
  <c r="AU15" i="17"/>
  <c r="AS15" i="17"/>
  <c r="AP15" i="17"/>
  <c r="AN15" i="17"/>
  <c r="AM15" i="17"/>
  <c r="AL15" i="17"/>
  <c r="AI15" i="17"/>
  <c r="AH15" i="17"/>
  <c r="AG15" i="17"/>
  <c r="AF15" i="17"/>
  <c r="AD15" i="17"/>
  <c r="AC15" i="17"/>
  <c r="M15" i="17"/>
  <c r="L15" i="17"/>
  <c r="BQ14" i="17"/>
  <c r="BP14" i="17"/>
  <c r="BE14" i="17"/>
  <c r="AV14" i="17"/>
  <c r="AU14" i="17"/>
  <c r="AS14" i="17"/>
  <c r="AP14" i="17"/>
  <c r="AN14" i="17"/>
  <c r="AM14" i="17"/>
  <c r="AL14" i="17"/>
  <c r="AI14" i="17"/>
  <c r="AH14" i="17"/>
  <c r="AG14" i="17"/>
  <c r="AF14" i="17"/>
  <c r="AD14" i="17"/>
  <c r="AC14" i="17"/>
  <c r="M14" i="17"/>
  <c r="L14" i="17"/>
  <c r="BZ13" i="17"/>
  <c r="BY13" i="17"/>
  <c r="BV13" i="17"/>
  <c r="BQ13" i="17"/>
  <c r="BP13" i="17"/>
  <c r="BF13" i="17"/>
  <c r="BE13" i="17"/>
  <c r="AV13" i="17"/>
  <c r="AU13" i="17"/>
  <c r="AS13" i="17"/>
  <c r="AP13" i="17"/>
  <c r="AN13" i="17"/>
  <c r="AM13" i="17"/>
  <c r="AL13" i="17"/>
  <c r="AI13" i="17"/>
  <c r="AH13" i="17"/>
  <c r="AG13" i="17"/>
  <c r="AF13" i="17"/>
  <c r="AD13" i="17"/>
  <c r="AC13" i="17"/>
  <c r="M13" i="17"/>
  <c r="L13" i="17"/>
  <c r="BZ12" i="17"/>
  <c r="BY12" i="17"/>
  <c r="BV12" i="17"/>
  <c r="BQ12" i="17"/>
  <c r="BP12" i="17"/>
  <c r="BF12" i="17"/>
  <c r="BE12" i="17"/>
  <c r="AV12" i="17"/>
  <c r="AU12" i="17"/>
  <c r="AS12" i="17"/>
  <c r="AP12" i="17"/>
  <c r="AN12" i="17"/>
  <c r="AM12" i="17"/>
  <c r="AL12" i="17"/>
  <c r="AI12" i="17"/>
  <c r="AH12" i="17"/>
  <c r="AG12" i="17"/>
  <c r="AF12" i="17"/>
  <c r="AD12" i="17"/>
  <c r="AC12" i="17"/>
  <c r="M12" i="17"/>
  <c r="L12" i="17"/>
  <c r="BZ11" i="17"/>
  <c r="BY11" i="17"/>
  <c r="BV11" i="17"/>
  <c r="BQ11" i="17"/>
  <c r="BP11" i="17"/>
  <c r="BF11" i="17"/>
  <c r="BE11" i="17"/>
  <c r="AV11" i="17"/>
  <c r="AU11" i="17"/>
  <c r="AS11" i="17"/>
  <c r="AP11" i="17"/>
  <c r="AN11" i="17"/>
  <c r="AM11" i="17"/>
  <c r="AL11" i="17"/>
  <c r="AI11" i="17"/>
  <c r="AH11" i="17"/>
  <c r="AG11" i="17"/>
  <c r="AF11" i="17"/>
  <c r="AD11" i="17"/>
  <c r="AC11" i="17"/>
  <c r="M11" i="17"/>
  <c r="L11" i="17"/>
  <c r="BZ10" i="17"/>
  <c r="BY10" i="17"/>
  <c r="BV10" i="17"/>
  <c r="BQ10" i="17"/>
  <c r="BP10" i="17"/>
  <c r="BF10" i="17"/>
  <c r="BE10" i="17"/>
  <c r="AV10" i="17"/>
  <c r="AU10" i="17"/>
  <c r="AS10" i="17"/>
  <c r="AP10" i="17"/>
  <c r="AN10" i="17"/>
  <c r="AM10" i="17"/>
  <c r="AL10" i="17"/>
  <c r="AI10" i="17"/>
  <c r="AH10" i="17"/>
  <c r="AG10" i="17"/>
  <c r="AF10" i="17"/>
  <c r="AD10" i="17"/>
  <c r="AC10" i="17"/>
  <c r="L10" i="17"/>
  <c r="BZ9" i="17"/>
  <c r="BY9" i="17"/>
  <c r="BV9" i="17"/>
  <c r="BQ9" i="17"/>
  <c r="BP9" i="17"/>
  <c r="BF9" i="17"/>
  <c r="BE9" i="17"/>
  <c r="AV9" i="17"/>
  <c r="AU9" i="17"/>
  <c r="AS9" i="17"/>
  <c r="AP9" i="17"/>
  <c r="AN9" i="17"/>
  <c r="AM9" i="17"/>
  <c r="AL9" i="17"/>
  <c r="AI9" i="17"/>
  <c r="AH9" i="17"/>
  <c r="AG9" i="17"/>
  <c r="AF9" i="17"/>
  <c r="AD9" i="17"/>
  <c r="AC9" i="17"/>
  <c r="L9" i="17"/>
  <c r="BZ8" i="17"/>
  <c r="BY8" i="17"/>
  <c r="BV8" i="17"/>
  <c r="BQ8" i="17"/>
  <c r="BP8" i="17"/>
  <c r="BF8" i="17"/>
  <c r="BE8" i="17"/>
  <c r="AV8" i="17"/>
  <c r="AU8" i="17"/>
  <c r="AS8" i="17"/>
  <c r="AP8" i="17"/>
  <c r="AN8" i="17"/>
  <c r="AM8" i="17"/>
  <c r="AL8" i="17"/>
  <c r="AI8" i="17"/>
  <c r="AH8" i="17"/>
  <c r="AG8" i="17"/>
  <c r="AF8" i="17"/>
  <c r="AD8" i="17"/>
  <c r="AC8" i="17"/>
  <c r="L8" i="17"/>
  <c r="BZ7" i="17"/>
  <c r="BY7" i="17"/>
  <c r="BV7" i="17"/>
  <c r="BQ7" i="17"/>
  <c r="BP7" i="17"/>
  <c r="BF7" i="17"/>
  <c r="BE7" i="17"/>
  <c r="AV7" i="17"/>
  <c r="AU7" i="17"/>
  <c r="AS7" i="17"/>
  <c r="AP7" i="17"/>
  <c r="AN7" i="17"/>
  <c r="AM7" i="17"/>
  <c r="AL7" i="17"/>
  <c r="AI7" i="17"/>
  <c r="AH7" i="17"/>
  <c r="AG7" i="17"/>
  <c r="AF7" i="17"/>
  <c r="AD7" i="17"/>
  <c r="AC7" i="17"/>
  <c r="L7" i="17"/>
  <c r="BZ6" i="17"/>
  <c r="BY6" i="17"/>
  <c r="BV6" i="17"/>
  <c r="BQ6" i="17"/>
  <c r="BP6" i="17"/>
  <c r="BF6" i="17"/>
  <c r="BE6" i="17"/>
  <c r="AV6" i="17"/>
  <c r="AU6" i="17"/>
  <c r="AS6" i="17"/>
  <c r="AP6" i="17"/>
  <c r="AN6" i="17"/>
  <c r="AM6" i="17"/>
  <c r="AL6" i="17"/>
  <c r="AI6" i="17"/>
  <c r="AH6" i="17"/>
  <c r="AG6" i="17"/>
  <c r="AF6" i="17"/>
  <c r="AD6" i="17"/>
  <c r="AC6" i="17"/>
  <c r="BZ5" i="17"/>
  <c r="BY5" i="17"/>
  <c r="BV5" i="17"/>
  <c r="BQ5" i="17"/>
  <c r="BP5" i="17"/>
  <c r="BE5" i="17"/>
  <c r="AV5" i="17"/>
  <c r="AU5" i="17"/>
  <c r="AS5" i="17"/>
  <c r="AP5" i="17"/>
  <c r="AN5" i="17"/>
  <c r="AM5" i="17"/>
  <c r="AL5" i="17"/>
  <c r="AI5" i="17"/>
  <c r="AH5" i="17"/>
  <c r="AG5" i="17"/>
  <c r="AF5" i="17"/>
  <c r="AD5" i="17"/>
  <c r="AC5" i="17"/>
  <c r="BZ4" i="17"/>
  <c r="BY4" i="17"/>
  <c r="BV4" i="17"/>
  <c r="BQ4" i="17"/>
  <c r="BP4" i="17"/>
  <c r="BF4" i="17"/>
  <c r="BE4" i="17"/>
  <c r="AV4" i="17"/>
  <c r="AU4" i="17"/>
  <c r="AS4" i="17"/>
  <c r="AP4" i="17"/>
  <c r="AN4" i="17"/>
  <c r="AM4" i="17"/>
  <c r="AL4" i="17"/>
  <c r="AI4" i="17"/>
  <c r="AH4" i="17"/>
  <c r="AG4" i="17"/>
  <c r="AF4" i="17"/>
  <c r="AD4" i="17"/>
  <c r="AC4" i="17"/>
  <c r="I86" i="18"/>
  <c r="I84" i="18"/>
  <c r="I82" i="18"/>
  <c r="I79" i="18"/>
  <c r="BF76" i="18"/>
  <c r="BE76" i="18"/>
  <c r="BD76" i="18"/>
  <c r="BC76" i="18"/>
  <c r="BB76" i="18"/>
  <c r="BF73" i="18"/>
  <c r="BE73" i="18"/>
  <c r="BD73" i="18"/>
  <c r="BC73" i="18"/>
  <c r="BB73" i="18"/>
  <c r="BF72" i="18"/>
  <c r="BE72" i="18"/>
  <c r="BD72" i="18"/>
  <c r="BC72" i="18"/>
  <c r="BB72" i="18"/>
  <c r="BF71" i="18"/>
  <c r="BE71" i="18"/>
  <c r="BD71" i="18"/>
  <c r="BC71" i="18"/>
  <c r="BB71" i="18"/>
  <c r="BF70" i="18"/>
  <c r="BE70" i="18"/>
  <c r="BD70" i="18"/>
  <c r="BC70" i="18"/>
  <c r="BB70" i="18"/>
  <c r="BP69" i="18"/>
  <c r="BO69" i="18"/>
  <c r="BN69" i="18"/>
  <c r="BM69" i="18"/>
  <c r="BH63" i="18"/>
  <c r="BG63" i="18"/>
  <c r="BE63" i="18"/>
  <c r="BH62" i="18"/>
  <c r="BG62" i="18"/>
  <c r="BE62" i="18"/>
  <c r="BH61" i="18"/>
  <c r="BG61" i="18"/>
  <c r="BE61" i="18"/>
  <c r="BH60" i="18"/>
  <c r="BG60" i="18"/>
  <c r="BE60" i="18"/>
  <c r="BH59" i="18"/>
  <c r="BG59" i="18"/>
  <c r="BE59" i="18"/>
  <c r="BH58" i="18"/>
  <c r="BG58" i="18"/>
  <c r="BE58" i="18"/>
  <c r="J58" i="18"/>
  <c r="BH57" i="18"/>
  <c r="BG57" i="18"/>
  <c r="BE57" i="18"/>
  <c r="BH56" i="18"/>
  <c r="BG56" i="18"/>
  <c r="BE56" i="18"/>
  <c r="AP56" i="18"/>
  <c r="AM56" i="18"/>
  <c r="AL56" i="18"/>
  <c r="AK56" i="18"/>
  <c r="AI56" i="18"/>
  <c r="AH56" i="18"/>
  <c r="AG56" i="18"/>
  <c r="AF56" i="18"/>
  <c r="AD56" i="18"/>
  <c r="AC56" i="18"/>
  <c r="M56" i="18"/>
  <c r="L56" i="18"/>
  <c r="BH55" i="18"/>
  <c r="BG55" i="18"/>
  <c r="BE55" i="18"/>
  <c r="AP55" i="18"/>
  <c r="AM55" i="18"/>
  <c r="AL55" i="18"/>
  <c r="AK55" i="18"/>
  <c r="AI55" i="18"/>
  <c r="AH55" i="18"/>
  <c r="AG55" i="18"/>
  <c r="AF55" i="18"/>
  <c r="AD55" i="18"/>
  <c r="AC55" i="18"/>
  <c r="M55" i="18"/>
  <c r="L55" i="18"/>
  <c r="BH54" i="18"/>
  <c r="BG54" i="18"/>
  <c r="BE54" i="18"/>
  <c r="AP54" i="18"/>
  <c r="AM54" i="18"/>
  <c r="AL54" i="18"/>
  <c r="AK54" i="18"/>
  <c r="AI54" i="18"/>
  <c r="AH54" i="18"/>
  <c r="AG54" i="18"/>
  <c r="AF54" i="18"/>
  <c r="AD54" i="18"/>
  <c r="AC54" i="18"/>
  <c r="M54" i="18"/>
  <c r="L54" i="18"/>
  <c r="BH53" i="18"/>
  <c r="BG53" i="18"/>
  <c r="BE53" i="18"/>
  <c r="AP53" i="18"/>
  <c r="AN53" i="18"/>
  <c r="AM53" i="18"/>
  <c r="AL53" i="18"/>
  <c r="AK53" i="18"/>
  <c r="AI53" i="18"/>
  <c r="AH53" i="18"/>
  <c r="AG53" i="18"/>
  <c r="AF53" i="18"/>
  <c r="AD53" i="18"/>
  <c r="AC53" i="18"/>
  <c r="M53" i="18"/>
  <c r="L53" i="18"/>
  <c r="BH52" i="18"/>
  <c r="BG52" i="18"/>
  <c r="BE52" i="18"/>
  <c r="AP52" i="18"/>
  <c r="AN52" i="18"/>
  <c r="AM52" i="18"/>
  <c r="AL52" i="18"/>
  <c r="AK52" i="18"/>
  <c r="AI52" i="18"/>
  <c r="AH52" i="18"/>
  <c r="AG52" i="18"/>
  <c r="AF52" i="18"/>
  <c r="AD52" i="18"/>
  <c r="AC52" i="18"/>
  <c r="M52" i="18"/>
  <c r="L52" i="18"/>
  <c r="BH51" i="18"/>
  <c r="BG51" i="18"/>
  <c r="BE51" i="18"/>
  <c r="AP51" i="18"/>
  <c r="AN51" i="18"/>
  <c r="AM51" i="18"/>
  <c r="AL51" i="18"/>
  <c r="AK51" i="18"/>
  <c r="AI51" i="18"/>
  <c r="AH51" i="18"/>
  <c r="AG51" i="18"/>
  <c r="AF51" i="18"/>
  <c r="AD51" i="18"/>
  <c r="AC51" i="18"/>
  <c r="M51" i="18"/>
  <c r="L51" i="18"/>
  <c r="BN50" i="18"/>
  <c r="BH50" i="18"/>
  <c r="BG50" i="18"/>
  <c r="BE50" i="18"/>
  <c r="AP50" i="18"/>
  <c r="AN50" i="18"/>
  <c r="AM50" i="18"/>
  <c r="AL50" i="18"/>
  <c r="AK50" i="18"/>
  <c r="AI50" i="18"/>
  <c r="AH50" i="18"/>
  <c r="AG50" i="18"/>
  <c r="AF50" i="18"/>
  <c r="AD50" i="18"/>
  <c r="AC50" i="18"/>
  <c r="M50" i="18"/>
  <c r="L50" i="18"/>
  <c r="BH49" i="18"/>
  <c r="BG49" i="18"/>
  <c r="BE49" i="18"/>
  <c r="AP49" i="18"/>
  <c r="AN49" i="18"/>
  <c r="AM49" i="18"/>
  <c r="AL49" i="18"/>
  <c r="AK49" i="18"/>
  <c r="AI49" i="18"/>
  <c r="AH49" i="18"/>
  <c r="AG49" i="18"/>
  <c r="AF49" i="18"/>
  <c r="AD49" i="18"/>
  <c r="AC49" i="18"/>
  <c r="M49" i="18"/>
  <c r="L49" i="18"/>
  <c r="BN48" i="18"/>
  <c r="BH48" i="18"/>
  <c r="BG48" i="18"/>
  <c r="BE48" i="18"/>
  <c r="AP48" i="18"/>
  <c r="AN48" i="18"/>
  <c r="AM48" i="18"/>
  <c r="AL48" i="18"/>
  <c r="AK48" i="18"/>
  <c r="AI48" i="18"/>
  <c r="AH48" i="18"/>
  <c r="AG48" i="18"/>
  <c r="AF48" i="18"/>
  <c r="AD48" i="18"/>
  <c r="AC48" i="18"/>
  <c r="M48" i="18"/>
  <c r="L48" i="18"/>
  <c r="BH47" i="18"/>
  <c r="BG47" i="18"/>
  <c r="BE47" i="18"/>
  <c r="AP47" i="18"/>
  <c r="AN47" i="18"/>
  <c r="AM47" i="18"/>
  <c r="AL47" i="18"/>
  <c r="AK47" i="18"/>
  <c r="AI47" i="18"/>
  <c r="AH47" i="18"/>
  <c r="AG47" i="18"/>
  <c r="AF47" i="18"/>
  <c r="AD47" i="18"/>
  <c r="AC47" i="18"/>
  <c r="M47" i="18"/>
  <c r="L47" i="18"/>
  <c r="BH46" i="18"/>
  <c r="BG46" i="18"/>
  <c r="BE46" i="18"/>
  <c r="AP46" i="18"/>
  <c r="AN46" i="18"/>
  <c r="AM46" i="18"/>
  <c r="AL46" i="18"/>
  <c r="AK46" i="18"/>
  <c r="AI46" i="18"/>
  <c r="AH46" i="18"/>
  <c r="AG46" i="18"/>
  <c r="AF46" i="18"/>
  <c r="AD46" i="18"/>
  <c r="AC46" i="18"/>
  <c r="M46" i="18"/>
  <c r="L46" i="18"/>
  <c r="BH45" i="18"/>
  <c r="BG45" i="18"/>
  <c r="BE45" i="18"/>
  <c r="AP45" i="18"/>
  <c r="AN45" i="18"/>
  <c r="AM45" i="18"/>
  <c r="AL45" i="18"/>
  <c r="AK45" i="18"/>
  <c r="AI45" i="18"/>
  <c r="AH45" i="18"/>
  <c r="AG45" i="18"/>
  <c r="AF45" i="18"/>
  <c r="AD45" i="18"/>
  <c r="AC45" i="18"/>
  <c r="M45" i="18"/>
  <c r="L45" i="18"/>
  <c r="BH44" i="18"/>
  <c r="BG44" i="18"/>
  <c r="BE44" i="18"/>
  <c r="AP44" i="18"/>
  <c r="AN44" i="18"/>
  <c r="AM44" i="18"/>
  <c r="AL44" i="18"/>
  <c r="AK44" i="18"/>
  <c r="AI44" i="18"/>
  <c r="AH44" i="18"/>
  <c r="AG44" i="18"/>
  <c r="AF44" i="18"/>
  <c r="AD44" i="18"/>
  <c r="AC44" i="18"/>
  <c r="M44" i="18"/>
  <c r="L44" i="18"/>
  <c r="BH43" i="18"/>
  <c r="BG43" i="18"/>
  <c r="BE43" i="18"/>
  <c r="AP43" i="18"/>
  <c r="AN43" i="18"/>
  <c r="AM43" i="18"/>
  <c r="AL43" i="18"/>
  <c r="AK43" i="18"/>
  <c r="AI43" i="18"/>
  <c r="AH43" i="18"/>
  <c r="AG43" i="18"/>
  <c r="AF43" i="18"/>
  <c r="AD43" i="18"/>
  <c r="AC43" i="18"/>
  <c r="M43" i="18"/>
  <c r="L43" i="18"/>
  <c r="BH42" i="18"/>
  <c r="BG42" i="18"/>
  <c r="BE42" i="18"/>
  <c r="AP42" i="18"/>
  <c r="AN42" i="18"/>
  <c r="AM42" i="18"/>
  <c r="AL42" i="18"/>
  <c r="AK42" i="18"/>
  <c r="AI42" i="18"/>
  <c r="AH42" i="18"/>
  <c r="AG42" i="18"/>
  <c r="AF42" i="18"/>
  <c r="AD42" i="18"/>
  <c r="AC42" i="18"/>
  <c r="M42" i="18"/>
  <c r="L42" i="18"/>
  <c r="BQ41" i="18"/>
  <c r="BP41" i="18"/>
  <c r="BO41" i="18"/>
  <c r="BN41" i="18"/>
  <c r="BH41" i="18"/>
  <c r="BG41" i="18"/>
  <c r="BE41" i="18"/>
  <c r="AP41" i="18"/>
  <c r="AN41" i="18"/>
  <c r="AM41" i="18"/>
  <c r="AL41" i="18"/>
  <c r="AK41" i="18"/>
  <c r="AI41" i="18"/>
  <c r="AH41" i="18"/>
  <c r="AG41" i="18"/>
  <c r="AF41" i="18"/>
  <c r="AD41" i="18"/>
  <c r="AC41" i="18"/>
  <c r="M41" i="18"/>
  <c r="L41" i="18"/>
  <c r="BQ40" i="18"/>
  <c r="BP40" i="18"/>
  <c r="BO40" i="18"/>
  <c r="BN40" i="18"/>
  <c r="BH40" i="18"/>
  <c r="BG40" i="18"/>
  <c r="BE40" i="18"/>
  <c r="AP40" i="18"/>
  <c r="AN40" i="18"/>
  <c r="AM40" i="18"/>
  <c r="AL40" i="18"/>
  <c r="AK40" i="18"/>
  <c r="AI40" i="18"/>
  <c r="AH40" i="18"/>
  <c r="AG40" i="18"/>
  <c r="AF40" i="18"/>
  <c r="AD40" i="18"/>
  <c r="AC40" i="18"/>
  <c r="M40" i="18"/>
  <c r="L40" i="18"/>
  <c r="BH39" i="18"/>
  <c r="BG39" i="18"/>
  <c r="BE39" i="18"/>
  <c r="AP39" i="18"/>
  <c r="AN39" i="18"/>
  <c r="AM39" i="18"/>
  <c r="AL39" i="18"/>
  <c r="AK39" i="18"/>
  <c r="AI39" i="18"/>
  <c r="AH39" i="18"/>
  <c r="AG39" i="18"/>
  <c r="AF39" i="18"/>
  <c r="AD39" i="18"/>
  <c r="AC39" i="18"/>
  <c r="M39" i="18"/>
  <c r="L39" i="18"/>
  <c r="BH38" i="18"/>
  <c r="BG38" i="18"/>
  <c r="BE38" i="18"/>
  <c r="AP38" i="18"/>
  <c r="AN38" i="18"/>
  <c r="AM38" i="18"/>
  <c r="AL38" i="18"/>
  <c r="AK38" i="18"/>
  <c r="AI38" i="18"/>
  <c r="AH38" i="18"/>
  <c r="AG38" i="18"/>
  <c r="AF38" i="18"/>
  <c r="AD38" i="18"/>
  <c r="AC38" i="18"/>
  <c r="M38" i="18"/>
  <c r="L38" i="18"/>
  <c r="BH37" i="18"/>
  <c r="BG37" i="18"/>
  <c r="BE37" i="18"/>
  <c r="AP37" i="18"/>
  <c r="AN37" i="18"/>
  <c r="AM37" i="18"/>
  <c r="AL37" i="18"/>
  <c r="AK37" i="18"/>
  <c r="AI37" i="18"/>
  <c r="AH37" i="18"/>
  <c r="AG37" i="18"/>
  <c r="AF37" i="18"/>
  <c r="AD37" i="18"/>
  <c r="AC37" i="18"/>
  <c r="M37" i="18"/>
  <c r="L37" i="18"/>
  <c r="BH36" i="18"/>
  <c r="BG36" i="18"/>
  <c r="BE36" i="18"/>
  <c r="AP36" i="18"/>
  <c r="AN36" i="18"/>
  <c r="AM36" i="18"/>
  <c r="AL36" i="18"/>
  <c r="AK36" i="18"/>
  <c r="AI36" i="18"/>
  <c r="AH36" i="18"/>
  <c r="AG36" i="18"/>
  <c r="AF36" i="18"/>
  <c r="AD36" i="18"/>
  <c r="AC36" i="18"/>
  <c r="M36" i="18"/>
  <c r="L36" i="18"/>
  <c r="BH35" i="18"/>
  <c r="BG35" i="18"/>
  <c r="BE35" i="18"/>
  <c r="AP35" i="18"/>
  <c r="AN35" i="18"/>
  <c r="AM35" i="18"/>
  <c r="AL35" i="18"/>
  <c r="AK35" i="18"/>
  <c r="AI35" i="18"/>
  <c r="AH35" i="18"/>
  <c r="AG35" i="18"/>
  <c r="AF35" i="18"/>
  <c r="AD35" i="18"/>
  <c r="AC35" i="18"/>
  <c r="M35" i="18"/>
  <c r="L35" i="18"/>
  <c r="BH34" i="18"/>
  <c r="BG34" i="18"/>
  <c r="BE34" i="18"/>
  <c r="AP34" i="18"/>
  <c r="AN34" i="18"/>
  <c r="AM34" i="18"/>
  <c r="AL34" i="18"/>
  <c r="AK34" i="18"/>
  <c r="AI34" i="18"/>
  <c r="AH34" i="18"/>
  <c r="AG34" i="18"/>
  <c r="AF34" i="18"/>
  <c r="AD34" i="18"/>
  <c r="AC34" i="18"/>
  <c r="M34" i="18"/>
  <c r="L34" i="18"/>
  <c r="BH33" i="18"/>
  <c r="BG33" i="18"/>
  <c r="BE33" i="18"/>
  <c r="AP33" i="18"/>
  <c r="AN33" i="18"/>
  <c r="AM33" i="18"/>
  <c r="AL33" i="18"/>
  <c r="AK33" i="18"/>
  <c r="AI33" i="18"/>
  <c r="AH33" i="18"/>
  <c r="AG33" i="18"/>
  <c r="AF33" i="18"/>
  <c r="AD33" i="18"/>
  <c r="AC33" i="18"/>
  <c r="M33" i="18"/>
  <c r="L33" i="18"/>
  <c r="BH32" i="18"/>
  <c r="BG32" i="18"/>
  <c r="BE32" i="18"/>
  <c r="AP32" i="18"/>
  <c r="AN32" i="18"/>
  <c r="AM32" i="18"/>
  <c r="AL32" i="18"/>
  <c r="AK32" i="18"/>
  <c r="AI32" i="18"/>
  <c r="AH32" i="18"/>
  <c r="AG32" i="18"/>
  <c r="AF32" i="18"/>
  <c r="AD32" i="18"/>
  <c r="AC32" i="18"/>
  <c r="M32" i="18"/>
  <c r="L32" i="18"/>
  <c r="BH31" i="18"/>
  <c r="BG31" i="18"/>
  <c r="BE31" i="18"/>
  <c r="AP31" i="18"/>
  <c r="AN31" i="18"/>
  <c r="AM31" i="18"/>
  <c r="AL31" i="18"/>
  <c r="AK31" i="18"/>
  <c r="AI31" i="18"/>
  <c r="AH31" i="18"/>
  <c r="AG31" i="18"/>
  <c r="AF31" i="18"/>
  <c r="AD31" i="18"/>
  <c r="AC31" i="18"/>
  <c r="M31" i="18"/>
  <c r="L31" i="18"/>
  <c r="BH30" i="18"/>
  <c r="BG30" i="18"/>
  <c r="BE30" i="18"/>
  <c r="AP30" i="18"/>
  <c r="AN30" i="18"/>
  <c r="AM30" i="18"/>
  <c r="AL30" i="18"/>
  <c r="AK30" i="18"/>
  <c r="AI30" i="18"/>
  <c r="AH30" i="18"/>
  <c r="AG30" i="18"/>
  <c r="AF30" i="18"/>
  <c r="AD30" i="18"/>
  <c r="AC30" i="18"/>
  <c r="M30" i="18"/>
  <c r="L30" i="18"/>
  <c r="BH29" i="18"/>
  <c r="BG29" i="18"/>
  <c r="BE29" i="18"/>
  <c r="AP29" i="18"/>
  <c r="AN29" i="18"/>
  <c r="AM29" i="18"/>
  <c r="AL29" i="18"/>
  <c r="AK29" i="18"/>
  <c r="AI29" i="18"/>
  <c r="AH29" i="18"/>
  <c r="AG29" i="18"/>
  <c r="AF29" i="18"/>
  <c r="AD29" i="18"/>
  <c r="AC29" i="18"/>
  <c r="M29" i="18"/>
  <c r="L29" i="18"/>
  <c r="BH28" i="18"/>
  <c r="BG28" i="18"/>
  <c r="BE28" i="18"/>
  <c r="AP28" i="18"/>
  <c r="AN28" i="18"/>
  <c r="AM28" i="18"/>
  <c r="AL28" i="18"/>
  <c r="AK28" i="18"/>
  <c r="AI28" i="18"/>
  <c r="AH28" i="18"/>
  <c r="AG28" i="18"/>
  <c r="AF28" i="18"/>
  <c r="AD28" i="18"/>
  <c r="AC28" i="18"/>
  <c r="M28" i="18"/>
  <c r="L28" i="18"/>
  <c r="BH27" i="18"/>
  <c r="BG27" i="18"/>
  <c r="BE27" i="18"/>
  <c r="AP27" i="18"/>
  <c r="AN27" i="18"/>
  <c r="AM27" i="18"/>
  <c r="AL27" i="18"/>
  <c r="AK27" i="18"/>
  <c r="AI27" i="18"/>
  <c r="AH27" i="18"/>
  <c r="AG27" i="18"/>
  <c r="AF27" i="18"/>
  <c r="AD27" i="18"/>
  <c r="AC27" i="18"/>
  <c r="M27" i="18"/>
  <c r="L27" i="18"/>
  <c r="BH26" i="18"/>
  <c r="BG26" i="18"/>
  <c r="BE26" i="18"/>
  <c r="AP26" i="18"/>
  <c r="AN26" i="18"/>
  <c r="AM26" i="18"/>
  <c r="AL26" i="18"/>
  <c r="AK26" i="18"/>
  <c r="AI26" i="18"/>
  <c r="AH26" i="18"/>
  <c r="AG26" i="18"/>
  <c r="AF26" i="18"/>
  <c r="AD26" i="18"/>
  <c r="AC26" i="18"/>
  <c r="M26" i="18"/>
  <c r="L26" i="18"/>
  <c r="BH25" i="18"/>
  <c r="BG25" i="18"/>
  <c r="BE25" i="18"/>
  <c r="AP25" i="18"/>
  <c r="AN25" i="18"/>
  <c r="AM25" i="18"/>
  <c r="AL25" i="18"/>
  <c r="AK25" i="18"/>
  <c r="AI25" i="18"/>
  <c r="AH25" i="18"/>
  <c r="AG25" i="18"/>
  <c r="AF25" i="18"/>
  <c r="AD25" i="18"/>
  <c r="AC25" i="18"/>
  <c r="M25" i="18"/>
  <c r="L25" i="18"/>
  <c r="BH24" i="18"/>
  <c r="BG24" i="18"/>
  <c r="BE24" i="18"/>
  <c r="AP24" i="18"/>
  <c r="AN24" i="18"/>
  <c r="AM24" i="18"/>
  <c r="AL24" i="18"/>
  <c r="AK24" i="18"/>
  <c r="AI24" i="18"/>
  <c r="AH24" i="18"/>
  <c r="AG24" i="18"/>
  <c r="AF24" i="18"/>
  <c r="AD24" i="18"/>
  <c r="AC24" i="18"/>
  <c r="M24" i="18"/>
  <c r="L24" i="18"/>
  <c r="BH23" i="18"/>
  <c r="BG23" i="18"/>
  <c r="BE23" i="18"/>
  <c r="AP23" i="18"/>
  <c r="AN23" i="18"/>
  <c r="AM23" i="18"/>
  <c r="AL23" i="18"/>
  <c r="AK23" i="18"/>
  <c r="AI23" i="18"/>
  <c r="AH23" i="18"/>
  <c r="AG23" i="18"/>
  <c r="AF23" i="18"/>
  <c r="AD23" i="18"/>
  <c r="AC23" i="18"/>
  <c r="M23" i="18"/>
  <c r="L23" i="18"/>
  <c r="BH22" i="18"/>
  <c r="BG22" i="18"/>
  <c r="BE22" i="18"/>
  <c r="AP22" i="18"/>
  <c r="AN22" i="18"/>
  <c r="AM22" i="18"/>
  <c r="AL22" i="18"/>
  <c r="AK22" i="18"/>
  <c r="AI22" i="18"/>
  <c r="AH22" i="18"/>
  <c r="AG22" i="18"/>
  <c r="AF22" i="18"/>
  <c r="AD22" i="18"/>
  <c r="AC22" i="18"/>
  <c r="M22" i="18"/>
  <c r="L22" i="18"/>
  <c r="BH21" i="18"/>
  <c r="BG21" i="18"/>
  <c r="BE21" i="18"/>
  <c r="AP21" i="18"/>
  <c r="AN21" i="18"/>
  <c r="AM21" i="18"/>
  <c r="AL21" i="18"/>
  <c r="AK21" i="18"/>
  <c r="AI21" i="18"/>
  <c r="AH21" i="18"/>
  <c r="AG21" i="18"/>
  <c r="AF21" i="18"/>
  <c r="AD21" i="18"/>
  <c r="AC21" i="18"/>
  <c r="M21" i="18"/>
  <c r="L21" i="18"/>
  <c r="BQ20" i="18"/>
  <c r="BH20" i="18"/>
  <c r="BG20" i="18"/>
  <c r="BF20" i="18"/>
  <c r="BE20" i="18"/>
  <c r="AP20" i="18"/>
  <c r="AN20" i="18"/>
  <c r="AM20" i="18"/>
  <c r="AL20" i="18"/>
  <c r="AK20" i="18"/>
  <c r="AI20" i="18"/>
  <c r="AH20" i="18"/>
  <c r="AG20" i="18"/>
  <c r="AF20" i="18"/>
  <c r="AD20" i="18"/>
  <c r="AC20" i="18"/>
  <c r="M20" i="18"/>
  <c r="L20" i="18"/>
  <c r="BQ19" i="18"/>
  <c r="BH19" i="18"/>
  <c r="BG19" i="18"/>
  <c r="BF19" i="18"/>
  <c r="BE19" i="18"/>
  <c r="AP19" i="18"/>
  <c r="AN19" i="18"/>
  <c r="AM19" i="18"/>
  <c r="AL19" i="18"/>
  <c r="AK19" i="18"/>
  <c r="AI19" i="18"/>
  <c r="AH19" i="18"/>
  <c r="AG19" i="18"/>
  <c r="AF19" i="18"/>
  <c r="AD19" i="18"/>
  <c r="AC19" i="18"/>
  <c r="M19" i="18"/>
  <c r="L19" i="18"/>
  <c r="BQ18" i="18"/>
  <c r="BH18" i="18"/>
  <c r="BG18" i="18"/>
  <c r="BF18" i="18"/>
  <c r="BE18" i="18"/>
  <c r="AP18" i="18"/>
  <c r="AN18" i="18"/>
  <c r="AM18" i="18"/>
  <c r="AL18" i="18"/>
  <c r="AK18" i="18"/>
  <c r="AI18" i="18"/>
  <c r="AH18" i="18"/>
  <c r="AG18" i="18"/>
  <c r="AF18" i="18"/>
  <c r="AD18" i="18"/>
  <c r="AC18" i="18"/>
  <c r="M18" i="18"/>
  <c r="L18" i="18"/>
  <c r="BQ17" i="18"/>
  <c r="BP17" i="18"/>
  <c r="BH17" i="18"/>
  <c r="BG17" i="18"/>
  <c r="BF17" i="18"/>
  <c r="BE17" i="18"/>
  <c r="AT17" i="18"/>
  <c r="AS17" i="18"/>
  <c r="AP17" i="18"/>
  <c r="AN17" i="18"/>
  <c r="AM17" i="18"/>
  <c r="AL17" i="18"/>
  <c r="AK17" i="18"/>
  <c r="AI17" i="18"/>
  <c r="AH17" i="18"/>
  <c r="AG17" i="18"/>
  <c r="AF17" i="18"/>
  <c r="AD17" i="18"/>
  <c r="AC17" i="18"/>
  <c r="M17" i="18"/>
  <c r="L17" i="18"/>
  <c r="BQ16" i="18"/>
  <c r="BP16" i="18"/>
  <c r="BH16" i="18"/>
  <c r="BG16" i="18"/>
  <c r="BF16" i="18"/>
  <c r="BE16" i="18"/>
  <c r="AP16" i="18"/>
  <c r="AN16" i="18"/>
  <c r="AM16" i="18"/>
  <c r="AL16" i="18"/>
  <c r="AK16" i="18"/>
  <c r="AI16" i="18"/>
  <c r="AH16" i="18"/>
  <c r="AG16" i="18"/>
  <c r="AF16" i="18"/>
  <c r="AD16" i="18"/>
  <c r="AC16" i="18"/>
  <c r="M16" i="18"/>
  <c r="L16" i="18"/>
  <c r="BQ15" i="18"/>
  <c r="BP15" i="18"/>
  <c r="BH15" i="18"/>
  <c r="BG15" i="18"/>
  <c r="BF15" i="18"/>
  <c r="BE15" i="18"/>
  <c r="AV15" i="18"/>
  <c r="AU15" i="18"/>
  <c r="AS15" i="18"/>
  <c r="AP15" i="18"/>
  <c r="AN15" i="18"/>
  <c r="AM15" i="18"/>
  <c r="AL15" i="18"/>
  <c r="AK15" i="18"/>
  <c r="AI15" i="18"/>
  <c r="AH15" i="18"/>
  <c r="AG15" i="18"/>
  <c r="AF15" i="18"/>
  <c r="AD15" i="18"/>
  <c r="AC15" i="18"/>
  <c r="M15" i="18"/>
  <c r="L15" i="18"/>
  <c r="BQ14" i="18"/>
  <c r="BP14" i="18"/>
  <c r="BE14" i="18"/>
  <c r="AV14" i="18"/>
  <c r="AU14" i="18"/>
  <c r="AS14" i="18"/>
  <c r="AP14" i="18"/>
  <c r="AN14" i="18"/>
  <c r="AM14" i="18"/>
  <c r="AL14" i="18"/>
  <c r="AK14" i="18"/>
  <c r="AI14" i="18"/>
  <c r="AH14" i="18"/>
  <c r="AG14" i="18"/>
  <c r="AF14" i="18"/>
  <c r="AD14" i="18"/>
  <c r="AC14" i="18"/>
  <c r="M14" i="18"/>
  <c r="L14" i="18"/>
  <c r="BZ13" i="18"/>
  <c r="BY13" i="18"/>
  <c r="BV13" i="18"/>
  <c r="BQ13" i="18"/>
  <c r="BP13" i="18"/>
  <c r="BF13" i="18"/>
  <c r="BE13" i="18"/>
  <c r="AV13" i="18"/>
  <c r="AU13" i="18"/>
  <c r="AS13" i="18"/>
  <c r="AP13" i="18"/>
  <c r="AN13" i="18"/>
  <c r="AM13" i="18"/>
  <c r="AL13" i="18"/>
  <c r="AK13" i="18"/>
  <c r="AI13" i="18"/>
  <c r="AH13" i="18"/>
  <c r="AG13" i="18"/>
  <c r="AF13" i="18"/>
  <c r="AD13" i="18"/>
  <c r="AC13" i="18"/>
  <c r="M13" i="18"/>
  <c r="L13" i="18"/>
  <c r="BZ12" i="18"/>
  <c r="BY12" i="18"/>
  <c r="BV12" i="18"/>
  <c r="BQ12" i="18"/>
  <c r="BP12" i="18"/>
  <c r="BF12" i="18"/>
  <c r="BE12" i="18"/>
  <c r="AV12" i="18"/>
  <c r="AU12" i="18"/>
  <c r="AS12" i="18"/>
  <c r="AP12" i="18"/>
  <c r="AN12" i="18"/>
  <c r="AM12" i="18"/>
  <c r="AL12" i="18"/>
  <c r="AK12" i="18"/>
  <c r="AI12" i="18"/>
  <c r="AH12" i="18"/>
  <c r="AG12" i="18"/>
  <c r="AF12" i="18"/>
  <c r="AD12" i="18"/>
  <c r="AC12" i="18"/>
  <c r="M12" i="18"/>
  <c r="L12" i="18"/>
  <c r="BZ11" i="18"/>
  <c r="BY11" i="18"/>
  <c r="BV11" i="18"/>
  <c r="BQ11" i="18"/>
  <c r="BP11" i="18"/>
  <c r="BF11" i="18"/>
  <c r="BE11" i="18"/>
  <c r="AV11" i="18"/>
  <c r="AU11" i="18"/>
  <c r="AS11" i="18"/>
  <c r="AP11" i="18"/>
  <c r="AN11" i="18"/>
  <c r="AM11" i="18"/>
  <c r="AL11" i="18"/>
  <c r="AK11" i="18"/>
  <c r="AI11" i="18"/>
  <c r="AH11" i="18"/>
  <c r="AG11" i="18"/>
  <c r="AF11" i="18"/>
  <c r="AD11" i="18"/>
  <c r="AC11" i="18"/>
  <c r="M11" i="18"/>
  <c r="L11" i="18"/>
  <c r="BZ10" i="18"/>
  <c r="BY10" i="18"/>
  <c r="BV10" i="18"/>
  <c r="BQ10" i="18"/>
  <c r="BP10" i="18"/>
  <c r="BF10" i="18"/>
  <c r="BE10" i="18"/>
  <c r="AV10" i="18"/>
  <c r="AU10" i="18"/>
  <c r="AS10" i="18"/>
  <c r="AP10" i="18"/>
  <c r="AN10" i="18"/>
  <c r="AM10" i="18"/>
  <c r="AL10" i="18"/>
  <c r="AK10" i="18"/>
  <c r="AI10" i="18"/>
  <c r="AH10" i="18"/>
  <c r="AG10" i="18"/>
  <c r="AF10" i="18"/>
  <c r="AD10" i="18"/>
  <c r="AC10" i="18"/>
  <c r="L10" i="18"/>
  <c r="BZ9" i="18"/>
  <c r="BY9" i="18"/>
  <c r="BV9" i="18"/>
  <c r="BQ9" i="18"/>
  <c r="BP9" i="18"/>
  <c r="BF9" i="18"/>
  <c r="BE9" i="18"/>
  <c r="AV9" i="18"/>
  <c r="AU9" i="18"/>
  <c r="AS9" i="18"/>
  <c r="AP9" i="18"/>
  <c r="AN9" i="18"/>
  <c r="AM9" i="18"/>
  <c r="AL9" i="18"/>
  <c r="AK9" i="18"/>
  <c r="AI9" i="18"/>
  <c r="AH9" i="18"/>
  <c r="AG9" i="18"/>
  <c r="AF9" i="18"/>
  <c r="AD9" i="18"/>
  <c r="AC9" i="18"/>
  <c r="L9" i="18"/>
  <c r="BZ8" i="18"/>
  <c r="BY8" i="18"/>
  <c r="BV8" i="18"/>
  <c r="BQ8" i="18"/>
  <c r="BP8" i="18"/>
  <c r="BF8" i="18"/>
  <c r="BE8" i="18"/>
  <c r="AV8" i="18"/>
  <c r="AU8" i="18"/>
  <c r="AS8" i="18"/>
  <c r="AP8" i="18"/>
  <c r="AN8" i="18"/>
  <c r="AM8" i="18"/>
  <c r="AL8" i="18"/>
  <c r="AK8" i="18"/>
  <c r="AI8" i="18"/>
  <c r="AH8" i="18"/>
  <c r="AG8" i="18"/>
  <c r="AF8" i="18"/>
  <c r="AD8" i="18"/>
  <c r="AC8" i="18"/>
  <c r="L8" i="18"/>
  <c r="BZ7" i="18"/>
  <c r="BY7" i="18"/>
  <c r="BV7" i="18"/>
  <c r="BQ7" i="18"/>
  <c r="BP7" i="18"/>
  <c r="BF7" i="18"/>
  <c r="BE7" i="18"/>
  <c r="AV7" i="18"/>
  <c r="AU7" i="18"/>
  <c r="AS7" i="18"/>
  <c r="AP7" i="18"/>
  <c r="AN7" i="18"/>
  <c r="AM7" i="18"/>
  <c r="AL7" i="18"/>
  <c r="AK7" i="18"/>
  <c r="AI7" i="18"/>
  <c r="AH7" i="18"/>
  <c r="AG7" i="18"/>
  <c r="AF7" i="18"/>
  <c r="AD7" i="18"/>
  <c r="AC7" i="18"/>
  <c r="L7" i="18"/>
  <c r="BZ6" i="18"/>
  <c r="BY6" i="18"/>
  <c r="BV6" i="18"/>
  <c r="BQ6" i="18"/>
  <c r="BP6" i="18"/>
  <c r="BF6" i="18"/>
  <c r="BE6" i="18"/>
  <c r="AV6" i="18"/>
  <c r="AU6" i="18"/>
  <c r="AS6" i="18"/>
  <c r="AP6" i="18"/>
  <c r="AN6" i="18"/>
  <c r="AM6" i="18"/>
  <c r="AL6" i="18"/>
  <c r="AK6" i="18"/>
  <c r="AI6" i="18"/>
  <c r="AH6" i="18"/>
  <c r="AG6" i="18"/>
  <c r="AF6" i="18"/>
  <c r="AD6" i="18"/>
  <c r="AC6" i="18"/>
  <c r="BZ5" i="18"/>
  <c r="BY5" i="18"/>
  <c r="BV5" i="18"/>
  <c r="BQ5" i="18"/>
  <c r="BP5" i="18"/>
  <c r="BE5" i="18"/>
  <c r="AV5" i="18"/>
  <c r="AU5" i="18"/>
  <c r="AS5" i="18"/>
  <c r="AP5" i="18"/>
  <c r="AN5" i="18"/>
  <c r="AM5" i="18"/>
  <c r="AL5" i="18"/>
  <c r="AK5" i="18"/>
  <c r="AI5" i="18"/>
  <c r="AH5" i="18"/>
  <c r="AG5" i="18"/>
  <c r="AF5" i="18"/>
  <c r="AD5" i="18"/>
  <c r="AC5" i="18"/>
  <c r="BZ4" i="18"/>
  <c r="BY4" i="18"/>
  <c r="BV4" i="18"/>
  <c r="BQ4" i="18"/>
  <c r="BP4" i="18"/>
  <c r="BF4" i="18"/>
  <c r="BE4" i="18"/>
  <c r="AV4" i="18"/>
  <c r="AU4" i="18"/>
  <c r="AS4" i="18"/>
  <c r="AP4" i="18"/>
  <c r="AN4" i="18"/>
  <c r="AM4" i="18"/>
  <c r="AL4" i="18"/>
  <c r="AK4" i="18"/>
  <c r="AI4" i="18"/>
  <c r="AH4" i="18"/>
  <c r="AG4" i="18"/>
  <c r="AF4" i="18"/>
  <c r="AD4" i="18"/>
  <c r="AC4" i="18"/>
  <c r="BF96" i="19"/>
  <c r="BE96" i="19"/>
  <c r="BD96" i="19"/>
  <c r="BC96" i="19"/>
  <c r="BB96" i="19"/>
  <c r="BF93" i="19"/>
  <c r="BE93" i="19"/>
  <c r="BD93" i="19"/>
  <c r="BC93" i="19"/>
  <c r="BB93" i="19"/>
  <c r="BF92" i="19"/>
  <c r="BE92" i="19"/>
  <c r="BD92" i="19"/>
  <c r="BC92" i="19"/>
  <c r="BB92" i="19"/>
  <c r="BF91" i="19"/>
  <c r="BE91" i="19"/>
  <c r="BD91" i="19"/>
  <c r="BC91" i="19"/>
  <c r="BB91" i="19"/>
  <c r="I86" i="19"/>
  <c r="I84" i="19"/>
  <c r="I82" i="19"/>
  <c r="I79" i="19"/>
  <c r="BE75" i="19"/>
  <c r="BE74" i="19"/>
  <c r="BE73" i="19"/>
  <c r="BE72" i="19"/>
  <c r="BE71" i="19"/>
  <c r="BE70" i="19"/>
  <c r="BP69" i="19"/>
  <c r="BO69" i="19"/>
  <c r="BN69" i="19"/>
  <c r="BM69" i="19"/>
  <c r="BE69" i="19"/>
  <c r="BE68" i="19"/>
  <c r="BE67" i="19"/>
  <c r="BE66" i="19"/>
  <c r="BE65" i="19"/>
  <c r="BE64" i="19"/>
  <c r="BH63" i="19"/>
  <c r="BG63" i="19"/>
  <c r="BE63" i="19"/>
  <c r="BH62" i="19"/>
  <c r="BG62" i="19"/>
  <c r="BE62" i="19"/>
  <c r="BH61" i="19"/>
  <c r="BG61" i="19"/>
  <c r="BE61" i="19"/>
  <c r="BH60" i="19"/>
  <c r="BG60" i="19"/>
  <c r="BE60" i="19"/>
  <c r="BH59" i="19"/>
  <c r="BG59" i="19"/>
  <c r="BE59" i="19"/>
  <c r="BH58" i="19"/>
  <c r="BG58" i="19"/>
  <c r="BE58" i="19"/>
  <c r="J58" i="19"/>
  <c r="BH57" i="19"/>
  <c r="BG57" i="19"/>
  <c r="BE57" i="19"/>
  <c r="BH56" i="19"/>
  <c r="BG56" i="19"/>
  <c r="BE56" i="19"/>
  <c r="AP56" i="19"/>
  <c r="AK56" i="19"/>
  <c r="AL56" i="19" s="1"/>
  <c r="AC56" i="19"/>
  <c r="M56" i="19"/>
  <c r="L56" i="19"/>
  <c r="BH55" i="19"/>
  <c r="BG55" i="19"/>
  <c r="BE55" i="19"/>
  <c r="AP55" i="19"/>
  <c r="AL55" i="19"/>
  <c r="AC55" i="19"/>
  <c r="AD55" i="19" s="1"/>
  <c r="M55" i="19"/>
  <c r="L55" i="19"/>
  <c r="BH54" i="19"/>
  <c r="BG54" i="19"/>
  <c r="BE54" i="19"/>
  <c r="AP54" i="19"/>
  <c r="AL54" i="19"/>
  <c r="AC54" i="19"/>
  <c r="AD54" i="19" s="1"/>
  <c r="M54" i="19"/>
  <c r="L54" i="19"/>
  <c r="BH53" i="19"/>
  <c r="BG53" i="19"/>
  <c r="BE53" i="19"/>
  <c r="AP53" i="19"/>
  <c r="AL53" i="19"/>
  <c r="AC53" i="19"/>
  <c r="AD53" i="19" s="1"/>
  <c r="M53" i="19"/>
  <c r="L53" i="19"/>
  <c r="BH52" i="19"/>
  <c r="BG52" i="19"/>
  <c r="BE52" i="19"/>
  <c r="AP52" i="19"/>
  <c r="AL52" i="19"/>
  <c r="AC52" i="19"/>
  <c r="AD52" i="19" s="1"/>
  <c r="M52" i="19"/>
  <c r="L52" i="19"/>
  <c r="BH51" i="19"/>
  <c r="BG51" i="19"/>
  <c r="BE51" i="19"/>
  <c r="AP51" i="19"/>
  <c r="AL51" i="19"/>
  <c r="AC51" i="19"/>
  <c r="AD51" i="19" s="1"/>
  <c r="M51" i="19"/>
  <c r="L51" i="19"/>
  <c r="BN50" i="19"/>
  <c r="BH50" i="19"/>
  <c r="BG50" i="19"/>
  <c r="BE50" i="19"/>
  <c r="AP50" i="19"/>
  <c r="AL50" i="19"/>
  <c r="AC50" i="19"/>
  <c r="AD50" i="19" s="1"/>
  <c r="M50" i="19"/>
  <c r="L50" i="19"/>
  <c r="BH49" i="19"/>
  <c r="BG49" i="19"/>
  <c r="BE49" i="19"/>
  <c r="AP49" i="19"/>
  <c r="AL49" i="19"/>
  <c r="AC49" i="19"/>
  <c r="AD49" i="19" s="1"/>
  <c r="M49" i="19"/>
  <c r="L49" i="19"/>
  <c r="BN48" i="19"/>
  <c r="BH48" i="19"/>
  <c r="BG48" i="19"/>
  <c r="BE48" i="19"/>
  <c r="AP48" i="19"/>
  <c r="AL48" i="19"/>
  <c r="AC48" i="19"/>
  <c r="AD48" i="19" s="1"/>
  <c r="M48" i="19"/>
  <c r="L48" i="19"/>
  <c r="BH47" i="19"/>
  <c r="BG47" i="19"/>
  <c r="BE47" i="19"/>
  <c r="AP47" i="19"/>
  <c r="AL47" i="19"/>
  <c r="AC47" i="19"/>
  <c r="AD47" i="19" s="1"/>
  <c r="M47" i="19"/>
  <c r="L47" i="19"/>
  <c r="BH46" i="19"/>
  <c r="BG46" i="19"/>
  <c r="BE46" i="19"/>
  <c r="AP46" i="19"/>
  <c r="AL46" i="19"/>
  <c r="AC46" i="19"/>
  <c r="AD46" i="19" s="1"/>
  <c r="M46" i="19"/>
  <c r="L46" i="19"/>
  <c r="BH45" i="19"/>
  <c r="BG45" i="19"/>
  <c r="BE45" i="19"/>
  <c r="AP45" i="19"/>
  <c r="AL45" i="19"/>
  <c r="AC45" i="19"/>
  <c r="AD45" i="19" s="1"/>
  <c r="M45" i="19"/>
  <c r="L45" i="19"/>
  <c r="BH44" i="19"/>
  <c r="BG44" i="19"/>
  <c r="BE44" i="19"/>
  <c r="AP44" i="19"/>
  <c r="AL44" i="19"/>
  <c r="AC44" i="19"/>
  <c r="AD44" i="19" s="1"/>
  <c r="M44" i="19"/>
  <c r="L44" i="19"/>
  <c r="BH43" i="19"/>
  <c r="BG43" i="19"/>
  <c r="BE43" i="19"/>
  <c r="AP43" i="19"/>
  <c r="AL43" i="19"/>
  <c r="AC43" i="19"/>
  <c r="AD43" i="19" s="1"/>
  <c r="M43" i="19"/>
  <c r="L43" i="19"/>
  <c r="BH42" i="19"/>
  <c r="BG42" i="19"/>
  <c r="BE42" i="19"/>
  <c r="AP42" i="19"/>
  <c r="AL42" i="19"/>
  <c r="AC42" i="19"/>
  <c r="AD42" i="19" s="1"/>
  <c r="M42" i="19"/>
  <c r="L42" i="19"/>
  <c r="BQ41" i="19"/>
  <c r="BP41" i="19"/>
  <c r="BO41" i="19"/>
  <c r="BN41" i="19"/>
  <c r="BH41" i="19"/>
  <c r="BG41" i="19"/>
  <c r="BE41" i="19"/>
  <c r="AP41" i="19"/>
  <c r="AL41" i="19"/>
  <c r="AC41" i="19"/>
  <c r="AD41" i="19" s="1"/>
  <c r="L41" i="19"/>
  <c r="BQ40" i="19"/>
  <c r="BP40" i="19"/>
  <c r="BO40" i="19"/>
  <c r="BN40" i="19"/>
  <c r="BH40" i="19"/>
  <c r="BG40" i="19"/>
  <c r="BE40" i="19"/>
  <c r="AP40" i="19"/>
  <c r="AL40" i="19"/>
  <c r="AC40" i="19"/>
  <c r="AD40" i="19" s="1"/>
  <c r="M40" i="19"/>
  <c r="L40" i="19"/>
  <c r="BH39" i="19"/>
  <c r="BG39" i="19"/>
  <c r="BE39" i="19"/>
  <c r="AP39" i="19"/>
  <c r="AL39" i="19"/>
  <c r="AC39" i="19"/>
  <c r="AD39" i="19" s="1"/>
  <c r="M39" i="19"/>
  <c r="L39" i="19"/>
  <c r="BH38" i="19"/>
  <c r="BG38" i="19"/>
  <c r="BE38" i="19"/>
  <c r="AP38" i="19"/>
  <c r="AL38" i="19"/>
  <c r="AC38" i="19"/>
  <c r="AD38" i="19" s="1"/>
  <c r="M38" i="19"/>
  <c r="L38" i="19"/>
  <c r="BH37" i="19"/>
  <c r="BG37" i="19"/>
  <c r="BE37" i="19"/>
  <c r="AP37" i="19"/>
  <c r="AL37" i="19"/>
  <c r="AC37" i="19"/>
  <c r="AD37" i="19" s="1"/>
  <c r="M37" i="19"/>
  <c r="L37" i="19"/>
  <c r="BH36" i="19"/>
  <c r="BG36" i="19"/>
  <c r="BE36" i="19"/>
  <c r="AP36" i="19"/>
  <c r="AL36" i="19"/>
  <c r="AC36" i="19"/>
  <c r="AD36" i="19" s="1"/>
  <c r="M36" i="19"/>
  <c r="L36" i="19"/>
  <c r="BH35" i="19"/>
  <c r="BG35" i="19"/>
  <c r="BE35" i="19"/>
  <c r="AP35" i="19"/>
  <c r="AL35" i="19"/>
  <c r="AC35" i="19"/>
  <c r="AD35" i="19" s="1"/>
  <c r="M35" i="19"/>
  <c r="L35" i="19"/>
  <c r="BH34" i="19"/>
  <c r="BG34" i="19"/>
  <c r="BE34" i="19"/>
  <c r="AP34" i="19"/>
  <c r="AL34" i="19"/>
  <c r="AC34" i="19"/>
  <c r="AD34" i="19" s="1"/>
  <c r="M34" i="19"/>
  <c r="L34" i="19"/>
  <c r="BH33" i="19"/>
  <c r="BG33" i="19"/>
  <c r="BE33" i="19"/>
  <c r="AP33" i="19"/>
  <c r="AL33" i="19"/>
  <c r="AC33" i="19"/>
  <c r="M33" i="19"/>
  <c r="L33" i="19"/>
  <c r="BH32" i="19"/>
  <c r="BG32" i="19"/>
  <c r="BE32" i="19"/>
  <c r="AP32" i="19"/>
  <c r="AL32" i="19"/>
  <c r="AC32" i="19"/>
  <c r="AD32" i="19" s="1"/>
  <c r="M32" i="19"/>
  <c r="L32" i="19"/>
  <c r="BH31" i="19"/>
  <c r="BG31" i="19"/>
  <c r="BE31" i="19"/>
  <c r="AP31" i="19"/>
  <c r="AL31" i="19"/>
  <c r="AD31" i="19"/>
  <c r="AC31" i="19"/>
  <c r="M31" i="19"/>
  <c r="L31" i="19"/>
  <c r="BH30" i="19"/>
  <c r="BG30" i="19"/>
  <c r="BE30" i="19"/>
  <c r="AP30" i="19"/>
  <c r="AL30" i="19"/>
  <c r="AC30" i="19"/>
  <c r="AD30" i="19" s="1"/>
  <c r="M30" i="19"/>
  <c r="L30" i="19"/>
  <c r="BH29" i="19"/>
  <c r="BG29" i="19"/>
  <c r="BE29" i="19"/>
  <c r="AP29" i="19"/>
  <c r="AL29" i="19"/>
  <c r="AC29" i="19"/>
  <c r="AD29" i="19" s="1"/>
  <c r="M29" i="19"/>
  <c r="L29" i="19"/>
  <c r="BH28" i="19"/>
  <c r="BG28" i="19"/>
  <c r="BE28" i="19"/>
  <c r="AP28" i="19"/>
  <c r="AL28" i="19"/>
  <c r="AD28" i="19"/>
  <c r="AC28" i="19"/>
  <c r="M28" i="19"/>
  <c r="L28" i="19"/>
  <c r="BH27" i="19"/>
  <c r="BG27" i="19"/>
  <c r="BE27" i="19"/>
  <c r="AP27" i="19"/>
  <c r="AL27" i="19"/>
  <c r="AD27" i="19"/>
  <c r="AC27" i="19"/>
  <c r="M27" i="19"/>
  <c r="L27" i="19"/>
  <c r="BH26" i="19"/>
  <c r="BG26" i="19"/>
  <c r="BE26" i="19"/>
  <c r="AP26" i="19"/>
  <c r="AL26" i="19"/>
  <c r="AC26" i="19"/>
  <c r="AD26" i="19" s="1"/>
  <c r="M26" i="19"/>
  <c r="L26" i="19"/>
  <c r="BH25" i="19"/>
  <c r="BG25" i="19"/>
  <c r="BE25" i="19"/>
  <c r="AP25" i="19"/>
  <c r="AL25" i="19"/>
  <c r="AC25" i="19"/>
  <c r="AD25" i="19" s="1"/>
  <c r="M25" i="19"/>
  <c r="L25" i="19"/>
  <c r="BH24" i="19"/>
  <c r="BG24" i="19"/>
  <c r="BE24" i="19"/>
  <c r="AP24" i="19"/>
  <c r="AL24" i="19"/>
  <c r="AC24" i="19"/>
  <c r="AD24" i="19" s="1"/>
  <c r="M24" i="19"/>
  <c r="L24" i="19"/>
  <c r="BH23" i="19"/>
  <c r="BG23" i="19"/>
  <c r="BE23" i="19"/>
  <c r="AP23" i="19"/>
  <c r="AL23" i="19"/>
  <c r="AC23" i="19"/>
  <c r="AD23" i="19" s="1"/>
  <c r="M23" i="19"/>
  <c r="L23" i="19"/>
  <c r="BH22" i="19"/>
  <c r="BG22" i="19"/>
  <c r="BE22" i="19"/>
  <c r="AP22" i="19"/>
  <c r="AL22" i="19"/>
  <c r="AC22" i="19"/>
  <c r="AD22" i="19" s="1"/>
  <c r="M22" i="19"/>
  <c r="L22" i="19"/>
  <c r="BH21" i="19"/>
  <c r="BG21" i="19"/>
  <c r="BE21" i="19"/>
  <c r="AP21" i="19"/>
  <c r="AL21" i="19"/>
  <c r="AD21" i="19"/>
  <c r="AC21" i="19"/>
  <c r="M21" i="19"/>
  <c r="L21" i="19"/>
  <c r="BQ20" i="19"/>
  <c r="BH20" i="19"/>
  <c r="BG20" i="19"/>
  <c r="BF20" i="19"/>
  <c r="BE20" i="19"/>
  <c r="AP20" i="19"/>
  <c r="AL20" i="19"/>
  <c r="AC20" i="19"/>
  <c r="AD20" i="19" s="1"/>
  <c r="M20" i="19"/>
  <c r="L20" i="19"/>
  <c r="BQ19" i="19"/>
  <c r="BH19" i="19"/>
  <c r="BG19" i="19"/>
  <c r="BF19" i="19"/>
  <c r="BE19" i="19"/>
  <c r="AP19" i="19"/>
  <c r="AL19" i="19"/>
  <c r="AC19" i="19"/>
  <c r="AD19" i="19" s="1"/>
  <c r="M19" i="19"/>
  <c r="L19" i="19"/>
  <c r="BQ18" i="19"/>
  <c r="BH18" i="19"/>
  <c r="BG18" i="19"/>
  <c r="BF18" i="19"/>
  <c r="BE18" i="19"/>
  <c r="AP18" i="19"/>
  <c r="AL18" i="19"/>
  <c r="AD18" i="19"/>
  <c r="AC18" i="19"/>
  <c r="M18" i="19"/>
  <c r="L18" i="19"/>
  <c r="BQ17" i="19"/>
  <c r="BP17" i="19"/>
  <c r="BH17" i="19"/>
  <c r="BG17" i="19"/>
  <c r="BF17" i="19"/>
  <c r="BE17" i="19"/>
  <c r="AT17" i="19"/>
  <c r="AP17" i="19"/>
  <c r="AL17" i="19"/>
  <c r="AC17" i="19"/>
  <c r="AD17" i="19" s="1"/>
  <c r="M17" i="19"/>
  <c r="L17" i="19"/>
  <c r="BQ16" i="19"/>
  <c r="BP16" i="19"/>
  <c r="BH16" i="19"/>
  <c r="BG16" i="19"/>
  <c r="BF16" i="19"/>
  <c r="BE16" i="19"/>
  <c r="AP16" i="19"/>
  <c r="AL16" i="19"/>
  <c r="AC16" i="19"/>
  <c r="AD16" i="19" s="1"/>
  <c r="M16" i="19"/>
  <c r="L16" i="19"/>
  <c r="BQ15" i="19"/>
  <c r="BP15" i="19"/>
  <c r="BH15" i="19"/>
  <c r="BG15" i="19"/>
  <c r="BF15" i="19"/>
  <c r="BE15" i="19"/>
  <c r="AV15" i="19"/>
  <c r="AS15" i="19"/>
  <c r="AU15" i="19" s="1"/>
  <c r="AP15" i="19"/>
  <c r="AL15" i="19"/>
  <c r="AC15" i="19"/>
  <c r="AD15" i="19" s="1"/>
  <c r="M15" i="19"/>
  <c r="L15" i="19"/>
  <c r="BQ14" i="19"/>
  <c r="BP14" i="19"/>
  <c r="BE14" i="19"/>
  <c r="AV14" i="19"/>
  <c r="AS14" i="19"/>
  <c r="AP14" i="19"/>
  <c r="AL14" i="19"/>
  <c r="AC14" i="19"/>
  <c r="AD14" i="19" s="1"/>
  <c r="M14" i="19"/>
  <c r="L14" i="19"/>
  <c r="BZ13" i="19"/>
  <c r="BY13" i="19"/>
  <c r="BV13" i="19"/>
  <c r="BQ13" i="19"/>
  <c r="BP13" i="19"/>
  <c r="BF13" i="19"/>
  <c r="BE13" i="19"/>
  <c r="AV13" i="19"/>
  <c r="AS13" i="19"/>
  <c r="AU13" i="19" s="1"/>
  <c r="AP13" i="19"/>
  <c r="AL13" i="19"/>
  <c r="AC13" i="19"/>
  <c r="AD13" i="19" s="1"/>
  <c r="M13" i="19"/>
  <c r="L13" i="19"/>
  <c r="BZ12" i="19"/>
  <c r="BY12" i="19"/>
  <c r="BV12" i="19"/>
  <c r="BQ12" i="19"/>
  <c r="BP12" i="19"/>
  <c r="BF12" i="19"/>
  <c r="BE12" i="19"/>
  <c r="AV12" i="19"/>
  <c r="AS12" i="19"/>
  <c r="AU12" i="19" s="1"/>
  <c r="AP12" i="19"/>
  <c r="AL12" i="19"/>
  <c r="AC12" i="19"/>
  <c r="AD12" i="19" s="1"/>
  <c r="M12" i="19"/>
  <c r="L12" i="19"/>
  <c r="BZ11" i="19"/>
  <c r="BY11" i="19"/>
  <c r="BV11" i="19"/>
  <c r="BQ11" i="19"/>
  <c r="BP11" i="19"/>
  <c r="BF11" i="19"/>
  <c r="BE11" i="19"/>
  <c r="AV11" i="19"/>
  <c r="AS11" i="19"/>
  <c r="AP11" i="19"/>
  <c r="AL11" i="19"/>
  <c r="AD11" i="19"/>
  <c r="AC11" i="19"/>
  <c r="M11" i="19"/>
  <c r="L11" i="19"/>
  <c r="BZ10" i="19"/>
  <c r="BY10" i="19"/>
  <c r="BV10" i="19"/>
  <c r="BQ10" i="19"/>
  <c r="BP10" i="19"/>
  <c r="BF10" i="19"/>
  <c r="BE10" i="19"/>
  <c r="AV10" i="19"/>
  <c r="AS10" i="19"/>
  <c r="AU10" i="19" s="1"/>
  <c r="AP10" i="19"/>
  <c r="AL10" i="19"/>
  <c r="AC10" i="19"/>
  <c r="AD10" i="19" s="1"/>
  <c r="L10" i="19"/>
  <c r="BZ9" i="19"/>
  <c r="BY9" i="19"/>
  <c r="BV9" i="19"/>
  <c r="BQ9" i="19"/>
  <c r="BP9" i="19"/>
  <c r="BF9" i="19"/>
  <c r="BE9" i="19"/>
  <c r="AV9" i="19"/>
  <c r="AS9" i="19"/>
  <c r="AU9" i="19" s="1"/>
  <c r="AP9" i="19"/>
  <c r="AL9" i="19"/>
  <c r="AC9" i="19"/>
  <c r="AD9" i="19" s="1"/>
  <c r="L9" i="19"/>
  <c r="BZ8" i="19"/>
  <c r="BY8" i="19"/>
  <c r="BV8" i="19"/>
  <c r="BQ8" i="19"/>
  <c r="BP8" i="19"/>
  <c r="BF8" i="19"/>
  <c r="BE8" i="19"/>
  <c r="AV8" i="19"/>
  <c r="AS8" i="19"/>
  <c r="AU8" i="19" s="1"/>
  <c r="AP8" i="19"/>
  <c r="AL8" i="19"/>
  <c r="AC8" i="19"/>
  <c r="AD8" i="19" s="1"/>
  <c r="L8" i="19"/>
  <c r="BZ7" i="19"/>
  <c r="BY7" i="19"/>
  <c r="BV7" i="19"/>
  <c r="BQ7" i="19"/>
  <c r="BP7" i="19"/>
  <c r="BF7" i="19"/>
  <c r="BE7" i="19"/>
  <c r="AV7" i="19"/>
  <c r="AS7" i="19"/>
  <c r="AU7" i="19" s="1"/>
  <c r="AP7" i="19"/>
  <c r="AL7" i="19"/>
  <c r="AC7" i="19"/>
  <c r="AD7" i="19" s="1"/>
  <c r="L7" i="19"/>
  <c r="BZ6" i="19"/>
  <c r="BY6" i="19"/>
  <c r="BV6" i="19"/>
  <c r="BQ6" i="19"/>
  <c r="BP6" i="19"/>
  <c r="BF6" i="19"/>
  <c r="BE6" i="19"/>
  <c r="AV6" i="19"/>
  <c r="AS6" i="19"/>
  <c r="AU6" i="19" s="1"/>
  <c r="AP6" i="19"/>
  <c r="AL6" i="19"/>
  <c r="AD6" i="19"/>
  <c r="AC6" i="19"/>
  <c r="BZ5" i="19"/>
  <c r="BY5" i="19"/>
  <c r="BV5" i="19"/>
  <c r="BQ5" i="19"/>
  <c r="BP5" i="19"/>
  <c r="BE5" i="19"/>
  <c r="AV5" i="19"/>
  <c r="AS5" i="19"/>
  <c r="AP5" i="19"/>
  <c r="AL5" i="19"/>
  <c r="AH5" i="19"/>
  <c r="AG5" i="19"/>
  <c r="AG6" i="19" s="1"/>
  <c r="AG7" i="19" s="1"/>
  <c r="AG8" i="19" s="1"/>
  <c r="AG9" i="19" s="1"/>
  <c r="AG10" i="19" s="1"/>
  <c r="AG11" i="19" s="1"/>
  <c r="AG12" i="19" s="1"/>
  <c r="AG13" i="19" s="1"/>
  <c r="AG14" i="19" s="1"/>
  <c r="AG15" i="19" s="1"/>
  <c r="AG16" i="19" s="1"/>
  <c r="AG17" i="19" s="1"/>
  <c r="AG18" i="19" s="1"/>
  <c r="AG19" i="19" s="1"/>
  <c r="AG20" i="19" s="1"/>
  <c r="AG21" i="19" s="1"/>
  <c r="AG22" i="19" s="1"/>
  <c r="AG23" i="19" s="1"/>
  <c r="AG24" i="19" s="1"/>
  <c r="AG25" i="19" s="1"/>
  <c r="AG26" i="19" s="1"/>
  <c r="AG27" i="19" s="1"/>
  <c r="AG28" i="19" s="1"/>
  <c r="AG29" i="19" s="1"/>
  <c r="AG30" i="19" s="1"/>
  <c r="AG31" i="19" s="1"/>
  <c r="AG32" i="19" s="1"/>
  <c r="AG33" i="19" s="1"/>
  <c r="AG34" i="19" s="1"/>
  <c r="AG35" i="19" s="1"/>
  <c r="AG36" i="19" s="1"/>
  <c r="AG37" i="19" s="1"/>
  <c r="AG38" i="19" s="1"/>
  <c r="AG39" i="19" s="1"/>
  <c r="AG40" i="19" s="1"/>
  <c r="AG41" i="19" s="1"/>
  <c r="AG42" i="19" s="1"/>
  <c r="AG43" i="19" s="1"/>
  <c r="AG44" i="19" s="1"/>
  <c r="AG45" i="19" s="1"/>
  <c r="AG46" i="19" s="1"/>
  <c r="AG47" i="19" s="1"/>
  <c r="AG48" i="19" s="1"/>
  <c r="AG49" i="19" s="1"/>
  <c r="AG50" i="19" s="1"/>
  <c r="AG51" i="19" s="1"/>
  <c r="AG52" i="19" s="1"/>
  <c r="AG53" i="19" s="1"/>
  <c r="AG54" i="19" s="1"/>
  <c r="AG55" i="19" s="1"/>
  <c r="AG56" i="19" s="1"/>
  <c r="AF5" i="19"/>
  <c r="AF6" i="19" s="1"/>
  <c r="AC5" i="19"/>
  <c r="AD5" i="19" s="1"/>
  <c r="BZ4" i="19"/>
  <c r="BY4" i="19"/>
  <c r="BV4" i="19"/>
  <c r="BQ4" i="19"/>
  <c r="BP4" i="19"/>
  <c r="BF4" i="19"/>
  <c r="BE4" i="19"/>
  <c r="AV4" i="19"/>
  <c r="AS4" i="19"/>
  <c r="AP4" i="19"/>
  <c r="AM4" i="19"/>
  <c r="AM5" i="19" s="1"/>
  <c r="AM6" i="19" s="1"/>
  <c r="AM7" i="19" s="1"/>
  <c r="AM8" i="19" s="1"/>
  <c r="AM9" i="19" s="1"/>
  <c r="AM10" i="19" s="1"/>
  <c r="AM11" i="19" s="1"/>
  <c r="AM12" i="19" s="1"/>
  <c r="AM13" i="19" s="1"/>
  <c r="AM14" i="19" s="1"/>
  <c r="AM15" i="19" s="1"/>
  <c r="AM16" i="19" s="1"/>
  <c r="AM17" i="19" s="1"/>
  <c r="AM18" i="19" s="1"/>
  <c r="AM19" i="19" s="1"/>
  <c r="AM20" i="19" s="1"/>
  <c r="AM21" i="19" s="1"/>
  <c r="AM22" i="19" s="1"/>
  <c r="AM23" i="19" s="1"/>
  <c r="AM24" i="19" s="1"/>
  <c r="AM25" i="19" s="1"/>
  <c r="AM26" i="19" s="1"/>
  <c r="AM27" i="19" s="1"/>
  <c r="AM28" i="19" s="1"/>
  <c r="AM29" i="19" s="1"/>
  <c r="AM30" i="19" s="1"/>
  <c r="AM31" i="19" s="1"/>
  <c r="AM32" i="19" s="1"/>
  <c r="AM33" i="19" s="1"/>
  <c r="AM34" i="19" s="1"/>
  <c r="AM35" i="19" s="1"/>
  <c r="AM36" i="19" s="1"/>
  <c r="AM37" i="19" s="1"/>
  <c r="AM38" i="19" s="1"/>
  <c r="AM39" i="19" s="1"/>
  <c r="AM40" i="19" s="1"/>
  <c r="AM41" i="19" s="1"/>
  <c r="AM42" i="19" s="1"/>
  <c r="AM43" i="19" s="1"/>
  <c r="AM44" i="19" s="1"/>
  <c r="AM45" i="19" s="1"/>
  <c r="AM46" i="19" s="1"/>
  <c r="AM47" i="19" s="1"/>
  <c r="AM48" i="19" s="1"/>
  <c r="AM49" i="19" s="1"/>
  <c r="AM50" i="19" s="1"/>
  <c r="AM51" i="19" s="1"/>
  <c r="AM52" i="19" s="1"/>
  <c r="AM53" i="19" s="1"/>
  <c r="AM54" i="19" s="1"/>
  <c r="AM55" i="19" s="1"/>
  <c r="AL4" i="19"/>
  <c r="AI4" i="19"/>
  <c r="AH4" i="19"/>
  <c r="AG4" i="19"/>
  <c r="AF4" i="19"/>
  <c r="AD4" i="19"/>
  <c r="AC4" i="19"/>
  <c r="AC30" i="7"/>
  <c r="Y30" i="7"/>
  <c r="T30" i="7"/>
  <c r="N30" i="7"/>
  <c r="J30" i="7"/>
  <c r="E30" i="7"/>
  <c r="T1" i="7"/>
  <c r="AM15" i="28" l="1"/>
  <c r="AN14" i="28"/>
  <c r="AI20" i="28"/>
  <c r="AG21" i="28"/>
  <c r="AM12" i="22"/>
  <c r="AN12" i="22" s="1"/>
  <c r="AG14" i="22"/>
  <c r="AI13" i="22"/>
  <c r="BE89" i="19"/>
  <c r="AS17" i="19"/>
  <c r="T30" i="20" s="1"/>
  <c r="AC30" i="20" s="1"/>
  <c r="AU4" i="19"/>
  <c r="AN4" i="19"/>
  <c r="AH6" i="19"/>
  <c r="AH7" i="19" s="1"/>
  <c r="AI7" i="19" s="1"/>
  <c r="AI5" i="19"/>
  <c r="AN6" i="19"/>
  <c r="AF7" i="19"/>
  <c r="AN5" i="19"/>
  <c r="AN15" i="28" l="1"/>
  <c r="AM16" i="28"/>
  <c r="AI21" i="28"/>
  <c r="AG22" i="28"/>
  <c r="AG15" i="22"/>
  <c r="AI14" i="22"/>
  <c r="AM13" i="22"/>
  <c r="AN13" i="22" s="1"/>
  <c r="AI6" i="19"/>
  <c r="AH8" i="19"/>
  <c r="AH9" i="19" s="1"/>
  <c r="AF8" i="19"/>
  <c r="AN7" i="19"/>
  <c r="AN16" i="28" l="1"/>
  <c r="AM17" i="28"/>
  <c r="AI22" i="28"/>
  <c r="AG23" i="28"/>
  <c r="AI15" i="22"/>
  <c r="AG16" i="22"/>
  <c r="AM14" i="22"/>
  <c r="AN14" i="22" s="1"/>
  <c r="AI8" i="19"/>
  <c r="AI9" i="19"/>
  <c r="AH10" i="19"/>
  <c r="AN8" i="19"/>
  <c r="AF9" i="19"/>
  <c r="AM18" i="28" l="1"/>
  <c r="AN17" i="28"/>
  <c r="AI23" i="28"/>
  <c r="AG24" i="28"/>
  <c r="AM15" i="22"/>
  <c r="AN15" i="22" s="1"/>
  <c r="AG17" i="22"/>
  <c r="AI16" i="22"/>
  <c r="AF10" i="19"/>
  <c r="AN9" i="19"/>
  <c r="AH11" i="19"/>
  <c r="AI10" i="19"/>
  <c r="AM19" i="28" l="1"/>
  <c r="AN18" i="28"/>
  <c r="AI24" i="28"/>
  <c r="AG25" i="28"/>
  <c r="AM16" i="22"/>
  <c r="AN16" i="22" s="1"/>
  <c r="AI17" i="22"/>
  <c r="AG18" i="22"/>
  <c r="AN10" i="19"/>
  <c r="AF11" i="19"/>
  <c r="AI11" i="19"/>
  <c r="AH12" i="19"/>
  <c r="AN19" i="28" l="1"/>
  <c r="AM20" i="28"/>
  <c r="AI25" i="28"/>
  <c r="AG26" i="28"/>
  <c r="AG19" i="22"/>
  <c r="AI18" i="22"/>
  <c r="AM17" i="22"/>
  <c r="AN17" i="22" s="1"/>
  <c r="AH13" i="19"/>
  <c r="AI12" i="19"/>
  <c r="AF12" i="19"/>
  <c r="AN11" i="19"/>
  <c r="AM21" i="28" l="1"/>
  <c r="AN20" i="28"/>
  <c r="AI26" i="28"/>
  <c r="AG27" i="28"/>
  <c r="AM18" i="22"/>
  <c r="AN18" i="22" s="1"/>
  <c r="AI19" i="22"/>
  <c r="AG20" i="22"/>
  <c r="AN12" i="19"/>
  <c r="AF13" i="19"/>
  <c r="AI13" i="19"/>
  <c r="AH14" i="19"/>
  <c r="AN21" i="28" l="1"/>
  <c r="AM22" i="28"/>
  <c r="AI27" i="28"/>
  <c r="AG28" i="28"/>
  <c r="AM19" i="22"/>
  <c r="AN19" i="22" s="1"/>
  <c r="AG21" i="22"/>
  <c r="AI20" i="22"/>
  <c r="AH15" i="19"/>
  <c r="AI14" i="19"/>
  <c r="AN13" i="19"/>
  <c r="AF14" i="19"/>
  <c r="AN22" i="28" l="1"/>
  <c r="AM23" i="28"/>
  <c r="AI28" i="28"/>
  <c r="AG29" i="28"/>
  <c r="AI21" i="22"/>
  <c r="AG22" i="22"/>
  <c r="AM20" i="22"/>
  <c r="AN20" i="22" s="1"/>
  <c r="AF15" i="19"/>
  <c r="AN14" i="19"/>
  <c r="AI15" i="19"/>
  <c r="AH16" i="19"/>
  <c r="AN23" i="28" l="1"/>
  <c r="AM24" i="28"/>
  <c r="AI29" i="28"/>
  <c r="AG30" i="28"/>
  <c r="AM21" i="22"/>
  <c r="AN21" i="22" s="1"/>
  <c r="AI22" i="22"/>
  <c r="AG23" i="22"/>
  <c r="AH17" i="19"/>
  <c r="AI16" i="19"/>
  <c r="AF16" i="19"/>
  <c r="AN15" i="19"/>
  <c r="AN24" i="28" l="1"/>
  <c r="AM25" i="28"/>
  <c r="AI30" i="28"/>
  <c r="AG31" i="28"/>
  <c r="AI23" i="22"/>
  <c r="AG24" i="22"/>
  <c r="AM22" i="22"/>
  <c r="AN22" i="22" s="1"/>
  <c r="AN16" i="19"/>
  <c r="AF17" i="19"/>
  <c r="AI17" i="19"/>
  <c r="AH18" i="19"/>
  <c r="AN25" i="28" l="1"/>
  <c r="AM26" i="28"/>
  <c r="AI31" i="28"/>
  <c r="AG32" i="28"/>
  <c r="AM23" i="22"/>
  <c r="AN23" i="22" s="1"/>
  <c r="AG25" i="22"/>
  <c r="AI24" i="22"/>
  <c r="AN17" i="19"/>
  <c r="AF18" i="19"/>
  <c r="AH19" i="19"/>
  <c r="AI18" i="19"/>
  <c r="AN26" i="28" l="1"/>
  <c r="AM27" i="28"/>
  <c r="AI32" i="28"/>
  <c r="AG33" i="28"/>
  <c r="AM24" i="22"/>
  <c r="AN24" i="22" s="1"/>
  <c r="AI25" i="22"/>
  <c r="AG26" i="22"/>
  <c r="AH20" i="19"/>
  <c r="AI19" i="19"/>
  <c r="AN18" i="19"/>
  <c r="AF19" i="19"/>
  <c r="AN27" i="28" l="1"/>
  <c r="AM28" i="28"/>
  <c r="AI33" i="28"/>
  <c r="AG34" i="28"/>
  <c r="AI26" i="22"/>
  <c r="AG27" i="22"/>
  <c r="AM25" i="22"/>
  <c r="AN25" i="22" s="1"/>
  <c r="AF20" i="19"/>
  <c r="AN19" i="19"/>
  <c r="AH21" i="19"/>
  <c r="AI20" i="19"/>
  <c r="AN28" i="28" l="1"/>
  <c r="AM29" i="28"/>
  <c r="AI34" i="28"/>
  <c r="AG35" i="28"/>
  <c r="AM26" i="22"/>
  <c r="AN26" i="22" s="1"/>
  <c r="AI27" i="22"/>
  <c r="AG28" i="22"/>
  <c r="AH22" i="19"/>
  <c r="AI21" i="19"/>
  <c r="AF21" i="19"/>
  <c r="AN20" i="19"/>
  <c r="AN29" i="28" l="1"/>
  <c r="AM30" i="28"/>
  <c r="AI35" i="28"/>
  <c r="AG36" i="28"/>
  <c r="AI28" i="22"/>
  <c r="AG29" i="22"/>
  <c r="AM27" i="22"/>
  <c r="AN27" i="22" s="1"/>
  <c r="AF22" i="19"/>
  <c r="AN21" i="19"/>
  <c r="AH23" i="19"/>
  <c r="AI22" i="19"/>
  <c r="AN30" i="28" l="1"/>
  <c r="AM31" i="28"/>
  <c r="AI36" i="28"/>
  <c r="AG37" i="28"/>
  <c r="AM28" i="22"/>
  <c r="AN28" i="22" s="1"/>
  <c r="AI29" i="22"/>
  <c r="AG30" i="22"/>
  <c r="AH24" i="19"/>
  <c r="AI23" i="19"/>
  <c r="AF23" i="19"/>
  <c r="AN22" i="19"/>
  <c r="AN31" i="28" l="1"/>
  <c r="AM32" i="28"/>
  <c r="AI37" i="28"/>
  <c r="AG38" i="28"/>
  <c r="AI30" i="22"/>
  <c r="AG31" i="22"/>
  <c r="AM29" i="22"/>
  <c r="AN29" i="22" s="1"/>
  <c r="AF24" i="19"/>
  <c r="AN23" i="19"/>
  <c r="AH25" i="19"/>
  <c r="AI24" i="19"/>
  <c r="AN32" i="28" l="1"/>
  <c r="AM33" i="28"/>
  <c r="AI38" i="28"/>
  <c r="AG39" i="28"/>
  <c r="AM30" i="22"/>
  <c r="AN30" i="22" s="1"/>
  <c r="AI31" i="22"/>
  <c r="AG32" i="22"/>
  <c r="AH26" i="19"/>
  <c r="AI25" i="19"/>
  <c r="AF25" i="19"/>
  <c r="AN24" i="19"/>
  <c r="AN33" i="28" l="1"/>
  <c r="AM34" i="28"/>
  <c r="AI39" i="28"/>
  <c r="AG40" i="28"/>
  <c r="AG33" i="22"/>
  <c r="AI32" i="22"/>
  <c r="AM31" i="22"/>
  <c r="AN31" i="22" s="1"/>
  <c r="AF26" i="19"/>
  <c r="AN25" i="19"/>
  <c r="AH27" i="19"/>
  <c r="AI26" i="19"/>
  <c r="AN34" i="28" l="1"/>
  <c r="AM35" i="28"/>
  <c r="AI40" i="28"/>
  <c r="AG41" i="28"/>
  <c r="AI33" i="22"/>
  <c r="AG34" i="22"/>
  <c r="AM32" i="22"/>
  <c r="AN32" i="22" s="1"/>
  <c r="AI27" i="19"/>
  <c r="AH28" i="19"/>
  <c r="AF27" i="19"/>
  <c r="AN26" i="19"/>
  <c r="AN35" i="28" l="1"/>
  <c r="AM36" i="28"/>
  <c r="AG42" i="28"/>
  <c r="AI41" i="28"/>
  <c r="AM33" i="22"/>
  <c r="AN33" i="22" s="1"/>
  <c r="AI34" i="22"/>
  <c r="AG35" i="22"/>
  <c r="AF28" i="19"/>
  <c r="AN27" i="19"/>
  <c r="AH29" i="19"/>
  <c r="AI28" i="19"/>
  <c r="AN36" i="28" l="1"/>
  <c r="AM37" i="28"/>
  <c r="AI42" i="28"/>
  <c r="AG43" i="28"/>
  <c r="AM34" i="22"/>
  <c r="AN34" i="22" s="1"/>
  <c r="AI35" i="22"/>
  <c r="AG36" i="22"/>
  <c r="AF29" i="19"/>
  <c r="AN28" i="19"/>
  <c r="AH30" i="19"/>
  <c r="AI29" i="19"/>
  <c r="AN37" i="28" l="1"/>
  <c r="AM38" i="28"/>
  <c r="AI43" i="28"/>
  <c r="AG44" i="28"/>
  <c r="AI36" i="22"/>
  <c r="AG37" i="22"/>
  <c r="AM35" i="22"/>
  <c r="AN35" i="22" s="1"/>
  <c r="AI30" i="19"/>
  <c r="AH31" i="19"/>
  <c r="AF30" i="19"/>
  <c r="AN29" i="19"/>
  <c r="AN38" i="28" l="1"/>
  <c r="AM39" i="28"/>
  <c r="AI44" i="28"/>
  <c r="AG45" i="28"/>
  <c r="AM36" i="22"/>
  <c r="AN36" i="22" s="1"/>
  <c r="AI37" i="22"/>
  <c r="AG38" i="22"/>
  <c r="AF31" i="19"/>
  <c r="AN30" i="19"/>
  <c r="AH32" i="19"/>
  <c r="AI31" i="19"/>
  <c r="AN39" i="28" l="1"/>
  <c r="AM40" i="28"/>
  <c r="AI45" i="28"/>
  <c r="AG46" i="28"/>
  <c r="AI38" i="22"/>
  <c r="AG39" i="22"/>
  <c r="AM37" i="22"/>
  <c r="AN37" i="22" s="1"/>
  <c r="AH33" i="19"/>
  <c r="AI32" i="19"/>
  <c r="AF32" i="19"/>
  <c r="AN31" i="19"/>
  <c r="AM41" i="28" l="1"/>
  <c r="AN40" i="28"/>
  <c r="AI46" i="28"/>
  <c r="AG47" i="28"/>
  <c r="AM38" i="22"/>
  <c r="AN38" i="22" s="1"/>
  <c r="AI39" i="22"/>
  <c r="AG40" i="22"/>
  <c r="AF33" i="19"/>
  <c r="AN32" i="19"/>
  <c r="AI33" i="19"/>
  <c r="AH34" i="19"/>
  <c r="AN41" i="28" l="1"/>
  <c r="AM42" i="28"/>
  <c r="AI47" i="28"/>
  <c r="AG48" i="28"/>
  <c r="AG41" i="22"/>
  <c r="AI40" i="22"/>
  <c r="AM39" i="22"/>
  <c r="AN39" i="22" s="1"/>
  <c r="AF34" i="19"/>
  <c r="AN33" i="19"/>
  <c r="AH35" i="19"/>
  <c r="AI34" i="19"/>
  <c r="AM43" i="28" l="1"/>
  <c r="AN42" i="28"/>
  <c r="AI48" i="28"/>
  <c r="AG49" i="28"/>
  <c r="AM40" i="22"/>
  <c r="AN40" i="22" s="1"/>
  <c r="AI41" i="22"/>
  <c r="AG42" i="22"/>
  <c r="AF35" i="19"/>
  <c r="AN34" i="19"/>
  <c r="AI35" i="19"/>
  <c r="AH36" i="19"/>
  <c r="AN43" i="28" l="1"/>
  <c r="AM44" i="28"/>
  <c r="AG50" i="28"/>
  <c r="AI49" i="28"/>
  <c r="AI42" i="22"/>
  <c r="AG43" i="22"/>
  <c r="AM41" i="22"/>
  <c r="AN41" i="22" s="1"/>
  <c r="AF36" i="19"/>
  <c r="AN35" i="19"/>
  <c r="AH37" i="19"/>
  <c r="AI36" i="19"/>
  <c r="AN44" i="28" l="1"/>
  <c r="AM45" i="28"/>
  <c r="AG51" i="28"/>
  <c r="AI50" i="28"/>
  <c r="AM42" i="22"/>
  <c r="AN42" i="22" s="1"/>
  <c r="AI43" i="22"/>
  <c r="AG44" i="22"/>
  <c r="AF37" i="19"/>
  <c r="AN36" i="19"/>
  <c r="AI37" i="19"/>
  <c r="AH38" i="19"/>
  <c r="AN45" i="28" l="1"/>
  <c r="AM46" i="28"/>
  <c r="AG52" i="28"/>
  <c r="AI51" i="28"/>
  <c r="AI44" i="22"/>
  <c r="AG45" i="22"/>
  <c r="AM43" i="22"/>
  <c r="AN43" i="22" s="1"/>
  <c r="AF38" i="19"/>
  <c r="AN37" i="19"/>
  <c r="AH39" i="19"/>
  <c r="AI38" i="19"/>
  <c r="AN46" i="28" l="1"/>
  <c r="AM47" i="28"/>
  <c r="AG53" i="28"/>
  <c r="AI52" i="28"/>
  <c r="AM44" i="22"/>
  <c r="AN44" i="22" s="1"/>
  <c r="AI45" i="22"/>
  <c r="AG46" i="22"/>
  <c r="AF39" i="19"/>
  <c r="AN38" i="19"/>
  <c r="AH40" i="19"/>
  <c r="AI39" i="19"/>
  <c r="AN47" i="28" l="1"/>
  <c r="AM48" i="28"/>
  <c r="AG54" i="28"/>
  <c r="AI53" i="28"/>
  <c r="AI46" i="22"/>
  <c r="AG47" i="22"/>
  <c r="AM45" i="22"/>
  <c r="AN45" i="22" s="1"/>
  <c r="AF40" i="19"/>
  <c r="AN39" i="19"/>
  <c r="AH41" i="19"/>
  <c r="AI40" i="19"/>
  <c r="AM49" i="28" l="1"/>
  <c r="AN48" i="28"/>
  <c r="AG55" i="28"/>
  <c r="AI54" i="28"/>
  <c r="AM46" i="22"/>
  <c r="AN46" i="22" s="1"/>
  <c r="AI47" i="22"/>
  <c r="AG48" i="22"/>
  <c r="AN40" i="19"/>
  <c r="AF41" i="19"/>
  <c r="AI41" i="19"/>
  <c r="AH42" i="19"/>
  <c r="AN49" i="28" l="1"/>
  <c r="AM50" i="28"/>
  <c r="AG56" i="28"/>
  <c r="AI56" i="28" s="1"/>
  <c r="AI55" i="28"/>
  <c r="AG49" i="22"/>
  <c r="AI48" i="22"/>
  <c r="AM47" i="22"/>
  <c r="AN47" i="22" s="1"/>
  <c r="AF42" i="19"/>
  <c r="AN41" i="19"/>
  <c r="AH43" i="19"/>
  <c r="AI42" i="19"/>
  <c r="AM51" i="28" l="1"/>
  <c r="AN50" i="28"/>
  <c r="AM48" i="22"/>
  <c r="AN48" i="22" s="1"/>
  <c r="AI49" i="22"/>
  <c r="AG50" i="22"/>
  <c r="AF43" i="19"/>
  <c r="AN42" i="19"/>
  <c r="AH44" i="19"/>
  <c r="AI43" i="19"/>
  <c r="AN51" i="28" l="1"/>
  <c r="AM52" i="28"/>
  <c r="AG51" i="22"/>
  <c r="AI50" i="22"/>
  <c r="AM49" i="22"/>
  <c r="AN49" i="22" s="1"/>
  <c r="AF44" i="19"/>
  <c r="AN43" i="19"/>
  <c r="AI44" i="19"/>
  <c r="AH45" i="19"/>
  <c r="AN52" i="28" l="1"/>
  <c r="AM53" i="28"/>
  <c r="AM50" i="22"/>
  <c r="AN50" i="22" s="1"/>
  <c r="AI51" i="22"/>
  <c r="AG52" i="22"/>
  <c r="AF45" i="19"/>
  <c r="AN44" i="19"/>
  <c r="AH46" i="19"/>
  <c r="AI45" i="19"/>
  <c r="AN53" i="28" l="1"/>
  <c r="AM54" i="28"/>
  <c r="AI52" i="22"/>
  <c r="AG53" i="22"/>
  <c r="AM51" i="22"/>
  <c r="AN51" i="22" s="1"/>
  <c r="AF46" i="19"/>
  <c r="AN45" i="19"/>
  <c r="AH47" i="19"/>
  <c r="AI46" i="19"/>
  <c r="AN54" i="28" l="1"/>
  <c r="AM55" i="28"/>
  <c r="AN55" i="28" s="1"/>
  <c r="AM52" i="22"/>
  <c r="AN52" i="22" s="1"/>
  <c r="AI53" i="22"/>
  <c r="AG54" i="22"/>
  <c r="AF47" i="19"/>
  <c r="AN46" i="19"/>
  <c r="AH48" i="19"/>
  <c r="AI47" i="19"/>
  <c r="AG55" i="22" l="1"/>
  <c r="AI54" i="22"/>
  <c r="AM53" i="22"/>
  <c r="AN53" i="22" s="1"/>
  <c r="AF48" i="19"/>
  <c r="AN47" i="19"/>
  <c r="AH49" i="19"/>
  <c r="AI48" i="19"/>
  <c r="AM54" i="22" l="1"/>
  <c r="AI55" i="22"/>
  <c r="AG56" i="22"/>
  <c r="AI56" i="22" s="1"/>
  <c r="AF49" i="19"/>
  <c r="AN48" i="19"/>
  <c r="AI49" i="19"/>
  <c r="AH50" i="19"/>
  <c r="AN54" i="22" l="1"/>
  <c r="AM55" i="22"/>
  <c r="AN55" i="22" s="1"/>
  <c r="AH51" i="19"/>
  <c r="AI50" i="19"/>
  <c r="AN49" i="19"/>
  <c r="AF50" i="19"/>
  <c r="AF51" i="19" l="1"/>
  <c r="AN50" i="19"/>
  <c r="AI51" i="19"/>
  <c r="AH52" i="19"/>
  <c r="AI52" i="19" l="1"/>
  <c r="AH53" i="19"/>
  <c r="AN51" i="19"/>
  <c r="AF52" i="19"/>
  <c r="AN52" i="19" l="1"/>
  <c r="AF53" i="19"/>
  <c r="AI53" i="19"/>
  <c r="AH54" i="19"/>
  <c r="AI54" i="19" l="1"/>
  <c r="AH55" i="19"/>
  <c r="AN53" i="19"/>
  <c r="AF54" i="19"/>
  <c r="AF55" i="19" l="1"/>
  <c r="AN54" i="19"/>
  <c r="AH56" i="19"/>
  <c r="AI56" i="19" s="1"/>
  <c r="AI55" i="19"/>
  <c r="AF56" i="19" l="1"/>
  <c r="AN56" i="19" s="1"/>
  <c r="AN55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Corwin</author>
  </authors>
  <commentList>
    <comment ref="K5" authorId="0" shapeId="0" xr:uid="{E099EEC7-B701-4E1D-961A-3A2C3BC6E5B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089-25 Floor RT Failures</t>
        </r>
      </text>
    </comment>
    <comment ref="K6" authorId="0" shapeId="0" xr:uid="{9F4FFA03-AEEE-4299-B7EA-46191E240C5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064-25 RT Repairs</t>
        </r>
      </text>
    </comment>
    <comment ref="K7" authorId="0" shapeId="0" xr:uid="{5F1E5B8C-0344-46D8-B1A8-89EA141AFF4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089-25 Floor RT Failure</t>
        </r>
      </text>
    </comment>
    <comment ref="P7" authorId="0" shapeId="0" xr:uid="{5039DCCF-E362-4F25-8EBC-E95FF482562E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074-25 Upper Shell Course Weld Defect Missed.</t>
        </r>
      </text>
    </comment>
    <comment ref="K10" authorId="0" shapeId="0" xr:uid="{F25B72A4-08BD-4BD2-B57B-1CFBC504A0D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089-25 - 9 Hrs.</t>
        </r>
      </text>
    </comment>
    <comment ref="K12" authorId="0" shapeId="0" xr:uid="{85B76851-5A2C-40A3-8AFC-51624B26AC7B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066-25 - 10 Hrs. Pneumatic Leaks</t>
        </r>
      </text>
    </comment>
    <comment ref="K14" authorId="0" shapeId="0" xr:uid="{DFCD0B58-3C30-454F-9E84-BF7EEFFDB9C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083-25 - 3 Hrs.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Corwin</author>
  </authors>
  <commentList>
    <comment ref="K4" authorId="0" shapeId="0" xr:uid="{447B5B82-9068-470A-81CE-100310E0D09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027-23 - 4 Hrs.</t>
        </r>
      </text>
    </comment>
    <comment ref="L4" authorId="0" shapeId="0" xr:uid="{5DDBF27C-E982-40C4-965E-45F0145D3B1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051-23 - 8 Hrs.</t>
        </r>
      </text>
    </comment>
    <comment ref="K5" authorId="0" shapeId="0" xr:uid="{40711AB8-BD36-4F49-A71C-3DEC6ACB3C5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095-22 - 7.5 Hrs.
110-22 - 3.5 Hrs.
027-23 - 4 Hrs.</t>
        </r>
      </text>
    </comment>
    <comment ref="L5" authorId="0" shapeId="0" xr:uid="{42FCEEAE-681C-4AE1-B753-E693ADF689B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051-23 - 21.5 Hrs.</t>
        </r>
      </text>
    </comment>
    <comment ref="R5" authorId="0" shapeId="0" xr:uid="{2779ACD4-5FE6-4D54-88B1-15DD7E22A82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019-23 Incorrect plate size used on burn table</t>
        </r>
      </text>
    </comment>
    <comment ref="K6" authorId="0" shapeId="0" xr:uid="{9344D8DB-E8D8-4CA7-8B6C-99F7D08EEEA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110-22 - 0.5 Hr.
019-23 - 2 Hrs.</t>
        </r>
      </text>
    </comment>
    <comment ref="L6" authorId="0" shapeId="0" xr:uid="{4145AFE5-F630-41EF-B72C-3B067C2DBF5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051-23 - 18.5 Hrs.</t>
        </r>
      </text>
    </comment>
    <comment ref="K7" authorId="0" shapeId="0" xr:uid="{30075D21-9A75-4011-ADA9-4A4C24102A8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110-22 - 10 Hrs.
112-22 - 1 Hr.
027-23 - 4 Hrs.</t>
        </r>
      </text>
    </comment>
    <comment ref="L7" authorId="0" shapeId="0" xr:uid="{05A7FF47-C67F-45EA-A5D9-92491FEEEDE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051-23 - 34 Hrs.</t>
        </r>
      </text>
    </comment>
    <comment ref="K8" authorId="0" shapeId="0" xr:uid="{F5E8FB21-C9C9-47CC-91B7-B643CE33566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064-22 - 14 Hrs.
110-22 - 6 Hrs.
027-23 - 2.5 Hrs.
028-23 - 4 Hrs.</t>
        </r>
      </text>
    </comment>
    <comment ref="L8" authorId="0" shapeId="0" xr:uid="{5CB81AD8-1138-42DC-B39F-37136C49966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051-23 - 12 Hrs.</t>
        </r>
      </text>
    </comment>
    <comment ref="K9" authorId="0" shapeId="0" xr:uid="{5A71A904-A622-4542-9744-0BC4A688318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031-23 - 9 Hrs.</t>
        </r>
      </text>
    </comment>
    <comment ref="K10" authorId="0" shapeId="0" xr:uid="{C029D9BC-0AA4-4ACA-A9F0-54F50A2285E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064-22 - 3 Hrs.
023-23 - 5 Hrs.
052-23 - 13 Hrs.</t>
        </r>
      </text>
    </comment>
    <comment ref="K11" authorId="0" shapeId="0" xr:uid="{989BFF44-DFCD-4013-86E8-A6E01CAB9A2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030-23 - 3 Hrs.</t>
        </r>
      </text>
    </comment>
    <comment ref="L11" authorId="0" shapeId="0" xr:uid="{D7B4D0B0-096B-45FA-A254-C159667E77E7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019-23 - 5 Hrs (Handrail)
052-23 - 2.5 Hrs (Davit Sleeve)
052-23 - 13.5 Hrs (Nozzle Fit Issues)</t>
        </r>
      </text>
    </comment>
    <comment ref="L12" authorId="0" shapeId="0" xr:uid="{252C450A-3CAE-42A3-B267-3C3C7150013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098-22 - 5 Hrs.</t>
        </r>
      </text>
    </comment>
    <comment ref="M14" authorId="0" shapeId="0" xr:uid="{FC3EE246-F0D5-42B9-80C4-79E2A86C025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057-23 - 2.75 hrs. Layout</t>
        </r>
      </text>
    </comment>
    <comment ref="K15" authorId="0" shapeId="0" xr:uid="{81EE179E-7746-425D-AAF8-58F52C06B72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058-23 - 5 Hrs.</t>
        </r>
      </text>
    </comment>
    <comment ref="K16" authorId="0" shapeId="0" xr:uid="{549E0E2D-6959-4A9D-85A6-86929E238D5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040-23 - 2 Hrs.
058-23 - 2 Hrs.
062-23 - 13 Hrs.</t>
        </r>
      </text>
    </comment>
    <comment ref="L16" authorId="0" shapeId="0" xr:uid="{B42D338C-D06B-44B9-BF9A-A5799258E4E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060-23 - 6 Hrs.
064-23 - 5 Hrs.</t>
        </r>
      </text>
    </comment>
    <comment ref="L17" authorId="0" shapeId="0" xr:uid="{F15115FC-7347-43DD-8214-B13BC327C0D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053-23 - 5 Hrs. Ground Lugs
054-23 - 5 Hrs. Ground Lugs</t>
        </r>
      </text>
    </comment>
    <comment ref="K18" authorId="0" shapeId="0" xr:uid="{FD1E427D-AA52-4793-A12C-B373536DAEB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053.23 - 2 Hrs. (Nozzles)
062-23 - 3.5 Hrs. (RT Repair)</t>
        </r>
      </text>
    </comment>
    <comment ref="L18" authorId="0" shapeId="0" xr:uid="{73923F48-CFE3-439F-92AD-D19ABCCF4637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053-23 - 7 Hrs (Handrails)</t>
        </r>
      </text>
    </comment>
    <comment ref="M18" authorId="0" shapeId="0" xr:uid="{392BA6D0-D452-4F0B-95C6-ACCFBF5A7B6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023-23 - 12 Hrs. (Design Issue)
045-23 - 12 Hrs. (Design Issue)</t>
        </r>
      </text>
    </comment>
    <comment ref="K19" authorId="0" shapeId="0" xr:uid="{E538586E-3132-41E5-A9E2-CA4202F104D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053-23 - 5.5 Hrs. (Nozzles)
054-23 - 5 Hrs. (Nozzles)</t>
        </r>
      </text>
    </comment>
    <comment ref="M19" authorId="0" shapeId="0" xr:uid="{6A60FDE4-64DC-4430-9358-9AE9D16BC2A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053-23 - 4.5 Hrs. (Engineering)</t>
        </r>
      </text>
    </comment>
    <comment ref="K20" authorId="0" shapeId="0" xr:uid="{8528E554-C740-44AE-8FB6-568B351D158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062-23 - 8 Hrs. (JKT Repairs)</t>
        </r>
      </text>
    </comment>
    <comment ref="L21" authorId="0" shapeId="0" xr:uid="{BAEF5C96-6355-4566-9413-5F7E38D83EF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048-23 - 7.5 Hrs. Sloped Btm
067-23 - 9.25 Hrs. Nozzles</t>
        </r>
      </text>
    </comment>
    <comment ref="M22" authorId="0" shapeId="0" xr:uid="{DFE5BBD1-0E9A-4A62-8F57-E6706F4B971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065-23 - 3 Hrs.</t>
        </r>
      </text>
    </comment>
    <comment ref="K25" authorId="0" shapeId="0" xr:uid="{3EDF8968-FD59-41B6-A774-23EC697C45F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031-23
046-23</t>
        </r>
      </text>
    </comment>
    <comment ref="L25" authorId="0" shapeId="0" xr:uid="{9F4836B7-3056-461F-B928-63C7101EBB3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046-23</t>
        </r>
      </text>
    </comment>
    <comment ref="M26" authorId="0" shapeId="0" xr:uid="{0C403684-F387-4E41-9C7A-79F3A564F21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094-23</t>
        </r>
      </text>
    </comment>
    <comment ref="M27" authorId="0" shapeId="0" xr:uid="{0956C351-47C8-444F-9C15-9BF2B409EC7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065-23 - 7 Hrs.
094-23 - 2 Hrs.</t>
        </r>
      </text>
    </comment>
    <comment ref="R27" authorId="0" shapeId="0" xr:uid="{6478431C-71B5-4F15-8873-BEA6296DC56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Missing Bolts &amp; Nuts for jobs 044, 045 and 046</t>
        </r>
      </text>
    </comment>
    <comment ref="K28" authorId="0" shapeId="0" xr:uid="{CBE2CAAB-4943-484C-A11F-43A3446BEFD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048-23 - 2 Hrs.</t>
        </r>
      </text>
    </comment>
    <comment ref="M28" authorId="0" shapeId="0" xr:uid="{5AB2F6A4-3F83-49FC-B210-840B32F3237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065-23 - 4.5 Hrs.
101-23 - 2 Hrs.</t>
        </r>
      </text>
    </comment>
    <comment ref="R28" authorId="0" shapeId="0" xr:uid="{DA200835-02FA-4694-B22A-7B897EDCD3B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065-23 second machining</t>
        </r>
      </text>
    </comment>
    <comment ref="M29" authorId="0" shapeId="0" xr:uid="{AEAF122F-1C5C-4418-8C92-1887BB85263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065-23 - 17.5 Hrs.</t>
        </r>
      </text>
    </comment>
    <comment ref="Q30" authorId="0" shapeId="0" xr:uid="{342925D9-1676-4C24-ACEE-B60A76AA79B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065-23 - Nozzles "C" and "F" replacement stub ends</t>
        </r>
      </text>
    </comment>
    <comment ref="L31" authorId="0" shapeId="0" xr:uid="{0EC65A06-8BF8-45C1-A42C-802FA154204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065-23 - 5 Hrs.</t>
        </r>
      </text>
    </comment>
    <comment ref="M31" authorId="0" shapeId="0" xr:uid="{FFA30CC8-8940-42BC-BE16-1E3D066503D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068-23 - 20 Hrs.</t>
        </r>
      </text>
    </comment>
    <comment ref="K32" authorId="0" shapeId="0" xr:uid="{EED96960-0AE8-40CC-AA0E-8299478BFED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070-23 - 1 Hr.
073-23 - 3 Hrs.</t>
        </r>
      </text>
    </comment>
    <comment ref="K33" authorId="0" shapeId="0" xr:uid="{7C0A2C0F-01F2-44B6-951F-BD24AB07DD0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100-23 - 5 Hrs.</t>
        </r>
      </text>
    </comment>
    <comment ref="K34" authorId="0" shapeId="0" xr:uid="{B19C1122-27F2-4B4A-9769-E7AFD4E6751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055-23 - 2 Hrs.
100-23 - 7 Hrs.</t>
        </r>
      </text>
    </comment>
    <comment ref="K36" authorId="0" shapeId="0" xr:uid="{45DE9719-A8A8-4576-920B-957C3F22C15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004-24 - 7 Hrs.
005-24 - 5 Hrs.</t>
        </r>
      </text>
    </comment>
    <comment ref="L36" authorId="0" shapeId="0" xr:uid="{1423F311-8016-463C-B7DA-2722D493E1D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002-24 - 1 Hr.</t>
        </r>
      </text>
    </comment>
    <comment ref="Q36" authorId="0" shapeId="0" xr:uid="{0C3CB5E8-482E-4B97-B51F-DEB0A86B563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063-22 N11 flange not level</t>
        </r>
      </text>
    </comment>
    <comment ref="R36" authorId="0" shapeId="0" xr:uid="{E4C17D1F-ED4C-4814-867D-CE790F40E7B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068-22 &amp; 069-22 Roof nozzles missing from drawing</t>
        </r>
      </text>
    </comment>
    <comment ref="M37" authorId="0" shapeId="0" xr:uid="{7917E250-500C-4119-93FD-1D94FB2097F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017-24 - 4 Hrs. Roof incorrect layout on cut file</t>
        </r>
      </text>
    </comment>
    <comment ref="P37" authorId="0" shapeId="0" xr:uid="{4FCDC0ED-1F65-40BE-B5F7-90B7CB66B81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006-24 - Sight glass machining.</t>
        </r>
      </text>
    </comment>
    <comment ref="K38" authorId="0" shapeId="0" xr:uid="{8B91F1AF-6BDA-4998-8320-72090D5CCE57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005-24 - 4 Hrs.</t>
        </r>
      </text>
    </comment>
    <comment ref="M38" authorId="0" shapeId="0" xr:uid="{53E27134-B886-4F62-9967-0CF32F02DABE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017-24 - 24 Hrs. - Etch Marks Incorrect
018-24 - 23 Hrs. - Dent from lifting</t>
        </r>
      </text>
    </comment>
    <comment ref="K41" authorId="0" shapeId="0" xr:uid="{37DC9C20-253C-4983-BCB0-3F1B2ACBE42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019-24 - 2.5 Hrs.</t>
        </r>
      </text>
    </comment>
    <comment ref="L41" authorId="0" shapeId="0" xr:uid="{D0D0E711-FCDD-41B7-931E-54F72142148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015-24 - 5 Hrs.</t>
        </r>
      </text>
    </comment>
    <comment ref="R41" authorId="0" shapeId="0" xr:uid="{0F9C70C1-520E-42A6-830B-DA84F29BA24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015-24 Roof &amp; Floor Plates Mixed Up on Burn Table. </t>
        </r>
      </text>
    </comment>
    <comment ref="L42" authorId="0" shapeId="0" xr:uid="{5134A330-66FF-4CED-A1C2-E53FC95652DE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004-24 - 8 Hrs.</t>
        </r>
      </text>
    </comment>
    <comment ref="M42" authorId="0" shapeId="0" xr:uid="{3B649AA0-F545-45EE-9739-B15F2FCF715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015-24 - 11.5 Hrs.
032-24 - 5 Hrs.</t>
        </r>
      </text>
    </comment>
    <comment ref="K43" authorId="0" shapeId="0" xr:uid="{B89EDE46-FA81-46F6-825B-B48AD5FAD55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004-24 - 1 Hr.</t>
        </r>
      </text>
    </comment>
    <comment ref="L43" authorId="0" shapeId="0" xr:uid="{F030B463-7D5F-48C1-BAF3-EFBA08F37E9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019-24 - 24.5 Hrs.</t>
        </r>
      </text>
    </comment>
    <comment ref="L44" authorId="0" shapeId="0" xr:uid="{4A530A08-3407-4CCA-9913-48512CAED46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019-24 - 51 Hrs.</t>
        </r>
      </text>
    </comment>
    <comment ref="R49" authorId="0" shapeId="0" xr:uid="{1B6E40E7-69E3-4523-9378-FB9555C007D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055-24 - 1" RFSO Flange gasket face damaged and needed to be replaced.</t>
        </r>
      </text>
    </comment>
    <comment ref="M53" authorId="0" shapeId="0" xr:uid="{AAD31A48-884B-4C74-9398-9175CE1056C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028-24 - 11.25
029-24 - 6.5
031-24 - 3.5
035-24 - 5
036-24 - 2.5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Corwin</author>
  </authors>
  <commentList>
    <comment ref="K4" authorId="0" shapeId="0" xr:uid="{5D10EFE6-DF56-430C-BB25-C84430DC0EF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148-21 - 5 Hrs.
049-22 - 6 Hrs.</t>
        </r>
      </text>
    </comment>
    <comment ref="K5" authorId="0" shapeId="0" xr:uid="{E86883A1-98CA-4AFB-8114-838ADB5091A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049-22 - 5.5 Hrs.</t>
        </r>
      </text>
    </comment>
    <comment ref="K6" authorId="0" shapeId="0" xr:uid="{C9C8AF53-CB82-4160-AC5F-DD7F621F40DE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142-21 - 5.5 Hrs.
148-21 - 57 Hrs.
033-22 - 1.75 Hrs.
054-22 - 6 Hrs.
055-22 - 5.5 Hrs.</t>
        </r>
      </text>
    </comment>
    <comment ref="K7" authorId="0" shapeId="0" xr:uid="{E04EC4EF-5E95-44EC-BEA1-B5B557BF038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148-21 - 4 Hrs.
005-22 - 2 Hrs.
075-22 - 7 Hrs.</t>
        </r>
      </text>
    </comment>
    <comment ref="K8" authorId="0" shapeId="0" xr:uid="{61007CFA-4B87-46D3-B34B-A8B3B9B7AA8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033-22 - 6 Hrs.
054-22 - 20.5 Hrs.</t>
        </r>
      </text>
    </comment>
    <comment ref="L8" authorId="0" shapeId="0" xr:uid="{A374074F-34FC-4D02-A01B-D63C11C3EBB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033-22 - 6 Hrs.</t>
        </r>
      </text>
    </comment>
    <comment ref="K9" authorId="0" shapeId="0" xr:uid="{CBCA5F97-17E6-4279-9EC8-C1A35DDC724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148-21 - 6.5 Hrs.
</t>
        </r>
      </text>
    </comment>
    <comment ref="L9" authorId="0" shapeId="0" xr:uid="{D535B576-255B-4422-B599-E777FAF4E47E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033-22 - 2 Hrs.</t>
        </r>
      </text>
    </comment>
    <comment ref="K10" authorId="0" shapeId="0" xr:uid="{42AA3478-B764-44E6-8A02-94601855741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113-22 - 7 Hrs.</t>
        </r>
      </text>
    </comment>
    <comment ref="L10" authorId="0" shapeId="0" xr:uid="{DBDBA721-279C-4C34-8BE7-EE04C71B58B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033-22 - 4 Hrs.</t>
        </r>
      </text>
    </comment>
    <comment ref="M10" authorId="0" shapeId="0" xr:uid="{F00B6E2F-5D47-41D7-A91A-75845F60A700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148-21 - 64 Hrs. (Dip Tube Bracket Damage)
061-22 - 40.5 Hrs. (Incorrect Stair Design)</t>
        </r>
      </text>
    </comment>
    <comment ref="K11" authorId="0" shapeId="0" xr:uid="{71C9A633-2520-4EFB-A733-8DDFB820EF20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061-22 - 10 Hrs.</t>
        </r>
      </text>
    </comment>
    <comment ref="L11" authorId="0" shapeId="0" xr:uid="{C9C7BAF9-2E7E-4FF4-A525-D87B512D9BF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033-22 - 54.25 Hrs.</t>
        </r>
      </text>
    </comment>
    <comment ref="M12" authorId="0" shapeId="0" xr:uid="{DFF59D27-9029-45B2-A89D-2DFADF46845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061-22 - 26 Hrs. (Incorrect Stair Design)</t>
        </r>
      </text>
    </comment>
    <comment ref="M13" authorId="0" shapeId="0" xr:uid="{D9252E5E-6D22-4BC1-8B8E-C2D910AE91C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061-22 - 8.5 Hrs. (Incorrect Stair Design)</t>
        </r>
      </text>
    </comment>
    <comment ref="K14" authorId="0" shapeId="0" xr:uid="{93CAAE39-E481-468F-A879-F4EFC0B0176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016-22 - 4 Hrs.</t>
        </r>
      </text>
    </comment>
    <comment ref="L14" authorId="0" shapeId="0" xr:uid="{53B96ABA-96D3-41DF-A9E7-ECF4BDED0BA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051-22 - 8 Hrs - Anchor Chair Fit Up</t>
        </r>
      </text>
    </comment>
    <comment ref="K15" authorId="0" shapeId="0" xr:uid="{1E43AC84-A3F0-4C23-B5B5-5A94C07061E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132-21 - 35.5 hrs</t>
        </r>
      </text>
    </comment>
    <comment ref="K16" authorId="0" shapeId="0" xr:uid="{B7476AD4-91DC-4C53-A8F9-BA75D439A2A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132-21 - 75.5 Hrs.
078-22 - 1 Hr.</t>
        </r>
      </text>
    </comment>
    <comment ref="K17" authorId="0" shapeId="0" xr:uid="{B5357DD3-4134-4E2D-BC90-194A929BBBC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132-21 - 28.5 Hrs.</t>
        </r>
      </text>
    </comment>
    <comment ref="K20" authorId="0" shapeId="0" xr:uid="{F6ECF698-0AB4-4E1E-B547-B1FC92FD719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076-22 - 32 Hrs.</t>
        </r>
      </text>
    </comment>
    <comment ref="M25" authorId="0" shapeId="0" xr:uid="{7A106ED8-AC9B-4376-906C-E834F7958B8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079-22 - 5 Hrs. Grinding Nozzle Flush
070-22 - 3 Hrs. Manway Issue W/ Handrail</t>
        </r>
      </text>
    </comment>
    <comment ref="K26" authorId="0" shapeId="0" xr:uid="{5C509C73-8219-4E80-AE6D-19CEBC17445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070-22 - 5 Hrs.</t>
        </r>
      </text>
    </comment>
    <comment ref="M26" authorId="0" shapeId="0" xr:uid="{9333123C-2667-44E2-BCE3-6B67A034454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076-22 - 4.5 Hrs.</t>
        </r>
      </text>
    </comment>
    <comment ref="K27" authorId="0" shapeId="0" xr:uid="{302E00E4-E01D-4E47-B5E9-F06AE95BDF1B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069-22 - 7 Hrs
076-22 - 39 Hrs</t>
        </r>
      </text>
    </comment>
    <comment ref="L27" authorId="0" shapeId="0" xr:uid="{E255872C-D97A-4771-B741-E58F62217CA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024-23 - 2 Hrs.</t>
        </r>
      </text>
    </comment>
    <comment ref="W27" authorId="0" shapeId="0" xr:uid="{439CBEB3-700E-429F-98F6-704A78E2011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118-22 Int. Coil Leak Repair Cost</t>
        </r>
      </text>
    </comment>
    <comment ref="K28" authorId="0" shapeId="0" xr:uid="{BB90E3C9-4907-46A0-A95C-177011EEAA6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067-22 - 1 Hr
069-22 - 4 Hrs
076-22 - 17 Hrs
091-22 - 14 Hrs
127-22 - 1 Hr</t>
        </r>
      </text>
    </comment>
    <comment ref="K29" authorId="0" shapeId="0" xr:uid="{001CE80C-5CF3-42E1-BB40-E681DEC4C48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076-22 - 10 Hrs
126-22 - 13.5 Hrs</t>
        </r>
      </text>
    </comment>
    <comment ref="K30" authorId="0" shapeId="0" xr:uid="{80445E71-40F9-4B35-8C49-0C3B98260E4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
066-22 - 2 Hrs
067-22 - 19 Hrs</t>
        </r>
      </text>
    </comment>
    <comment ref="M32" authorId="0" shapeId="0" xr:uid="{E6F431B7-836A-448F-97FD-B2FDD4BA074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002-23 - 2.5 Hrs
003-23 - 2.5 Hrs
024-23 - 8.5 Hrs</t>
        </r>
      </text>
    </comment>
    <comment ref="K33" authorId="0" shapeId="0" xr:uid="{C3DEF560-C3FC-402C-B6C9-5D80D4A2FCA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062-22 - 2 Hrs
063-22 - 2 Hrs
064-22 - 3 Hrs
092-22 - 2 Hrs
093-22 - 2 Hrs</t>
        </r>
      </text>
    </comment>
    <comment ref="K34" authorId="0" shapeId="0" xr:uid="{F41F31C6-599F-44C5-BBC0-8B448030E86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003-23 - 13 Hrs
004-23 - 1.5 Hrs
005-23 - 1.5 Hrs
006-23 - 2 Hrs</t>
        </r>
      </text>
    </comment>
    <comment ref="K35" authorId="0" shapeId="0" xr:uid="{31449445-2EAB-4FA8-89D0-7354197F6D4D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076-22 - 6.5 Hrs
093-22 - 5 Hrs
004-23 - 1 Hr
005-23 - 5 Hrs
006-23 - 0.5 Hr</t>
        </r>
      </text>
    </comment>
    <comment ref="K36" authorId="0" shapeId="0" xr:uid="{D81005D6-3BDE-440D-BFC1-854FF49D584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076-22 - 41 Hrs
092-22 - 3 Hrs
093-22 - 5 Hrs</t>
        </r>
      </text>
    </comment>
    <comment ref="K37" authorId="0" shapeId="0" xr:uid="{B0C0AF66-A30F-4E74-99A9-48C9639B589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076-22 - 27 Hrs
092-22 - 3 Hrs
093-22 - 9 Hrs</t>
        </r>
      </text>
    </comment>
    <comment ref="K38" authorId="0" shapeId="0" xr:uid="{0CED99E5-DBCB-4AC1-96D7-212F9D0E517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076-22 - 126 Hrs.
092-22 - 6.5 Hrs.</t>
        </r>
      </text>
    </comment>
    <comment ref="K39" authorId="0" shapeId="0" xr:uid="{058B9B64-5D1C-4383-8F30-160F2742C5D5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076-22 - 44.5 Hrs.
092-22 - 13 Hrs.
093-22 - 4 Hrs.
096-22 - 4 Hrs.</t>
        </r>
      </text>
    </comment>
    <comment ref="K40" authorId="0" shapeId="0" xr:uid="{5B1263BB-8A3E-4B18-B161-8268AF481DA8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076-22 - 20.25 Hrs.
004-23 - 2.5 Hrs.</t>
        </r>
      </text>
    </comment>
    <comment ref="M40" authorId="0" shapeId="0" xr:uid="{DE6FEA48-64DA-47FB-A349-15A99A81D4A9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024-23 - 15 Hrs.</t>
        </r>
      </text>
    </comment>
    <comment ref="K41" authorId="0" shapeId="0" xr:uid="{117F4593-FECA-4756-A305-0442FFFD359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076-22 - 62.5 Hrs.
094-22 - 6.5 Hrs.
095-22 - 2 Hrs.
097-22 - 5.5 Hrs.
127-22 - 1 Hr.</t>
        </r>
      </text>
    </comment>
    <comment ref="K42" authorId="0" shapeId="0" xr:uid="{98FFA08B-3780-4DF0-B5D9-7850B6185AE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076-22 - 3 Hrs.
095-22 - 1 Hr.
096-22 - 6.5 Hrs.
099-22 - 9 Hrs.
122-22 - 13 Hrs.</t>
        </r>
      </text>
    </comment>
    <comment ref="K43" authorId="0" shapeId="0" xr:uid="{C9254427-5BD6-4131-993A-4EBCB7664E8C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097-22 - 1 Hr.
099-22 - 5.5 Hrs.
122-22 - 2 Hrs.</t>
        </r>
      </text>
    </comment>
    <comment ref="K44" authorId="0" shapeId="0" xr:uid="{21F88055-7BE3-409D-97E0-A2C624CB6387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089-22 - 2 Hrs.
090-22 - 2 Hrs.
093-22 - 10 Hrs.
099-22 - 7.5 Hrs.</t>
        </r>
      </text>
    </comment>
    <comment ref="K46" authorId="0" shapeId="0" xr:uid="{B04C8D06-4FDB-492B-8486-F9C888998F8A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093-22 - 3 Hrs.
099-22 - 8 Hrs.
102-22 - 6 Hrs.
016-23 - 3 Hrs.</t>
        </r>
      </text>
    </comment>
    <comment ref="K47" authorId="0" shapeId="0" xr:uid="{66AA29BB-A0C6-44BD-8D2A-CF30AA40E2FF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095-22 - 8 Hrs.</t>
        </r>
      </text>
    </comment>
    <comment ref="K48" authorId="0" shapeId="0" xr:uid="{353B6C2C-8891-4758-8CE8-AEF9FF41E4D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062-22 - 2 Hrs.</t>
        </r>
      </text>
    </comment>
    <comment ref="K49" authorId="0" shapeId="0" xr:uid="{8ABC5429-9297-4E8F-8B8F-43F7F38AD401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062-22 - 14.5 Hrs.
015-23 - 2.5 Hrs.
018-23 - 11 Hrs.</t>
        </r>
      </text>
    </comment>
    <comment ref="K51" authorId="0" shapeId="0" xr:uid="{5DEA2E5A-94E8-4C36-AA4A-FB20C53A9DB2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095-22 - 3 Hrs.
101-22 - 2 Hrs.
103-22 - 2 Hrs.
104-22 - 2 Hrs.</t>
        </r>
      </text>
    </comment>
    <comment ref="K52" authorId="0" shapeId="0" xr:uid="{57E1B210-BB1E-46C3-BCA9-7C2C1D3D9F96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014-23 - 22.5 Hrs.
018-23 - 12 Hrs.</t>
        </r>
      </text>
    </comment>
    <comment ref="K53" authorId="0" shapeId="0" xr:uid="{B2748F29-6D3F-403B-8712-89D816377A04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063-22 - 9 Hours</t>
        </r>
      </text>
    </comment>
    <comment ref="K54" authorId="0" shapeId="0" xr:uid="{7D845B21-0234-440D-9D7A-6A9EA0D62493}">
      <text>
        <r>
          <rPr>
            <b/>
            <sz val="9"/>
            <color indexed="81"/>
            <rFont val="Tahoma"/>
            <family val="2"/>
          </rPr>
          <t>John Corwin:</t>
        </r>
        <r>
          <rPr>
            <sz val="9"/>
            <color indexed="81"/>
            <rFont val="Tahoma"/>
            <family val="2"/>
          </rPr>
          <t xml:space="preserve">
Rework Hours:
063-22 - 8 Hrs.
098-22 - 6 Hrs.
108-22 - 4 Hrs.</t>
        </r>
      </text>
    </comment>
  </commentList>
</comments>
</file>

<file path=xl/sharedStrings.xml><?xml version="1.0" encoding="utf-8"?>
<sst xmlns="http://schemas.openxmlformats.org/spreadsheetml/2006/main" count="3079" uniqueCount="405">
  <si>
    <t>Finishing</t>
  </si>
  <si>
    <t>Fit</t>
  </si>
  <si>
    <t>Pre-Fab</t>
  </si>
  <si>
    <t>Shipping</t>
  </si>
  <si>
    <t>Total</t>
  </si>
  <si>
    <t>Overhead</t>
  </si>
  <si>
    <t xml:space="preserve">  OH % Total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</si>
  <si>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</si>
  <si>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</si>
  <si>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</si>
  <si>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</si>
  <si>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</si>
  <si>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</si>
  <si>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</si>
  <si>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</si>
  <si>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</si>
  <si>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</si>
  <si>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</si>
  <si>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</si>
  <si>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</si>
  <si>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value</t>
  </si>
  <si>
    <t>pointer</t>
  </si>
  <si>
    <t>end</t>
  </si>
  <si>
    <t>Green</t>
  </si>
  <si>
    <t>Yellow</t>
  </si>
  <si>
    <t>Red</t>
  </si>
  <si>
    <t>Invisible</t>
  </si>
  <si>
    <t>-</t>
  </si>
  <si>
    <t>Rework x Month</t>
  </si>
  <si>
    <t>Act.</t>
  </si>
  <si>
    <t>Max Target</t>
  </si>
  <si>
    <t>Month</t>
  </si>
  <si>
    <t>Year</t>
  </si>
  <si>
    <t>Week of</t>
  </si>
  <si>
    <t>Week</t>
  </si>
  <si>
    <t>Labor Efficiency - Rolling 4 Weeks</t>
  </si>
  <si>
    <t>Weekly Labor Efficiency x Department</t>
  </si>
  <si>
    <t>Rolling Avg. Labor Efficiency</t>
  </si>
  <si>
    <t>4 Weeks</t>
  </si>
  <si>
    <t>8 Weeks</t>
  </si>
  <si>
    <t>Direct</t>
  </si>
  <si>
    <t>Overhead Analysis</t>
  </si>
  <si>
    <t>Overhead Analysis - Running Total</t>
  </si>
  <si>
    <t xml:space="preserve">  % Direct</t>
  </si>
  <si>
    <t>Rework</t>
  </si>
  <si>
    <t>Run Tot.</t>
  </si>
  <si>
    <t>Max</t>
  </si>
  <si>
    <t>Max Tot.</t>
  </si>
  <si>
    <t>Rework Analysis</t>
  </si>
  <si>
    <t>YTD</t>
  </si>
  <si>
    <t>Savannah Tank Operations Dashboard</t>
  </si>
  <si>
    <t>YTD Actual</t>
  </si>
  <si>
    <t>Difference</t>
  </si>
  <si>
    <t>YTD Max. Target</t>
  </si>
  <si>
    <t>Labor Efficiency - Shop Total</t>
  </si>
  <si>
    <t>Last Week</t>
  </si>
  <si>
    <t xml:space="preserve">        4-Week Avg.</t>
  </si>
  <si>
    <t>8-Week Avg.</t>
  </si>
  <si>
    <t>Labor Efficiency</t>
  </si>
  <si>
    <t>Andrew</t>
  </si>
  <si>
    <t>Sammy</t>
  </si>
  <si>
    <t>Jason</t>
  </si>
  <si>
    <t>Brian</t>
  </si>
  <si>
    <t>Ryan</t>
  </si>
  <si>
    <t>Nate</t>
  </si>
  <si>
    <t>Elton</t>
  </si>
  <si>
    <t>T-Bone</t>
  </si>
  <si>
    <t>Kevin</t>
  </si>
  <si>
    <t>Arthur</t>
  </si>
  <si>
    <t>Robert</t>
  </si>
  <si>
    <t>Maurice</t>
  </si>
  <si>
    <t>Cory</t>
  </si>
  <si>
    <t>Randall</t>
  </si>
  <si>
    <t>Paul</t>
  </si>
  <si>
    <t>Cal</t>
  </si>
  <si>
    <t>July</t>
  </si>
  <si>
    <t>Employee</t>
  </si>
  <si>
    <t>OSHA</t>
  </si>
  <si>
    <t>Rolling 12 Months</t>
  </si>
  <si>
    <t>TCIR</t>
  </si>
  <si>
    <t>Hours</t>
  </si>
  <si>
    <t>Rolling 12 Mos.</t>
  </si>
  <si>
    <t>Savannah Tank Safety Dashboard</t>
  </si>
  <si>
    <t>Near Miss</t>
  </si>
  <si>
    <t>Year-to-Date Safety Incidents by Category</t>
  </si>
  <si>
    <t>First Aid</t>
  </si>
  <si>
    <t>OSHA Total Reportable Incident Rate</t>
  </si>
  <si>
    <t>Safety Improvement Action Plan</t>
  </si>
  <si>
    <t>Action Item</t>
  </si>
  <si>
    <t>Resp.</t>
  </si>
  <si>
    <t>Timing</t>
  </si>
  <si>
    <t>Operations Improvement Action Plan</t>
  </si>
  <si>
    <t>Scott</t>
  </si>
  <si>
    <t>Time study - flat tops and cones</t>
  </si>
  <si>
    <t>Ron / Niral</t>
  </si>
  <si>
    <t>Schedule ESAB rep.</t>
  </si>
  <si>
    <t>Ron</t>
  </si>
  <si>
    <t>Make new outrigger prototype</t>
  </si>
  <si>
    <t>Modify (3) trunions to new design</t>
  </si>
  <si>
    <r>
      <t>Repair and</t>
    </r>
    <r>
      <rPr>
        <strike/>
        <sz val="16"/>
        <color theme="1"/>
        <rFont val="Calibri"/>
        <family val="2"/>
        <scheme val="minor"/>
      </rPr>
      <t xml:space="preserve"> paint new plasma table.  </t>
    </r>
  </si>
  <si>
    <t>On Time</t>
  </si>
  <si>
    <t>Late</t>
  </si>
  <si>
    <t>% On Time</t>
  </si>
  <si>
    <t>On Time Completion</t>
  </si>
  <si>
    <t>Goal</t>
  </si>
  <si>
    <t>Amber</t>
  </si>
  <si>
    <t>Pointer</t>
  </si>
  <si>
    <t>End</t>
  </si>
  <si>
    <t>YTD Performance</t>
  </si>
  <si>
    <t>OTC %</t>
  </si>
  <si>
    <t>Scheduled Completions</t>
  </si>
  <si>
    <t>Status</t>
  </si>
  <si>
    <t>Due</t>
  </si>
  <si>
    <t>Job #</t>
  </si>
  <si>
    <t>Current Est.</t>
  </si>
  <si>
    <t>20-055</t>
  </si>
  <si>
    <t>20-056</t>
  </si>
  <si>
    <t>20-057</t>
  </si>
  <si>
    <t>20-058</t>
  </si>
  <si>
    <t>20-074</t>
  </si>
  <si>
    <t>20-051</t>
  </si>
  <si>
    <t>20-052</t>
  </si>
  <si>
    <t>20-053</t>
  </si>
  <si>
    <t>20-054</t>
  </si>
  <si>
    <t>20-047</t>
  </si>
  <si>
    <t>20-048</t>
  </si>
  <si>
    <t>20-049</t>
  </si>
  <si>
    <t>20-050</t>
  </si>
  <si>
    <t>20-073</t>
  </si>
  <si>
    <t>20-065</t>
  </si>
  <si>
    <t>20-084</t>
  </si>
  <si>
    <t>20-085</t>
  </si>
  <si>
    <t>20-086</t>
  </si>
  <si>
    <t>20-078</t>
  </si>
  <si>
    <t>20-079</t>
  </si>
  <si>
    <t>20-087</t>
  </si>
  <si>
    <t>20-088</t>
  </si>
  <si>
    <t>20-089</t>
  </si>
  <si>
    <t>20-090</t>
  </si>
  <si>
    <t>20-091</t>
  </si>
  <si>
    <t>20-092</t>
  </si>
  <si>
    <t>20-093</t>
  </si>
  <si>
    <t>20-094</t>
  </si>
  <si>
    <t>20-095</t>
  </si>
  <si>
    <t>20-096</t>
  </si>
  <si>
    <t>20-097</t>
  </si>
  <si>
    <t>20-098</t>
  </si>
  <si>
    <t>20-099</t>
  </si>
  <si>
    <t>Action Plan</t>
  </si>
  <si>
    <t>Oper</t>
  </si>
  <si>
    <t>Est Hrs</t>
  </si>
  <si>
    <t>Adj Est Hrs</t>
  </si>
  <si>
    <t>Act Hrs</t>
  </si>
  <si>
    <t>Eff %</t>
  </si>
  <si>
    <t>Hrs Lost</t>
  </si>
  <si>
    <t>Operation</t>
  </si>
  <si>
    <t>Description</t>
  </si>
  <si>
    <t>Cut Nozzle Pipe and Clean</t>
  </si>
  <si>
    <t>Build Nozzles-Weld</t>
  </si>
  <si>
    <t>Build Repads for Nozzles</t>
  </si>
  <si>
    <t>Build Dip Tubes-Weld</t>
  </si>
  <si>
    <t>Make Manway Parts</t>
  </si>
  <si>
    <t>Brn MW Neck, Clean, Bevel</t>
  </si>
  <si>
    <t>Roll Manway Neck</t>
  </si>
  <si>
    <t>S/U Weld MW Flg, Neck Sem</t>
  </si>
  <si>
    <t>Bld Davit Arm Aby Cover</t>
  </si>
  <si>
    <t>Build Hatch/Door</t>
  </si>
  <si>
    <t>Install Cladding on Flng</t>
  </si>
  <si>
    <t>Install Clad on Blind/Cov</t>
  </si>
  <si>
    <t>B&amp;C Top, Bottom Plates</t>
  </si>
  <si>
    <t>B&amp;C parts-lugs, supp, etc</t>
  </si>
  <si>
    <t>B&amp;C parts-stiff, vr, etc</t>
  </si>
  <si>
    <t>Build Supports</t>
  </si>
  <si>
    <t>Roll Repads-Drill &amp; Tap</t>
  </si>
  <si>
    <t>B&amp;W Base Ring, Skirt</t>
  </si>
  <si>
    <t>Skirt-BI, SQ, T&amp;C</t>
  </si>
  <si>
    <t>Roll Skirt Shells</t>
  </si>
  <si>
    <t>Bld Lift Lugs, Grd Lugs</t>
  </si>
  <si>
    <t>Roll Rim Angle</t>
  </si>
  <si>
    <t>Roll Insulation Rings</t>
  </si>
  <si>
    <t>B&amp;C Baffles</t>
  </si>
  <si>
    <t>Form Baffles</t>
  </si>
  <si>
    <t>Cut, Make Baffle Supports</t>
  </si>
  <si>
    <t>Build Baffles-Weld</t>
  </si>
  <si>
    <t>Bld T-B Stiffeners</t>
  </si>
  <si>
    <t>Roll/Burn vacuum rings</t>
  </si>
  <si>
    <t>Cut Parts-Mixer Bridge</t>
  </si>
  <si>
    <t>Roll Pipe-Internal Coil</t>
  </si>
  <si>
    <t>Fab Miscellaneous Parts</t>
  </si>
  <si>
    <t>Drill/Punch holes</t>
  </si>
  <si>
    <t>Build Flanges</t>
  </si>
  <si>
    <t>Sandblast Parts/Plates</t>
  </si>
  <si>
    <t>Misc Fabrication</t>
  </si>
  <si>
    <t>Cut, Build Ladder Parts</t>
  </si>
  <si>
    <t>Form and Roll Ladder Hoop</t>
  </si>
  <si>
    <t>Build Ladder-Weld</t>
  </si>
  <si>
    <t>Cut, Build Handrail Parts</t>
  </si>
  <si>
    <t>Roll Handrail Pipe</t>
  </si>
  <si>
    <t>Roll Handrail Toe Plate</t>
  </si>
  <si>
    <t>Build Handrail-Weld</t>
  </si>
  <si>
    <t>Cut, Build Platform Parts</t>
  </si>
  <si>
    <t>Burn Platform Grating</t>
  </si>
  <si>
    <t>Build Platform-Weld</t>
  </si>
  <si>
    <t>Mount Platform Handrail</t>
  </si>
  <si>
    <t>Wrap Top &amp; Bottom Heads</t>
  </si>
  <si>
    <t>BI, SQ, T&amp;C Shells</t>
  </si>
  <si>
    <t>Bevel Shell Plates</t>
  </si>
  <si>
    <t>Roll Shell, Tack-Weld I/S</t>
  </si>
  <si>
    <t>S/U and Weld Sides</t>
  </si>
  <si>
    <t>Install Body Flg-Shl W/C</t>
  </si>
  <si>
    <t>Weld Body Flg Shell</t>
  </si>
  <si>
    <t>Build Top Head/Cone</t>
  </si>
  <si>
    <t>L/O Top, B&amp;C Holes</t>
  </si>
  <si>
    <t>Bevel Top Head</t>
  </si>
  <si>
    <t>Set Nozzles in Top-Weld</t>
  </si>
  <si>
    <t>Weld Nozzles - Top Head</t>
  </si>
  <si>
    <t>I&amp;W Repads -Top</t>
  </si>
  <si>
    <t>Install Top Stiffeners</t>
  </si>
  <si>
    <t>Build Mixer Bridge</t>
  </si>
  <si>
    <t>Install Body Flg-Top W/C</t>
  </si>
  <si>
    <t>Weld Body Flg - Top W/C</t>
  </si>
  <si>
    <t>Dye Pen Top</t>
  </si>
  <si>
    <t>Grind I/S Weld Smooth-Top</t>
  </si>
  <si>
    <t>Polish I/S Weld Seam-Top</t>
  </si>
  <si>
    <t>Build Bottom Head/Cone</t>
  </si>
  <si>
    <t>L/O Bottom, B&amp;C Holes</t>
  </si>
  <si>
    <t>Bevel Bottom Head</t>
  </si>
  <si>
    <t>Set Bottom Nozzles-Weld</t>
  </si>
  <si>
    <t>I&amp;W Bottom Repads</t>
  </si>
  <si>
    <t>Install Bottom Stiffeners</t>
  </si>
  <si>
    <t>Cut &amp; Fit Btm Jacket Pipe</t>
  </si>
  <si>
    <t>Weld Jacket to Bottom</t>
  </si>
  <si>
    <t>Install Jacket Nozzle-Btm</t>
  </si>
  <si>
    <t>Install Body Flg-Btm W/C</t>
  </si>
  <si>
    <t>Weld Body Flg - Bot Hd.</t>
  </si>
  <si>
    <t>Dye Pen Bottom Head</t>
  </si>
  <si>
    <t>Grind I/S Weld Smooth-Btm</t>
  </si>
  <si>
    <t>Polish I/S Weld Seam-Btm</t>
  </si>
  <si>
    <t>Bld Skirt, F&amp;W Shells</t>
  </si>
  <si>
    <t>Bld Skirt, F&amp;W Base Ring</t>
  </si>
  <si>
    <t>Weld Skirt</t>
  </si>
  <si>
    <t>L/O Skirt, B&amp;C Holes</t>
  </si>
  <si>
    <t>Bld Skirt, F&amp;W Anchor/Gst</t>
  </si>
  <si>
    <t>Set Nzl/MW in Skirt-Weld</t>
  </si>
  <si>
    <t>Weld Skirt Nozzles, Etc.</t>
  </si>
  <si>
    <t>Fab Internal Coil Support</t>
  </si>
  <si>
    <t>Fab Internal Coil</t>
  </si>
  <si>
    <t>Fit Bottom Head to Shell</t>
  </si>
  <si>
    <t>Tack Shell Courses</t>
  </si>
  <si>
    <t>Weld Inside Round Seams</t>
  </si>
  <si>
    <t>Install Rim Angle-Weld</t>
  </si>
  <si>
    <t>Weld Rim Angle</t>
  </si>
  <si>
    <t>L/O Shell, B&amp;C Holes</t>
  </si>
  <si>
    <t>Install Baffles-Weld</t>
  </si>
  <si>
    <t>Install Internal Parts</t>
  </si>
  <si>
    <t>Install Internal Coil/Spt</t>
  </si>
  <si>
    <t>Grind I/S Weld Smooth-Shl</t>
  </si>
  <si>
    <t>Polish I/S Weld Seam-Shl</t>
  </si>
  <si>
    <t>Fit Top to Shell-Weld</t>
  </si>
  <si>
    <t>Weld top to shell - inside</t>
  </si>
  <si>
    <t>Weld all Outside Seams</t>
  </si>
  <si>
    <t>Fit Jacket to Shell</t>
  </si>
  <si>
    <t>Weld Jacket to Shell</t>
  </si>
  <si>
    <t>Install Jacket Nozzles</t>
  </si>
  <si>
    <t>Weld Jacket Nozzles</t>
  </si>
  <si>
    <t>Install Insul/Vac Rg-Weld</t>
  </si>
  <si>
    <t>Install Lift Lugs on Shl</t>
  </si>
  <si>
    <t>Install Support Parts</t>
  </si>
  <si>
    <t>Weld rings, lugs, suppts</t>
  </si>
  <si>
    <t>Set Nozzles in Shell-Weld</t>
  </si>
  <si>
    <t>Weld Shell Nozz &amp; M/Ws</t>
  </si>
  <si>
    <t>Add Repads-Weld</t>
  </si>
  <si>
    <t>Install Dip Pipe Supports</t>
  </si>
  <si>
    <t>Install Dip Pipes</t>
  </si>
  <si>
    <t>Install Mixer Bridge</t>
  </si>
  <si>
    <t>Fit Handrail, I&amp;W Clips</t>
  </si>
  <si>
    <t>Fit Ladder, I&amp;W Clips</t>
  </si>
  <si>
    <t>Fit Platform, I&amp;W Clips</t>
  </si>
  <si>
    <t>Install Name Tag</t>
  </si>
  <si>
    <t>Inspect Tank, Make Repair</t>
  </si>
  <si>
    <t>Move Tank to Detail Rolls</t>
  </si>
  <si>
    <t>Move to Shop Test Area</t>
  </si>
  <si>
    <t>Move to Paint Area</t>
  </si>
  <si>
    <t>Remove Head</t>
  </si>
  <si>
    <t>Remove Nozzles</t>
  </si>
  <si>
    <t>Remove Jacket</t>
  </si>
  <si>
    <t>Dye Pen Test</t>
  </si>
  <si>
    <t>Test Tank</t>
  </si>
  <si>
    <t>Clean Tank Complete</t>
  </si>
  <si>
    <t>Prepare Tank for Shipment</t>
  </si>
  <si>
    <t>Check BOM, Pack Parts</t>
  </si>
  <si>
    <t>Load on Truck</t>
  </si>
  <si>
    <t>Take Parts - Galvanizers</t>
  </si>
  <si>
    <t>Take Parts - Machine Shop</t>
  </si>
  <si>
    <t>P/U Parts - Galvanizers</t>
  </si>
  <si>
    <t>P/U Parts - Machine Shop</t>
  </si>
  <si>
    <t>Deliver Tank</t>
  </si>
  <si>
    <t>Deliver Misellaneous Part</t>
  </si>
  <si>
    <t xml:space="preserve">Efficiency Loss (Hours) x Operation - Last 12 Months </t>
  </si>
  <si>
    <t>Labor Efficiency Improvement Plan</t>
  </si>
  <si>
    <t>Sept</t>
  </si>
  <si>
    <t>Weld All Outside Seams</t>
  </si>
  <si>
    <t>Install Internals</t>
  </si>
  <si>
    <t>Bring In Plates, Square, Trim and Cut Shells</t>
  </si>
  <si>
    <t>Move Tank</t>
  </si>
  <si>
    <t>Improvement Tracking (Labor Efficiency)</t>
  </si>
  <si>
    <t>2020 Avg.</t>
  </si>
  <si>
    <t>Weekly Quality Issues</t>
  </si>
  <si>
    <t>Moderate</t>
  </si>
  <si>
    <t>Minor</t>
  </si>
  <si>
    <t>Major</t>
  </si>
  <si>
    <r>
      <t xml:space="preserve">Quality Defects / Week:  </t>
    </r>
    <r>
      <rPr>
        <b/>
        <i/>
        <sz val="14"/>
        <color theme="8"/>
        <rFont val="Calibri"/>
        <family val="2"/>
        <scheme val="minor"/>
      </rPr>
      <t>MINOR</t>
    </r>
  </si>
  <si>
    <r>
      <t xml:space="preserve">Quality Defects / Week:  </t>
    </r>
    <r>
      <rPr>
        <b/>
        <i/>
        <sz val="14"/>
        <color theme="5"/>
        <rFont val="Calibri"/>
        <family val="2"/>
        <scheme val="minor"/>
      </rPr>
      <t>MODERATE</t>
    </r>
  </si>
  <si>
    <t>Savannah Tank Quality Dashboard</t>
  </si>
  <si>
    <t>Value</t>
  </si>
  <si>
    <t>Welding</t>
  </si>
  <si>
    <t>Fit-Up</t>
  </si>
  <si>
    <t>Other</t>
  </si>
  <si>
    <t>Rework Cost x Cause</t>
  </si>
  <si>
    <t>Responsible</t>
  </si>
  <si>
    <r>
      <t xml:space="preserve">Rework </t>
    </r>
    <r>
      <rPr>
        <b/>
        <sz val="11"/>
        <color rgb="FFFF0000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 xml:space="preserve"> x Cause</t>
    </r>
  </si>
  <si>
    <r>
      <t xml:space="preserve">Rework </t>
    </r>
    <r>
      <rPr>
        <b/>
        <sz val="11"/>
        <color rgb="FFFF0000"/>
        <rFont val="Calibri"/>
        <family val="2"/>
        <scheme val="minor"/>
      </rPr>
      <t>Materials</t>
    </r>
    <r>
      <rPr>
        <b/>
        <sz val="11"/>
        <color theme="1"/>
        <rFont val="Calibri"/>
        <family val="2"/>
        <scheme val="minor"/>
      </rPr>
      <t xml:space="preserve"> x Cause</t>
    </r>
  </si>
  <si>
    <r>
      <t xml:space="preserve">Quality Defects / Week:  </t>
    </r>
    <r>
      <rPr>
        <b/>
        <i/>
        <sz val="14"/>
        <color rgb="FFFF0000"/>
        <rFont val="Calibri"/>
        <family val="2"/>
        <scheme val="minor"/>
      </rPr>
      <t>MAJOR</t>
    </r>
  </si>
  <si>
    <t>(Undercut, Underfill, Worm Tracks, Cluster Porosity, Pin Holes, Undersized Welds, Deep Cuts, etc)</t>
  </si>
  <si>
    <t>(Degree Punch Marks, Spatter, Tacks not Removed, Excessive Reinforcement, Arc Strikes, Overlap, etc)</t>
  </si>
  <si>
    <t>(Lack of Fusion, Lack of Penetration, Cracks, Not per Design, NDE failures, Customer Complaints, etc.)</t>
  </si>
  <si>
    <t>Quality Improvement Action Plan</t>
  </si>
  <si>
    <t xml:space="preserve"> </t>
  </si>
  <si>
    <t>Develop automated fillet welder for insulation rings, rim angles, vacuum rings, etc.</t>
  </si>
  <si>
    <t>David / Sammy</t>
  </si>
  <si>
    <t>David</t>
  </si>
  <si>
    <t>2021 Avg.</t>
  </si>
  <si>
    <t>Design &amp; build new outriggers w/ hydraulic push</t>
  </si>
  <si>
    <t>2022 Avg.</t>
  </si>
  <si>
    <t>Safety Data</t>
  </si>
  <si>
    <t>Full Year</t>
  </si>
  <si>
    <t>2023 Labor Efficiency - Shop Total</t>
  </si>
  <si>
    <t>Indirect</t>
  </si>
  <si>
    <t>Re-start training academy / welder training program</t>
  </si>
  <si>
    <t>Develop sub-arc welding quality improvement plan</t>
  </si>
  <si>
    <t>Sammy / John</t>
  </si>
  <si>
    <t>2023 Total Direct Hours</t>
  </si>
  <si>
    <t>2023 Labor Efficiency - Full Year</t>
  </si>
  <si>
    <t>2023 Productive Hours</t>
  </si>
  <si>
    <t>Avg. Labor Efficiency - 2020 - 2022</t>
  </si>
  <si>
    <t>2023 Labor Hours @ 85% Efficiency</t>
  </si>
  <si>
    <t>Hours Lost 73% vs. 85% Efficiency</t>
  </si>
  <si>
    <t>Profit Lost 73% vs. 85% (@ $30 / Hr.)</t>
  </si>
  <si>
    <t>2024 Labor Efficiency - Shop Total</t>
  </si>
  <si>
    <t>2024 Rework Hours - Cumulative Total</t>
  </si>
  <si>
    <t>2023 Rework Hours - Cumulative Total</t>
  </si>
  <si>
    <t>2023 Avg.</t>
  </si>
  <si>
    <t>Overhead Speedometer Graph</t>
  </si>
  <si>
    <t>Chart Parameters</t>
  </si>
  <si>
    <t>Draft 2024 Quality Improvement action plan</t>
  </si>
  <si>
    <t>John</t>
  </si>
  <si>
    <t>Rework Cost by Week - 2024</t>
  </si>
  <si>
    <t>Total Cost of Rework - 2024 Year-to-Date</t>
  </si>
  <si>
    <t>Cost of Rework by Cause - 2024</t>
  </si>
  <si>
    <t>Quality Defects x Severity   -   2024 Year-to-Date</t>
  </si>
  <si>
    <t>YTD Act.</t>
  </si>
  <si>
    <t>Dustin</t>
  </si>
  <si>
    <t>Use and maintain centralized work boards to communicate and track daily work assignments</t>
  </si>
  <si>
    <t>Make new outriggers and / or under shell alignment wheels with hydraulic actuation to push shells into position during fit-up</t>
  </si>
  <si>
    <t>Dustin / Sammy</t>
  </si>
  <si>
    <t>Draft written safety plan and review with shop and management stakeholders</t>
  </si>
  <si>
    <t>Keith</t>
  </si>
  <si>
    <t>Make quarterly equipment inspections (ladders, electrical cords, lifting straps, plate clamps, safety harnesses &amp; lanyards)</t>
  </si>
  <si>
    <t xml:space="preserve">Hold process improvement event(s) in support of Testing and Cleaning operations </t>
  </si>
  <si>
    <t xml:space="preserve">Document SAW parameters and procedures (set-up &amp; operation) for use on floor, inside tank &amp; outside tank.  Hold training &amp; make video. </t>
  </si>
  <si>
    <t>Make in-house training modules / videos (sub-arc welding, rim angle fit-up, etc.)</t>
  </si>
  <si>
    <t>Hold monthly shop-wide Safety meetings</t>
  </si>
  <si>
    <t>Ongoing</t>
  </si>
  <si>
    <t>2024 Avg.</t>
  </si>
  <si>
    <t>2025 Labor Efficiency - Shop Total</t>
  </si>
  <si>
    <t>NA</t>
  </si>
  <si>
    <t>2025 Rework - % Direct Hours</t>
  </si>
  <si>
    <t>Run Total</t>
  </si>
  <si>
    <t>2024 Act</t>
  </si>
  <si>
    <t>Update Formulas Monthly</t>
  </si>
  <si>
    <t>2025 Safety Incidents by Month</t>
  </si>
  <si>
    <t>pts</t>
  </si>
  <si>
    <t>Quality Defects x Severity   -   2025 Year-to-Date</t>
  </si>
  <si>
    <t>Year-to-Date Cost of Rework:</t>
  </si>
  <si>
    <t>Draft 2025 Quality Improvement action plan</t>
  </si>
  <si>
    <t>Dustin / Keith</t>
  </si>
  <si>
    <t>Inspect, repair or update all subarc tractors</t>
  </si>
  <si>
    <t>Continue bi-weekly saftey walks.  Report findings and develop action plans to address ongoing issues</t>
  </si>
  <si>
    <t>Rebuild &amp; install 10-ton crane in Pre-Fab area</t>
  </si>
  <si>
    <t>Relocate Maintenance shop to back building</t>
  </si>
  <si>
    <t>Start using column &amp; boom sub-arc welding manipulator to weld outside round seams.</t>
  </si>
  <si>
    <t>Design &amp; build prototype mini column &amp; boom to weld inside round seams</t>
  </si>
  <si>
    <t>Prepare dedicated small tank fabrication facility in old Maintenance shop.  Be ready to go into production by 1/19/2026</t>
  </si>
  <si>
    <t>2026 Labor Efficiency - Shop Total</t>
  </si>
  <si>
    <t>2026 Rework - % Direct Hours</t>
  </si>
  <si>
    <t>2025 Avg.</t>
  </si>
  <si>
    <t>'26 Target</t>
  </si>
  <si>
    <t>2025 Act</t>
  </si>
  <si>
    <t>2026 Rework Analysis</t>
  </si>
  <si>
    <t>2026 Overhead Analysis</t>
  </si>
  <si>
    <t>2026 Overhead Analysis - Running Total</t>
  </si>
  <si>
    <t>Install new roof on Buildings 2 &amp; 3</t>
  </si>
  <si>
    <t>Rework Cost by Week - 2026</t>
  </si>
  <si>
    <t>Total Cost of Rework Per Hour - 2026 Year-to-Date</t>
  </si>
  <si>
    <t>Cost of Rework by Cause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</si>
</sst>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.0"/>
    <numFmt numFmtId="166" formatCode="m/d/yy;@"/>
    <numFmt numFmtId="167" formatCode="_(&quot;$&quot;* #,##0_);_(&quot;$&quot;* \(#,##0\);_(&quot;$&quot;* &quot;-&quot;??_);_(@_)"/>
    <numFmt numFmtId="168" formatCode="&quot;$&quot;#,##0"/>
    <numFmt numFmtId="169" formatCode="#,##0.0"/>
    <numFmt numFmtId="170" formatCode="&quot;$&quot;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4"/>
      <color theme="5"/>
      <name val="Calibri"/>
      <family val="2"/>
      <scheme val="minor"/>
    </font>
    <font>
      <b/>
      <i/>
      <sz val="14"/>
      <color theme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4">
    <xf numFmtId="0" fontId="0" fillId="0" borderId="0" xfId="0"/>
    <xf numFmtId="9" fontId="0" fillId="0" borderId="0" xfId="1" applyFont="1"/>
    <xf numFmtId="1" fontId="0" fillId="0" borderId="0" xfId="0" applyNumberFormat="1"/>
    <xf numFmtId="0" fontId="2" fillId="0" borderId="0" xfId="0" applyFont="1"/>
    <xf numFmtId="9" fontId="2" fillId="0" borderId="0" xfId="1" applyFont="1"/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1" fillId="0" borderId="0" xfId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4" fillId="0" borderId="2" xfId="1" applyFont="1" applyBorder="1" applyAlignment="1">
      <alignment vertical="center"/>
    </xf>
    <xf numFmtId="9" fontId="4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39" fontId="0" fillId="0" borderId="0" xfId="2" applyNumberFormat="1" applyFont="1"/>
    <xf numFmtId="39" fontId="0" fillId="0" borderId="0" xfId="0" applyNumberFormat="1"/>
    <xf numFmtId="165" fontId="0" fillId="0" borderId="0" xfId="0" applyNumberFormat="1" applyAlignment="1">
      <alignment horizontal="center"/>
    </xf>
    <xf numFmtId="39" fontId="0" fillId="0" borderId="0" xfId="2" applyNumberFormat="1" applyFont="1" applyFill="1"/>
    <xf numFmtId="39" fontId="0" fillId="0" borderId="0" xfId="0" applyNumberFormat="1" applyAlignment="1">
      <alignment horizontal="center"/>
    </xf>
    <xf numFmtId="0" fontId="8" fillId="0" borderId="0" xfId="0" applyFont="1"/>
    <xf numFmtId="9" fontId="0" fillId="0" borderId="0" xfId="1" applyFont="1" applyFill="1" applyAlignment="1">
      <alignment horizontal="center"/>
    </xf>
    <xf numFmtId="9" fontId="2" fillId="0" borderId="0" xfId="1" applyFont="1" applyFill="1" applyAlignment="1">
      <alignment horizontal="center"/>
    </xf>
    <xf numFmtId="9" fontId="1" fillId="0" borderId="0" xfId="1" applyFill="1" applyAlignment="1">
      <alignment horizontal="center"/>
    </xf>
    <xf numFmtId="9" fontId="0" fillId="0" borderId="0" xfId="1" applyFont="1" applyFill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/>
    <xf numFmtId="0" fontId="4" fillId="0" borderId="12" xfId="0" applyFont="1" applyBorder="1" applyAlignment="1">
      <alignment horizontal="center"/>
    </xf>
    <xf numFmtId="164" fontId="3" fillId="2" borderId="0" xfId="0" quotePrefix="1" applyNumberFormat="1" applyFont="1" applyFill="1" applyAlignment="1">
      <alignment vertical="center"/>
    </xf>
    <xf numFmtId="0" fontId="0" fillId="0" borderId="10" xfId="0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6" xfId="0" applyFont="1" applyBorder="1"/>
    <xf numFmtId="0" fontId="11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0" fontId="0" fillId="3" borderId="12" xfId="0" applyFill="1" applyBorder="1"/>
    <xf numFmtId="0" fontId="0" fillId="0" borderId="12" xfId="0" applyBorder="1"/>
    <xf numFmtId="0" fontId="0" fillId="4" borderId="12" xfId="0" applyFill="1" applyBorder="1"/>
    <xf numFmtId="0" fontId="15" fillId="0" borderId="0" xfId="0" applyFont="1" applyAlignment="1">
      <alignment horizontal="center" vertical="top"/>
    </xf>
    <xf numFmtId="4" fontId="0" fillId="0" borderId="0" xfId="0" applyNumberFormat="1" applyAlignment="1">
      <alignment vertical="top"/>
    </xf>
    <xf numFmtId="4" fontId="0" fillId="0" borderId="0" xfId="0" applyNumberFormat="1"/>
    <xf numFmtId="0" fontId="16" fillId="0" borderId="0" xfId="0" applyFont="1" applyAlignment="1">
      <alignment horizontal="center" vertical="top"/>
    </xf>
    <xf numFmtId="14" fontId="9" fillId="0" borderId="0" xfId="0" applyNumberFormat="1" applyFont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39" fontId="0" fillId="0" borderId="7" xfId="2" applyNumberFormat="1" applyFont="1" applyBorder="1"/>
    <xf numFmtId="0" fontId="0" fillId="0" borderId="4" xfId="0" applyBorder="1" applyAlignment="1">
      <alignment horizontal="center"/>
    </xf>
    <xf numFmtId="39" fontId="0" fillId="0" borderId="8" xfId="2" applyNumberFormat="1" applyFont="1" applyBorder="1"/>
    <xf numFmtId="39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9" fontId="0" fillId="0" borderId="11" xfId="2" applyNumberFormat="1" applyFont="1" applyBorder="1"/>
    <xf numFmtId="39" fontId="0" fillId="0" borderId="7" xfId="2" applyNumberFormat="1" applyFont="1" applyFill="1" applyBorder="1"/>
    <xf numFmtId="39" fontId="0" fillId="0" borderId="8" xfId="2" applyNumberFormat="1" applyFont="1" applyFill="1" applyBorder="1"/>
    <xf numFmtId="39" fontId="0" fillId="0" borderId="11" xfId="2" applyNumberFormat="1" applyFont="1" applyFill="1" applyBorder="1"/>
    <xf numFmtId="0" fontId="0" fillId="0" borderId="6" xfId="0" applyBorder="1"/>
    <xf numFmtId="9" fontId="0" fillId="0" borderId="6" xfId="1" applyFont="1" applyBorder="1"/>
    <xf numFmtId="9" fontId="0" fillId="0" borderId="7" xfId="1" applyFont="1" applyBorder="1"/>
    <xf numFmtId="9" fontId="0" fillId="0" borderId="0" xfId="1" applyFont="1" applyBorder="1"/>
    <xf numFmtId="9" fontId="0" fillId="0" borderId="8" xfId="1" applyFont="1" applyBorder="1"/>
    <xf numFmtId="9" fontId="0" fillId="0" borderId="11" xfId="1" applyFont="1" applyBorder="1"/>
    <xf numFmtId="9" fontId="0" fillId="0" borderId="0" xfId="1" applyFont="1" applyFill="1" applyBorder="1"/>
    <xf numFmtId="3" fontId="0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0" fillId="0" borderId="0" xfId="0" applyNumberFormat="1"/>
    <xf numFmtId="167" fontId="0" fillId="0" borderId="0" xfId="3" applyNumberFormat="1" applyFont="1"/>
    <xf numFmtId="167" fontId="0" fillId="0" borderId="0" xfId="0" applyNumberFormat="1"/>
    <xf numFmtId="0" fontId="21" fillId="2" borderId="0" xfId="0" applyFont="1" applyFill="1" applyAlignment="1">
      <alignment vertical="center"/>
    </xf>
    <xf numFmtId="164" fontId="21" fillId="2" borderId="0" xfId="0" quotePrefix="1" applyNumberFormat="1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4" fontId="0" fillId="0" borderId="0" xfId="1" applyNumberFormat="1" applyFont="1" applyAlignment="1">
      <alignment horizontal="center"/>
    </xf>
    <xf numFmtId="9" fontId="0" fillId="5" borderId="0" xfId="1" applyFont="1" applyFill="1"/>
    <xf numFmtId="9" fontId="2" fillId="0" borderId="0" xfId="1" applyFont="1" applyFill="1"/>
    <xf numFmtId="9" fontId="0" fillId="0" borderId="8" xfId="1" applyFont="1" applyFill="1" applyBorder="1"/>
    <xf numFmtId="0" fontId="2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Border="1" applyAlignment="1">
      <alignment horizontal="right"/>
    </xf>
    <xf numFmtId="0" fontId="2" fillId="0" borderId="0" xfId="0" applyFont="1" applyAlignment="1">
      <alignment horizontal="right"/>
    </xf>
    <xf numFmtId="0" fontId="24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0" xfId="0" applyFill="1" applyBorder="1" applyAlignment="1">
      <alignment horizontal="center"/>
    </xf>
    <xf numFmtId="165" fontId="0" fillId="0" borderId="0" xfId="0" applyNumberFormat="1"/>
    <xf numFmtId="165" fontId="24" fillId="0" borderId="0" xfId="0" applyNumberFormat="1" applyFont="1"/>
    <xf numFmtId="3" fontId="28" fillId="6" borderId="0" xfId="1" applyNumberFormat="1" applyFont="1" applyFill="1" applyAlignment="1">
      <alignment horizontal="center"/>
    </xf>
    <xf numFmtId="1" fontId="28" fillId="6" borderId="0" xfId="0" applyNumberFormat="1" applyFont="1" applyFill="1" applyAlignment="1">
      <alignment horizontal="center"/>
    </xf>
    <xf numFmtId="0" fontId="23" fillId="5" borderId="0" xfId="0" applyFont="1" applyFill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4" xfId="0" applyBorder="1"/>
    <xf numFmtId="37" fontId="0" fillId="0" borderId="0" xfId="0" applyNumberFormat="1" applyAlignment="1">
      <alignment horizontal="center"/>
    </xf>
    <xf numFmtId="168" fontId="0" fillId="0" borderId="0" xfId="0" applyNumberFormat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9" fontId="0" fillId="5" borderId="8" xfId="1" applyFont="1" applyFill="1" applyBorder="1"/>
    <xf numFmtId="0" fontId="0" fillId="0" borderId="9" xfId="0" applyBorder="1"/>
    <xf numFmtId="0" fontId="0" fillId="0" borderId="11" xfId="0" applyBorder="1"/>
    <xf numFmtId="169" fontId="0" fillId="0" borderId="0" xfId="1" applyNumberFormat="1" applyFont="1" applyAlignment="1">
      <alignment horizontal="center"/>
    </xf>
    <xf numFmtId="44" fontId="0" fillId="0" borderId="0" xfId="3" applyFont="1"/>
    <xf numFmtId="169" fontId="0" fillId="0" borderId="0" xfId="1" applyNumberFormat="1" applyFont="1" applyFill="1" applyAlignment="1">
      <alignment horizontal="center"/>
    </xf>
    <xf numFmtId="9" fontId="0" fillId="5" borderId="0" xfId="1" applyFont="1" applyFill="1" applyAlignment="1">
      <alignment horizontal="center"/>
    </xf>
    <xf numFmtId="9" fontId="2" fillId="5" borderId="0" xfId="1" applyFont="1" applyFill="1" applyAlignment="1">
      <alignment horizontal="center"/>
    </xf>
    <xf numFmtId="44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Fill="1"/>
    <xf numFmtId="10" fontId="4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2" fontId="28" fillId="6" borderId="0" xfId="0" applyNumberFormat="1" applyFont="1" applyFill="1" applyAlignment="1">
      <alignment horizontal="center"/>
    </xf>
    <xf numFmtId="4" fontId="28" fillId="6" borderId="0" xfId="1" applyNumberFormat="1" applyFont="1" applyFill="1" applyAlignment="1">
      <alignment horizontal="center"/>
    </xf>
    <xf numFmtId="2" fontId="0" fillId="0" borderId="0" xfId="0" applyNumberFormat="1"/>
    <xf numFmtId="39" fontId="0" fillId="5" borderId="0" xfId="0" applyNumberFormat="1" applyFill="1" applyAlignment="1">
      <alignment horizontal="center"/>
    </xf>
    <xf numFmtId="0" fontId="0" fillId="0" borderId="0" xfId="0" quotePrefix="1"/>
    <xf numFmtId="9" fontId="0" fillId="5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2" borderId="0" xfId="0" applyFont="1" applyFill="1" applyAlignment="1">
      <alignment horizontal="right" vertical="center"/>
    </xf>
    <xf numFmtId="164" fontId="3" fillId="2" borderId="0" xfId="0" quotePrefix="1" applyNumberFormat="1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4" fontId="6" fillId="5" borderId="5" xfId="0" applyNumberFormat="1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164" fontId="21" fillId="2" borderId="0" xfId="0" quotePrefix="1" applyNumberFormat="1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70" fontId="31" fillId="0" borderId="2" xfId="0" applyNumberFormat="1" applyFont="1" applyBorder="1" applyAlignment="1">
      <alignment horizontal="center"/>
    </xf>
    <xf numFmtId="170" fontId="31" fillId="0" borderId="3" xfId="0" applyNumberFormat="1" applyFont="1" applyBorder="1" applyAlignment="1">
      <alignment horizontal="center"/>
    </xf>
    <xf numFmtId="0" fontId="31" fillId="0" borderId="12" xfId="0" applyFont="1" applyBorder="1" applyAlignment="1">
      <alignment horizontal="right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9" fontId="6" fillId="0" borderId="13" xfId="1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/>
    </xf>
    <xf numFmtId="9" fontId="6" fillId="0" borderId="15" xfId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tx>
            <c:strRef>
              <c:f>'2025 Dashboard'!$AM$34</c:f>
              <c:strCache>
                <c:ptCount val="1"/>
                <c:pt idx="0">
                  <c:v>Chart Parameters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18-44B1-992F-C9C0EE22C69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18-44B1-992F-C9C0EE22C69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18-44B1-992F-C9C0EE22C690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18-44B1-992F-C9C0EE22C690}"/>
              </c:ext>
            </c:extLst>
          </c:dPt>
          <c:val>
            <c:numRef>
              <c:f>'2025 Dashboard'!$AN$35:$AN$38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20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18-44B1-992F-C9C0EE22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spPr>
            <a:solidFill>
              <a:schemeClr val="accent2"/>
            </a:solidFill>
          </c:spPr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A-0818-44B1-992F-C9C0EE22C69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C-0818-44B1-992F-C9C0EE22C690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E-0818-44B1-992F-C9C0EE22C690}"/>
              </c:ext>
            </c:extLst>
          </c:dPt>
          <c:val>
            <c:numRef>
              <c:f>'2025 Dashboard'!$AQ$35:$AQ$37</c:f>
              <c:numCache>
                <c:formatCode>0%</c:formatCode>
                <c:ptCount val="3"/>
                <c:pt idx="0">
                  <c:v>0.41</c:v>
                </c:pt>
                <c:pt idx="1">
                  <c:v>0.01</c:v>
                </c:pt>
                <c:pt idx="2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818-44B1-992F-C9C0EE22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 Data'!$AL$3</c:f>
              <c:strCache>
                <c:ptCount val="1"/>
                <c:pt idx="0">
                  <c:v>  %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'2026 Data'!$AL$4:$AL$55</c:f>
              <c:numCache>
                <c:formatCode>0.00%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3-4A31-90A5-D6C85C00D99E}"/>
            </c:ext>
          </c:extLst>
        </c:ser>
        <c:ser>
          <c:idx val="1"/>
          <c:order val="1"/>
          <c:tx>
            <c:v>Max 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'2026 Data'!$AO$4:$AO$55</c:f>
              <c:numCache>
                <c:formatCode>0.00%</c:formatCode>
                <c:ptCount val="52"/>
                <c:pt idx="0">
                  <c:v>1.2500000000000001E-2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1.2500000000000001E-2</c:v>
                </c:pt>
                <c:pt idx="4">
                  <c:v>1.2500000000000001E-2</c:v>
                </c:pt>
                <c:pt idx="5">
                  <c:v>1.2500000000000001E-2</c:v>
                </c:pt>
                <c:pt idx="6">
                  <c:v>1.2500000000000001E-2</c:v>
                </c:pt>
                <c:pt idx="7">
                  <c:v>1.2500000000000001E-2</c:v>
                </c:pt>
                <c:pt idx="8">
                  <c:v>1.2500000000000001E-2</c:v>
                </c:pt>
                <c:pt idx="9">
                  <c:v>1.2500000000000001E-2</c:v>
                </c:pt>
                <c:pt idx="10">
                  <c:v>1.2500000000000001E-2</c:v>
                </c:pt>
                <c:pt idx="11">
                  <c:v>1.2500000000000001E-2</c:v>
                </c:pt>
                <c:pt idx="12">
                  <c:v>1.2500000000000001E-2</c:v>
                </c:pt>
                <c:pt idx="13">
                  <c:v>1.2500000000000001E-2</c:v>
                </c:pt>
                <c:pt idx="14">
                  <c:v>1.2500000000000001E-2</c:v>
                </c:pt>
                <c:pt idx="15">
                  <c:v>1.2500000000000001E-2</c:v>
                </c:pt>
                <c:pt idx="16">
                  <c:v>1.2500000000000001E-2</c:v>
                </c:pt>
                <c:pt idx="17">
                  <c:v>1.2500000000000001E-2</c:v>
                </c:pt>
                <c:pt idx="18">
                  <c:v>1.2500000000000001E-2</c:v>
                </c:pt>
                <c:pt idx="19">
                  <c:v>1.2500000000000001E-2</c:v>
                </c:pt>
                <c:pt idx="20">
                  <c:v>1.2500000000000001E-2</c:v>
                </c:pt>
                <c:pt idx="21">
                  <c:v>1.2500000000000001E-2</c:v>
                </c:pt>
                <c:pt idx="22">
                  <c:v>1.2500000000000001E-2</c:v>
                </c:pt>
                <c:pt idx="23">
                  <c:v>1.2500000000000001E-2</c:v>
                </c:pt>
                <c:pt idx="24">
                  <c:v>1.2500000000000001E-2</c:v>
                </c:pt>
                <c:pt idx="25">
                  <c:v>1.2500000000000001E-2</c:v>
                </c:pt>
                <c:pt idx="26">
                  <c:v>1.2500000000000001E-2</c:v>
                </c:pt>
                <c:pt idx="27">
                  <c:v>1.2500000000000001E-2</c:v>
                </c:pt>
                <c:pt idx="28">
                  <c:v>1.2500000000000001E-2</c:v>
                </c:pt>
                <c:pt idx="29">
                  <c:v>1.2500000000000001E-2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1.2500000000000001E-2</c:v>
                </c:pt>
                <c:pt idx="33">
                  <c:v>1.2500000000000001E-2</c:v>
                </c:pt>
                <c:pt idx="34">
                  <c:v>1.2500000000000001E-2</c:v>
                </c:pt>
                <c:pt idx="35">
                  <c:v>1.2500000000000001E-2</c:v>
                </c:pt>
                <c:pt idx="36">
                  <c:v>1.2500000000000001E-2</c:v>
                </c:pt>
                <c:pt idx="37">
                  <c:v>1.2500000000000001E-2</c:v>
                </c:pt>
                <c:pt idx="38">
                  <c:v>1.2500000000000001E-2</c:v>
                </c:pt>
                <c:pt idx="39">
                  <c:v>1.2500000000000001E-2</c:v>
                </c:pt>
                <c:pt idx="40">
                  <c:v>1.2500000000000001E-2</c:v>
                </c:pt>
                <c:pt idx="41">
                  <c:v>1.2500000000000001E-2</c:v>
                </c:pt>
                <c:pt idx="42">
                  <c:v>1.2500000000000001E-2</c:v>
                </c:pt>
                <c:pt idx="43">
                  <c:v>1.2500000000000001E-2</c:v>
                </c:pt>
                <c:pt idx="44">
                  <c:v>1.2500000000000001E-2</c:v>
                </c:pt>
                <c:pt idx="45">
                  <c:v>1.2500000000000001E-2</c:v>
                </c:pt>
                <c:pt idx="46">
                  <c:v>1.2500000000000001E-2</c:v>
                </c:pt>
                <c:pt idx="47">
                  <c:v>1.2500000000000001E-2</c:v>
                </c:pt>
                <c:pt idx="48">
                  <c:v>1.2500000000000001E-2</c:v>
                </c:pt>
                <c:pt idx="49">
                  <c:v>1.2500000000000001E-2</c:v>
                </c:pt>
                <c:pt idx="50">
                  <c:v>1.2500000000000001E-2</c:v>
                </c:pt>
                <c:pt idx="51">
                  <c:v>1.2500000000000001E-2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D3-4A31-90A5-D6C85C00D99E}"/>
            </c:ext>
          </c:extLst>
        </c:ser>
        <c:ser>
          <c:idx val="2"/>
          <c:order val="2"/>
          <c:tx>
            <c:strRef>
              <c:f>'2026 Data'!$AP$3</c:f>
              <c:strCache>
                <c:ptCount val="1"/>
                <c:pt idx="0">
                  <c:v>2025 Act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'2026 Data'!$AP$4:$AP$55</c:f>
              <c:numCache>
                <c:formatCode>0.00%</c:formatCode>
                <c:ptCount val="52"/>
                <c:pt idx="0">
                  <c:v>1.8700000000000001E-2</c:v>
                </c:pt>
                <c:pt idx="1">
                  <c:v>1.8700000000000001E-2</c:v>
                </c:pt>
                <c:pt idx="2">
                  <c:v>1.8700000000000001E-2</c:v>
                </c:pt>
                <c:pt idx="3">
                  <c:v>1.8700000000000001E-2</c:v>
                </c:pt>
                <c:pt idx="4">
                  <c:v>1.8700000000000001E-2</c:v>
                </c:pt>
                <c:pt idx="5">
                  <c:v>1.8700000000000001E-2</c:v>
                </c:pt>
                <c:pt idx="6">
                  <c:v>1.8700000000000001E-2</c:v>
                </c:pt>
                <c:pt idx="7">
                  <c:v>1.8700000000000001E-2</c:v>
                </c:pt>
                <c:pt idx="8">
                  <c:v>1.8700000000000001E-2</c:v>
                </c:pt>
                <c:pt idx="9">
                  <c:v>1.8700000000000001E-2</c:v>
                </c:pt>
                <c:pt idx="10">
                  <c:v>1.8700000000000001E-2</c:v>
                </c:pt>
                <c:pt idx="11">
                  <c:v>1.8700000000000001E-2</c:v>
                </c:pt>
                <c:pt idx="12">
                  <c:v>1.8700000000000001E-2</c:v>
                </c:pt>
                <c:pt idx="13">
                  <c:v>1.8700000000000001E-2</c:v>
                </c:pt>
                <c:pt idx="14">
                  <c:v>1.8700000000000001E-2</c:v>
                </c:pt>
                <c:pt idx="15">
                  <c:v>1.8700000000000001E-2</c:v>
                </c:pt>
                <c:pt idx="16">
                  <c:v>1.8700000000000001E-2</c:v>
                </c:pt>
                <c:pt idx="17">
                  <c:v>1.8700000000000001E-2</c:v>
                </c:pt>
                <c:pt idx="18">
                  <c:v>1.8700000000000001E-2</c:v>
                </c:pt>
                <c:pt idx="19">
                  <c:v>1.8700000000000001E-2</c:v>
                </c:pt>
                <c:pt idx="20">
                  <c:v>1.8700000000000001E-2</c:v>
                </c:pt>
                <c:pt idx="21">
                  <c:v>1.8700000000000001E-2</c:v>
                </c:pt>
                <c:pt idx="22">
                  <c:v>1.8700000000000001E-2</c:v>
                </c:pt>
                <c:pt idx="23">
                  <c:v>1.8700000000000001E-2</c:v>
                </c:pt>
                <c:pt idx="24">
                  <c:v>1.8700000000000001E-2</c:v>
                </c:pt>
                <c:pt idx="25">
                  <c:v>1.8700000000000001E-2</c:v>
                </c:pt>
                <c:pt idx="26">
                  <c:v>1.8700000000000001E-2</c:v>
                </c:pt>
                <c:pt idx="27">
                  <c:v>1.8700000000000001E-2</c:v>
                </c:pt>
                <c:pt idx="28">
                  <c:v>1.8700000000000001E-2</c:v>
                </c:pt>
                <c:pt idx="29">
                  <c:v>1.8700000000000001E-2</c:v>
                </c:pt>
                <c:pt idx="30">
                  <c:v>1.8700000000000001E-2</c:v>
                </c:pt>
                <c:pt idx="31">
                  <c:v>1.8700000000000001E-2</c:v>
                </c:pt>
                <c:pt idx="32">
                  <c:v>1.8700000000000001E-2</c:v>
                </c:pt>
                <c:pt idx="33">
                  <c:v>1.8700000000000001E-2</c:v>
                </c:pt>
                <c:pt idx="34">
                  <c:v>1.8700000000000001E-2</c:v>
                </c:pt>
                <c:pt idx="35">
                  <c:v>1.8700000000000001E-2</c:v>
                </c:pt>
                <c:pt idx="36">
                  <c:v>1.8700000000000001E-2</c:v>
                </c:pt>
                <c:pt idx="37">
                  <c:v>1.8700000000000001E-2</c:v>
                </c:pt>
                <c:pt idx="38">
                  <c:v>1.8700000000000001E-2</c:v>
                </c:pt>
                <c:pt idx="39">
                  <c:v>1.8700000000000001E-2</c:v>
                </c:pt>
                <c:pt idx="40">
                  <c:v>1.8700000000000001E-2</c:v>
                </c:pt>
                <c:pt idx="41">
                  <c:v>1.8700000000000001E-2</c:v>
                </c:pt>
                <c:pt idx="42">
                  <c:v>1.8700000000000001E-2</c:v>
                </c:pt>
                <c:pt idx="43">
                  <c:v>1.8700000000000001E-2</c:v>
                </c:pt>
                <c:pt idx="44">
                  <c:v>1.8700000000000001E-2</c:v>
                </c:pt>
                <c:pt idx="45">
                  <c:v>1.8700000000000001E-2</c:v>
                </c:pt>
                <c:pt idx="46">
                  <c:v>1.8700000000000001E-2</c:v>
                </c:pt>
                <c:pt idx="47">
                  <c:v>1.8700000000000001E-2</c:v>
                </c:pt>
                <c:pt idx="48">
                  <c:v>1.8700000000000001E-2</c:v>
                </c:pt>
                <c:pt idx="49">
                  <c:v>1.8700000000000001E-2</c:v>
                </c:pt>
                <c:pt idx="50">
                  <c:v>1.8700000000000001E-2</c:v>
                </c:pt>
                <c:pt idx="51">
                  <c:v>1.8700000000000001E-2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D3-4A31-90A5-D6C85C00D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735416"/>
        <c:axId val="407735808"/>
      </c:lineChart>
      <c:catAx>
        <c:axId val="40773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808"/>
        <c:crossesAt val="0"/>
        <c:auto val="1"/>
        <c:lblAlgn val="ctr"/>
        <c:lblOffset val="100"/>
        <c:noMultiLvlLbl val="0"/>
      </c:catAx>
      <c:valAx>
        <c:axId val="407735808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'2026 Data'!$J$4:$J$55</c:f>
              <c:numCache>
                <c:formatCode>0%</c:formatCode>
                <c:ptCount val="52"/>
                <c:pt idx="0">
                  <c:v>0.94</c:v>
                </c:pt>
                <c:pt idx="1">
                  <c:v>0.97</c:v>
                </c:pt>
                <c:pt idx="2">
                  <c:v>0.92</c:v>
                </c:pt>
                <c:pt idx="3">
                  <c:v>0.91</c:v>
                </c:pt>
                <c:pt idx="4">
                  <c:v>0.93</c:v>
                </c:pt>
                <c:pt idx="5">
                  <c:v>0.97</c:v>
                </c:pt>
                <c:pt idx="6">
                  <c:v>0.91</c:v>
                </c:pt>
                <c:pt idx="7">
                  <c:v>1.05</c:v>
                </c:pt>
                <c:pt idx="8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7-486E-883A-06718A6C2E9A}"/>
            </c:ext>
          </c:extLst>
        </c:ser>
        <c:ser>
          <c:idx val="1"/>
          <c:order val="1"/>
          <c:tx>
            <c:strRef>
              <c:f>'2026 Data'!$N$3</c:f>
              <c:strCache>
                <c:ptCount val="1"/>
                <c:pt idx="0">
                  <c:v>2025 Avg.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'2026 Data'!$N$4:$N$55</c:f>
              <c:numCache>
                <c:formatCode>0%</c:formatCode>
                <c:ptCount val="52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0.96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0.96</c:v>
                </c:pt>
                <c:pt idx="11">
                  <c:v>0.96</c:v>
                </c:pt>
                <c:pt idx="12">
                  <c:v>0.96</c:v>
                </c:pt>
                <c:pt idx="13">
                  <c:v>0.96</c:v>
                </c:pt>
                <c:pt idx="14">
                  <c:v>0.96</c:v>
                </c:pt>
                <c:pt idx="15">
                  <c:v>0.96</c:v>
                </c:pt>
                <c:pt idx="16">
                  <c:v>0.96</c:v>
                </c:pt>
                <c:pt idx="17">
                  <c:v>0.96</c:v>
                </c:pt>
                <c:pt idx="18">
                  <c:v>0.96</c:v>
                </c:pt>
                <c:pt idx="19">
                  <c:v>0.96</c:v>
                </c:pt>
                <c:pt idx="20">
                  <c:v>0.96</c:v>
                </c:pt>
                <c:pt idx="21">
                  <c:v>0.96</c:v>
                </c:pt>
                <c:pt idx="22">
                  <c:v>0.96</c:v>
                </c:pt>
                <c:pt idx="23">
                  <c:v>0.96</c:v>
                </c:pt>
                <c:pt idx="24">
                  <c:v>0.96</c:v>
                </c:pt>
                <c:pt idx="25">
                  <c:v>0.96</c:v>
                </c:pt>
                <c:pt idx="26">
                  <c:v>0.96</c:v>
                </c:pt>
                <c:pt idx="27">
                  <c:v>0.96</c:v>
                </c:pt>
                <c:pt idx="28">
                  <c:v>0.96</c:v>
                </c:pt>
                <c:pt idx="29">
                  <c:v>0.96</c:v>
                </c:pt>
                <c:pt idx="30">
                  <c:v>0.96</c:v>
                </c:pt>
                <c:pt idx="31">
                  <c:v>0.96</c:v>
                </c:pt>
                <c:pt idx="32">
                  <c:v>0.96</c:v>
                </c:pt>
                <c:pt idx="33">
                  <c:v>0.96</c:v>
                </c:pt>
                <c:pt idx="34">
                  <c:v>0.96</c:v>
                </c:pt>
                <c:pt idx="35">
                  <c:v>0.96</c:v>
                </c:pt>
                <c:pt idx="36">
                  <c:v>0.96</c:v>
                </c:pt>
                <c:pt idx="37">
                  <c:v>0.96</c:v>
                </c:pt>
                <c:pt idx="38">
                  <c:v>0.96</c:v>
                </c:pt>
                <c:pt idx="39">
                  <c:v>0.96</c:v>
                </c:pt>
                <c:pt idx="40">
                  <c:v>0.96</c:v>
                </c:pt>
                <c:pt idx="41">
                  <c:v>0.96</c:v>
                </c:pt>
                <c:pt idx="42">
                  <c:v>0.96</c:v>
                </c:pt>
                <c:pt idx="43">
                  <c:v>0.96</c:v>
                </c:pt>
                <c:pt idx="44">
                  <c:v>0.96</c:v>
                </c:pt>
                <c:pt idx="45">
                  <c:v>0.96</c:v>
                </c:pt>
                <c:pt idx="46">
                  <c:v>0.96</c:v>
                </c:pt>
                <c:pt idx="47">
                  <c:v>0.96</c:v>
                </c:pt>
                <c:pt idx="48">
                  <c:v>0.96</c:v>
                </c:pt>
                <c:pt idx="49">
                  <c:v>0.96</c:v>
                </c:pt>
                <c:pt idx="50">
                  <c:v>0.96</c:v>
                </c:pt>
                <c:pt idx="5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7-486E-883A-06718A6C2E9A}"/>
            </c:ext>
          </c:extLst>
        </c:ser>
        <c:ser>
          <c:idx val="2"/>
          <c:order val="2"/>
          <c:tx>
            <c:strRef>
              <c:f>'2026 Data'!$O$3</c:f>
              <c:strCache>
                <c:ptCount val="1"/>
                <c:pt idx="0">
                  <c:v>'26 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'2026 Data'!$O$4:$O$55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37-486E-883A-06718A6C2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864952"/>
        <c:axId val="407865344"/>
      </c:lineChart>
      <c:catAx>
        <c:axId val="4078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5344"/>
        <c:crosses val="autoZero"/>
        <c:auto val="1"/>
        <c:lblAlgn val="ctr"/>
        <c:lblOffset val="100"/>
        <c:noMultiLvlLbl val="0"/>
      </c:catAx>
      <c:valAx>
        <c:axId val="40786534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B-4097-9E1A-78B82E34B79B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B-4097-9E1A-78B82E34B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tx>
            <c:strRef>
              <c:f>'2025 Dashboard'!$AM$34</c:f>
              <c:strCache>
                <c:ptCount val="1"/>
                <c:pt idx="0">
                  <c:v>Chart Parameters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23-4365-83EC-7DD9E521406F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3-4365-83EC-7DD9E521406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23-4365-83EC-7DD9E521406F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23-4365-83EC-7DD9E521406F}"/>
              </c:ext>
            </c:extLst>
          </c:dPt>
          <c:val>
            <c:numRef>
              <c:f>'2025 Dashboard'!$AN$35:$AN$38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20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23-4365-83EC-7DD9E5214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spPr>
            <a:solidFill>
              <a:schemeClr val="accent2"/>
            </a:solidFill>
          </c:spPr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A-2E23-4365-83EC-7DD9E521406F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C-2E23-4365-83EC-7DD9E521406F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E-2E23-4365-83EC-7DD9E521406F}"/>
              </c:ext>
            </c:extLst>
          </c:dPt>
          <c:val>
            <c:numRef>
              <c:f>'2025 Dashboard'!$AQ$35:$AQ$37</c:f>
              <c:numCache>
                <c:formatCode>0%</c:formatCode>
                <c:ptCount val="3"/>
                <c:pt idx="0">
                  <c:v>0.41</c:v>
                </c:pt>
                <c:pt idx="1">
                  <c:v>0.01</c:v>
                </c:pt>
                <c:pt idx="2">
                  <c:v>0.57000000000000006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E23-4365-83EC-7DD9E5214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Data'!$AL$3</c:f>
              <c:strCache>
                <c:ptCount val="1"/>
                <c:pt idx="0">
                  <c:v>  % Direct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'2025 Data'!$AL$4:$AL$55</c:f>
              <c:numCache>
                <c:formatCode>0.00%</c:formatCode>
                <c:ptCount val="52"/>
                <c:pt idx="0">
                  <c:v>0</c:v>
                </c:pt>
                <c:pt idx="1">
                  <c:v>2.8397565922920892E-2</c:v>
                </c:pt>
                <c:pt idx="2">
                  <c:v>0</c:v>
                </c:pt>
                <c:pt idx="3">
                  <c:v>0.15189873417721519</c:v>
                </c:pt>
                <c:pt idx="4">
                  <c:v>3.0303030303030304E-2</c:v>
                </c:pt>
                <c:pt idx="5">
                  <c:v>0</c:v>
                </c:pt>
                <c:pt idx="6">
                  <c:v>3.9823008849557522E-2</c:v>
                </c:pt>
                <c:pt idx="7">
                  <c:v>0</c:v>
                </c:pt>
                <c:pt idx="8">
                  <c:v>6.5252854812398037E-2</c:v>
                </c:pt>
                <c:pt idx="9">
                  <c:v>0</c:v>
                </c:pt>
                <c:pt idx="10">
                  <c:v>1.9108280254777069E-2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1-426D-B100-490B2FB950BC}"/>
            </c:ext>
          </c:extLst>
        </c:ser>
        <c:ser>
          <c:idx val="1"/>
          <c:order val="1"/>
          <c:tx>
            <c:v>Max 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'2025 Data'!$AO$4:$AO$55</c:f>
              <c:numCache>
                <c:formatCode>0.00%</c:formatCode>
                <c:ptCount val="52"/>
                <c:pt idx="0">
                  <c:v>1.2500000000000001E-2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1.2500000000000001E-2</c:v>
                </c:pt>
                <c:pt idx="4">
                  <c:v>1.2500000000000001E-2</c:v>
                </c:pt>
                <c:pt idx="5">
                  <c:v>1.2500000000000001E-2</c:v>
                </c:pt>
                <c:pt idx="6">
                  <c:v>1.2500000000000001E-2</c:v>
                </c:pt>
                <c:pt idx="7">
                  <c:v>1.2500000000000001E-2</c:v>
                </c:pt>
                <c:pt idx="8">
                  <c:v>1.2500000000000001E-2</c:v>
                </c:pt>
                <c:pt idx="9">
                  <c:v>1.2500000000000001E-2</c:v>
                </c:pt>
                <c:pt idx="10">
                  <c:v>1.2500000000000001E-2</c:v>
                </c:pt>
                <c:pt idx="11">
                  <c:v>1.2500000000000001E-2</c:v>
                </c:pt>
                <c:pt idx="12">
                  <c:v>1.2500000000000001E-2</c:v>
                </c:pt>
                <c:pt idx="13">
                  <c:v>1.2500000000000001E-2</c:v>
                </c:pt>
                <c:pt idx="14">
                  <c:v>1.2500000000000001E-2</c:v>
                </c:pt>
                <c:pt idx="15">
                  <c:v>1.2500000000000001E-2</c:v>
                </c:pt>
                <c:pt idx="16">
                  <c:v>1.2500000000000001E-2</c:v>
                </c:pt>
                <c:pt idx="17">
                  <c:v>1.2500000000000001E-2</c:v>
                </c:pt>
                <c:pt idx="18">
                  <c:v>1.2500000000000001E-2</c:v>
                </c:pt>
                <c:pt idx="19">
                  <c:v>1.2500000000000001E-2</c:v>
                </c:pt>
                <c:pt idx="20">
                  <c:v>1.2500000000000001E-2</c:v>
                </c:pt>
                <c:pt idx="21">
                  <c:v>1.2500000000000001E-2</c:v>
                </c:pt>
                <c:pt idx="22">
                  <c:v>1.2500000000000001E-2</c:v>
                </c:pt>
                <c:pt idx="23">
                  <c:v>1.2500000000000001E-2</c:v>
                </c:pt>
                <c:pt idx="24">
                  <c:v>1.2500000000000001E-2</c:v>
                </c:pt>
                <c:pt idx="25">
                  <c:v>1.2500000000000001E-2</c:v>
                </c:pt>
                <c:pt idx="26">
                  <c:v>1.2500000000000001E-2</c:v>
                </c:pt>
                <c:pt idx="27">
                  <c:v>1.2500000000000001E-2</c:v>
                </c:pt>
                <c:pt idx="28">
                  <c:v>1.2500000000000001E-2</c:v>
                </c:pt>
                <c:pt idx="29">
                  <c:v>1.2500000000000001E-2</c:v>
                </c:pt>
                <c:pt idx="30">
                  <c:v>1.2500000000000001E-2</c:v>
                </c:pt>
                <c:pt idx="31">
                  <c:v>1.2500000000000001E-2</c:v>
                </c:pt>
                <c:pt idx="32">
                  <c:v>1.2500000000000001E-2</c:v>
                </c:pt>
                <c:pt idx="33">
                  <c:v>1.2500000000000001E-2</c:v>
                </c:pt>
                <c:pt idx="34">
                  <c:v>1.2500000000000001E-2</c:v>
                </c:pt>
                <c:pt idx="35">
                  <c:v>1.2500000000000001E-2</c:v>
                </c:pt>
                <c:pt idx="36">
                  <c:v>1.2500000000000001E-2</c:v>
                </c:pt>
                <c:pt idx="37">
                  <c:v>1.2500000000000001E-2</c:v>
                </c:pt>
                <c:pt idx="38">
                  <c:v>1.2500000000000001E-2</c:v>
                </c:pt>
                <c:pt idx="39">
                  <c:v>1.2500000000000001E-2</c:v>
                </c:pt>
                <c:pt idx="40">
                  <c:v>1.2500000000000001E-2</c:v>
                </c:pt>
                <c:pt idx="41">
                  <c:v>1.2500000000000001E-2</c:v>
                </c:pt>
                <c:pt idx="42">
                  <c:v>1.2500000000000001E-2</c:v>
                </c:pt>
                <c:pt idx="43">
                  <c:v>1.2500000000000001E-2</c:v>
                </c:pt>
                <c:pt idx="44">
                  <c:v>1.2500000000000001E-2</c:v>
                </c:pt>
                <c:pt idx="45">
                  <c:v>1.2500000000000001E-2</c:v>
                </c:pt>
                <c:pt idx="46">
                  <c:v>1.2500000000000001E-2</c:v>
                </c:pt>
                <c:pt idx="47">
                  <c:v>1.2500000000000001E-2</c:v>
                </c:pt>
                <c:pt idx="48">
                  <c:v>1.2500000000000001E-2</c:v>
                </c:pt>
                <c:pt idx="49">
                  <c:v>1.2500000000000001E-2</c:v>
                </c:pt>
                <c:pt idx="50">
                  <c:v>1.2500000000000001E-2</c:v>
                </c:pt>
                <c:pt idx="51">
                  <c:v>1.2500000000000001E-2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1-426D-B100-490B2FB950BC}"/>
            </c:ext>
          </c:extLst>
        </c:ser>
        <c:ser>
          <c:idx val="2"/>
          <c:order val="2"/>
          <c:tx>
            <c:v>2024 Full Year Avg.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'2025 Data'!$C$4:$C$55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'2025 Data'!$AP$4:$AP$55</c:f>
              <c:numCache>
                <c:formatCode>0.00%</c:formatCode>
                <c:ptCount val="52"/>
                <c:pt idx="0">
                  <c:v>1.9E-2</c:v>
                </c:pt>
                <c:pt idx="1">
                  <c:v>1.9E-2</c:v>
                </c:pt>
                <c:pt idx="2">
                  <c:v>1.9E-2</c:v>
                </c:pt>
                <c:pt idx="3">
                  <c:v>1.9E-2</c:v>
                </c:pt>
                <c:pt idx="4">
                  <c:v>1.9E-2</c:v>
                </c:pt>
                <c:pt idx="5">
                  <c:v>1.9E-2</c:v>
                </c:pt>
                <c:pt idx="6">
                  <c:v>1.9E-2</c:v>
                </c:pt>
                <c:pt idx="7">
                  <c:v>1.9E-2</c:v>
                </c:pt>
                <c:pt idx="8">
                  <c:v>1.9E-2</c:v>
                </c:pt>
                <c:pt idx="9">
                  <c:v>1.9E-2</c:v>
                </c:pt>
                <c:pt idx="10">
                  <c:v>1.9E-2</c:v>
                </c:pt>
                <c:pt idx="11">
                  <c:v>1.9E-2</c:v>
                </c:pt>
                <c:pt idx="12">
                  <c:v>1.9E-2</c:v>
                </c:pt>
                <c:pt idx="13">
                  <c:v>1.9E-2</c:v>
                </c:pt>
                <c:pt idx="14">
                  <c:v>1.9E-2</c:v>
                </c:pt>
                <c:pt idx="15">
                  <c:v>1.9E-2</c:v>
                </c:pt>
                <c:pt idx="16">
                  <c:v>1.9E-2</c:v>
                </c:pt>
                <c:pt idx="17">
                  <c:v>1.9E-2</c:v>
                </c:pt>
                <c:pt idx="18">
                  <c:v>1.9E-2</c:v>
                </c:pt>
                <c:pt idx="19">
                  <c:v>1.9E-2</c:v>
                </c:pt>
                <c:pt idx="20">
                  <c:v>1.9E-2</c:v>
                </c:pt>
                <c:pt idx="21">
                  <c:v>1.9E-2</c:v>
                </c:pt>
                <c:pt idx="22">
                  <c:v>1.9E-2</c:v>
                </c:pt>
                <c:pt idx="23">
                  <c:v>1.9E-2</c:v>
                </c:pt>
                <c:pt idx="24">
                  <c:v>1.9E-2</c:v>
                </c:pt>
                <c:pt idx="25">
                  <c:v>1.9E-2</c:v>
                </c:pt>
                <c:pt idx="26">
                  <c:v>1.9E-2</c:v>
                </c:pt>
                <c:pt idx="27">
                  <c:v>1.9E-2</c:v>
                </c:pt>
                <c:pt idx="28">
                  <c:v>1.9E-2</c:v>
                </c:pt>
                <c:pt idx="29">
                  <c:v>1.9E-2</c:v>
                </c:pt>
                <c:pt idx="30">
                  <c:v>1.9E-2</c:v>
                </c:pt>
                <c:pt idx="31">
                  <c:v>1.9E-2</c:v>
                </c:pt>
                <c:pt idx="32">
                  <c:v>1.9E-2</c:v>
                </c:pt>
                <c:pt idx="33">
                  <c:v>1.9E-2</c:v>
                </c:pt>
                <c:pt idx="34">
                  <c:v>1.9E-2</c:v>
                </c:pt>
                <c:pt idx="35">
                  <c:v>1.9E-2</c:v>
                </c:pt>
                <c:pt idx="36">
                  <c:v>1.9E-2</c:v>
                </c:pt>
                <c:pt idx="37">
                  <c:v>1.9E-2</c:v>
                </c:pt>
                <c:pt idx="38">
                  <c:v>1.9E-2</c:v>
                </c:pt>
                <c:pt idx="39">
                  <c:v>1.9E-2</c:v>
                </c:pt>
                <c:pt idx="40">
                  <c:v>1.9E-2</c:v>
                </c:pt>
                <c:pt idx="41">
                  <c:v>1.9E-2</c:v>
                </c:pt>
                <c:pt idx="42">
                  <c:v>1.9E-2</c:v>
                </c:pt>
                <c:pt idx="43">
                  <c:v>1.9E-2</c:v>
                </c:pt>
                <c:pt idx="44">
                  <c:v>1.9E-2</c:v>
                </c:pt>
                <c:pt idx="45">
                  <c:v>1.9E-2</c:v>
                </c:pt>
                <c:pt idx="46">
                  <c:v>1.9E-2</c:v>
                </c:pt>
                <c:pt idx="47">
                  <c:v>1.9E-2</c:v>
                </c:pt>
                <c:pt idx="48">
                  <c:v>1.9E-2</c:v>
                </c:pt>
                <c:pt idx="49">
                  <c:v>1.9E-2</c:v>
                </c:pt>
                <c:pt idx="50">
                  <c:v>1.9E-2</c:v>
                </c:pt>
                <c:pt idx="51">
                  <c:v>1.9E-2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1-426D-B100-490B2FB95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735416"/>
        <c:axId val="407735808"/>
      </c:lineChart>
      <c:catAx>
        <c:axId val="40773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808"/>
        <c:crosses val="autoZero"/>
        <c:auto val="1"/>
        <c:lblAlgn val="ctr"/>
        <c:lblOffset val="100"/>
        <c:noMultiLvlLbl val="0"/>
      </c:catAx>
      <c:valAx>
        <c:axId val="407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'2025 Data'!$J$4:$J$55</c:f>
              <c:numCache>
                <c:formatCode>0%</c:formatCode>
                <c:ptCount val="52"/>
                <c:pt idx="0">
                  <c:v>0.72</c:v>
                </c:pt>
                <c:pt idx="1">
                  <c:v>0.73</c:v>
                </c:pt>
                <c:pt idx="2">
                  <c:v>0.96</c:v>
                </c:pt>
                <c:pt idx="3">
                  <c:v>1.1000000000000001</c:v>
                </c:pt>
                <c:pt idx="4">
                  <c:v>0.9</c:v>
                </c:pt>
                <c:pt idx="5">
                  <c:v>1.01</c:v>
                </c:pt>
                <c:pt idx="6">
                  <c:v>1.08</c:v>
                </c:pt>
                <c:pt idx="7">
                  <c:v>0.88</c:v>
                </c:pt>
                <c:pt idx="8">
                  <c:v>1.03</c:v>
                </c:pt>
                <c:pt idx="9">
                  <c:v>0.87</c:v>
                </c:pt>
                <c:pt idx="10">
                  <c:v>0.84</c:v>
                </c:pt>
                <c:pt idx="11">
                  <c:v>0.95</c:v>
                </c:pt>
                <c:pt idx="12">
                  <c:v>0.98</c:v>
                </c:pt>
                <c:pt idx="13">
                  <c:v>0.99</c:v>
                </c:pt>
                <c:pt idx="14">
                  <c:v>0.85</c:v>
                </c:pt>
                <c:pt idx="15">
                  <c:v>0.9</c:v>
                </c:pt>
                <c:pt idx="16">
                  <c:v>1.19</c:v>
                </c:pt>
                <c:pt idx="17">
                  <c:v>0.98</c:v>
                </c:pt>
                <c:pt idx="18">
                  <c:v>1.03</c:v>
                </c:pt>
                <c:pt idx="19">
                  <c:v>1.1499999999999999</c:v>
                </c:pt>
                <c:pt idx="20">
                  <c:v>1.2</c:v>
                </c:pt>
                <c:pt idx="21">
                  <c:v>1.25</c:v>
                </c:pt>
                <c:pt idx="22">
                  <c:v>1.24</c:v>
                </c:pt>
                <c:pt idx="23">
                  <c:v>0.92</c:v>
                </c:pt>
                <c:pt idx="24">
                  <c:v>1.04</c:v>
                </c:pt>
                <c:pt idx="25">
                  <c:v>1</c:v>
                </c:pt>
                <c:pt idx="26">
                  <c:v>0.94</c:v>
                </c:pt>
                <c:pt idx="27">
                  <c:v>0.99</c:v>
                </c:pt>
                <c:pt idx="28">
                  <c:v>0.85</c:v>
                </c:pt>
                <c:pt idx="29">
                  <c:v>0.85</c:v>
                </c:pt>
                <c:pt idx="30">
                  <c:v>1.04</c:v>
                </c:pt>
                <c:pt idx="31">
                  <c:v>0.97</c:v>
                </c:pt>
                <c:pt idx="32">
                  <c:v>0.99</c:v>
                </c:pt>
                <c:pt idx="33">
                  <c:v>0.98</c:v>
                </c:pt>
                <c:pt idx="34">
                  <c:v>0.96</c:v>
                </c:pt>
                <c:pt idx="35">
                  <c:v>0.98</c:v>
                </c:pt>
                <c:pt idx="36">
                  <c:v>1.01</c:v>
                </c:pt>
                <c:pt idx="37">
                  <c:v>0.96</c:v>
                </c:pt>
                <c:pt idx="38">
                  <c:v>1</c:v>
                </c:pt>
                <c:pt idx="39">
                  <c:v>0.98</c:v>
                </c:pt>
                <c:pt idx="40">
                  <c:v>1.04</c:v>
                </c:pt>
                <c:pt idx="41">
                  <c:v>0.88</c:v>
                </c:pt>
                <c:pt idx="42">
                  <c:v>0.99</c:v>
                </c:pt>
                <c:pt idx="43">
                  <c:v>1.02</c:v>
                </c:pt>
                <c:pt idx="44">
                  <c:v>0.88</c:v>
                </c:pt>
                <c:pt idx="45">
                  <c:v>0.88</c:v>
                </c:pt>
                <c:pt idx="46">
                  <c:v>1.04</c:v>
                </c:pt>
                <c:pt idx="47">
                  <c:v>1.04</c:v>
                </c:pt>
                <c:pt idx="48">
                  <c:v>0.94</c:v>
                </c:pt>
                <c:pt idx="49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8-44F9-BAF9-A1281F90AA8A}"/>
            </c:ext>
          </c:extLst>
        </c:ser>
        <c:ser>
          <c:idx val="1"/>
          <c:order val="1"/>
          <c:tx>
            <c:strRef>
              <c:f>'2025 Data'!$N$3</c:f>
              <c:strCache>
                <c:ptCount val="1"/>
                <c:pt idx="0">
                  <c:v>2024 Avg.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'2025 Data'!$N$4:$N$55</c:f>
              <c:numCache>
                <c:formatCode>0%</c:formatCode>
                <c:ptCount val="52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0.83</c:v>
                </c:pt>
                <c:pt idx="13">
                  <c:v>0.83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0.83</c:v>
                </c:pt>
                <c:pt idx="29">
                  <c:v>0.83</c:v>
                </c:pt>
                <c:pt idx="30">
                  <c:v>0.83</c:v>
                </c:pt>
                <c:pt idx="31">
                  <c:v>0.83</c:v>
                </c:pt>
                <c:pt idx="32">
                  <c:v>0.83</c:v>
                </c:pt>
                <c:pt idx="33">
                  <c:v>0.83</c:v>
                </c:pt>
                <c:pt idx="34">
                  <c:v>0.83</c:v>
                </c:pt>
                <c:pt idx="35">
                  <c:v>0.83</c:v>
                </c:pt>
                <c:pt idx="36">
                  <c:v>0.83</c:v>
                </c:pt>
                <c:pt idx="37">
                  <c:v>0.83</c:v>
                </c:pt>
                <c:pt idx="38">
                  <c:v>0.83</c:v>
                </c:pt>
                <c:pt idx="39">
                  <c:v>0.83</c:v>
                </c:pt>
                <c:pt idx="40">
                  <c:v>0.83</c:v>
                </c:pt>
                <c:pt idx="41">
                  <c:v>0.83</c:v>
                </c:pt>
                <c:pt idx="42">
                  <c:v>0.83</c:v>
                </c:pt>
                <c:pt idx="43">
                  <c:v>0.83</c:v>
                </c:pt>
                <c:pt idx="44">
                  <c:v>0.83</c:v>
                </c:pt>
                <c:pt idx="45">
                  <c:v>0.83</c:v>
                </c:pt>
                <c:pt idx="46">
                  <c:v>0.83</c:v>
                </c:pt>
                <c:pt idx="47">
                  <c:v>0.83</c:v>
                </c:pt>
                <c:pt idx="48">
                  <c:v>0.83</c:v>
                </c:pt>
                <c:pt idx="49">
                  <c:v>0.83</c:v>
                </c:pt>
                <c:pt idx="50">
                  <c:v>0.83</c:v>
                </c:pt>
                <c:pt idx="5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8-44F9-BAF9-A1281F90AA8A}"/>
            </c:ext>
          </c:extLst>
        </c:ser>
        <c:ser>
          <c:idx val="2"/>
          <c:order val="2"/>
          <c:tx>
            <c:strRef>
              <c:f>'2025 Data'!$O$3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 Data'!$O$4:$O$56</c:f>
              <c:numCache>
                <c:formatCode>0%</c:formatCode>
                <c:ptCount val="53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0.88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  <c:pt idx="12">
                  <c:v>0.88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8-44F9-BAF9-A1281F90A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864952"/>
        <c:axId val="407865344"/>
      </c:lineChart>
      <c:catAx>
        <c:axId val="4078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5344"/>
        <c:crosses val="autoZero"/>
        <c:auto val="1"/>
        <c:lblAlgn val="ctr"/>
        <c:lblOffset val="100"/>
        <c:noMultiLvlLbl val="0"/>
      </c:catAx>
      <c:valAx>
        <c:axId val="40786534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E-42BB-AF45-9B26DC1EAFBD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E-42BB-AF45-9B26DC1EA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'2025 Data'!$BJ$3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 Data'!$BA$64:$BA$75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Data'!$BJ$52:$BJ$63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0-414B-A21C-F92F83C4BC8D}"/>
            </c:ext>
          </c:extLst>
        </c:ser>
        <c:ser>
          <c:idx val="5"/>
          <c:order val="4"/>
          <c:tx>
            <c:strRef>
              <c:f>'2025 Data'!$AZ$64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'2024 Data'!$BA$64:$BA$75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Data'!$BI$64:$BI$75</c:f>
              <c:numCache>
                <c:formatCode>0.0</c:formatCode>
                <c:ptCount val="12"/>
                <c:pt idx="0">
                  <c:v>9.8388478709143161</c:v>
                </c:pt>
                <c:pt idx="1">
                  <c:v>6.5625410158813491</c:v>
                </c:pt>
                <c:pt idx="2">
                  <c:v>6.6356175064178862</c:v>
                </c:pt>
                <c:pt idx="3">
                  <c:v>6.5788391638295423</c:v>
                </c:pt>
                <c:pt idx="4">
                  <c:v>6.6085390585310044</c:v>
                </c:pt>
                <c:pt idx="5">
                  <c:v>6.5572426794532896</c:v>
                </c:pt>
                <c:pt idx="6">
                  <c:v>3.2403356987783933</c:v>
                </c:pt>
                <c:pt idx="7">
                  <c:v>9.1687874173428732E-2</c:v>
                </c:pt>
                <c:pt idx="8">
                  <c:v>9.2008465963933542E-2</c:v>
                </c:pt>
                <c:pt idx="9">
                  <c:v>9.2369554644618906E-2</c:v>
                </c:pt>
                <c:pt idx="10">
                  <c:v>9.3116106124149667E-2</c:v>
                </c:pt>
                <c:pt idx="11">
                  <c:v>8.8709511447882319E-2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F-4C30-9C19-7DA9164E989E}"/>
            </c:ext>
          </c:extLst>
        </c:ser>
        <c:ser>
          <c:idx val="4"/>
          <c:order val="5"/>
          <c:tx>
            <c:strRef>
              <c:f>'2025 Data'!$AZ$76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'2025 Data'!$BI$76:$BI$80</c:f>
              <c:numCache>
                <c:formatCode>0.0</c:formatCode>
                <c:ptCount val="5"/>
                <c:pt idx="0">
                  <c:v>8.9686298828173069E-2</c:v>
                </c:pt>
                <c:pt idx="1">
                  <c:v>9.0810138699574439E-2</c:v>
                </c:pt>
                <c:pt idx="2">
                  <c:v>9.2176145120693678E-2</c:v>
                </c:pt>
                <c:pt idx="3">
                  <c:v>7.3797908163872397E-2</c:v>
                </c:pt>
                <c:pt idx="4">
                  <c:v>7.5071453642882216E-2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D-451D-868F-B868C6200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2376"/>
        <c:axId val="407072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'2023 Data'!$AZ$28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508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'2024 Data'!$BA$64:$BA$75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 Data'!$BI$28:$BI$39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14B-40B9-B80C-921138158F9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Data'!$AZ$40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 Data'!$BA$64:$BA$75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Data'!$BI$40:$BI$51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3.6129451825892174</c:v>
                      </c:pt>
                      <c:pt idx="10">
                        <c:v>3.6455437784238494</c:v>
                      </c:pt>
                      <c:pt idx="11">
                        <c:v>3.693000840157691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D3-4EA1-BBDE-2A7CDF84485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Data'!$AZ$52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'2024 Data'!$BA$64:$BA$75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 Data'!$BI$52:$BI$63</c15:sqref>
                        </c15:formulaRef>
                      </c:ext>
                    </c:extLst>
                    <c:numCache>
                      <c:formatCode>0.0</c:formatCode>
                      <c:ptCount val="12"/>
                      <c:pt idx="0">
                        <c:v>3.6454108833741925</c:v>
                      </c:pt>
                      <c:pt idx="1">
                        <c:v>7.2333057563551373</c:v>
                      </c:pt>
                      <c:pt idx="2">
                        <c:v>7.031792491803567</c:v>
                      </c:pt>
                      <c:pt idx="3">
                        <c:v>6.8360584995706102</c:v>
                      </c:pt>
                      <c:pt idx="4">
                        <c:v>6.6665000041665623</c:v>
                      </c:pt>
                      <c:pt idx="5">
                        <c:v>6.6179968150890325</c:v>
                      </c:pt>
                      <c:pt idx="6">
                        <c:v>9.9566884054363527</c:v>
                      </c:pt>
                      <c:pt idx="7">
                        <c:v>13.243498270068038</c:v>
                      </c:pt>
                      <c:pt idx="8">
                        <c:v>13.385816890391075</c:v>
                      </c:pt>
                      <c:pt idx="9">
                        <c:v>9.9676880778144188</c:v>
                      </c:pt>
                      <c:pt idx="10">
                        <c:v>9.8674878609342045</c:v>
                      </c:pt>
                      <c:pt idx="11">
                        <c:v>9.8684210526315788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19-4806-9F34-5945D2CB776C}"/>
                  </c:ext>
                </c:extLst>
              </c15:ser>
            </c15:filteredLineSeries>
          </c:ext>
        </c:extLst>
      </c:lineChart>
      <c:dateAx>
        <c:axId val="40707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2768"/>
        <c:crosses val="autoZero"/>
        <c:auto val="0"/>
        <c:lblOffset val="100"/>
        <c:baseTimeUnit val="days"/>
      </c:dateAx>
      <c:valAx>
        <c:axId val="4070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1"/>
          <c:tx>
            <c:strRef>
              <c:f>'2025 Data'!$AZ$97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Data'!$BB$3:$BE$3</c:f>
              <c:strCache>
                <c:ptCount val="4"/>
                <c:pt idx="0">
                  <c:v>OSHA</c:v>
                </c:pt>
                <c:pt idx="1">
                  <c:v>First Aid</c:v>
                </c:pt>
                <c:pt idx="2">
                  <c:v>Near Miss</c:v>
                </c:pt>
                <c:pt idx="3">
                  <c:v>Total</c:v>
                </c:pt>
              </c:strCache>
            </c:strRef>
          </c:cat>
          <c:val>
            <c:numRef>
              <c:f>'2025 Data'!$BB$97:$BE$97</c:f>
              <c:numCache>
                <c:formatCode>General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8-4F6D-AC4E-D81EAF9212D1}"/>
            </c:ext>
          </c:extLst>
        </c:ser>
        <c:ser>
          <c:idx val="1"/>
          <c:order val="2"/>
          <c:tx>
            <c:v>2025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 Data'!$BB$3:$BE$3</c:f>
              <c:strCache>
                <c:ptCount val="4"/>
                <c:pt idx="0">
                  <c:v>OSHA</c:v>
                </c:pt>
                <c:pt idx="1">
                  <c:v>First Aid</c:v>
                </c:pt>
                <c:pt idx="2">
                  <c:v>Near Miss</c:v>
                </c:pt>
                <c:pt idx="3">
                  <c:v>Total</c:v>
                </c:pt>
              </c:strCache>
            </c:strRef>
          </c:cat>
          <c:val>
            <c:numRef>
              <c:f>'2025 Data'!$BB$96:$BE$96</c:f>
              <c:numCache>
                <c:formatCode>General</c:formatCode>
                <c:ptCount val="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4-4B60-9393-CED7A5016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200552"/>
        <c:axId val="407200944"/>
        <c:extLst>
          <c:ext xmlns:c15="http://schemas.microsoft.com/office/drawing/2012/chart" uri="{02D57815-91ED-43cb-92C2-25804820EDAC}">
            <c15:filteredBa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'2024 Data'!$AZ$90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 Data'!$BB$3:$BE$3</c15:sqref>
                        </c15:formulaRef>
                      </c:ext>
                    </c:extLst>
                    <c:strCache>
                      <c:ptCount val="4"/>
                      <c:pt idx="0">
                        <c:v>OSHA</c:v>
                      </c:pt>
                      <c:pt idx="1">
                        <c:v>First Aid</c:v>
                      </c:pt>
                      <c:pt idx="2">
                        <c:v>Near Miss</c:v>
                      </c:pt>
                      <c:pt idx="3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'2024 Data'!$BB$90:$BE$90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4</c:v>
                      </c:pt>
                      <c:pt idx="2">
                        <c:v>3</c:v>
                      </c:pt>
                      <c:pt idx="3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BE-484D-BF0C-69407C53A462}"/>
                  </c:ext>
                </c:extLst>
              </c15:ser>
            </c15:filteredBarSeries>
          </c:ext>
        </c:extLst>
      </c:barChart>
      <c:catAx>
        <c:axId val="407200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00944"/>
        <c:crosses val="autoZero"/>
        <c:auto val="1"/>
        <c:lblAlgn val="ctr"/>
        <c:lblOffset val="100"/>
        <c:noMultiLvlLbl val="0"/>
      </c:catAx>
      <c:valAx>
        <c:axId val="407200944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00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'2025 Data'!$BB$3</c:f>
              <c:strCache>
                <c:ptCount val="1"/>
                <c:pt idx="0">
                  <c:v>OSHA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'2022 Data'!$BA$40:$BA$51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Data'!$BB$76:$BB$87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74-453C-A1A9-5C11782B4A9A}"/>
            </c:ext>
          </c:extLst>
        </c:ser>
        <c:ser>
          <c:idx val="2"/>
          <c:order val="1"/>
          <c:tx>
            <c:strRef>
              <c:f>'2025 Data'!$BC$3</c:f>
              <c:strCache>
                <c:ptCount val="1"/>
                <c:pt idx="0">
                  <c:v>First Aid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'2022 Data'!$BA$40:$BA$51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Data'!$BC$76:$BC$87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C-4F10-A87B-2372B6010B2C}"/>
            </c:ext>
          </c:extLst>
        </c:ser>
        <c:ser>
          <c:idx val="0"/>
          <c:order val="2"/>
          <c:tx>
            <c:strRef>
              <c:f>'2025 Data'!$BD$3</c:f>
              <c:strCache>
                <c:ptCount val="1"/>
                <c:pt idx="0">
                  <c:v>Near 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'2022 Data'!$BA$40:$BA$51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'2025 Data'!$BD$76:$BD$86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C-4F10-A87B-2372B601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7201728"/>
        <c:axId val="407690200"/>
      </c:barChart>
      <c:catAx>
        <c:axId val="4072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90200"/>
        <c:crosses val="autoZero"/>
        <c:auto val="1"/>
        <c:lblAlgn val="ctr"/>
        <c:lblOffset val="100"/>
        <c:noMultiLvlLbl val="0"/>
      </c:catAx>
      <c:valAx>
        <c:axId val="40769020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017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132429848068092"/>
          <c:y val="0.91714522352988204"/>
          <c:w val="0.51054551464425268"/>
          <c:h val="6.6989632690690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528380691544"/>
          <c:y val="8.2465860781486822E-2"/>
          <c:w val="0.50946990756590205"/>
          <c:h val="0.841796542673545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B-4569-BA79-870DC8DA8E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B-4569-BA79-870DC8DA8E4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B-4569-BA79-870DC8DA8E42}"/>
              </c:ext>
            </c:extLst>
          </c:dPt>
          <c:dLbls>
            <c:dLbl>
              <c:idx val="0"/>
              <c:layout>
                <c:manualLayout>
                  <c:x val="-0.12368892248601097"/>
                  <c:y val="0.159751876085911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08462CE-418D-4C32-9B8A-93749594FF81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[CATEGORY NAME]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sz="1400" b="1"/>
                    </a:pPr>
                    <a:fld id="{6B97003B-22AC-4162-BAA7-75E19D95EE68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449854589618518"/>
                      <c:h val="0.154666666666666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3FB-4569-BA79-870DC8DA8E42}"/>
                </c:ext>
              </c:extLst>
            </c:dLbl>
            <c:dLbl>
              <c:idx val="1"/>
              <c:layout>
                <c:manualLayout>
                  <c:x val="-0.14879540524254517"/>
                  <c:y val="-8.4321614727736499E-2"/>
                </c:manualLayout>
              </c:layout>
              <c:tx>
                <c:rich>
                  <a:bodyPr/>
                  <a:lstStyle/>
                  <a:p>
                    <a:fld id="{C9E5EDBB-DE98-4C22-8725-97AD91952C51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fld id="{7909CCF4-B87D-4508-A604-49434E8AAE3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3FB-4569-BA79-870DC8DA8E42}"/>
                </c:ext>
              </c:extLst>
            </c:dLbl>
            <c:dLbl>
              <c:idx val="2"/>
              <c:layout>
                <c:manualLayout>
                  <c:x val="0.19806853130694635"/>
                  <c:y val="2.5638978226313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B89487-FDEC-4693-AB98-6525B514DCD1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8860C527-7BAE-4C17-9F82-B9D49CDAA962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810500927782317"/>
                      <c:h val="0.206553591677173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3FB-4569-BA79-870DC8DA8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'QC Data 2026'!$F$3:$H$3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Major</c:v>
                </c:pt>
              </c:strCache>
            </c:strRef>
          </c:cat>
          <c:val>
            <c:numRef>
              <c:f>'QC Data 2026'!$F$57:$H$57</c:f>
              <c:numCache>
                <c:formatCode>#,##0</c:formatCode>
                <c:ptCount val="3"/>
                <c:pt idx="0">
                  <c:v>2</c:v>
                </c:pt>
                <c:pt idx="1">
                  <c:v>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B-4569-BA79-870DC8DA8E4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3FB-4569-BA79-870DC8DA8E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3FB-4569-BA79-870DC8DA8E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3FB-4569-BA79-870DC8DA8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'QC Data 2026'!$F$3:$H$3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Major</c:v>
                </c:pt>
              </c:strCache>
            </c:strRef>
          </c:cat>
          <c:val>
            <c:numRef>
              <c:f>'QC Data 2023'!$F$3:$H$3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FB-4569-BA79-870DC8DA8E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1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770767168941082E-2"/>
          <c:y val="4.5833318296155418E-2"/>
          <c:w val="0.93000361107120377"/>
          <c:h val="0.85750726459735416"/>
        </c:manualLayout>
      </c:layout>
      <c:lineChart>
        <c:grouping val="standard"/>
        <c:varyColors val="0"/>
        <c:ser>
          <c:idx val="0"/>
          <c:order val="0"/>
          <c:tx>
            <c:strRef>
              <c:f>'QC Data 2026'!$H$3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'QC Data 2026'!$C$4:$C$55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2026'!$H$4:$H$55</c:f>
              <c:numCache>
                <c:formatCode>#,##0</c:formatCode>
                <c:ptCount val="5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0-475D-AB2A-3FEFF2773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253928607430469E-2"/>
          <c:y val="4.1407853993950541E-2"/>
          <c:w val="0.93000362152454985"/>
          <c:h val="0.85839231235476687"/>
        </c:manualLayout>
      </c:layout>
      <c:lineChart>
        <c:grouping val="standard"/>
        <c:varyColors val="0"/>
        <c:ser>
          <c:idx val="0"/>
          <c:order val="0"/>
          <c:tx>
            <c:strRef>
              <c:f>'QC Data 2026'!$G$3</c:f>
              <c:strCache>
                <c:ptCount val="1"/>
                <c:pt idx="0">
                  <c:v>Moderate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'QC Data 2026'!$C$4:$C$55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2026'!$G$4:$G$55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9-4294-8A3C-29F77A7C6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'QC Data 2026'!$F$3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'QC Data 2026'!$C$4:$C$55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2026'!$F$4:$F$55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9-440C-988C-231EC971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'QC Data 2026'!$X$3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'QC Data 2026'!$C$4:$C$55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2026'!$X$4:$X$55</c:f>
              <c:numCache>
                <c:formatCode>_("$"* #,##0_);_("$"* \(#,##0\);_("$"* "-"??_);_(@_)</c:formatCode>
                <c:ptCount val="52"/>
                <c:pt idx="0">
                  <c:v>0</c:v>
                </c:pt>
                <c:pt idx="1">
                  <c:v>1120</c:v>
                </c:pt>
                <c:pt idx="2">
                  <c:v>0</c:v>
                </c:pt>
                <c:pt idx="3">
                  <c:v>2226</c:v>
                </c:pt>
                <c:pt idx="4">
                  <c:v>760</c:v>
                </c:pt>
                <c:pt idx="5">
                  <c:v>0</c:v>
                </c:pt>
                <c:pt idx="6">
                  <c:v>720</c:v>
                </c:pt>
                <c:pt idx="7">
                  <c:v>0</c:v>
                </c:pt>
                <c:pt idx="8">
                  <c:v>800</c:v>
                </c:pt>
                <c:pt idx="9">
                  <c:v>0</c:v>
                </c:pt>
                <c:pt idx="10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0-4681-84C7-D2F91DF21D61}"/>
            </c:ext>
          </c:extLst>
        </c:ser>
        <c:ser>
          <c:idx val="4"/>
          <c:order val="4"/>
          <c:tx>
            <c:strRef>
              <c:f>'QC Data 2023'!$Y$3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'QC Data 2026'!$C$4:$C$55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2023'!$Y$4:$Y$55</c:f>
              <c:numCache>
                <c:formatCode>_("$"* #,##0_);_("$"* \(#,##0\);_("$"* "-"??_);_(@_)</c:formatCode>
                <c:ptCount val="5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70-4681-84C7-D2F91DF21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38672"/>
        <c:axId val="71553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'QC Data 2023'!$U$3</c15:sqref>
                        </c15:formulaRef>
                      </c:ext>
                    </c:extLst>
                    <c:strCache>
                      <c:ptCount val="1"/>
                      <c:pt idx="0">
                        <c:v>Welding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'QC Data 2026'!$C$4:$C$55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'QC Data 2023'!$U$4:$U$55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781.9</c:v>
                      </c:pt>
                      <c:pt idx="1">
                        <c:v>402.5</c:v>
                      </c:pt>
                      <c:pt idx="2">
                        <c:v>5302.5</c:v>
                      </c:pt>
                      <c:pt idx="3">
                        <c:v>1067.5</c:v>
                      </c:pt>
                      <c:pt idx="4">
                        <c:v>1592.5</c:v>
                      </c:pt>
                      <c:pt idx="5">
                        <c:v>455</c:v>
                      </c:pt>
                      <c:pt idx="6">
                        <c:v>560</c:v>
                      </c:pt>
                      <c:pt idx="7">
                        <c:v>700</c:v>
                      </c:pt>
                      <c:pt idx="8">
                        <c:v>70</c:v>
                      </c:pt>
                      <c:pt idx="9">
                        <c:v>0</c:v>
                      </c:pt>
                      <c:pt idx="10">
                        <c:v>350</c:v>
                      </c:pt>
                      <c:pt idx="11">
                        <c:v>2485</c:v>
                      </c:pt>
                      <c:pt idx="12">
                        <c:v>5355</c:v>
                      </c:pt>
                      <c:pt idx="13">
                        <c:v>1995</c:v>
                      </c:pt>
                      <c:pt idx="14">
                        <c:v>350</c:v>
                      </c:pt>
                      <c:pt idx="15">
                        <c:v>210</c:v>
                      </c:pt>
                      <c:pt idx="16">
                        <c:v>2240</c:v>
                      </c:pt>
                      <c:pt idx="17">
                        <c:v>0</c:v>
                      </c:pt>
                      <c:pt idx="18">
                        <c:v>385</c:v>
                      </c:pt>
                      <c:pt idx="19">
                        <c:v>560</c:v>
                      </c:pt>
                      <c:pt idx="20">
                        <c:v>70</c:v>
                      </c:pt>
                      <c:pt idx="21">
                        <c:v>0</c:v>
                      </c:pt>
                      <c:pt idx="22">
                        <c:v>385</c:v>
                      </c:pt>
                      <c:pt idx="23">
                        <c:v>2520</c:v>
                      </c:pt>
                      <c:pt idx="24">
                        <c:v>2590</c:v>
                      </c:pt>
                      <c:pt idx="25">
                        <c:v>1645</c:v>
                      </c:pt>
                      <c:pt idx="26">
                        <c:v>1470</c:v>
                      </c:pt>
                      <c:pt idx="27">
                        <c:v>35</c:v>
                      </c:pt>
                      <c:pt idx="28">
                        <c:v>0</c:v>
                      </c:pt>
                      <c:pt idx="29">
                        <c:v>770</c:v>
                      </c:pt>
                      <c:pt idx="30">
                        <c:v>1260</c:v>
                      </c:pt>
                      <c:pt idx="31">
                        <c:v>1260</c:v>
                      </c:pt>
                      <c:pt idx="32">
                        <c:v>3430</c:v>
                      </c:pt>
                      <c:pt idx="33">
                        <c:v>2730</c:v>
                      </c:pt>
                      <c:pt idx="34">
                        <c:v>9275</c:v>
                      </c:pt>
                      <c:pt idx="35">
                        <c:v>4585</c:v>
                      </c:pt>
                      <c:pt idx="36">
                        <c:v>1592.5</c:v>
                      </c:pt>
                      <c:pt idx="37">
                        <c:v>5425</c:v>
                      </c:pt>
                      <c:pt idx="38">
                        <c:v>2275</c:v>
                      </c:pt>
                      <c:pt idx="39">
                        <c:v>595</c:v>
                      </c:pt>
                      <c:pt idx="40">
                        <c:v>1505</c:v>
                      </c:pt>
                      <c:pt idx="41">
                        <c:v>315</c:v>
                      </c:pt>
                      <c:pt idx="42">
                        <c:v>1400</c:v>
                      </c:pt>
                      <c:pt idx="43">
                        <c:v>840</c:v>
                      </c:pt>
                      <c:pt idx="44">
                        <c:v>140</c:v>
                      </c:pt>
                      <c:pt idx="45">
                        <c:v>1960</c:v>
                      </c:pt>
                      <c:pt idx="46">
                        <c:v>175</c:v>
                      </c:pt>
                      <c:pt idx="47">
                        <c:v>630</c:v>
                      </c:pt>
                      <c:pt idx="48">
                        <c:v>2415</c:v>
                      </c:pt>
                      <c:pt idx="49">
                        <c:v>630</c:v>
                      </c:pt>
                      <c:pt idx="50">
                        <c:v>1260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E70-4681-84C7-D2F91DF21D6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2023'!$V$3</c15:sqref>
                        </c15:formulaRef>
                      </c:ext>
                    </c:extLst>
                    <c:strCache>
                      <c:ptCount val="1"/>
                      <c:pt idx="0">
                        <c:v>Fit-Up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2026'!$C$4:$C$55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2023'!$V$4:$V$55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420</c:v>
                      </c:pt>
                      <c:pt idx="5">
                        <c:v>140</c:v>
                      </c:pt>
                      <c:pt idx="6">
                        <c:v>280</c:v>
                      </c:pt>
                      <c:pt idx="7">
                        <c:v>3797.5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560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140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210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70-4681-84C7-D2F91DF21D6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2023'!$W$3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2026'!$C$4:$C$55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2023'!$W$4:$W$55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7315</c:v>
                      </c:pt>
                      <c:pt idx="7">
                        <c:v>0</c:v>
                      </c:pt>
                      <c:pt idx="8">
                        <c:v>1820</c:v>
                      </c:pt>
                      <c:pt idx="9">
                        <c:v>595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700</c:v>
                      </c:pt>
                      <c:pt idx="20">
                        <c:v>0</c:v>
                      </c:pt>
                      <c:pt idx="21">
                        <c:v>560</c:v>
                      </c:pt>
                      <c:pt idx="22">
                        <c:v>315</c:v>
                      </c:pt>
                      <c:pt idx="23">
                        <c:v>500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945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1050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70-4681-84C7-D2F91DF21D61}"/>
                  </c:ext>
                </c:extLst>
              </c15:ser>
            </c15:filteredLineSeries>
          </c:ext>
        </c:extLst>
      </c:lineChart>
      <c:catAx>
        <c:axId val="715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232"/>
        <c:crosses val="autoZero"/>
        <c:auto val="1"/>
        <c:lblAlgn val="ctr"/>
        <c:lblOffset val="100"/>
        <c:noMultiLvlLbl val="0"/>
      </c:catAx>
      <c:valAx>
        <c:axId val="71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B8-4A96-A6C0-C0747728B1A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8-4A96-A6C0-C0747728B1A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B8-4A96-A6C0-C0747728B1AA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B8-4A96-A6C0-C0747728B1AA}"/>
              </c:ext>
            </c:extLst>
          </c:dPt>
          <c:val>
            <c:numRef>
              <c:f>'QC Data 2026'!$V$60:$V$63</c:f>
              <c:numCache>
                <c:formatCode>_("$"* #,##0.00_);_("$"* \(#,##0.00\);_("$"* "-"??_);_(@_)</c:formatCode>
                <c:ptCount val="4"/>
                <c:pt idx="0">
                  <c:v>1.4</c:v>
                </c:pt>
                <c:pt idx="1">
                  <c:v>0.35</c:v>
                </c:pt>
                <c:pt idx="2">
                  <c:v>2.25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B8-4A96-A6C0-C0747728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DB8-4A96-A6C0-C0747728B1AA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DB8-4A96-A6C0-C0747728B1AA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DB8-4A96-A6C0-C0747728B1AA}"/>
              </c:ext>
            </c:extLst>
          </c:dPt>
          <c:val>
            <c:numRef>
              <c:f>'QC Data 2026'!$Y$60:$Y$62</c:f>
              <c:numCache>
                <c:formatCode>_("$"* #,##0.00_);_("$"* \(#,##0.00\);_("$"* "-"??_);_(@_)</c:formatCode>
                <c:ptCount val="3"/>
                <c:pt idx="0">
                  <c:v>0.24398714762553422</c:v>
                </c:pt>
                <c:pt idx="1">
                  <c:v>0.1</c:v>
                </c:pt>
                <c:pt idx="2" formatCode="_(&quot;$&quot;* #,##0_);_(&quot;$&quot;* \(#,##0\);_(&quot;$&quot;* &quot;-&quot;??_);_(@_)">
                  <c:v>7.7560128523744654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B8-4A96-A6C0-C0747728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'QC Data 2026'!$AB$3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'QC Data 2026'!$AA$4:$AA$15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2026'!$AB$4:$AB$15</c:f>
              <c:numCache>
                <c:formatCode>_("$"* #,##0_);_("$"* \(#,##0\);_("$"* "-"??_);_(@_)</c:formatCode>
                <c:ptCount val="12"/>
                <c:pt idx="0">
                  <c:v>4106</c:v>
                </c:pt>
                <c:pt idx="1">
                  <c:v>1520</c:v>
                </c:pt>
                <c:pt idx="2">
                  <c:v>240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E86-4201-A4C3-BFA0AE66D0B7}"/>
            </c:ext>
          </c:extLst>
        </c:ser>
        <c:ser>
          <c:idx val="1"/>
          <c:order val="1"/>
          <c:tx>
            <c:strRef>
              <c:f>'QC Data 2026'!$AC$3</c:f>
              <c:strCache>
                <c:ptCount val="1"/>
                <c:pt idx="0">
                  <c:v>Fit-Up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'QC Data 2026'!$AA$4:$AA$15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2026'!$AC$4:$AC$15</c:f>
              <c:numCache>
                <c:formatCode>_("$"* #,##0_);_("$"* \(#,##0\);_("$"*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6E86-4201-A4C3-BFA0AE66D0B7}"/>
            </c:ext>
          </c:extLst>
        </c:ser>
        <c:ser>
          <c:idx val="2"/>
          <c:order val="2"/>
          <c:tx>
            <c:strRef>
              <c:f>'QC Data 2026'!$AD$3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'QC Data 2026'!$AA$4:$AA$15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2026'!$AD$4:$AD$15</c:f>
              <c:numCache>
                <c:formatCode>_("$"* #,##0_);_("$"* \(#,##0\);_("$"*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_(&quot;$&quot;* #,##0.00_);_(&quot;$&quot;* \(#,##0.00\);_(&quot;$&quot;* &quot;-&quot;??_);_(@_)">
                  <c:v>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E86-4201-A4C3-BFA0AE66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38672"/>
        <c:axId val="71553232"/>
      </c:barChart>
      <c:lineChart>
        <c:grouping val="standard"/>
        <c:varyColors val="0"/>
        <c:ser>
          <c:idx val="4"/>
          <c:order val="4"/>
          <c:tx>
            <c:strRef>
              <c:f>'QC Data 2023'!$AF$3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'QC Data 2023'!$AA$4:$AA$15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2023'!$AF$4:$AF$15</c:f>
              <c:numCache>
                <c:formatCode>_("$"* #,##0_);_("$"* \(#,##0\);_("$"* "-"??_);_(@_)</c:formatCode>
                <c:ptCount val="12"/>
                <c:pt idx="0">
                  <c:v>6500</c:v>
                </c:pt>
                <c:pt idx="1">
                  <c:v>6500</c:v>
                </c:pt>
                <c:pt idx="2">
                  <c:v>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  <c:pt idx="7">
                  <c:v>6500</c:v>
                </c:pt>
                <c:pt idx="8">
                  <c:v>6500</c:v>
                </c:pt>
                <c:pt idx="9">
                  <c:v>6500</c:v>
                </c:pt>
                <c:pt idx="10">
                  <c:v>6500</c:v>
                </c:pt>
                <c:pt idx="11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86-4201-A4C3-BFA0AE66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8672"/>
        <c:axId val="715532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'QC Data 2023'!$AE$3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'QC Data 2023'!$AA$4:$AA$15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'QC Data 2023'!$AE$4:$AE$15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7554.4</c:v>
                      </c:pt>
                      <c:pt idx="1">
                        <c:v>15260</c:v>
                      </c:pt>
                      <c:pt idx="2">
                        <c:v>11235</c:v>
                      </c:pt>
                      <c:pt idx="3">
                        <c:v>4795</c:v>
                      </c:pt>
                      <c:pt idx="4">
                        <c:v>2275</c:v>
                      </c:pt>
                      <c:pt idx="5">
                        <c:v>8095</c:v>
                      </c:pt>
                      <c:pt idx="6">
                        <c:v>3220</c:v>
                      </c:pt>
                      <c:pt idx="7">
                        <c:v>17955</c:v>
                      </c:pt>
                      <c:pt idx="8">
                        <c:v>14927.5</c:v>
                      </c:pt>
                      <c:pt idx="9">
                        <c:v>4025</c:v>
                      </c:pt>
                      <c:pt idx="10">
                        <c:v>3745</c:v>
                      </c:pt>
                      <c:pt idx="11">
                        <c:v>4305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E86-4201-A4C3-BFA0AE66D0B7}"/>
                  </c:ext>
                </c:extLst>
              </c15:ser>
            </c15:filteredLineSeries>
          </c:ext>
        </c:extLst>
      </c:lineChart>
      <c:catAx>
        <c:axId val="715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232"/>
        <c:crosses val="autoZero"/>
        <c:auto val="1"/>
        <c:lblAlgn val="ctr"/>
        <c:lblOffset val="100"/>
        <c:noMultiLvlLbl val="0"/>
      </c:catAx>
      <c:valAx>
        <c:axId val="71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tx>
            <c:strRef>
              <c:f>'2024 Dashboard'!$AM$34</c:f>
              <c:strCache>
                <c:ptCount val="1"/>
                <c:pt idx="0">
                  <c:v>Chart Parameters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1-4223-9E50-5865363C3A8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41-4223-9E50-5865363C3A8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41-4223-9E50-5865363C3A8E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41-4223-9E50-5865363C3A8E}"/>
              </c:ext>
            </c:extLst>
          </c:dPt>
          <c:val>
            <c:numRef>
              <c:f>'2024 Dashboard'!$AN$35:$AN$38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20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41-4223-9E50-5865363C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E41-4223-9E50-5865363C3A8E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E41-4223-9E50-5865363C3A8E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E41-4223-9E50-5865363C3A8E}"/>
              </c:ext>
            </c:extLst>
          </c:dPt>
          <c:val>
            <c:numRef>
              <c:f>'2024 Dashboard'!$AQ$35:$AQ$37</c:f>
              <c:numCache>
                <c:formatCode>0%</c:formatCode>
                <c:ptCount val="3"/>
                <c:pt idx="0">
                  <c:v>0.28000000000000003</c:v>
                </c:pt>
                <c:pt idx="1">
                  <c:v>0.01</c:v>
                </c:pt>
                <c:pt idx="2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E41-4223-9E50-5865363C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YTD 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 Data'!$AQ$4:$AQ$15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'2024 Data'!$AU$4:$AU$15</c:f>
              <c:numCache>
                <c:formatCode>0.0</c:formatCode>
                <c:ptCount val="12"/>
                <c:pt idx="0" formatCode="General">
                  <c:v>118.5</c:v>
                </c:pt>
                <c:pt idx="1">
                  <c:v>211</c:v>
                </c:pt>
                <c:pt idx="2">
                  <c:v>253.25</c:v>
                </c:pt>
                <c:pt idx="3">
                  <c:v>322.75</c:v>
                </c:pt>
                <c:pt idx="4">
                  <c:v>342.5</c:v>
                </c:pt>
                <c:pt idx="5">
                  <c:v>380.51</c:v>
                </c:pt>
                <c:pt idx="6">
                  <c:v>424.01</c:v>
                </c:pt>
                <c:pt idx="7">
                  <c:v>448.01</c:v>
                </c:pt>
                <c:pt idx="8">
                  <c:v>531.01</c:v>
                </c:pt>
                <c:pt idx="9">
                  <c:v>607.51</c:v>
                </c:pt>
                <c:pt idx="10">
                  <c:v>613.51</c:v>
                </c:pt>
                <c:pt idx="11">
                  <c:v>694.26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4-4FA6-B0F3-574FBCC26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axId val="407735416"/>
        <c:axId val="407735808"/>
      </c:barChart>
      <c:lineChart>
        <c:grouping val="standard"/>
        <c:varyColors val="0"/>
        <c:ser>
          <c:idx val="1"/>
          <c:order val="1"/>
          <c:tx>
            <c:v>Max 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Data'!$AV$4:$AV$15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4-4FA6-B0F3-574FBCC26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35416"/>
        <c:axId val="407735808"/>
      </c:lineChart>
      <c:catAx>
        <c:axId val="40773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808"/>
        <c:crosses val="autoZero"/>
        <c:auto val="1"/>
        <c:lblAlgn val="ctr"/>
        <c:lblOffset val="100"/>
        <c:noMultiLvlLbl val="0"/>
      </c:catAx>
      <c:valAx>
        <c:axId val="407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'2024 Data'!$J$4:$J$55</c:f>
              <c:numCache>
                <c:formatCode>0%</c:formatCode>
                <c:ptCount val="52"/>
                <c:pt idx="0">
                  <c:v>0.68</c:v>
                </c:pt>
                <c:pt idx="1">
                  <c:v>0.78</c:v>
                </c:pt>
                <c:pt idx="2">
                  <c:v>0.72</c:v>
                </c:pt>
                <c:pt idx="3">
                  <c:v>0.78</c:v>
                </c:pt>
                <c:pt idx="4">
                  <c:v>0.69</c:v>
                </c:pt>
                <c:pt idx="5">
                  <c:v>0.78</c:v>
                </c:pt>
                <c:pt idx="6">
                  <c:v>0.78</c:v>
                </c:pt>
                <c:pt idx="7">
                  <c:v>0.81</c:v>
                </c:pt>
                <c:pt idx="8">
                  <c:v>0.84</c:v>
                </c:pt>
                <c:pt idx="9">
                  <c:v>0.93</c:v>
                </c:pt>
                <c:pt idx="10">
                  <c:v>0.91</c:v>
                </c:pt>
                <c:pt idx="11">
                  <c:v>1.07</c:v>
                </c:pt>
                <c:pt idx="12">
                  <c:v>0.9</c:v>
                </c:pt>
                <c:pt idx="13">
                  <c:v>0.85</c:v>
                </c:pt>
                <c:pt idx="14">
                  <c:v>0.83</c:v>
                </c:pt>
                <c:pt idx="15">
                  <c:v>0.8</c:v>
                </c:pt>
                <c:pt idx="16">
                  <c:v>0.86</c:v>
                </c:pt>
                <c:pt idx="17">
                  <c:v>0.87</c:v>
                </c:pt>
                <c:pt idx="18">
                  <c:v>0.85</c:v>
                </c:pt>
                <c:pt idx="19">
                  <c:v>0.94</c:v>
                </c:pt>
                <c:pt idx="20">
                  <c:v>0.96</c:v>
                </c:pt>
                <c:pt idx="21">
                  <c:v>0.88</c:v>
                </c:pt>
                <c:pt idx="22">
                  <c:v>0.96</c:v>
                </c:pt>
                <c:pt idx="23">
                  <c:v>0.9</c:v>
                </c:pt>
                <c:pt idx="24">
                  <c:v>0.93</c:v>
                </c:pt>
                <c:pt idx="25">
                  <c:v>0.92</c:v>
                </c:pt>
                <c:pt idx="26">
                  <c:v>0.93</c:v>
                </c:pt>
                <c:pt idx="27">
                  <c:v>0.8</c:v>
                </c:pt>
                <c:pt idx="28">
                  <c:v>0.94</c:v>
                </c:pt>
                <c:pt idx="29">
                  <c:v>0.86</c:v>
                </c:pt>
                <c:pt idx="30">
                  <c:v>0.92</c:v>
                </c:pt>
                <c:pt idx="31">
                  <c:v>0.91</c:v>
                </c:pt>
                <c:pt idx="32">
                  <c:v>0.85</c:v>
                </c:pt>
                <c:pt idx="33">
                  <c:v>0.87</c:v>
                </c:pt>
                <c:pt idx="34">
                  <c:v>0.99</c:v>
                </c:pt>
                <c:pt idx="35">
                  <c:v>1.08</c:v>
                </c:pt>
                <c:pt idx="36">
                  <c:v>1.1100000000000001</c:v>
                </c:pt>
                <c:pt idx="37">
                  <c:v>1.01</c:v>
                </c:pt>
                <c:pt idx="38">
                  <c:v>0.97</c:v>
                </c:pt>
                <c:pt idx="39">
                  <c:v>0.99</c:v>
                </c:pt>
                <c:pt idx="40">
                  <c:v>0.96</c:v>
                </c:pt>
                <c:pt idx="41">
                  <c:v>1.05</c:v>
                </c:pt>
                <c:pt idx="42">
                  <c:v>0.96</c:v>
                </c:pt>
                <c:pt idx="43">
                  <c:v>1.03</c:v>
                </c:pt>
                <c:pt idx="44">
                  <c:v>1.01</c:v>
                </c:pt>
                <c:pt idx="45">
                  <c:v>1</c:v>
                </c:pt>
                <c:pt idx="46">
                  <c:v>1</c:v>
                </c:pt>
                <c:pt idx="47">
                  <c:v>1.07</c:v>
                </c:pt>
                <c:pt idx="48">
                  <c:v>0.91</c:v>
                </c:pt>
                <c:pt idx="49">
                  <c:v>0.65</c:v>
                </c:pt>
                <c:pt idx="50">
                  <c:v>0.81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6-407B-8296-F36D96B1939B}"/>
            </c:ext>
          </c:extLst>
        </c:ser>
        <c:ser>
          <c:idx val="1"/>
          <c:order val="1"/>
          <c:tx>
            <c:strRef>
              <c:f>'2024 Data'!$N$3</c:f>
              <c:strCache>
                <c:ptCount val="1"/>
                <c:pt idx="0">
                  <c:v>2023 Avg.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'2024 Data'!$N$4:$N$55</c:f>
              <c:numCache>
                <c:formatCode>0%</c:formatCode>
                <c:ptCount val="52"/>
                <c:pt idx="0">
                  <c:v>0.73</c:v>
                </c:pt>
                <c:pt idx="1">
                  <c:v>0.73</c:v>
                </c:pt>
                <c:pt idx="2">
                  <c:v>0.73</c:v>
                </c:pt>
                <c:pt idx="3">
                  <c:v>0.73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0.73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0.73</c:v>
                </c:pt>
                <c:pt idx="16">
                  <c:v>0.73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0.73</c:v>
                </c:pt>
                <c:pt idx="23">
                  <c:v>0.73</c:v>
                </c:pt>
                <c:pt idx="24">
                  <c:v>0.73</c:v>
                </c:pt>
                <c:pt idx="25">
                  <c:v>0.73</c:v>
                </c:pt>
                <c:pt idx="26">
                  <c:v>0.73</c:v>
                </c:pt>
                <c:pt idx="27">
                  <c:v>0.73</c:v>
                </c:pt>
                <c:pt idx="28">
                  <c:v>0.73</c:v>
                </c:pt>
                <c:pt idx="29">
                  <c:v>0.73</c:v>
                </c:pt>
                <c:pt idx="30">
                  <c:v>0.73</c:v>
                </c:pt>
                <c:pt idx="31">
                  <c:v>0.73</c:v>
                </c:pt>
                <c:pt idx="32">
                  <c:v>0.73</c:v>
                </c:pt>
                <c:pt idx="33">
                  <c:v>0.73</c:v>
                </c:pt>
                <c:pt idx="34">
                  <c:v>0.73</c:v>
                </c:pt>
                <c:pt idx="35">
                  <c:v>0.73</c:v>
                </c:pt>
                <c:pt idx="36">
                  <c:v>0.73</c:v>
                </c:pt>
                <c:pt idx="37">
                  <c:v>0.73</c:v>
                </c:pt>
                <c:pt idx="38">
                  <c:v>0.73</c:v>
                </c:pt>
                <c:pt idx="39">
                  <c:v>0.73</c:v>
                </c:pt>
                <c:pt idx="40">
                  <c:v>0.73</c:v>
                </c:pt>
                <c:pt idx="41">
                  <c:v>0.73</c:v>
                </c:pt>
                <c:pt idx="42">
                  <c:v>0.73</c:v>
                </c:pt>
                <c:pt idx="43">
                  <c:v>0.73</c:v>
                </c:pt>
                <c:pt idx="44">
                  <c:v>0.73</c:v>
                </c:pt>
                <c:pt idx="45">
                  <c:v>0.73</c:v>
                </c:pt>
                <c:pt idx="46">
                  <c:v>0.73</c:v>
                </c:pt>
                <c:pt idx="47">
                  <c:v>0.73</c:v>
                </c:pt>
                <c:pt idx="48">
                  <c:v>0.73</c:v>
                </c:pt>
                <c:pt idx="49">
                  <c:v>0.73</c:v>
                </c:pt>
                <c:pt idx="50">
                  <c:v>0.73</c:v>
                </c:pt>
                <c:pt idx="5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6-407B-8296-F36D96B1939B}"/>
            </c:ext>
          </c:extLst>
        </c:ser>
        <c:ser>
          <c:idx val="2"/>
          <c:order val="2"/>
          <c:tx>
            <c:strRef>
              <c:f>'2024 Data'!$O$3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'2024 Data'!$O$4:$O$56</c:f>
              <c:numCache>
                <c:formatCode>0%</c:formatCode>
                <c:ptCount val="53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EB-4C48-A983-14B6EEC6A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864952"/>
        <c:axId val="407865344"/>
      </c:lineChart>
      <c:catAx>
        <c:axId val="4078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5344"/>
        <c:crosses val="autoZero"/>
        <c:auto val="1"/>
        <c:lblAlgn val="ctr"/>
        <c:lblOffset val="100"/>
        <c:noMultiLvlLbl val="0"/>
      </c:catAx>
      <c:valAx>
        <c:axId val="40786534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7-4CD0-BC9C-F45EC0DC1A44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7-4CD0-BC9C-F45EC0DC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528380691544"/>
          <c:y val="8.2465860781486822E-2"/>
          <c:w val="0.50946990756590205"/>
          <c:h val="0.8417965426735450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79-46B9-9446-DF089C1EF3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79-46B9-9446-DF089C1EF36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679-46B9-9446-DF089C1EF368}"/>
              </c:ext>
            </c:extLst>
          </c:dPt>
          <c:dLbls>
            <c:dLbl>
              <c:idx val="0"/>
              <c:layout>
                <c:manualLayout>
                  <c:x val="-0.15194194678316708"/>
                  <c:y val="3.95640826586817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08462CE-418D-4C32-9B8A-93749594FF81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[CATEGORY NAME]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pPr>
                      <a:defRPr sz="1400" b="1"/>
                    </a:pPr>
                    <a:fld id="{6B97003B-22AC-4162-BAA7-75E19D95EE68}" type="VALU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449854589618518"/>
                      <c:h val="0.154666666666666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679-46B9-9446-DF089C1EF368}"/>
                </c:ext>
              </c:extLst>
            </c:dLbl>
            <c:dLbl>
              <c:idx val="1"/>
              <c:layout>
                <c:manualLayout>
                  <c:x val="1.8839205587246829E-2"/>
                  <c:y val="-0.18197419688736091"/>
                </c:manualLayout>
              </c:layout>
              <c:tx>
                <c:rich>
                  <a:bodyPr/>
                  <a:lstStyle/>
                  <a:p>
                    <a:fld id="{C9E5EDBB-DE98-4C22-8725-97AD91952C51}" type="CATEGORYNAME">
                      <a:rPr lang="en-US">
                        <a:solidFill>
                          <a:schemeClr val="bg1"/>
                        </a:solidFill>
                      </a:rPr>
                      <a:pPr/>
                      <a:t>[CATEGORY NAME]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  <a:p>
                    <a:fld id="{7909CCF4-B87D-4508-A604-49434E8AAE3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679-46B9-9446-DF089C1EF368}"/>
                </c:ext>
              </c:extLst>
            </c:dLbl>
            <c:dLbl>
              <c:idx val="2"/>
              <c:layout>
                <c:manualLayout>
                  <c:x val="0.17358257691607784"/>
                  <c:y val="0.243479353813167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B89487-FDEC-4693-AB98-6525B514DCD1}" type="CATEGORYNAME">
                      <a:rPr lang="en-US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8860C527-7BAE-4C17-9F82-B9D49CDAA962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 sz="1400" b="1"/>
                      </a:pPr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5810500927782317"/>
                      <c:h val="0.206553591677173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679-46B9-9446-DF089C1EF3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'QC Data 2024'!$F$3:$H$3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Major</c:v>
                </c:pt>
              </c:strCache>
            </c:strRef>
          </c:cat>
          <c:val>
            <c:numRef>
              <c:f>'QC Data 2024'!$F$56:$H$56</c:f>
              <c:numCache>
                <c:formatCode>#,##0</c:formatCode>
                <c:ptCount val="3"/>
                <c:pt idx="0">
                  <c:v>106</c:v>
                </c:pt>
                <c:pt idx="1">
                  <c:v>85</c:v>
                </c:pt>
                <c:pt idx="2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9-46B9-9446-DF089C1EF36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C4-4D8E-B21F-CADE9F50F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C4-4D8E-B21F-CADE9F50F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C4-4D8E-B21F-CADE9F50FA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'QC Data 2024'!$F$3:$H$3</c:f>
              <c:strCache>
                <c:ptCount val="3"/>
                <c:pt idx="0">
                  <c:v>Minor</c:v>
                </c:pt>
                <c:pt idx="1">
                  <c:v>Moderate</c:v>
                </c:pt>
                <c:pt idx="2">
                  <c:v>Major</c:v>
                </c:pt>
              </c:strCache>
            </c:strRef>
          </c:cat>
          <c:val>
            <c:numRef>
              <c:f>'QC Data 2023'!$F$3:$H$3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679-46B9-9446-DF089C1EF3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1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770767168941082E-2"/>
          <c:y val="4.5833318296155418E-2"/>
          <c:w val="0.93000361107120377"/>
          <c:h val="0.85750726459735416"/>
        </c:manualLayout>
      </c:layout>
      <c:lineChart>
        <c:grouping val="standard"/>
        <c:varyColors val="0"/>
        <c:ser>
          <c:idx val="0"/>
          <c:order val="0"/>
          <c:tx>
            <c:strRef>
              <c:f>'QC Data 2024'!$H$3</c:f>
              <c:strCache>
                <c:ptCount val="1"/>
                <c:pt idx="0">
                  <c:v>Major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'QC Data 2024'!$C$4:$C$55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2024'!$H$4:$H$55</c:f>
              <c:numCache>
                <c:formatCode>#,##0</c:formatCode>
                <c:ptCount val="5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7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7</c:v>
                </c:pt>
                <c:pt idx="16">
                  <c:v>0</c:v>
                </c:pt>
                <c:pt idx="17">
                  <c:v>8</c:v>
                </c:pt>
                <c:pt idx="18">
                  <c:v>9</c:v>
                </c:pt>
                <c:pt idx="19">
                  <c:v>4</c:v>
                </c:pt>
                <c:pt idx="20">
                  <c:v>4</c:v>
                </c:pt>
                <c:pt idx="21">
                  <c:v>10</c:v>
                </c:pt>
                <c:pt idx="22">
                  <c:v>3</c:v>
                </c:pt>
                <c:pt idx="23">
                  <c:v>3</c:v>
                </c:pt>
                <c:pt idx="24">
                  <c:v>6</c:v>
                </c:pt>
                <c:pt idx="25">
                  <c:v>6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12</c:v>
                </c:pt>
                <c:pt idx="30">
                  <c:v>0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6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0</c:v>
                </c:pt>
                <c:pt idx="43">
                  <c:v>0</c:v>
                </c:pt>
                <c:pt idx="44">
                  <c:v>12</c:v>
                </c:pt>
                <c:pt idx="45">
                  <c:v>0</c:v>
                </c:pt>
                <c:pt idx="46">
                  <c:v>0</c:v>
                </c:pt>
                <c:pt idx="47">
                  <c:v>6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0-4B58-B7B5-D88A725A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253928607430469E-2"/>
          <c:y val="4.1407853993950541E-2"/>
          <c:w val="0.93000362152454985"/>
          <c:h val="0.85839231235476687"/>
        </c:manualLayout>
      </c:layout>
      <c:lineChart>
        <c:grouping val="standard"/>
        <c:varyColors val="0"/>
        <c:ser>
          <c:idx val="0"/>
          <c:order val="0"/>
          <c:tx>
            <c:strRef>
              <c:f>'QC Data 2024'!$G$3</c:f>
              <c:strCache>
                <c:ptCount val="1"/>
                <c:pt idx="0">
                  <c:v>Moderate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'QC Data 2024'!$C$4:$C$55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2024'!$G$4:$G$55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</c:v>
                </c:pt>
                <c:pt idx="28">
                  <c:v>0</c:v>
                </c:pt>
                <c:pt idx="29">
                  <c:v>6</c:v>
                </c:pt>
                <c:pt idx="30">
                  <c:v>0</c:v>
                </c:pt>
                <c:pt idx="31">
                  <c:v>7</c:v>
                </c:pt>
                <c:pt idx="32">
                  <c:v>1</c:v>
                </c:pt>
                <c:pt idx="33">
                  <c:v>0</c:v>
                </c:pt>
                <c:pt idx="34">
                  <c:v>8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9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</c:v>
                </c:pt>
                <c:pt idx="45">
                  <c:v>0</c:v>
                </c:pt>
                <c:pt idx="46">
                  <c:v>0</c:v>
                </c:pt>
                <c:pt idx="47">
                  <c:v>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1-455A-B83C-70C644A70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'QC Data 2024'!$F$3</c:f>
              <c:strCache>
                <c:ptCount val="1"/>
                <c:pt idx="0">
                  <c:v>Minor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'QC Data 2024'!$C$4:$C$55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2024'!$F$4:$F$55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1</c:v>
                </c:pt>
                <c:pt idx="13">
                  <c:v>12</c:v>
                </c:pt>
                <c:pt idx="14">
                  <c:v>8</c:v>
                </c:pt>
                <c:pt idx="15">
                  <c:v>6</c:v>
                </c:pt>
                <c:pt idx="16">
                  <c:v>0</c:v>
                </c:pt>
                <c:pt idx="17">
                  <c:v>2</c:v>
                </c:pt>
                <c:pt idx="18">
                  <c:v>6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0</c:v>
                </c:pt>
                <c:pt idx="23">
                  <c:v>6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</c:v>
                </c:pt>
                <c:pt idx="30">
                  <c:v>1</c:v>
                </c:pt>
                <c:pt idx="31">
                  <c:v>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</c:v>
                </c:pt>
                <c:pt idx="37">
                  <c:v>0</c:v>
                </c:pt>
                <c:pt idx="38">
                  <c:v>4</c:v>
                </c:pt>
                <c:pt idx="39">
                  <c:v>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</c:v>
                </c:pt>
                <c:pt idx="45">
                  <c:v>0</c:v>
                </c:pt>
                <c:pt idx="46">
                  <c:v>0</c:v>
                </c:pt>
                <c:pt idx="47">
                  <c:v>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2-4FDD-939C-5C5D4AFA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0808320"/>
        <c:axId val="1930782944"/>
      </c:lineChart>
      <c:catAx>
        <c:axId val="193080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82944"/>
        <c:crosses val="autoZero"/>
        <c:auto val="1"/>
        <c:lblAlgn val="ctr"/>
        <c:lblOffset val="100"/>
        <c:noMultiLvlLbl val="0"/>
      </c:catAx>
      <c:valAx>
        <c:axId val="1930782944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083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3"/>
          <c:tx>
            <c:strRef>
              <c:f>'QC Data 2024'!$X$3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'QC Data 2024'!$C$4:$C$55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2024'!$X$4:$X$55</c:f>
              <c:numCache>
                <c:formatCode>_("$"* #,##0_);_("$"* \(#,##0\);_("$"* "-"??_);_(@_)</c:formatCode>
                <c:ptCount val="52"/>
                <c:pt idx="0">
                  <c:v>960</c:v>
                </c:pt>
                <c:pt idx="1">
                  <c:v>7920</c:v>
                </c:pt>
                <c:pt idx="2">
                  <c:v>1680</c:v>
                </c:pt>
                <c:pt idx="3">
                  <c:v>3920</c:v>
                </c:pt>
                <c:pt idx="4">
                  <c:v>3080</c:v>
                </c:pt>
                <c:pt idx="5">
                  <c:v>720</c:v>
                </c:pt>
                <c:pt idx="6">
                  <c:v>1680</c:v>
                </c:pt>
                <c:pt idx="7">
                  <c:v>1920</c:v>
                </c:pt>
                <c:pt idx="8">
                  <c:v>400</c:v>
                </c:pt>
                <c:pt idx="9">
                  <c:v>120</c:v>
                </c:pt>
                <c:pt idx="10">
                  <c:v>220</c:v>
                </c:pt>
                <c:pt idx="11">
                  <c:v>400</c:v>
                </c:pt>
                <c:pt idx="12">
                  <c:v>2240</c:v>
                </c:pt>
                <c:pt idx="13">
                  <c:v>800</c:v>
                </c:pt>
                <c:pt idx="14">
                  <c:v>2920</c:v>
                </c:pt>
                <c:pt idx="15">
                  <c:v>1200</c:v>
                </c:pt>
                <c:pt idx="16">
                  <c:v>640</c:v>
                </c:pt>
                <c:pt idx="17">
                  <c:v>1340</c:v>
                </c:pt>
                <c:pt idx="18">
                  <c:v>240</c:v>
                </c:pt>
                <c:pt idx="19">
                  <c:v>0</c:v>
                </c:pt>
                <c:pt idx="20">
                  <c:v>0</c:v>
                </c:pt>
                <c:pt idx="21">
                  <c:v>227.2</c:v>
                </c:pt>
                <c:pt idx="22">
                  <c:v>13.600000000000001</c:v>
                </c:pt>
                <c:pt idx="23">
                  <c:v>836.36</c:v>
                </c:pt>
                <c:pt idx="24">
                  <c:v>2607</c:v>
                </c:pt>
                <c:pt idx="25">
                  <c:v>1400</c:v>
                </c:pt>
                <c:pt idx="26">
                  <c:v>2064</c:v>
                </c:pt>
                <c:pt idx="27">
                  <c:v>2000</c:v>
                </c:pt>
                <c:pt idx="28">
                  <c:v>320</c:v>
                </c:pt>
                <c:pt idx="29">
                  <c:v>400</c:v>
                </c:pt>
                <c:pt idx="30">
                  <c:v>560</c:v>
                </c:pt>
                <c:pt idx="31">
                  <c:v>0</c:v>
                </c:pt>
                <c:pt idx="32">
                  <c:v>7040</c:v>
                </c:pt>
                <c:pt idx="33">
                  <c:v>1470</c:v>
                </c:pt>
                <c:pt idx="34">
                  <c:v>4080</c:v>
                </c:pt>
                <c:pt idx="35">
                  <c:v>0</c:v>
                </c:pt>
                <c:pt idx="36">
                  <c:v>0</c:v>
                </c:pt>
                <c:pt idx="37">
                  <c:v>2085.2600000000002</c:v>
                </c:pt>
                <c:pt idx="38">
                  <c:v>1960</c:v>
                </c:pt>
                <c:pt idx="39">
                  <c:v>2040</c:v>
                </c:pt>
                <c:pt idx="40">
                  <c:v>4080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400</c:v>
                </c:pt>
                <c:pt idx="45" formatCode="_(&quot;$&quot;* #,##0.00_);_(&quot;$&quot;* \(#,##0.00\);_(&quot;$&quot;* &quot;-&quot;??_);_(@_)">
                  <c:v>95.51</c:v>
                </c:pt>
                <c:pt idx="46">
                  <c:v>0</c:v>
                </c:pt>
                <c:pt idx="47">
                  <c:v>1280</c:v>
                </c:pt>
                <c:pt idx="48">
                  <c:v>1720</c:v>
                </c:pt>
                <c:pt idx="49">
                  <c:v>2300</c:v>
                </c:pt>
                <c:pt idx="50">
                  <c:v>1160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CF-4BC9-99F9-C701EC50BE3F}"/>
            </c:ext>
          </c:extLst>
        </c:ser>
        <c:ser>
          <c:idx val="4"/>
          <c:order val="4"/>
          <c:tx>
            <c:strRef>
              <c:f>'QC Data 2023'!$Y$3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'QC Data 2024'!$C$4:$C$55</c:f>
              <c:strCache>
                <c:ptCount val="50"/>
                <c:pt idx="2">
                  <c:v>Jan</c:v>
                </c:pt>
                <c:pt idx="6">
                  <c:v>Feb</c:v>
                </c:pt>
                <c:pt idx="10">
                  <c:v>Mar</c:v>
                </c:pt>
                <c:pt idx="15">
                  <c:v>Apr</c:v>
                </c:pt>
                <c:pt idx="19">
                  <c:v>May</c:v>
                </c:pt>
                <c:pt idx="23">
                  <c:v>Jun</c:v>
                </c:pt>
                <c:pt idx="28">
                  <c:v>Jul</c:v>
                </c:pt>
                <c:pt idx="32">
                  <c:v>Aug</c:v>
                </c:pt>
                <c:pt idx="36">
                  <c:v>Sep</c:v>
                </c:pt>
                <c:pt idx="41">
                  <c:v>Oct</c:v>
                </c:pt>
                <c:pt idx="45">
                  <c:v>Nov</c:v>
                </c:pt>
                <c:pt idx="49">
                  <c:v>Dec</c:v>
                </c:pt>
              </c:strCache>
            </c:strRef>
          </c:cat>
          <c:val>
            <c:numRef>
              <c:f>'QC Data 2023'!$Y$4:$Y$55</c:f>
              <c:numCache>
                <c:formatCode>_("$"* #,##0_);_("$"* \(#,##0\);_("$"* "-"??_);_(@_)</c:formatCode>
                <c:ptCount val="5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CF-4BC9-99F9-C701EC50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38672"/>
        <c:axId val="71553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'QC Data 2023'!$U$3</c15:sqref>
                        </c15:formulaRef>
                      </c:ext>
                    </c:extLst>
                    <c:strCache>
                      <c:ptCount val="1"/>
                      <c:pt idx="0">
                        <c:v>Welding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'QC Data 2024'!$C$4:$C$55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'QC Data 2023'!$U$4:$U$55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781.9</c:v>
                      </c:pt>
                      <c:pt idx="1">
                        <c:v>402.5</c:v>
                      </c:pt>
                      <c:pt idx="2">
                        <c:v>5302.5</c:v>
                      </c:pt>
                      <c:pt idx="3">
                        <c:v>1067.5</c:v>
                      </c:pt>
                      <c:pt idx="4">
                        <c:v>1592.5</c:v>
                      </c:pt>
                      <c:pt idx="5">
                        <c:v>455</c:v>
                      </c:pt>
                      <c:pt idx="6">
                        <c:v>560</c:v>
                      </c:pt>
                      <c:pt idx="7">
                        <c:v>700</c:v>
                      </c:pt>
                      <c:pt idx="8">
                        <c:v>70</c:v>
                      </c:pt>
                      <c:pt idx="9">
                        <c:v>0</c:v>
                      </c:pt>
                      <c:pt idx="10">
                        <c:v>350</c:v>
                      </c:pt>
                      <c:pt idx="11">
                        <c:v>2485</c:v>
                      </c:pt>
                      <c:pt idx="12">
                        <c:v>5355</c:v>
                      </c:pt>
                      <c:pt idx="13">
                        <c:v>1995</c:v>
                      </c:pt>
                      <c:pt idx="14">
                        <c:v>350</c:v>
                      </c:pt>
                      <c:pt idx="15">
                        <c:v>210</c:v>
                      </c:pt>
                      <c:pt idx="16">
                        <c:v>2240</c:v>
                      </c:pt>
                      <c:pt idx="17">
                        <c:v>0</c:v>
                      </c:pt>
                      <c:pt idx="18">
                        <c:v>385</c:v>
                      </c:pt>
                      <c:pt idx="19">
                        <c:v>560</c:v>
                      </c:pt>
                      <c:pt idx="20">
                        <c:v>70</c:v>
                      </c:pt>
                      <c:pt idx="21">
                        <c:v>0</c:v>
                      </c:pt>
                      <c:pt idx="22">
                        <c:v>385</c:v>
                      </c:pt>
                      <c:pt idx="23">
                        <c:v>2520</c:v>
                      </c:pt>
                      <c:pt idx="24">
                        <c:v>2590</c:v>
                      </c:pt>
                      <c:pt idx="25">
                        <c:v>1645</c:v>
                      </c:pt>
                      <c:pt idx="26">
                        <c:v>1470</c:v>
                      </c:pt>
                      <c:pt idx="27">
                        <c:v>35</c:v>
                      </c:pt>
                      <c:pt idx="28">
                        <c:v>0</c:v>
                      </c:pt>
                      <c:pt idx="29">
                        <c:v>770</c:v>
                      </c:pt>
                      <c:pt idx="30">
                        <c:v>1260</c:v>
                      </c:pt>
                      <c:pt idx="31">
                        <c:v>1260</c:v>
                      </c:pt>
                      <c:pt idx="32">
                        <c:v>3430</c:v>
                      </c:pt>
                      <c:pt idx="33">
                        <c:v>2730</c:v>
                      </c:pt>
                      <c:pt idx="34">
                        <c:v>9275</c:v>
                      </c:pt>
                      <c:pt idx="35">
                        <c:v>4585</c:v>
                      </c:pt>
                      <c:pt idx="36">
                        <c:v>1592.5</c:v>
                      </c:pt>
                      <c:pt idx="37">
                        <c:v>5425</c:v>
                      </c:pt>
                      <c:pt idx="38">
                        <c:v>2275</c:v>
                      </c:pt>
                      <c:pt idx="39">
                        <c:v>595</c:v>
                      </c:pt>
                      <c:pt idx="40">
                        <c:v>1505</c:v>
                      </c:pt>
                      <c:pt idx="41">
                        <c:v>315</c:v>
                      </c:pt>
                      <c:pt idx="42">
                        <c:v>1400</c:v>
                      </c:pt>
                      <c:pt idx="43">
                        <c:v>840</c:v>
                      </c:pt>
                      <c:pt idx="44">
                        <c:v>140</c:v>
                      </c:pt>
                      <c:pt idx="45">
                        <c:v>1960</c:v>
                      </c:pt>
                      <c:pt idx="46">
                        <c:v>175</c:v>
                      </c:pt>
                      <c:pt idx="47">
                        <c:v>630</c:v>
                      </c:pt>
                      <c:pt idx="48">
                        <c:v>2415</c:v>
                      </c:pt>
                      <c:pt idx="49">
                        <c:v>630</c:v>
                      </c:pt>
                      <c:pt idx="50">
                        <c:v>1260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FCF-4BC9-99F9-C701EC50BE3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2023'!$V$3</c15:sqref>
                        </c15:formulaRef>
                      </c:ext>
                    </c:extLst>
                    <c:strCache>
                      <c:ptCount val="1"/>
                      <c:pt idx="0">
                        <c:v>Fit-Up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2024'!$C$4:$C$55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2023'!$V$4:$V$55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420</c:v>
                      </c:pt>
                      <c:pt idx="5">
                        <c:v>140</c:v>
                      </c:pt>
                      <c:pt idx="6">
                        <c:v>280</c:v>
                      </c:pt>
                      <c:pt idx="7">
                        <c:v>3797.5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560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140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210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FCF-4BC9-99F9-C701EC50BE3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2023'!$W$3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2024'!$C$4:$C$55</c15:sqref>
                        </c15:formulaRef>
                      </c:ext>
                    </c:extLst>
                    <c:strCache>
                      <c:ptCount val="50"/>
                      <c:pt idx="2">
                        <c:v>Jan</c:v>
                      </c:pt>
                      <c:pt idx="6">
                        <c:v>Feb</c:v>
                      </c:pt>
                      <c:pt idx="10">
                        <c:v>Mar</c:v>
                      </c:pt>
                      <c:pt idx="15">
                        <c:v>Apr</c:v>
                      </c:pt>
                      <c:pt idx="19">
                        <c:v>May</c:v>
                      </c:pt>
                      <c:pt idx="23">
                        <c:v>Jun</c:v>
                      </c:pt>
                      <c:pt idx="28">
                        <c:v>Jul</c:v>
                      </c:pt>
                      <c:pt idx="32">
                        <c:v>Aug</c:v>
                      </c:pt>
                      <c:pt idx="36">
                        <c:v>Sep</c:v>
                      </c:pt>
                      <c:pt idx="41">
                        <c:v>Oct</c:v>
                      </c:pt>
                      <c:pt idx="45">
                        <c:v>Nov</c:v>
                      </c:pt>
                      <c:pt idx="49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'QC Data 2023'!$W$4:$W$55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5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7315</c:v>
                      </c:pt>
                      <c:pt idx="7">
                        <c:v>0</c:v>
                      </c:pt>
                      <c:pt idx="8">
                        <c:v>1820</c:v>
                      </c:pt>
                      <c:pt idx="9">
                        <c:v>595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700</c:v>
                      </c:pt>
                      <c:pt idx="20">
                        <c:v>0</c:v>
                      </c:pt>
                      <c:pt idx="21">
                        <c:v>560</c:v>
                      </c:pt>
                      <c:pt idx="22">
                        <c:v>315</c:v>
                      </c:pt>
                      <c:pt idx="23">
                        <c:v>500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945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1050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FCF-4BC9-99F9-C701EC50BE3F}"/>
                  </c:ext>
                </c:extLst>
              </c15:ser>
            </c15:filteredLineSeries>
          </c:ext>
        </c:extLst>
      </c:lineChart>
      <c:catAx>
        <c:axId val="715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232"/>
        <c:crosses val="autoZero"/>
        <c:auto val="1"/>
        <c:lblAlgn val="ctr"/>
        <c:lblOffset val="100"/>
        <c:noMultiLvlLbl val="0"/>
      </c:catAx>
      <c:valAx>
        <c:axId val="71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6-4E37-88E9-4D30F3C3495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6-4E37-88E9-4D30F3C349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6-4E37-88E9-4D30F3C34953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16-4E37-88E9-4D30F3C34953}"/>
              </c:ext>
            </c:extLst>
          </c:dPt>
          <c:val>
            <c:numRef>
              <c:f>'QC Data 2023'!$V$59:$V$62</c:f>
              <c:numCache>
                <c:formatCode>_("$"* #,##0_);_("$"* \(#,##0\);_("$"* "-"??_);_(@_)</c:formatCode>
                <c:ptCount val="4"/>
                <c:pt idx="0">
                  <c:v>60000</c:v>
                </c:pt>
                <c:pt idx="1">
                  <c:v>15000</c:v>
                </c:pt>
                <c:pt idx="2">
                  <c:v>15000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16-4E37-88E9-4D30F3C3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516-4E37-88E9-4D30F3C3495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16-4E37-88E9-4D30F3C34953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16-4E37-88E9-4D30F3C34953}"/>
              </c:ext>
            </c:extLst>
          </c:dPt>
          <c:val>
            <c:numRef>
              <c:f>'QC Data 2024'!$Y$59:$Y$61</c:f>
              <c:numCache>
                <c:formatCode>_("$"* #,##0_);_("$"* \(#,##0\);_("$"* "-"??_);_(@_)</c:formatCode>
                <c:ptCount val="3"/>
                <c:pt idx="0">
                  <c:v>72538.929999999993</c:v>
                </c:pt>
                <c:pt idx="1">
                  <c:v>2000</c:v>
                </c:pt>
                <c:pt idx="2">
                  <c:v>107461.07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516-4E37-88E9-4D30F3C3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'QC Data 2024'!$AB$3</c:f>
              <c:strCache>
                <c:ptCount val="1"/>
                <c:pt idx="0">
                  <c:v>Welding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'QC Data 2024'!$AA$4:$AA$15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2024'!$AB$4:$AB$15</c:f>
              <c:numCache>
                <c:formatCode>_("$"* #,##0_);_("$"* \(#,##0\);_("$"* "-"??_);_(@_)</c:formatCode>
                <c:ptCount val="12"/>
                <c:pt idx="0">
                  <c:v>2920</c:v>
                </c:pt>
                <c:pt idx="1">
                  <c:v>4760</c:v>
                </c:pt>
                <c:pt idx="2">
                  <c:v>1880</c:v>
                </c:pt>
                <c:pt idx="3">
                  <c:v>1920</c:v>
                </c:pt>
                <c:pt idx="4">
                  <c:v>133.6</c:v>
                </c:pt>
                <c:pt idx="5">
                  <c:v>160</c:v>
                </c:pt>
                <c:pt idx="6">
                  <c:v>720</c:v>
                </c:pt>
                <c:pt idx="7">
                  <c:v>2990</c:v>
                </c:pt>
                <c:pt idx="8">
                  <c:v>200</c:v>
                </c:pt>
                <c:pt idx="9">
                  <c:v>80</c:v>
                </c:pt>
                <c:pt idx="10">
                  <c:v>1360</c:v>
                </c:pt>
                <c:pt idx="11">
                  <c:v>2880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945-4B46-A204-D37037DF15D1}"/>
            </c:ext>
          </c:extLst>
        </c:ser>
        <c:ser>
          <c:idx val="1"/>
          <c:order val="1"/>
          <c:tx>
            <c:strRef>
              <c:f>'QC Data 2024'!$AC$3</c:f>
              <c:strCache>
                <c:ptCount val="1"/>
                <c:pt idx="0">
                  <c:v>Fit-Up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'QC Data 2024'!$AA$4:$AA$15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2024'!$AC$4:$AC$15</c:f>
              <c:numCache>
                <c:formatCode>_("$"* #,##0_);_("$"* \(#,##0\);_("$"* "-"??_);_(@_)</c:formatCode>
                <c:ptCount val="12"/>
                <c:pt idx="0">
                  <c:v>6560</c:v>
                </c:pt>
                <c:pt idx="1">
                  <c:v>2640</c:v>
                </c:pt>
                <c:pt idx="2">
                  <c:v>1280</c:v>
                </c:pt>
                <c:pt idx="3">
                  <c:v>1360</c:v>
                </c:pt>
                <c:pt idx="4">
                  <c:v>1433.6</c:v>
                </c:pt>
                <c:pt idx="5">
                  <c:v>0</c:v>
                </c:pt>
                <c:pt idx="6">
                  <c:v>2464</c:v>
                </c:pt>
                <c:pt idx="7">
                  <c:v>3080</c:v>
                </c:pt>
                <c:pt idx="8">
                  <c:v>1040</c:v>
                </c:pt>
                <c:pt idx="9">
                  <c:v>6040</c:v>
                </c:pt>
                <c:pt idx="10">
                  <c:v>400</c:v>
                </c:pt>
                <c:pt idx="1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945-4B46-A204-D37037DF15D1}"/>
            </c:ext>
          </c:extLst>
        </c:ser>
        <c:ser>
          <c:idx val="2"/>
          <c:order val="2"/>
          <c:tx>
            <c:strRef>
              <c:f>'QC Data 2024'!$AD$3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'QC Data 2024'!$AA$4:$AA$15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2024'!$AD$4:$AD$15</c:f>
              <c:numCache>
                <c:formatCode>_("$"* #,##0_);_("$"* \(#,##0\);_("$"* "-"??_);_(@_)</c:formatCode>
                <c:ptCount val="12"/>
                <c:pt idx="0">
                  <c:v>5000</c:v>
                </c:pt>
                <c:pt idx="1">
                  <c:v>0</c:v>
                </c:pt>
                <c:pt idx="2">
                  <c:v>220</c:v>
                </c:pt>
                <c:pt idx="3">
                  <c:v>2280</c:v>
                </c:pt>
                <c:pt idx="4">
                  <c:v>240</c:v>
                </c:pt>
                <c:pt idx="5">
                  <c:v>4696.96</c:v>
                </c:pt>
                <c:pt idx="6">
                  <c:v>1600</c:v>
                </c:pt>
                <c:pt idx="7">
                  <c:v>7080</c:v>
                </c:pt>
                <c:pt idx="8">
                  <c:v>2805.26</c:v>
                </c:pt>
                <c:pt idx="9">
                  <c:v>0</c:v>
                </c:pt>
                <c:pt idx="10" formatCode="_(&quot;$&quot;* #,##0.00_);_(&quot;$&quot;* \(#,##0.00\);_(&quot;$&quot;* &quot;-&quot;??_);_(@_)">
                  <c:v>15.51</c:v>
                </c:pt>
                <c:pt idx="11">
                  <c:v>2300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5945-4B46-A204-D37037DF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38672"/>
        <c:axId val="71553232"/>
      </c:barChart>
      <c:lineChart>
        <c:grouping val="standard"/>
        <c:varyColors val="0"/>
        <c:ser>
          <c:idx val="4"/>
          <c:order val="4"/>
          <c:tx>
            <c:strRef>
              <c:f>'QC Data 2023'!$AF$3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'QC Data 2023'!$AA$4:$AA$15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'QC Data 2023'!$AF$4:$AF$15</c:f>
              <c:numCache>
                <c:formatCode>_("$"* #,##0_);_("$"* \(#,##0\);_("$"* "-"??_);_(@_)</c:formatCode>
                <c:ptCount val="12"/>
                <c:pt idx="0">
                  <c:v>6500</c:v>
                </c:pt>
                <c:pt idx="1">
                  <c:v>6500</c:v>
                </c:pt>
                <c:pt idx="2">
                  <c:v>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  <c:pt idx="7">
                  <c:v>6500</c:v>
                </c:pt>
                <c:pt idx="8">
                  <c:v>6500</c:v>
                </c:pt>
                <c:pt idx="9">
                  <c:v>6500</c:v>
                </c:pt>
                <c:pt idx="10">
                  <c:v>6500</c:v>
                </c:pt>
                <c:pt idx="11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45-4B46-A204-D37037DF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8672"/>
        <c:axId val="715532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'QC Data 2023'!$AE$3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'QC Data 2023'!$AA$4:$AA$15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'QC Data 2023'!$AE$4:$AE$15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12"/>
                      <c:pt idx="0">
                        <c:v>7554.4</c:v>
                      </c:pt>
                      <c:pt idx="1">
                        <c:v>15260</c:v>
                      </c:pt>
                      <c:pt idx="2">
                        <c:v>11235</c:v>
                      </c:pt>
                      <c:pt idx="3">
                        <c:v>4795</c:v>
                      </c:pt>
                      <c:pt idx="4">
                        <c:v>2275</c:v>
                      </c:pt>
                      <c:pt idx="5">
                        <c:v>8095</c:v>
                      </c:pt>
                      <c:pt idx="6">
                        <c:v>3220</c:v>
                      </c:pt>
                      <c:pt idx="7">
                        <c:v>17955</c:v>
                      </c:pt>
                      <c:pt idx="8">
                        <c:v>14927.5</c:v>
                      </c:pt>
                      <c:pt idx="9">
                        <c:v>4025</c:v>
                      </c:pt>
                      <c:pt idx="10">
                        <c:v>3745</c:v>
                      </c:pt>
                      <c:pt idx="11">
                        <c:v>4305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945-4B46-A204-D37037DF15D1}"/>
                  </c:ext>
                </c:extLst>
              </c15:ser>
            </c15:filteredLineSeries>
          </c:ext>
        </c:extLst>
      </c:lineChart>
      <c:catAx>
        <c:axId val="7153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53232"/>
        <c:crosses val="autoZero"/>
        <c:auto val="1"/>
        <c:lblAlgn val="ctr"/>
        <c:lblOffset val="100"/>
        <c:noMultiLvlLbl val="0"/>
      </c:catAx>
      <c:valAx>
        <c:axId val="715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35-4BD6-97BB-B0E19CD037E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5-4BD6-97BB-B0E19CD037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5-4BD6-97BB-B0E19CD037E9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35-4BD6-97BB-B0E19CD037E9}"/>
              </c:ext>
            </c:extLst>
          </c:dPt>
          <c:val>
            <c:numRef>
              <c:f>Overhead!$V$52:$V$55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20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35-4BD6-97BB-B0E19CD0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E35-4BD6-97BB-B0E19CD037E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E35-4BD6-97BB-B0E19CD037E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E35-4BD6-97BB-B0E19CD037E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35-4BD6-97BB-B0E19CD037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481E1A-64F0-4926-A313-60E69BC13E70}" type="CELLREF">
                      <a:rPr lang="en-US" sz="1400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{34481E1A-64F0-4926-A313-60E69BC13E70}</c15:txfldGUID>
                      <c15:f>Overhead!$Y$52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E35-4BD6-97BB-B0E19CD037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35-4BD6-97BB-B0E19CD037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Overhead!$Y$52:$Y$54</c:f>
              <c:numCache>
                <c:formatCode>0%</c:formatCode>
                <c:ptCount val="3"/>
                <c:pt idx="0">
                  <c:v>0.28000000000000003</c:v>
                </c:pt>
                <c:pt idx="1">
                  <c:v>5.0000000000000001E-3</c:v>
                </c:pt>
                <c:pt idx="2">
                  <c:v>0.61499999999999999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E35-4BD6-97BB-B0E19CD0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YTD 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'2020 Data'!$AQ$4:$AQ$15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'2023 Data'!$AU$4:$AU$15</c:f>
              <c:numCache>
                <c:formatCode>0.0</c:formatCode>
                <c:ptCount val="12"/>
                <c:pt idx="0" formatCode="General">
                  <c:v>107.92</c:v>
                </c:pt>
                <c:pt idx="1">
                  <c:v>155.17000000000002</c:v>
                </c:pt>
                <c:pt idx="2">
                  <c:v>273.17</c:v>
                </c:pt>
                <c:pt idx="3">
                  <c:v>341.67</c:v>
                </c:pt>
                <c:pt idx="4">
                  <c:v>356.17</c:v>
                </c:pt>
                <c:pt idx="5">
                  <c:v>458.17</c:v>
                </c:pt>
                <c:pt idx="6">
                  <c:v>490.67</c:v>
                </c:pt>
                <c:pt idx="7">
                  <c:v>614.67000000000007</c:v>
                </c:pt>
                <c:pt idx="8">
                  <c:v>945.42000000000007</c:v>
                </c:pt>
                <c:pt idx="9">
                  <c:v>999.92000000000007</c:v>
                </c:pt>
                <c:pt idx="10">
                  <c:v>1044.42</c:v>
                </c:pt>
                <c:pt idx="11">
                  <c:v>1114.92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B-40B9-B80C-92113815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axId val="407735416"/>
        <c:axId val="407735808"/>
      </c:barChart>
      <c:lineChart>
        <c:grouping val="standard"/>
        <c:varyColors val="0"/>
        <c:ser>
          <c:idx val="1"/>
          <c:order val="1"/>
          <c:tx>
            <c:v>Max 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'2022 Data'!$AV$4:$AV$15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B-40B9-B80C-92113815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35416"/>
        <c:axId val="407735808"/>
      </c:lineChart>
      <c:catAx>
        <c:axId val="407735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808"/>
        <c:crosses val="autoZero"/>
        <c:auto val="1"/>
        <c:lblAlgn val="ctr"/>
        <c:lblOffset val="100"/>
        <c:noMultiLvlLbl val="0"/>
      </c:catAx>
      <c:valAx>
        <c:axId val="4077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'2023 Data'!$J$4:$J$55</c:f>
              <c:numCache>
                <c:formatCode>0%</c:formatCode>
                <c:ptCount val="52"/>
                <c:pt idx="0">
                  <c:v>0.87</c:v>
                </c:pt>
                <c:pt idx="1">
                  <c:v>0.84</c:v>
                </c:pt>
                <c:pt idx="2">
                  <c:v>0.86</c:v>
                </c:pt>
                <c:pt idx="3">
                  <c:v>0.86</c:v>
                </c:pt>
                <c:pt idx="4">
                  <c:v>0.93</c:v>
                </c:pt>
                <c:pt idx="5">
                  <c:v>0.99</c:v>
                </c:pt>
                <c:pt idx="6">
                  <c:v>0.81</c:v>
                </c:pt>
                <c:pt idx="7">
                  <c:v>0.91</c:v>
                </c:pt>
                <c:pt idx="8">
                  <c:v>0.87</c:v>
                </c:pt>
                <c:pt idx="9">
                  <c:v>0.87</c:v>
                </c:pt>
                <c:pt idx="10">
                  <c:v>0.85</c:v>
                </c:pt>
                <c:pt idx="11">
                  <c:v>0.84</c:v>
                </c:pt>
                <c:pt idx="12">
                  <c:v>0.9</c:v>
                </c:pt>
                <c:pt idx="13">
                  <c:v>0.76</c:v>
                </c:pt>
                <c:pt idx="14">
                  <c:v>0.79</c:v>
                </c:pt>
                <c:pt idx="15">
                  <c:v>0.84</c:v>
                </c:pt>
                <c:pt idx="16">
                  <c:v>0.85</c:v>
                </c:pt>
                <c:pt idx="17">
                  <c:v>0.84</c:v>
                </c:pt>
                <c:pt idx="18">
                  <c:v>0.82</c:v>
                </c:pt>
                <c:pt idx="19">
                  <c:v>0.82</c:v>
                </c:pt>
                <c:pt idx="20">
                  <c:v>0.8</c:v>
                </c:pt>
                <c:pt idx="21">
                  <c:v>0.77</c:v>
                </c:pt>
                <c:pt idx="22">
                  <c:v>0.76</c:v>
                </c:pt>
                <c:pt idx="23">
                  <c:v>0.77</c:v>
                </c:pt>
                <c:pt idx="24">
                  <c:v>0.78</c:v>
                </c:pt>
                <c:pt idx="25">
                  <c:v>0.75</c:v>
                </c:pt>
                <c:pt idx="26">
                  <c:v>0.7</c:v>
                </c:pt>
                <c:pt idx="27">
                  <c:v>0.98</c:v>
                </c:pt>
                <c:pt idx="28">
                  <c:v>0.77</c:v>
                </c:pt>
                <c:pt idx="29">
                  <c:v>0.67</c:v>
                </c:pt>
                <c:pt idx="30">
                  <c:v>0.67</c:v>
                </c:pt>
                <c:pt idx="31">
                  <c:v>0.65</c:v>
                </c:pt>
                <c:pt idx="32">
                  <c:v>0.61</c:v>
                </c:pt>
                <c:pt idx="33">
                  <c:v>0.69</c:v>
                </c:pt>
                <c:pt idx="34">
                  <c:v>0.76</c:v>
                </c:pt>
                <c:pt idx="35">
                  <c:v>0.83</c:v>
                </c:pt>
                <c:pt idx="36">
                  <c:v>0.77</c:v>
                </c:pt>
                <c:pt idx="37">
                  <c:v>0.8</c:v>
                </c:pt>
                <c:pt idx="38">
                  <c:v>0.63</c:v>
                </c:pt>
                <c:pt idx="39">
                  <c:v>0.63</c:v>
                </c:pt>
                <c:pt idx="40">
                  <c:v>0.84</c:v>
                </c:pt>
                <c:pt idx="41">
                  <c:v>0.62</c:v>
                </c:pt>
                <c:pt idx="42">
                  <c:v>0.8</c:v>
                </c:pt>
                <c:pt idx="43">
                  <c:v>0.76</c:v>
                </c:pt>
                <c:pt idx="44">
                  <c:v>0.82</c:v>
                </c:pt>
                <c:pt idx="45">
                  <c:v>0.78</c:v>
                </c:pt>
                <c:pt idx="46">
                  <c:v>0.78</c:v>
                </c:pt>
                <c:pt idx="47">
                  <c:v>0.74</c:v>
                </c:pt>
                <c:pt idx="48">
                  <c:v>0.7</c:v>
                </c:pt>
                <c:pt idx="49">
                  <c:v>0.85</c:v>
                </c:pt>
                <c:pt idx="50">
                  <c:v>0.7</c:v>
                </c:pt>
                <c:pt idx="5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4-453C-A1A9-5C11782B4A9A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74-453C-A1A9-5C11782B4A9A}"/>
            </c:ext>
          </c:extLst>
        </c:ser>
        <c:ser>
          <c:idx val="2"/>
          <c:order val="2"/>
          <c:tx>
            <c:strRef>
              <c:f>'2023 Data'!$N$3</c:f>
              <c:strCache>
                <c:ptCount val="1"/>
                <c:pt idx="0">
                  <c:v>2022 Avg.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'2023 Data'!$N$4:$N$55</c:f>
              <c:numCache>
                <c:formatCode>0%</c:formatCode>
                <c:ptCount val="52"/>
                <c:pt idx="0">
                  <c:v>0.88</c:v>
                </c:pt>
                <c:pt idx="1">
                  <c:v>0.88</c:v>
                </c:pt>
                <c:pt idx="2">
                  <c:v>0.88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0.88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  <c:pt idx="12">
                  <c:v>0.88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0.88</c:v>
                </c:pt>
                <c:pt idx="17">
                  <c:v>0.88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0.88</c:v>
                </c:pt>
                <c:pt idx="22">
                  <c:v>0.88</c:v>
                </c:pt>
                <c:pt idx="23">
                  <c:v>0.88</c:v>
                </c:pt>
                <c:pt idx="24">
                  <c:v>0.88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</c:v>
                </c:pt>
                <c:pt idx="40">
                  <c:v>0.88</c:v>
                </c:pt>
                <c:pt idx="41">
                  <c:v>0.88</c:v>
                </c:pt>
                <c:pt idx="42">
                  <c:v>0.88</c:v>
                </c:pt>
                <c:pt idx="43">
                  <c:v>0.88</c:v>
                </c:pt>
                <c:pt idx="44">
                  <c:v>0.88</c:v>
                </c:pt>
                <c:pt idx="45">
                  <c:v>0.88</c:v>
                </c:pt>
                <c:pt idx="46">
                  <c:v>0.88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E-4F59-A983-C751A57A1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864952"/>
        <c:axId val="407865344"/>
      </c:lineChart>
      <c:catAx>
        <c:axId val="4078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5344"/>
        <c:crosses val="autoZero"/>
        <c:auto val="1"/>
        <c:lblAlgn val="ctr"/>
        <c:lblOffset val="100"/>
        <c:noMultiLvlLbl val="0"/>
      </c:catAx>
      <c:valAx>
        <c:axId val="40786534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4-464B-8944-36E496B9AFF2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4-464B-8944-36E496B9A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9-4F72-8E14-E67582A54396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9-4F72-8E14-E67582A54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D-41F9-8AD9-12B25F0551DD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D-41F9-8AD9-12B25F055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AD-4F76-A9E2-E9859FC78F6E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AD-4F76-A9E2-E9859FC78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071200"/>
        <c:axId val="407071592"/>
      </c:lineChart>
      <c:catAx>
        <c:axId val="4070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592"/>
        <c:crosses val="autoZero"/>
        <c:auto val="1"/>
        <c:lblAlgn val="ctr"/>
        <c:lblOffset val="100"/>
        <c:noMultiLvlLbl val="0"/>
      </c:catAx>
      <c:valAx>
        <c:axId val="40707159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96339734820567"/>
          <c:y val="6.1150246492429859E-2"/>
          <c:w val="0.80351417177117224"/>
          <c:h val="0.938849753507570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6B-4CB8-97A0-470CBA7F0BD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6B-4CB8-97A0-470CBA7F0BD1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6B-4CB8-97A0-470CBA7F0BD1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6B-4CB8-97A0-470CBA7F0BD1}"/>
              </c:ext>
            </c:extLst>
          </c:dPt>
          <c:val>
            <c:numRef>
              <c:f>'2020 Data'!$BM$19:$BM$22</c:f>
              <c:numCache>
                <c:formatCode>General</c:formatCode>
                <c:ptCount val="4"/>
                <c:pt idx="0">
                  <c:v>80</c:v>
                </c:pt>
                <c:pt idx="1">
                  <c:v>15</c:v>
                </c:pt>
                <c:pt idx="2">
                  <c:v>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6B-4CB8-97A0-470CBA7F0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26B-4CB8-97A0-470CBA7F0BD1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26B-4CB8-97A0-470CBA7F0BD1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26B-4CB8-97A0-470CBA7F0BD1}"/>
              </c:ext>
            </c:extLst>
          </c:dPt>
          <c:dLbls>
            <c:dLbl>
              <c:idx val="1"/>
              <c:layout>
                <c:manualLayout>
                  <c:x val="5.5060363276718807E-3"/>
                  <c:y val="-5.1511322771892309E-3"/>
                </c:manualLayout>
              </c:layout>
              <c:tx>
                <c:strRef>
                  <c:f>'2020 Data'!$BM$24</c:f>
                  <c:strCache>
                    <c:ptCount val="1"/>
                    <c:pt idx="0">
                      <c:v>84%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{5992B69F-F753-4BE6-8945-B5E55A68F27D}</c15:txfldGUID>
                      <c15:f>'2020 Data'!$BM$24</c15:f>
                      <c15:dlblFieldTableCache>
                        <c:ptCount val="1"/>
                        <c:pt idx="0">
                          <c:v>84%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26B-4CB8-97A0-470CBA7F0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'2020 Data'!$BM$24:$BM$26</c:f>
              <c:numCache>
                <c:formatCode>0%</c:formatCode>
                <c:ptCount val="3"/>
                <c:pt idx="0">
                  <c:v>0.83838383838383834</c:v>
                </c:pt>
                <c:pt idx="1">
                  <c:v>0.02</c:v>
                </c:pt>
                <c:pt idx="2">
                  <c:v>1.1416161616161618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26B-4CB8-97A0-470CBA7F0BD1}"/>
            </c:ext>
          </c:extLst>
        </c:ser>
        <c:ser>
          <c:idx val="2"/>
          <c:order val="2"/>
          <c:tx>
            <c:strRef>
              <c:f>'2020 Data'!$BL$30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56-49AC-9856-5664D7310916}"/>
              </c:ext>
            </c:extLst>
          </c:dPt>
          <c:val>
            <c:numRef>
              <c:f>'2020 Data'!$BL$31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26B-4CB8-97A0-470CBA7F0BD1}"/>
            </c:ext>
          </c:extLst>
        </c:ser>
        <c:ser>
          <c:idx val="3"/>
          <c:order val="3"/>
          <c:tx>
            <c:strRef>
              <c:f>'2020 Data'!$BM$30</c:f>
              <c:strCache>
                <c:ptCount val="1"/>
                <c:pt idx="0">
                  <c:v>On 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56-49AC-9856-5664D7310916}"/>
              </c:ext>
            </c:extLst>
          </c:dPt>
          <c:val>
            <c:numRef>
              <c:f>'2020 Data'!$BM$31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26B-4CB8-97A0-470CBA7F0BD1}"/>
            </c:ext>
          </c:extLst>
        </c:ser>
        <c:ser>
          <c:idx val="4"/>
          <c:order val="4"/>
          <c:tx>
            <c:strRef>
              <c:f>'2020 Data'!$BN$30</c:f>
              <c:strCache>
                <c:ptCount val="1"/>
                <c:pt idx="0">
                  <c:v>Late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56-49AC-9856-5664D7310916}"/>
              </c:ext>
            </c:extLst>
          </c:dPt>
          <c:val>
            <c:numRef>
              <c:f>'2020 Data'!$BN$31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26B-4CB8-97A0-470CBA7F0BD1}"/>
            </c:ext>
          </c:extLst>
        </c:ser>
        <c:ser>
          <c:idx val="5"/>
          <c:order val="5"/>
          <c:tx>
            <c:strRef>
              <c:f>'2020 Data'!$BO$30</c:f>
              <c:strCache>
                <c:ptCount val="1"/>
                <c:pt idx="0">
                  <c:v>OTC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56-49AC-9856-5664D7310916}"/>
              </c:ext>
            </c:extLst>
          </c:dPt>
          <c:val>
            <c:numRef>
              <c:f>'2020 Data'!$BO$31</c:f>
              <c:numCache>
                <c:formatCode>0%</c:formatCode>
                <c:ptCount val="1"/>
                <c:pt idx="0">
                  <c:v>0.83838383838383834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26B-4CB8-97A0-470CBA7F0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8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2020</a:t>
            </a:r>
            <a:r>
              <a:rPr lang="en-US" sz="1800" b="1" baseline="0"/>
              <a:t> </a:t>
            </a:r>
            <a:r>
              <a:rPr lang="en-US" sz="1800" b="1"/>
              <a:t>On Time Completion %</a:t>
            </a:r>
            <a:endParaRPr lang="en-US" sz="1800" b="1" baseline="0"/>
          </a:p>
        </c:rich>
      </c:tx>
      <c:layout>
        <c:manualLayout>
          <c:xMode val="edge"/>
          <c:yMode val="edge"/>
          <c:x val="0.31029618465557052"/>
          <c:y val="3.216080062667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'2020 Data'!$BP$4:$BP$15</c:f>
              <c:numCache>
                <c:formatCode>0%</c:formatCode>
                <c:ptCount val="12"/>
                <c:pt idx="0">
                  <c:v>1</c:v>
                </c:pt>
                <c:pt idx="1">
                  <c:v>0.5</c:v>
                </c:pt>
                <c:pt idx="2">
                  <c:v>0.8571428571428571</c:v>
                </c:pt>
                <c:pt idx="3">
                  <c:v>0.91666666666666663</c:v>
                </c:pt>
                <c:pt idx="4">
                  <c:v>0.76190476190476186</c:v>
                </c:pt>
                <c:pt idx="5">
                  <c:v>1</c:v>
                </c:pt>
                <c:pt idx="6">
                  <c:v>0.81818181818181823</c:v>
                </c:pt>
                <c:pt idx="7">
                  <c:v>0.6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A-4B16-B969-AA4288124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866128"/>
        <c:axId val="407714776"/>
      </c:barChart>
      <c:lineChart>
        <c:grouping val="standard"/>
        <c:varyColors val="0"/>
        <c:ser>
          <c:idx val="2"/>
          <c:order val="1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'2020 Data'!$BL$4:$BL$15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Data'!$BQ$4:$BQ$15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A-4B16-B969-AA4288124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66128"/>
        <c:axId val="407714776"/>
      </c:lineChart>
      <c:catAx>
        <c:axId val="4078661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14776"/>
        <c:crosses val="autoZero"/>
        <c:auto val="1"/>
        <c:lblAlgn val="ctr"/>
        <c:lblOffset val="100"/>
        <c:noMultiLvlLbl val="0"/>
      </c:catAx>
      <c:valAx>
        <c:axId val="407714776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61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'2020 Data'!$J$3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Data'!$C$4:$C$55</c:f>
              <c:strCache>
                <c:ptCount val="51"/>
                <c:pt idx="2">
                  <c:v>Jan</c:v>
                </c:pt>
                <c:pt idx="6">
                  <c:v>Feb</c:v>
                </c:pt>
                <c:pt idx="11">
                  <c:v>Mar</c:v>
                </c:pt>
                <c:pt idx="15">
                  <c:v>Apr</c:v>
                </c:pt>
                <c:pt idx="19">
                  <c:v>May</c:v>
                </c:pt>
                <c:pt idx="24">
                  <c:v>Jun</c:v>
                </c:pt>
                <c:pt idx="28">
                  <c:v>Jul</c:v>
                </c:pt>
                <c:pt idx="32">
                  <c:v>Aug</c:v>
                </c:pt>
                <c:pt idx="37">
                  <c:v>Sep</c:v>
                </c:pt>
                <c:pt idx="41">
                  <c:v>Oct</c:v>
                </c:pt>
                <c:pt idx="46">
                  <c:v>Nov</c:v>
                </c:pt>
                <c:pt idx="50">
                  <c:v>Dec</c:v>
                </c:pt>
              </c:strCache>
            </c:strRef>
          </c:cat>
          <c:val>
            <c:numRef>
              <c:f>'2020 Data'!$J$4:$J$55</c:f>
              <c:numCache>
                <c:formatCode>0%</c:formatCode>
                <c:ptCount val="52"/>
                <c:pt idx="0">
                  <c:v>0.64</c:v>
                </c:pt>
                <c:pt idx="1">
                  <c:v>0.85</c:v>
                </c:pt>
                <c:pt idx="2">
                  <c:v>0.68</c:v>
                </c:pt>
                <c:pt idx="3">
                  <c:v>0.8</c:v>
                </c:pt>
                <c:pt idx="4">
                  <c:v>0.81</c:v>
                </c:pt>
                <c:pt idx="5">
                  <c:v>0.87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0.87</c:v>
                </c:pt>
                <c:pt idx="10">
                  <c:v>0.88</c:v>
                </c:pt>
                <c:pt idx="11">
                  <c:v>0.84</c:v>
                </c:pt>
                <c:pt idx="12">
                  <c:v>0.8</c:v>
                </c:pt>
                <c:pt idx="13">
                  <c:v>0.81</c:v>
                </c:pt>
                <c:pt idx="14">
                  <c:v>0.9</c:v>
                </c:pt>
                <c:pt idx="15">
                  <c:v>0.91</c:v>
                </c:pt>
                <c:pt idx="16">
                  <c:v>1</c:v>
                </c:pt>
                <c:pt idx="17">
                  <c:v>0.98</c:v>
                </c:pt>
                <c:pt idx="18">
                  <c:v>0.91</c:v>
                </c:pt>
                <c:pt idx="19">
                  <c:v>1</c:v>
                </c:pt>
                <c:pt idx="20">
                  <c:v>0.96</c:v>
                </c:pt>
                <c:pt idx="21">
                  <c:v>0.93</c:v>
                </c:pt>
                <c:pt idx="22">
                  <c:v>0.91</c:v>
                </c:pt>
                <c:pt idx="23">
                  <c:v>0.9</c:v>
                </c:pt>
                <c:pt idx="24">
                  <c:v>0.91</c:v>
                </c:pt>
                <c:pt idx="25">
                  <c:v>0.97</c:v>
                </c:pt>
                <c:pt idx="26">
                  <c:v>0.89</c:v>
                </c:pt>
                <c:pt idx="27">
                  <c:v>0.97</c:v>
                </c:pt>
                <c:pt idx="28">
                  <c:v>1.04</c:v>
                </c:pt>
                <c:pt idx="29">
                  <c:v>0.99</c:v>
                </c:pt>
                <c:pt idx="30">
                  <c:v>0.9</c:v>
                </c:pt>
                <c:pt idx="31">
                  <c:v>0.75</c:v>
                </c:pt>
                <c:pt idx="32">
                  <c:v>0.88</c:v>
                </c:pt>
                <c:pt idx="33">
                  <c:v>0.86</c:v>
                </c:pt>
                <c:pt idx="34">
                  <c:v>0.94</c:v>
                </c:pt>
                <c:pt idx="35">
                  <c:v>0.83</c:v>
                </c:pt>
                <c:pt idx="36">
                  <c:v>0.75</c:v>
                </c:pt>
                <c:pt idx="37">
                  <c:v>0.8</c:v>
                </c:pt>
                <c:pt idx="38">
                  <c:v>0.9</c:v>
                </c:pt>
                <c:pt idx="39">
                  <c:v>0.8</c:v>
                </c:pt>
                <c:pt idx="40">
                  <c:v>0.73</c:v>
                </c:pt>
                <c:pt idx="41">
                  <c:v>0.81</c:v>
                </c:pt>
                <c:pt idx="42">
                  <c:v>0.82</c:v>
                </c:pt>
                <c:pt idx="43">
                  <c:v>0.83</c:v>
                </c:pt>
                <c:pt idx="44">
                  <c:v>0.7</c:v>
                </c:pt>
                <c:pt idx="45">
                  <c:v>0.94</c:v>
                </c:pt>
                <c:pt idx="46">
                  <c:v>0.89</c:v>
                </c:pt>
                <c:pt idx="47">
                  <c:v>0.96</c:v>
                </c:pt>
                <c:pt idx="48">
                  <c:v>0.92</c:v>
                </c:pt>
                <c:pt idx="49">
                  <c:v>0.91</c:v>
                </c:pt>
                <c:pt idx="50">
                  <c:v>0.9</c:v>
                </c:pt>
                <c:pt idx="5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D-48AA-9400-25050D51EF23}"/>
            </c:ext>
          </c:extLst>
        </c:ser>
        <c:ser>
          <c:idx val="1"/>
          <c:order val="1"/>
          <c:tx>
            <c:strRef>
              <c:f>'2020 Data'!$N$3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Data'!$N$4:$N$55</c:f>
              <c:numCache>
                <c:formatCode>0%</c:formatCode>
                <c:ptCount val="5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D-48AA-9400-25050D51E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864952"/>
        <c:axId val="407865344"/>
      </c:lineChart>
      <c:catAx>
        <c:axId val="4078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5344"/>
        <c:crosses val="autoZero"/>
        <c:auto val="1"/>
        <c:lblAlgn val="ctr"/>
        <c:lblOffset val="100"/>
        <c:noMultiLvlLbl val="0"/>
      </c:catAx>
      <c:valAx>
        <c:axId val="40786534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'2020 Data'!$BY$3</c:f>
              <c:strCache>
                <c:ptCount val="1"/>
                <c:pt idx="0">
                  <c:v>Hrs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'2020 Data'!$BT$4:$BU$13</c15:sqref>
                  </c15:fullRef>
                </c:ext>
              </c:extLst>
              <c:f>'2020 Data'!$BT$4:$BU$8</c:f>
              <c:multiLvlStrCache>
                <c:ptCount val="5"/>
                <c:lvl>
                  <c:pt idx="0">
                    <c:v>Weld all Outside Seams</c:v>
                  </c:pt>
                  <c:pt idx="1">
                    <c:v>Tack Shell Courses</c:v>
                  </c:pt>
                  <c:pt idx="2">
                    <c:v>Install Internal Parts</c:v>
                  </c:pt>
                  <c:pt idx="3">
                    <c:v>BI, SQ, T&amp;C Shells</c:v>
                  </c:pt>
                  <c:pt idx="4">
                    <c:v>Move Tank to Detail Rolls</c:v>
                  </c:pt>
                </c:lvl>
                <c:lvl>
                  <c:pt idx="0">
                    <c:v>645</c:v>
                  </c:pt>
                  <c:pt idx="1">
                    <c:v>605</c:v>
                  </c:pt>
                  <c:pt idx="2">
                    <c:v>630</c:v>
                  </c:pt>
                  <c:pt idx="3">
                    <c:v>305</c:v>
                  </c:pt>
                  <c:pt idx="4">
                    <c:v>800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'2020 Data'!$BY$4:$BY$13</c15:sqref>
                  </c15:fullRef>
                </c:ext>
              </c:extLst>
              <c:f>'2020 Data'!$BY$4:$BY$8</c:f>
              <c:numCache>
                <c:formatCode>#,##0.00</c:formatCode>
                <c:ptCount val="5"/>
                <c:pt idx="0">
                  <c:v>447.01708000273277</c:v>
                </c:pt>
                <c:pt idx="1">
                  <c:v>436.5</c:v>
                </c:pt>
                <c:pt idx="2">
                  <c:v>328.66181957577305</c:v>
                </c:pt>
                <c:pt idx="3">
                  <c:v>299.83307533539755</c:v>
                </c:pt>
                <c:pt idx="4">
                  <c:v>297.35454545454547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1-44DC-8E40-0F125F37F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461293071"/>
        <c:axId val="18653828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'2020 Data'!$BV$3</c15:sqref>
                        </c15:formulaRef>
                      </c:ext>
                    </c:extLst>
                    <c:strCache>
                      <c:ptCount val="1"/>
                      <c:pt idx="0">
                        <c:v>Adj Est Hrs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'2020 Data'!$BT$4:$BU$13</c15:sqref>
                        </c15:fullRef>
                        <c15:formulaRef>
                          <c15:sqref>'2020 Data'!$BT$4:$BU$8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Weld all Outside Seams</c:v>
                        </c:pt>
                        <c:pt idx="1">
                          <c:v>Tack Shell Courses</c:v>
                        </c:pt>
                        <c:pt idx="2">
                          <c:v>Install Internal Parts</c:v>
                        </c:pt>
                        <c:pt idx="3">
                          <c:v>BI, SQ, T&amp;C Shells</c:v>
                        </c:pt>
                        <c:pt idx="4">
                          <c:v>Move Tank to Detail Rolls</c:v>
                        </c:pt>
                      </c:lvl>
                      <c:lvl>
                        <c:pt idx="0">
                          <c:v>645</c:v>
                        </c:pt>
                        <c:pt idx="1">
                          <c:v>605</c:v>
                        </c:pt>
                        <c:pt idx="2">
                          <c:v>630</c:v>
                        </c:pt>
                        <c:pt idx="3">
                          <c:v>305</c:v>
                        </c:pt>
                        <c:pt idx="4">
                          <c:v>800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'2020 Data'!$BV$4:$BV$13</c15:sqref>
                        </c15:fullRef>
                        <c15:formulaRef>
                          <c15:sqref>'2020 Data'!$BV$4:$BV$8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942.98291999726723</c:v>
                      </c:pt>
                      <c:pt idx="1">
                        <c:v>558</c:v>
                      </c:pt>
                      <c:pt idx="2">
                        <c:v>479.33818042422695</c:v>
                      </c:pt>
                      <c:pt idx="3">
                        <c:v>971.16692466460245</c:v>
                      </c:pt>
                      <c:pt idx="4">
                        <c:v>164.14545454545456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A81-44DC-8E40-0F125F37F3C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'2020 Data'!$BW$3</c15:sqref>
                        </c15:formulaRef>
                      </c:ext>
                    </c:extLst>
                    <c:strCache>
                      <c:ptCount val="1"/>
                      <c:pt idx="0">
                        <c:v>Act Hrs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'2020 Data'!$BT$4:$BU$13</c15:sqref>
                        </c15:fullRef>
                        <c15:formulaRef>
                          <c15:sqref>'2020 Data'!$BT$4:$BU$8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Weld all Outside Seams</c:v>
                        </c:pt>
                        <c:pt idx="1">
                          <c:v>Tack Shell Courses</c:v>
                        </c:pt>
                        <c:pt idx="2">
                          <c:v>Install Internal Parts</c:v>
                        </c:pt>
                        <c:pt idx="3">
                          <c:v>BI, SQ, T&amp;C Shells</c:v>
                        </c:pt>
                        <c:pt idx="4">
                          <c:v>Move Tank to Detail Rolls</c:v>
                        </c:pt>
                      </c:lvl>
                      <c:lvl>
                        <c:pt idx="0">
                          <c:v>645</c:v>
                        </c:pt>
                        <c:pt idx="1">
                          <c:v>605</c:v>
                        </c:pt>
                        <c:pt idx="2">
                          <c:v>630</c:v>
                        </c:pt>
                        <c:pt idx="3">
                          <c:v>305</c:v>
                        </c:pt>
                        <c:pt idx="4">
                          <c:v>800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'2020 Data'!$BW$4:$BW$13</c15:sqref>
                        </c15:fullRef>
                        <c15:formulaRef>
                          <c15:sqref>'2020 Data'!$BW$4:$BW$8</c15:sqref>
                        </c15:formulaRef>
                      </c:ext>
                    </c:extLst>
                    <c:numCache>
                      <c:formatCode>#,##0.00</c:formatCode>
                      <c:ptCount val="5"/>
                      <c:pt idx="0">
                        <c:v>1390</c:v>
                      </c:pt>
                      <c:pt idx="1">
                        <c:v>994.5</c:v>
                      </c:pt>
                      <c:pt idx="2">
                        <c:v>808</c:v>
                      </c:pt>
                      <c:pt idx="3">
                        <c:v>1271</c:v>
                      </c:pt>
                      <c:pt idx="4">
                        <c:v>461.5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A81-44DC-8E40-0F125F37F3C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'2020 Data'!$BX$3</c15:sqref>
                        </c15:formulaRef>
                      </c:ext>
                    </c:extLst>
                    <c:strCache>
                      <c:ptCount val="1"/>
                      <c:pt idx="0">
                        <c:v>Eff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'2020 Data'!$BT$4:$BU$13</c15:sqref>
                        </c15:fullRef>
                        <c15:formulaRef>
                          <c15:sqref>'2020 Data'!$BT$4:$BU$8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Weld all Outside Seams</c:v>
                        </c:pt>
                        <c:pt idx="1">
                          <c:v>Tack Shell Courses</c:v>
                        </c:pt>
                        <c:pt idx="2">
                          <c:v>Install Internal Parts</c:v>
                        </c:pt>
                        <c:pt idx="3">
                          <c:v>BI, SQ, T&amp;C Shells</c:v>
                        </c:pt>
                        <c:pt idx="4">
                          <c:v>Move Tank to Detail Rolls</c:v>
                        </c:pt>
                      </c:lvl>
                      <c:lvl>
                        <c:pt idx="0">
                          <c:v>645</c:v>
                        </c:pt>
                        <c:pt idx="1">
                          <c:v>605</c:v>
                        </c:pt>
                        <c:pt idx="2">
                          <c:v>630</c:v>
                        </c:pt>
                        <c:pt idx="3">
                          <c:v>305</c:v>
                        </c:pt>
                        <c:pt idx="4">
                          <c:v>800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'2020 Data'!$BX$4:$BX$13</c15:sqref>
                        </c15:fullRef>
                        <c15:formulaRef>
                          <c15:sqref>'2020 Data'!$BX$4:$BX$8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0.67840497841530012</c:v>
                      </c:pt>
                      <c:pt idx="1">
                        <c:v>0.56108597285067874</c:v>
                      </c:pt>
                      <c:pt idx="2">
                        <c:v>0.59324032230721158</c:v>
                      </c:pt>
                      <c:pt idx="3">
                        <c:v>0.76409671492100906</c:v>
                      </c:pt>
                      <c:pt idx="4">
                        <c:v>0.35567812469220922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81-44DC-8E40-0F125F37F3CB}"/>
                  </c:ext>
                </c:extLst>
              </c15:ser>
            </c15:filteredBarSeries>
          </c:ext>
        </c:extLst>
      </c:barChart>
      <c:catAx>
        <c:axId val="14612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82895"/>
        <c:crosses val="autoZero"/>
        <c:auto val="1"/>
        <c:lblAlgn val="ctr"/>
        <c:lblOffset val="100"/>
        <c:noMultiLvlLbl val="0"/>
      </c:catAx>
      <c:valAx>
        <c:axId val="18653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29307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/>
              <a:t>Weekly Overhead Hours</a:t>
            </a:r>
          </a:p>
          <a:p>
            <a:pPr>
              <a:defRPr/>
            </a:pPr>
            <a:r>
              <a:rPr lang="en-US" sz="1400"/>
              <a:t>Week of 5/11/2020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24959446382201"/>
          <c:y val="0.22458157501080769"/>
          <c:w val="0.47785963711057855"/>
          <c:h val="0.77541840415544594"/>
        </c:manualLayout>
      </c:layout>
      <c:doughnutChart>
        <c:varyColors val="1"/>
        <c:ser>
          <c:idx val="0"/>
          <c:order val="0"/>
          <c:spPr>
            <a:ln w="0"/>
          </c:spPr>
          <c:dPt>
            <c:idx val="0"/>
            <c:bubble3D val="0"/>
            <c:spPr>
              <a:solidFill>
                <a:srgbClr val="00B050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3-4F79-A4F9-510A4970B65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3-4F79-A4F9-510A4970B6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23-4F79-A4F9-510A4970B653}"/>
              </c:ext>
            </c:extLst>
          </c:dPt>
          <c:dPt>
            <c:idx val="3"/>
            <c:bubble3D val="0"/>
            <c:spPr>
              <a:noFill/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23-4F79-A4F9-510A4970B653}"/>
              </c:ext>
            </c:extLst>
          </c:dPt>
          <c:val>
            <c:numRef>
              <c:f>Overhead!$V$5:$V$8</c:f>
              <c:numCache>
                <c:formatCode>General</c:formatCode>
                <c:ptCount val="4"/>
                <c:pt idx="0">
                  <c:v>120</c:v>
                </c:pt>
                <c:pt idx="1">
                  <c:v>60</c:v>
                </c:pt>
                <c:pt idx="2">
                  <c:v>120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23-4F79-A4F9-510A4970B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37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D23-4F79-A4F9-510A4970B65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D23-4F79-A4F9-510A4970B653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D23-4F79-A4F9-510A4970B653}"/>
              </c:ext>
            </c:extLst>
          </c:dPt>
          <c:dLbls>
            <c:dLbl>
              <c:idx val="1"/>
              <c:tx>
                <c:strRef>
                  <c:f>Overhead!$Y$5</c:f>
                  <c:strCache>
                    <c:ptCount val="1"/>
                    <c:pt idx="0">
                      <c:v>134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{6557970B-BA85-4C8A-93D5-49465A5B0CAD}</c15:txfldGUID>
                      <c15:f>Overhead!$Y$5</c15:f>
                      <c15:dlblFieldTableCache>
                        <c:ptCount val="1"/>
                        <c:pt idx="0">
                          <c:v>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9D23-4F79-A4F9-510A4970B6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Overhead!$Y$5:$Y$7</c:f>
              <c:numCache>
                <c:formatCode>General</c:formatCode>
                <c:ptCount val="3"/>
                <c:pt idx="0">
                  <c:v>134</c:v>
                </c:pt>
                <c:pt idx="1">
                  <c:v>3</c:v>
                </c:pt>
                <c:pt idx="2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D23-4F79-A4F9-510A4970B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Overhead % of Total</a:t>
            </a:r>
            <a:r>
              <a:rPr lang="en-US" sz="1800" baseline="0"/>
              <a:t> Labor Hours</a:t>
            </a:r>
          </a:p>
          <a:p>
            <a:pPr>
              <a:defRPr/>
            </a:pPr>
            <a:r>
              <a:rPr lang="en-US" sz="1400" baseline="0"/>
              <a:t>Cumulative Total through 9/4/2022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35665686196281"/>
          <c:y val="0.17635029761635357"/>
          <c:w val="0.57429816772694919"/>
          <c:h val="0.782972988875109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35-4BD6-97BB-B0E19CD037E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5-4BD6-97BB-B0E19CD037E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5-4BD6-97BB-B0E19CD037E9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35-4BD6-97BB-B0E19CD037E9}"/>
              </c:ext>
            </c:extLst>
          </c:dPt>
          <c:val>
            <c:numRef>
              <c:f>Overhead!$V$52:$V$55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20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35-4BD6-97BB-B0E19CD0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tx>
            <c:v>Pointer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E35-4BD6-97BB-B0E19CD037E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E35-4BD6-97BB-B0E19CD037E9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E35-4BD6-97BB-B0E19CD037E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35-4BD6-97BB-B0E19CD037E9}"/>
                </c:ext>
              </c:extLst>
            </c:dLbl>
            <c:dLbl>
              <c:idx val="1"/>
              <c:tx>
                <c:strRef>
                  <c:f>Overhead!$Y$52</c:f>
                  <c:strCache>
                    <c:ptCount val="1"/>
                    <c:pt idx="0">
                      <c:v>28%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{D23AFA6E-C51E-4585-92F0-4CBEE71F4BF7}</c15:txfldGUID>
                      <c15:f>Overhead!$Y$52</c15:f>
                      <c15:dlblFieldTableCache>
                        <c:ptCount val="1"/>
                        <c:pt idx="0">
                          <c:v>28%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E35-4BD6-97BB-B0E19CD037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35-4BD6-97BB-B0E19CD037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Overhead!$Y$52:$Y$54</c:f>
              <c:numCache>
                <c:formatCode>0%</c:formatCode>
                <c:ptCount val="3"/>
                <c:pt idx="0">
                  <c:v>0.28000000000000003</c:v>
                </c:pt>
                <c:pt idx="1">
                  <c:v>5.0000000000000001E-3</c:v>
                </c:pt>
                <c:pt idx="2">
                  <c:v>0.61499999999999999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E35-4BD6-97BB-B0E19CD0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Labor Efficiency - Total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'2020 Data'!$J$42:$J$53</c:f>
              <c:numCache>
                <c:formatCode>0%</c:formatCode>
                <c:ptCount val="12"/>
                <c:pt idx="0">
                  <c:v>0.9</c:v>
                </c:pt>
                <c:pt idx="1">
                  <c:v>0.8</c:v>
                </c:pt>
                <c:pt idx="2">
                  <c:v>0.73</c:v>
                </c:pt>
                <c:pt idx="3">
                  <c:v>0.81</c:v>
                </c:pt>
                <c:pt idx="4">
                  <c:v>0.82</c:v>
                </c:pt>
                <c:pt idx="5">
                  <c:v>0.83</c:v>
                </c:pt>
                <c:pt idx="6">
                  <c:v>0.7</c:v>
                </c:pt>
                <c:pt idx="7">
                  <c:v>0.94</c:v>
                </c:pt>
                <c:pt idx="8">
                  <c:v>0.89</c:v>
                </c:pt>
                <c:pt idx="9">
                  <c:v>0.96</c:v>
                </c:pt>
                <c:pt idx="10">
                  <c:v>0.92</c:v>
                </c:pt>
                <c:pt idx="11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3-492F-8143-1A69EB0D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866128"/>
        <c:axId val="407714776"/>
      </c:barChart>
      <c:lineChart>
        <c:grouping val="standard"/>
        <c:varyColors val="0"/>
        <c:ser>
          <c:idx val="2"/>
          <c:order val="1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'2020 Data'!$B$42:$B$53</c:f>
              <c:numCache>
                <c:formatCode>m/d/yyyy</c:formatCode>
                <c:ptCount val="12"/>
                <c:pt idx="0">
                  <c:v>44095</c:v>
                </c:pt>
                <c:pt idx="1">
                  <c:v>44102</c:v>
                </c:pt>
                <c:pt idx="2">
                  <c:v>44109</c:v>
                </c:pt>
                <c:pt idx="3">
                  <c:v>44116</c:v>
                </c:pt>
                <c:pt idx="4">
                  <c:v>44123</c:v>
                </c:pt>
                <c:pt idx="5">
                  <c:v>44130</c:v>
                </c:pt>
                <c:pt idx="6">
                  <c:v>44137</c:v>
                </c:pt>
                <c:pt idx="7">
                  <c:v>44144</c:v>
                </c:pt>
                <c:pt idx="8">
                  <c:v>44151</c:v>
                </c:pt>
                <c:pt idx="9">
                  <c:v>44158</c:v>
                </c:pt>
                <c:pt idx="10">
                  <c:v>44165</c:v>
                </c:pt>
                <c:pt idx="11">
                  <c:v>44172</c:v>
                </c:pt>
              </c:numCache>
            </c:numRef>
          </c:cat>
          <c:val>
            <c:numRef>
              <c:f>'2020 Data'!$N$23:$N$34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3-492F-8143-1A69EB0D0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66128"/>
        <c:axId val="407714776"/>
      </c:lineChart>
      <c:catAx>
        <c:axId val="4078661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14776"/>
        <c:crosses val="autoZero"/>
        <c:auto val="1"/>
        <c:lblAlgn val="ctr"/>
        <c:lblOffset val="100"/>
        <c:noMultiLvlLbl val="0"/>
      </c:catAx>
      <c:valAx>
        <c:axId val="407714776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Labor Efficiency - Pre-Fab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'2020 Data'!$B$42:$B$53</c:f>
              <c:numCache>
                <c:formatCode>m/d/yyyy</c:formatCode>
                <c:ptCount val="12"/>
                <c:pt idx="0">
                  <c:v>44095</c:v>
                </c:pt>
                <c:pt idx="1">
                  <c:v>44102</c:v>
                </c:pt>
                <c:pt idx="2">
                  <c:v>44109</c:v>
                </c:pt>
                <c:pt idx="3">
                  <c:v>44116</c:v>
                </c:pt>
                <c:pt idx="4">
                  <c:v>44123</c:v>
                </c:pt>
                <c:pt idx="5">
                  <c:v>44130</c:v>
                </c:pt>
                <c:pt idx="6">
                  <c:v>44137</c:v>
                </c:pt>
                <c:pt idx="7">
                  <c:v>44144</c:v>
                </c:pt>
                <c:pt idx="8">
                  <c:v>44151</c:v>
                </c:pt>
                <c:pt idx="9">
                  <c:v>44158</c:v>
                </c:pt>
                <c:pt idx="10">
                  <c:v>44165</c:v>
                </c:pt>
                <c:pt idx="11">
                  <c:v>44172</c:v>
                </c:pt>
              </c:numCache>
            </c:numRef>
          </c:cat>
          <c:val>
            <c:numRef>
              <c:f>'2020 Data'!$H$42:$H$53</c:f>
              <c:numCache>
                <c:formatCode>0%</c:formatCode>
                <c:ptCount val="12"/>
                <c:pt idx="0">
                  <c:v>0.94</c:v>
                </c:pt>
                <c:pt idx="1">
                  <c:v>0.9</c:v>
                </c:pt>
                <c:pt idx="2">
                  <c:v>0.91</c:v>
                </c:pt>
                <c:pt idx="3">
                  <c:v>1.2</c:v>
                </c:pt>
                <c:pt idx="4">
                  <c:v>0.98</c:v>
                </c:pt>
                <c:pt idx="5">
                  <c:v>0.9</c:v>
                </c:pt>
                <c:pt idx="6">
                  <c:v>0.86</c:v>
                </c:pt>
                <c:pt idx="7">
                  <c:v>0.92</c:v>
                </c:pt>
                <c:pt idx="8">
                  <c:v>0.95</c:v>
                </c:pt>
                <c:pt idx="9">
                  <c:v>0.98</c:v>
                </c:pt>
                <c:pt idx="10">
                  <c:v>1.1000000000000001</c:v>
                </c:pt>
                <c:pt idx="11">
                  <c:v>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8-40DE-AE9A-C1E309D6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735024"/>
        <c:axId val="407734240"/>
      </c:barChart>
      <c:lineChart>
        <c:grouping val="standard"/>
        <c:varyColors val="0"/>
        <c:ser>
          <c:idx val="2"/>
          <c:order val="1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'2020 Data'!$B$19:$B$30</c:f>
              <c:numCache>
                <c:formatCode>m/d/yyyy</c:formatCode>
                <c:ptCount val="12"/>
                <c:pt idx="0">
                  <c:v>43934</c:v>
                </c:pt>
                <c:pt idx="1">
                  <c:v>43941</c:v>
                </c:pt>
                <c:pt idx="2">
                  <c:v>43948</c:v>
                </c:pt>
                <c:pt idx="3">
                  <c:v>43955</c:v>
                </c:pt>
                <c:pt idx="4">
                  <c:v>43962</c:v>
                </c:pt>
                <c:pt idx="5">
                  <c:v>43969</c:v>
                </c:pt>
                <c:pt idx="6">
                  <c:v>43976</c:v>
                </c:pt>
                <c:pt idx="7">
                  <c:v>43983</c:v>
                </c:pt>
                <c:pt idx="8">
                  <c:v>43990</c:v>
                </c:pt>
                <c:pt idx="9">
                  <c:v>43997</c:v>
                </c:pt>
                <c:pt idx="10">
                  <c:v>44004</c:v>
                </c:pt>
                <c:pt idx="11">
                  <c:v>44011</c:v>
                </c:pt>
              </c:numCache>
            </c:numRef>
          </c:cat>
          <c:val>
            <c:numRef>
              <c:f>'2020 Data'!$N$23:$N$34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8-40DE-AE9A-C1E309D6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35024"/>
        <c:axId val="407734240"/>
      </c:lineChart>
      <c:catAx>
        <c:axId val="40773502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4240"/>
        <c:crosses val="autoZero"/>
        <c:auto val="0"/>
        <c:lblAlgn val="ctr"/>
        <c:lblOffset val="100"/>
        <c:noMultiLvlLbl val="0"/>
      </c:catAx>
      <c:valAx>
        <c:axId val="407734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3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Labor Efficiency - Fabrication Teams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'2020 Data'!$B$42:$B$53</c:f>
              <c:numCache>
                <c:formatCode>m/d/yyyy</c:formatCode>
                <c:ptCount val="12"/>
                <c:pt idx="0">
                  <c:v>44095</c:v>
                </c:pt>
                <c:pt idx="1">
                  <c:v>44102</c:v>
                </c:pt>
                <c:pt idx="2">
                  <c:v>44109</c:v>
                </c:pt>
                <c:pt idx="3">
                  <c:v>44116</c:v>
                </c:pt>
                <c:pt idx="4">
                  <c:v>44123</c:v>
                </c:pt>
                <c:pt idx="5">
                  <c:v>44130</c:v>
                </c:pt>
                <c:pt idx="6">
                  <c:v>44137</c:v>
                </c:pt>
                <c:pt idx="7">
                  <c:v>44144</c:v>
                </c:pt>
                <c:pt idx="8">
                  <c:v>44151</c:v>
                </c:pt>
                <c:pt idx="9">
                  <c:v>44158</c:v>
                </c:pt>
                <c:pt idx="10">
                  <c:v>44165</c:v>
                </c:pt>
                <c:pt idx="11">
                  <c:v>44172</c:v>
                </c:pt>
              </c:numCache>
            </c:numRef>
          </c:cat>
          <c:val>
            <c:numRef>
              <c:f>'2020 Data'!$G$42:$G$53</c:f>
              <c:numCache>
                <c:formatCode>0%</c:formatCode>
                <c:ptCount val="12"/>
                <c:pt idx="0">
                  <c:v>0.86</c:v>
                </c:pt>
                <c:pt idx="1">
                  <c:v>0.74</c:v>
                </c:pt>
                <c:pt idx="2">
                  <c:v>0.63</c:v>
                </c:pt>
                <c:pt idx="3">
                  <c:v>0.62</c:v>
                </c:pt>
                <c:pt idx="4">
                  <c:v>0.73</c:v>
                </c:pt>
                <c:pt idx="5">
                  <c:v>0.77</c:v>
                </c:pt>
                <c:pt idx="6">
                  <c:v>0.56000000000000005</c:v>
                </c:pt>
                <c:pt idx="7">
                  <c:v>0.95</c:v>
                </c:pt>
                <c:pt idx="8">
                  <c:v>0.89</c:v>
                </c:pt>
                <c:pt idx="9">
                  <c:v>1</c:v>
                </c:pt>
                <c:pt idx="10">
                  <c:v>0.89</c:v>
                </c:pt>
                <c:pt idx="11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7-443B-8634-0AC86FEA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715952"/>
        <c:axId val="407716344"/>
      </c:barChart>
      <c:lineChart>
        <c:grouping val="standard"/>
        <c:varyColors val="0"/>
        <c:ser>
          <c:idx val="2"/>
          <c:order val="1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'2020 Data'!$B$19:$B$30</c:f>
              <c:numCache>
                <c:formatCode>m/d/yyyy</c:formatCode>
                <c:ptCount val="12"/>
                <c:pt idx="0">
                  <c:v>43934</c:v>
                </c:pt>
                <c:pt idx="1">
                  <c:v>43941</c:v>
                </c:pt>
                <c:pt idx="2">
                  <c:v>43948</c:v>
                </c:pt>
                <c:pt idx="3">
                  <c:v>43955</c:v>
                </c:pt>
                <c:pt idx="4">
                  <c:v>43962</c:v>
                </c:pt>
                <c:pt idx="5">
                  <c:v>43969</c:v>
                </c:pt>
                <c:pt idx="6">
                  <c:v>43976</c:v>
                </c:pt>
                <c:pt idx="7">
                  <c:v>43983</c:v>
                </c:pt>
                <c:pt idx="8">
                  <c:v>43990</c:v>
                </c:pt>
                <c:pt idx="9">
                  <c:v>43997</c:v>
                </c:pt>
                <c:pt idx="10">
                  <c:v>44004</c:v>
                </c:pt>
                <c:pt idx="11">
                  <c:v>44011</c:v>
                </c:pt>
              </c:numCache>
            </c:numRef>
          </c:cat>
          <c:val>
            <c:numRef>
              <c:f>'2020 Data'!$N$23:$N$34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7-443B-8634-0AC86FEA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15952"/>
        <c:axId val="407716344"/>
      </c:lineChart>
      <c:catAx>
        <c:axId val="4077159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16344"/>
        <c:crosses val="autoZero"/>
        <c:auto val="0"/>
        <c:lblAlgn val="ctr"/>
        <c:lblOffset val="100"/>
        <c:noMultiLvlLbl val="0"/>
      </c:catAx>
      <c:valAx>
        <c:axId val="40771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7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Labor Efficiency - Total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'2020 Data'!$V$4:$V$15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Data'!$W$4:$W$15</c:f>
              <c:numCache>
                <c:formatCode>0%</c:formatCode>
                <c:ptCount val="12"/>
                <c:pt idx="0">
                  <c:v>0.73</c:v>
                </c:pt>
                <c:pt idx="1">
                  <c:v>0.83</c:v>
                </c:pt>
                <c:pt idx="2">
                  <c:v>0.8</c:v>
                </c:pt>
                <c:pt idx="3">
                  <c:v>0.9</c:v>
                </c:pt>
                <c:pt idx="4">
                  <c:v>0.92</c:v>
                </c:pt>
                <c:pt idx="5">
                  <c:v>0.89</c:v>
                </c:pt>
                <c:pt idx="6">
                  <c:v>0.87</c:v>
                </c:pt>
                <c:pt idx="7">
                  <c:v>0.81</c:v>
                </c:pt>
                <c:pt idx="8">
                  <c:v>0.72</c:v>
                </c:pt>
                <c:pt idx="9">
                  <c:v>0.73</c:v>
                </c:pt>
                <c:pt idx="10">
                  <c:v>0.87</c:v>
                </c:pt>
                <c:pt idx="11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6-4F04-9CE8-B0FAEA36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91376"/>
        <c:axId val="407690984"/>
      </c:barChart>
      <c:lineChart>
        <c:grouping val="standard"/>
        <c:varyColors val="0"/>
        <c:ser>
          <c:idx val="2"/>
          <c:order val="1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'2020 Data'!$V$4:$V$15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'2020 Data'!$X$4:$X$15</c:f>
              <c:numCache>
                <c:formatCode>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6-4F04-9CE8-B0FAEA36D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691376"/>
        <c:axId val="407690984"/>
      </c:lineChart>
      <c:catAx>
        <c:axId val="40769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90984"/>
        <c:crosses val="autoZero"/>
        <c:auto val="1"/>
        <c:lblAlgn val="ctr"/>
        <c:lblOffset val="100"/>
        <c:noMultiLvlLbl val="0"/>
      </c:catAx>
      <c:valAx>
        <c:axId val="40769098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69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/>
              <a:t>YTD</a:t>
            </a:r>
            <a:r>
              <a:rPr lang="en-US" sz="1800" b="0" baseline="0"/>
              <a:t> </a:t>
            </a:r>
            <a:r>
              <a:rPr lang="en-US" sz="1800" b="0"/>
              <a:t>Rework Hours</a:t>
            </a:r>
          </a:p>
          <a:p>
            <a:pPr>
              <a:defRPr/>
            </a:pPr>
            <a:r>
              <a:rPr lang="en-US" sz="1400"/>
              <a:t>Through 5/16/2020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24959446382201"/>
          <c:y val="0.22458157501080769"/>
          <c:w val="0.47785963711057855"/>
          <c:h val="0.77541840415544594"/>
        </c:manualLayout>
      </c:layout>
      <c:doughnutChart>
        <c:varyColors val="1"/>
        <c:ser>
          <c:idx val="0"/>
          <c:order val="0"/>
          <c:spPr>
            <a:ln w="0">
              <a:noFill/>
            </a:ln>
          </c:spPr>
          <c:dPt>
            <c:idx val="0"/>
            <c:bubble3D val="0"/>
            <c:spPr>
              <a:solidFill>
                <a:srgbClr val="00B050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7-47A7-88F6-3BD8364BFDD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7-47A7-88F6-3BD8364BFDD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7-47A7-88F6-3BD8364BFDD6}"/>
              </c:ext>
            </c:extLst>
          </c:dPt>
          <c:dPt>
            <c:idx val="3"/>
            <c:bubble3D val="0"/>
            <c:spPr>
              <a:noFill/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07-47A7-88F6-3BD8364BFDD6}"/>
              </c:ext>
            </c:extLst>
          </c:dPt>
          <c:val>
            <c:numRef>
              <c:f>Rework!$B$43:$B$46</c:f>
              <c:numCache>
                <c:formatCode>General</c:formatCode>
                <c:ptCount val="4"/>
                <c:pt idx="0">
                  <c:v>600</c:v>
                </c:pt>
                <c:pt idx="1">
                  <c:v>200</c:v>
                </c:pt>
                <c:pt idx="2">
                  <c:v>400</c:v>
                </c:pt>
                <c:pt idx="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07-47A7-88F6-3BD8364BF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1"/>
      </c:doughnutChart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F07-47A7-88F6-3BD8364BFDD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F07-47A7-88F6-3BD8364BFDD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F07-47A7-88F6-3BD8364BFDD6}"/>
              </c:ext>
            </c:extLst>
          </c:dPt>
          <c:dLbls>
            <c:dLbl>
              <c:idx val="1"/>
              <c:layout>
                <c:manualLayout>
                  <c:x val="3.9402060036613073E-3"/>
                  <c:y val="4.4882539020993668E-3"/>
                </c:manualLayout>
              </c:layout>
              <c:tx>
                <c:rich>
                  <a:bodyPr/>
                  <a:lstStyle/>
                  <a:p>
                    <a:fld id="{D3C40912-7773-4F51-847E-99C1938BBD0D}" type="CELLREF">
                      <a:rPr lang="en-US" sz="1200" b="1"/>
                      <a:pPr/>
                      <a:t>[CELLREF]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{D3C40912-7773-4F51-847E-99C1938BBD0D}</c15:txfldGUID>
                      <c15:f>Rework!$E$43</c15:f>
                      <c15:dlblFieldTableCache>
                        <c:ptCount val="1"/>
                        <c:pt idx="0">
                          <c:v>645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F07-47A7-88F6-3BD8364BF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Rework!$E$43:$E$45</c:f>
              <c:numCache>
                <c:formatCode>General</c:formatCode>
                <c:ptCount val="3"/>
                <c:pt idx="0">
                  <c:v>645</c:v>
                </c:pt>
                <c:pt idx="1">
                  <c:v>10</c:v>
                </c:pt>
                <c:pt idx="2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F07-47A7-88F6-3BD8364BF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225071</xdr:colOff>
      <xdr:row>30</xdr:row>
      <xdr:rowOff>171981</xdr:rowOff>
    </xdr:from>
    <xdr:to>
      <xdr:col>29</xdr:col>
      <xdr:colOff>162137</xdr:colOff>
      <xdr:row>59</xdr:row>
      <xdr:rowOff>27407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F3756-86F2-45B6-943C-A55021DA0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22225</xdr:colOff>
      <xdr:row>3</xdr:row>
      <xdr:rowOff>74613</xdr:rowOff>
    </xdr:from>
    <xdr:to>
      <xdr:col>30</xdr:col>
      <xdr:colOff>12700</xdr:colOff>
      <xdr:row>28</xdr:row>
      <xdr:rowOff>88901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8CFC1-1562-43B3-998B-90FD99A94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20</xdr:col>
      <xdr:colOff>238084</xdr:colOff>
      <xdr:row>39</xdr:row>
      <xdr:rowOff>94691</xdr:rowOff>
    </xdr:from>
    <xdr:ext cx="1284711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473B4D-CA59-4750-B503-F268D7753700}"/>
            </a:ext>
          </a:extLst>
        </xdr:cNvPr>
        <xdr:cNvSpPr txBox="1"/>
      </xdr:nvSpPr>
      <xdr:spPr>
        <a:xfrm>
          <a:off x="11734759" y="7724216"/>
          <a:ext cx="1284711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Target</a:t>
          </a:r>
          <a:r>
            <a:rPr lang="en-US" sz="1600" b="1" baseline="0">
              <a:solidFill>
                <a:schemeClr val="bg1"/>
              </a:solidFill>
            </a:rPr>
            <a:t> &lt;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85029A-E5F1-4A06-A7D2-4093EFE6C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24320</xdr:colOff>
      <xdr:row>7</xdr:row>
      <xdr:rowOff>180020</xdr:rowOff>
    </xdr:from>
    <xdr:to>
      <xdr:col>19</xdr:col>
      <xdr:colOff>397535</xdr:colOff>
      <xdr:row>11</xdr:row>
      <xdr:rowOff>68607</xdr:rowOff>
    </xdr:to>
    <xdr:sp macro="" textlink="">
      <xdr:nvSpPr>
        <xdr:cNvPr id="6" name="Down Arrow 9">
          <a:extLst>
            <a:ext uri="{FF2B5EF4-FFF2-40B4-BE49-F238E27FC236}">
              <a16:creationId xmlns:a16="http://schemas.microsoft.com/office/drawing/2014/main" id="{AD961A21-31D6-4C28-9CC1-5FE3601F1549}"/>
            </a:ext>
          </a:extLst>
        </xdr:cNvPr>
        <xdr:cNvSpPr/>
      </xdr:nvSpPr>
      <xdr:spPr>
        <a:xfrm>
          <a:off x="10911395" y="1865945"/>
          <a:ext cx="373215" cy="650587"/>
        </a:xfrm>
        <a:prstGeom prst="down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295935</xdr:colOff>
      <xdr:row>8</xdr:row>
      <xdr:rowOff>94007</xdr:rowOff>
    </xdr:from>
    <xdr:ext cx="721480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92FB69-FFA5-48B9-97C0-0562775E67AB}"/>
            </a:ext>
          </a:extLst>
        </xdr:cNvPr>
        <xdr:cNvSpPr txBox="1"/>
      </xdr:nvSpPr>
      <xdr:spPr>
        <a:xfrm>
          <a:off x="11183010" y="1970432"/>
          <a:ext cx="7214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Better</a:t>
          </a:r>
        </a:p>
      </xdr:txBody>
    </xdr:sp>
    <xdr:clientData/>
  </xdr:oneCellAnchor>
  <xdr:oneCellAnchor>
    <xdr:from>
      <xdr:col>25</xdr:col>
      <xdr:colOff>538728</xdr:colOff>
      <xdr:row>21</xdr:row>
      <xdr:rowOff>54896</xdr:rowOff>
    </xdr:from>
    <xdr:ext cx="1996152" cy="5932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E16715-F266-4DC9-BF83-61C1F5FAFE1E}"/>
            </a:ext>
          </a:extLst>
        </xdr:cNvPr>
        <xdr:cNvSpPr txBox="1"/>
      </xdr:nvSpPr>
      <xdr:spPr>
        <a:xfrm>
          <a:off x="15194938" y="4295057"/>
          <a:ext cx="1996152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/>
            <a:t>Goal &lt; 1.25%</a:t>
          </a:r>
          <a:r>
            <a:rPr lang="en-US" sz="1600" b="1" baseline="0"/>
            <a:t> of Direct Labor Hours</a:t>
          </a:r>
          <a:endParaRPr lang="en-US" sz="1600" b="1"/>
        </a:p>
      </xdr:txBody>
    </xdr:sp>
    <xdr:clientData/>
  </xdr:oneCellAnchor>
  <xdr:oneCellAnchor>
    <xdr:from>
      <xdr:col>11</xdr:col>
      <xdr:colOff>497758</xdr:colOff>
      <xdr:row>8</xdr:row>
      <xdr:rowOff>104264</xdr:rowOff>
    </xdr:from>
    <xdr:ext cx="11299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4D63A0-2364-45BC-A14D-337C0FB4AF28}"/>
            </a:ext>
          </a:extLst>
        </xdr:cNvPr>
        <xdr:cNvSpPr txBox="1"/>
      </xdr:nvSpPr>
      <xdr:spPr>
        <a:xfrm>
          <a:off x="6811911" y="1947812"/>
          <a:ext cx="11299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&gt; 95%</a:t>
          </a:r>
        </a:p>
      </xdr:txBody>
    </xdr:sp>
    <xdr:clientData/>
  </xdr:oneCellAnchor>
  <xdr:oneCellAnchor>
    <xdr:from>
      <xdr:col>24</xdr:col>
      <xdr:colOff>450329</xdr:colOff>
      <xdr:row>43</xdr:row>
      <xdr:rowOff>64872</xdr:rowOff>
    </xdr:from>
    <xdr:ext cx="1534267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602722-139E-40FE-8DBD-073CB37EC2A3}"/>
            </a:ext>
          </a:extLst>
        </xdr:cNvPr>
        <xdr:cNvSpPr txBox="1"/>
      </xdr:nvSpPr>
      <xdr:spPr>
        <a:xfrm>
          <a:off x="14385404" y="8456397"/>
          <a:ext cx="1534267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Red Zone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>
              <a:solidFill>
                <a:schemeClr val="bg1"/>
              </a:solidFill>
            </a:rPr>
            <a:t>&gt;</a:t>
          </a:r>
          <a:r>
            <a:rPr lang="en-US" sz="1600" b="1" baseline="0">
              <a:solidFill>
                <a:schemeClr val="bg1"/>
              </a:solidFill>
            </a:rPr>
            <a:t>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400002</xdr:colOff>
      <xdr:row>22</xdr:row>
      <xdr:rowOff>183116</xdr:rowOff>
    </xdr:from>
    <xdr:to>
      <xdr:col>14</xdr:col>
      <xdr:colOff>161921</xdr:colOff>
      <xdr:row>24</xdr:row>
      <xdr:rowOff>150267</xdr:rowOff>
    </xdr:to>
    <xdr:sp macro="" textlink="">
      <xdr:nvSpPr>
        <xdr:cNvPr id="11" name="TextBox 12">
          <a:extLst>
            <a:ext uri="{FF2B5EF4-FFF2-40B4-BE49-F238E27FC236}">
              <a16:creationId xmlns:a16="http://schemas.microsoft.com/office/drawing/2014/main" id="{D8C98894-F877-45C5-9CF9-60EEC123FACA}"/>
            </a:ext>
          </a:extLst>
        </xdr:cNvPr>
        <xdr:cNvSpPr txBox="1"/>
      </xdr:nvSpPr>
      <xdr:spPr>
        <a:xfrm>
          <a:off x="6667452" y="4726541"/>
          <a:ext cx="1714544" cy="348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2020</a:t>
          </a:r>
          <a:r>
            <a:rPr lang="en-US" sz="1600" b="1" baseline="0"/>
            <a:t> Avg.</a:t>
          </a:r>
          <a:r>
            <a:rPr lang="en-US" sz="1600" b="1"/>
            <a:t> = 82%</a:t>
          </a:r>
        </a:p>
      </xdr:txBody>
    </xdr:sp>
    <xdr:clientData/>
  </xdr:twoCellAnchor>
  <xdr:twoCellAnchor>
    <xdr:from>
      <xdr:col>11</xdr:col>
      <xdr:colOff>412750</xdr:colOff>
      <xdr:row>17</xdr:row>
      <xdr:rowOff>111125</xdr:rowOff>
    </xdr:from>
    <xdr:to>
      <xdr:col>14</xdr:col>
      <xdr:colOff>49057</xdr:colOff>
      <xdr:row>19</xdr:row>
      <xdr:rowOff>72913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251E1E76-7459-4640-8FED-9849E6F6E77B}"/>
            </a:ext>
          </a:extLst>
        </xdr:cNvPr>
        <xdr:cNvSpPr txBox="1"/>
      </xdr:nvSpPr>
      <xdr:spPr>
        <a:xfrm>
          <a:off x="6680200" y="3702050"/>
          <a:ext cx="1588932" cy="342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2023</a:t>
          </a:r>
          <a:r>
            <a:rPr lang="en-US" sz="1600" b="1" baseline="0"/>
            <a:t> Avg.</a:t>
          </a:r>
          <a:r>
            <a:rPr lang="en-US" sz="1600" b="1"/>
            <a:t> = 73%</a:t>
          </a:r>
        </a:p>
      </xdr:txBody>
    </xdr:sp>
    <xdr:clientData/>
  </xdr:twoCellAnchor>
  <xdr:oneCellAnchor>
    <xdr:from>
      <xdr:col>26</xdr:col>
      <xdr:colOff>583790</xdr:colOff>
      <xdr:row>38</xdr:row>
      <xdr:rowOff>122904</xdr:rowOff>
    </xdr:from>
    <xdr:ext cx="542264" cy="3120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927181E-F4DD-4D9E-94B8-36BCE6404DA0}"/>
            </a:ext>
          </a:extLst>
        </xdr:cNvPr>
        <xdr:cNvSpPr txBox="1"/>
      </xdr:nvSpPr>
      <xdr:spPr>
        <a:xfrm>
          <a:off x="15738065" y="7561929"/>
          <a:ext cx="542264" cy="312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41%</a:t>
          </a:r>
        </a:p>
      </xdr:txBody>
    </xdr:sp>
    <xdr:clientData/>
  </xdr:oneCellAnchor>
  <xdr:oneCellAnchor>
    <xdr:from>
      <xdr:col>26</xdr:col>
      <xdr:colOff>61451</xdr:colOff>
      <xdr:row>14</xdr:row>
      <xdr:rowOff>76812</xdr:rowOff>
    </xdr:from>
    <xdr:ext cx="1996152" cy="59323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4A42201-591C-40FB-8AB0-30569E026FF2}"/>
            </a:ext>
          </a:extLst>
        </xdr:cNvPr>
        <xdr:cNvSpPr txBox="1"/>
      </xdr:nvSpPr>
      <xdr:spPr>
        <a:xfrm>
          <a:off x="15332177" y="3026489"/>
          <a:ext cx="1996152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/>
            <a:t>2025 Actual = 1.87%</a:t>
          </a:r>
          <a:r>
            <a:rPr lang="en-US" sz="1600" b="1" baseline="0"/>
            <a:t> of Direct Labor Hours</a:t>
          </a:r>
          <a:endParaRPr lang="en-US" sz="1600" b="1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0.02327</cdr:x>
      <cdr:y>0.60733</cdr:y>
    </cdr:from>
    <cdr:to>
      <cdr:x>0.97081</cdr:x>
      <cdr:y>0.76093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383" y="3615531"/>
          <a:ext cx="6694576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Overhead % of</a:t>
          </a:r>
          <a:r>
            <a:rPr lang="en-US" sz="1800" b="1" baseline="0"/>
            <a:t> Total Labor Hours</a:t>
          </a:r>
        </a:p>
        <a:p xmlns:a="http://schemas.openxmlformats.org/drawingml/2006/main">
          <a:pPr algn="ctr"/>
          <a:r>
            <a:rPr lang="en-US" sz="1600" b="1" baseline="0"/>
            <a:t>Cumulative Total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0.75693</cdr:x>
      <cdr:y>0.70526</cdr:y>
    </cdr:from>
    <cdr:to>
      <cdr:x>0.94605</cdr:x>
      <cdr:y>0.77764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6387836" y="3387333"/>
          <a:ext cx="1596012" cy="3476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2021</a:t>
          </a:r>
          <a:r>
            <a:rPr lang="en-US" sz="1600" b="1" baseline="0"/>
            <a:t> Avg.</a:t>
          </a:r>
          <a:r>
            <a:rPr lang="en-US" sz="1600" b="1"/>
            <a:t> = 84%</a:t>
          </a:r>
        </a:p>
      </cdr:txBody>
    </cdr:sp>
  </cdr:relSizeAnchor>
  <cdr:relSizeAnchor xmlns:cdr="http://schemas.openxmlformats.org/drawingml/2006/chartDrawing">
    <cdr:from>
      <cdr:x>0.75471</cdr:x>
      <cdr:y>0.63526</cdr:y>
    </cdr:from>
    <cdr:to>
      <cdr:x>0.94111</cdr:x>
      <cdr:y>0.70663</cdr:y>
    </cdr:to>
    <cdr:sp macro="" textlink="">
      <cdr:nvSpPr>
        <cdr:cNvPr id="3" name="TextBox 12">
          <a:extLst xmlns:a="http://schemas.openxmlformats.org/drawingml/2006/main">
            <a:ext uri="{FF2B5EF4-FFF2-40B4-BE49-F238E27FC236}">
              <a16:creationId xmlns:a16="http://schemas.microsoft.com/office/drawing/2014/main" id="{6B961B5F-1B3C-8BBB-826C-D66B54251340}"/>
            </a:ext>
          </a:extLst>
        </cdr:cNvPr>
        <cdr:cNvSpPr txBox="1"/>
      </cdr:nvSpPr>
      <cdr:spPr>
        <a:xfrm xmlns:a="http://schemas.openxmlformats.org/drawingml/2006/main">
          <a:off x="6369083" y="3051152"/>
          <a:ext cx="1573057" cy="3427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2022</a:t>
          </a:r>
          <a:r>
            <a:rPr lang="en-US" sz="1600" b="1" baseline="0"/>
            <a:t> Avg.</a:t>
          </a:r>
          <a:r>
            <a:rPr lang="en-US" sz="1600" b="1"/>
            <a:t> = 88%</a:t>
          </a:r>
        </a:p>
      </cdr:txBody>
    </cdr:sp>
  </cdr:relSizeAnchor>
  <cdr:relSizeAnchor xmlns:cdr="http://schemas.openxmlformats.org/drawingml/2006/chartDrawing">
    <cdr:from>
      <cdr:x>0.08387</cdr:x>
      <cdr:y>0.40387</cdr:y>
    </cdr:from>
    <cdr:to>
      <cdr:x>0.35589</cdr:x>
      <cdr:y>0.4776</cdr:y>
    </cdr:to>
    <cdr:sp macro="" textlink="">
      <cdr:nvSpPr>
        <cdr:cNvPr id="4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719747" y="1877748"/>
          <a:ext cx="233435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2025</a:t>
          </a:r>
          <a:r>
            <a:rPr lang="en-US" sz="1600" b="1" baseline="0"/>
            <a:t> Full Year Avg. (96%)</a:t>
          </a:r>
          <a:endParaRPr lang="en-US" sz="1600" b="1"/>
        </a:p>
      </cdr:txBody>
    </cdr:sp>
  </cdr:relSizeAnchor>
  <cdr:relSizeAnchor xmlns:cdr="http://schemas.openxmlformats.org/drawingml/2006/chartDrawing">
    <cdr:from>
      <cdr:x>0.75782</cdr:x>
      <cdr:y>0.50327</cdr:y>
    </cdr:from>
    <cdr:to>
      <cdr:x>0.94459</cdr:x>
      <cdr:y>0.577</cdr:y>
    </cdr:to>
    <cdr:sp macro="" textlink="">
      <cdr:nvSpPr>
        <cdr:cNvPr id="5" name="TextBox 12">
          <a:extLst xmlns:a="http://schemas.openxmlformats.org/drawingml/2006/main">
            <a:ext uri="{FF2B5EF4-FFF2-40B4-BE49-F238E27FC236}">
              <a16:creationId xmlns:a16="http://schemas.microsoft.com/office/drawing/2014/main" id="{251E1E76-7459-4640-8FED-9849E6F6E77B}"/>
            </a:ext>
          </a:extLst>
        </cdr:cNvPr>
        <cdr:cNvSpPr txBox="1"/>
      </cdr:nvSpPr>
      <cdr:spPr>
        <a:xfrm xmlns:a="http://schemas.openxmlformats.org/drawingml/2006/main">
          <a:off x="6503220" y="2339873"/>
          <a:ext cx="1602759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2024</a:t>
          </a:r>
          <a:r>
            <a:rPr lang="en-US" sz="1600" b="1" baseline="0"/>
            <a:t> Avg.</a:t>
          </a:r>
          <a:r>
            <a:rPr lang="en-US" sz="1600" b="1"/>
            <a:t> = 83%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E428A-DE2D-4430-A528-B7D7DB5BA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447674</xdr:colOff>
      <xdr:row>113</xdr:row>
      <xdr:rowOff>142875</xdr:rowOff>
    </xdr:from>
    <xdr:to>
      <xdr:col>60</xdr:col>
      <xdr:colOff>471235</xdr:colOff>
      <xdr:row>119</xdr:row>
      <xdr:rowOff>63530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410CB1-0AAC-400C-A0EE-2EADFA33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22674" y="21707475"/>
          <a:ext cx="6443411" cy="10636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225071</xdr:colOff>
      <xdr:row>30</xdr:row>
      <xdr:rowOff>171981</xdr:rowOff>
    </xdr:from>
    <xdr:to>
      <xdr:col>29</xdr:col>
      <xdr:colOff>162137</xdr:colOff>
      <xdr:row>59</xdr:row>
      <xdr:rowOff>27407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909E0-D702-4C1F-BD99-AD15427C8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22225</xdr:colOff>
      <xdr:row>3</xdr:row>
      <xdr:rowOff>74613</xdr:rowOff>
    </xdr:from>
    <xdr:to>
      <xdr:col>30</xdr:col>
      <xdr:colOff>12700</xdr:colOff>
      <xdr:row>28</xdr:row>
      <xdr:rowOff>88901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56C5F-5457-48F3-BE15-1C2A8991F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20</xdr:col>
      <xdr:colOff>238084</xdr:colOff>
      <xdr:row>39</xdr:row>
      <xdr:rowOff>94691</xdr:rowOff>
    </xdr:from>
    <xdr:ext cx="1284711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C6175B-4813-4F44-8CF8-E1CCE456E81E}"/>
            </a:ext>
          </a:extLst>
        </xdr:cNvPr>
        <xdr:cNvSpPr txBox="1"/>
      </xdr:nvSpPr>
      <xdr:spPr>
        <a:xfrm>
          <a:off x="11821713" y="7514973"/>
          <a:ext cx="1284711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Target</a:t>
          </a:r>
          <a:r>
            <a:rPr lang="en-US" sz="1600" b="1" baseline="0">
              <a:solidFill>
                <a:schemeClr val="bg1"/>
              </a:solidFill>
            </a:rPr>
            <a:t> &lt;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F6CC5E-95F7-4B3E-B94A-5DDB80ECE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24320</xdr:colOff>
      <xdr:row>7</xdr:row>
      <xdr:rowOff>180020</xdr:rowOff>
    </xdr:from>
    <xdr:to>
      <xdr:col>19</xdr:col>
      <xdr:colOff>397535</xdr:colOff>
      <xdr:row>11</xdr:row>
      <xdr:rowOff>68607</xdr:rowOff>
    </xdr:to>
    <xdr:sp macro="" textlink="">
      <xdr:nvSpPr>
        <xdr:cNvPr id="6" name="Down Arrow 9">
          <a:extLst>
            <a:ext uri="{FF2B5EF4-FFF2-40B4-BE49-F238E27FC236}">
              <a16:creationId xmlns:a16="http://schemas.microsoft.com/office/drawing/2014/main" id="{573ECBD7-FB8C-4EB4-9C35-49A7ECBEF889}"/>
            </a:ext>
          </a:extLst>
        </xdr:cNvPr>
        <xdr:cNvSpPr/>
      </xdr:nvSpPr>
      <xdr:spPr>
        <a:xfrm>
          <a:off x="10993433" y="1839214"/>
          <a:ext cx="373215" cy="626006"/>
        </a:xfrm>
        <a:prstGeom prst="down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19</xdr:col>
      <xdr:colOff>295935</xdr:colOff>
      <xdr:row>8</xdr:row>
      <xdr:rowOff>94007</xdr:rowOff>
    </xdr:from>
    <xdr:ext cx="721480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9BACD5-9C36-47FD-917B-21C9C81DB37F}"/>
            </a:ext>
          </a:extLst>
        </xdr:cNvPr>
        <xdr:cNvSpPr txBox="1"/>
      </xdr:nvSpPr>
      <xdr:spPr>
        <a:xfrm>
          <a:off x="11265048" y="1937555"/>
          <a:ext cx="7214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Better</a:t>
          </a:r>
        </a:p>
      </xdr:txBody>
    </xdr:sp>
    <xdr:clientData/>
  </xdr:oneCellAnchor>
  <xdr:oneCellAnchor>
    <xdr:from>
      <xdr:col>24</xdr:col>
      <xdr:colOff>415824</xdr:colOff>
      <xdr:row>17</xdr:row>
      <xdr:rowOff>177799</xdr:rowOff>
    </xdr:from>
    <xdr:ext cx="1996152" cy="5932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830B5F-257E-431A-B84D-BD99C3F7583C}"/>
            </a:ext>
          </a:extLst>
        </xdr:cNvPr>
        <xdr:cNvSpPr txBox="1"/>
      </xdr:nvSpPr>
      <xdr:spPr>
        <a:xfrm>
          <a:off x="14457518" y="3680541"/>
          <a:ext cx="1996152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/>
            <a:t>Goal &lt; 1.25%</a:t>
          </a:r>
          <a:r>
            <a:rPr lang="en-US" sz="1600" b="1" baseline="0"/>
            <a:t> of Direct Labor Hours</a:t>
          </a:r>
          <a:endParaRPr lang="en-US" sz="1600" b="1"/>
        </a:p>
      </xdr:txBody>
    </xdr:sp>
    <xdr:clientData/>
  </xdr:oneCellAnchor>
  <xdr:oneCellAnchor>
    <xdr:from>
      <xdr:col>11</xdr:col>
      <xdr:colOff>497758</xdr:colOff>
      <xdr:row>8</xdr:row>
      <xdr:rowOff>104264</xdr:rowOff>
    </xdr:from>
    <xdr:ext cx="11299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01E293-06F0-419C-A7AF-F0D4C4BFCC2C}"/>
            </a:ext>
          </a:extLst>
        </xdr:cNvPr>
        <xdr:cNvSpPr txBox="1"/>
      </xdr:nvSpPr>
      <xdr:spPr>
        <a:xfrm>
          <a:off x="6811911" y="1947812"/>
          <a:ext cx="11299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&gt; 88%</a:t>
          </a:r>
        </a:p>
      </xdr:txBody>
    </xdr:sp>
    <xdr:clientData/>
  </xdr:oneCellAnchor>
  <xdr:oneCellAnchor>
    <xdr:from>
      <xdr:col>24</xdr:col>
      <xdr:colOff>450329</xdr:colOff>
      <xdr:row>43</xdr:row>
      <xdr:rowOff>64872</xdr:rowOff>
    </xdr:from>
    <xdr:ext cx="1534267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CAD5C1-D818-420A-BF0C-0CC62312A0EF}"/>
            </a:ext>
          </a:extLst>
        </xdr:cNvPr>
        <xdr:cNvSpPr txBox="1"/>
      </xdr:nvSpPr>
      <xdr:spPr>
        <a:xfrm>
          <a:off x="14492023" y="8222574"/>
          <a:ext cx="1534267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Red Zone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>
              <a:solidFill>
                <a:schemeClr val="bg1"/>
              </a:solidFill>
            </a:rPr>
            <a:t>&gt;</a:t>
          </a:r>
          <a:r>
            <a:rPr lang="en-US" sz="1600" b="1" baseline="0">
              <a:solidFill>
                <a:schemeClr val="bg1"/>
              </a:solidFill>
            </a:rPr>
            <a:t>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400002</xdr:colOff>
      <xdr:row>22</xdr:row>
      <xdr:rowOff>183116</xdr:rowOff>
    </xdr:from>
    <xdr:to>
      <xdr:col>14</xdr:col>
      <xdr:colOff>161921</xdr:colOff>
      <xdr:row>24</xdr:row>
      <xdr:rowOff>150267</xdr:rowOff>
    </xdr:to>
    <xdr:sp macro="" textlink="">
      <xdr:nvSpPr>
        <xdr:cNvPr id="11" name="TextBox 12">
          <a:extLst>
            <a:ext uri="{FF2B5EF4-FFF2-40B4-BE49-F238E27FC236}">
              <a16:creationId xmlns:a16="http://schemas.microsoft.com/office/drawing/2014/main" id="{0B74B700-2269-4EA5-A229-AE990654B874}"/>
            </a:ext>
          </a:extLst>
        </xdr:cNvPr>
        <xdr:cNvSpPr txBox="1"/>
      </xdr:nvSpPr>
      <xdr:spPr>
        <a:xfrm>
          <a:off x="6667452" y="4726541"/>
          <a:ext cx="1714544" cy="348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2020</a:t>
          </a:r>
          <a:r>
            <a:rPr lang="en-US" sz="1600" b="1" baseline="0"/>
            <a:t> Avg.</a:t>
          </a:r>
          <a:r>
            <a:rPr lang="en-US" sz="1600" b="1"/>
            <a:t> = 82%</a:t>
          </a:r>
        </a:p>
      </xdr:txBody>
    </xdr:sp>
    <xdr:clientData/>
  </xdr:twoCellAnchor>
  <xdr:twoCellAnchor>
    <xdr:from>
      <xdr:col>11</xdr:col>
      <xdr:colOff>412750</xdr:colOff>
      <xdr:row>17</xdr:row>
      <xdr:rowOff>111125</xdr:rowOff>
    </xdr:from>
    <xdr:to>
      <xdr:col>14</xdr:col>
      <xdr:colOff>49057</xdr:colOff>
      <xdr:row>19</xdr:row>
      <xdr:rowOff>72913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7F82FC63-358C-4831-9D64-2714759BD98D}"/>
            </a:ext>
          </a:extLst>
        </xdr:cNvPr>
        <xdr:cNvSpPr txBox="1"/>
      </xdr:nvSpPr>
      <xdr:spPr>
        <a:xfrm>
          <a:off x="6680200" y="3702050"/>
          <a:ext cx="1588932" cy="342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2023</a:t>
          </a:r>
          <a:r>
            <a:rPr lang="en-US" sz="1600" b="1" baseline="0"/>
            <a:t> Avg.</a:t>
          </a:r>
          <a:r>
            <a:rPr lang="en-US" sz="1600" b="1"/>
            <a:t> = 73%</a:t>
          </a:r>
        </a:p>
      </xdr:txBody>
    </xdr:sp>
    <xdr:clientData/>
  </xdr:twoCellAnchor>
  <xdr:oneCellAnchor>
    <xdr:from>
      <xdr:col>26</xdr:col>
      <xdr:colOff>583790</xdr:colOff>
      <xdr:row>38</xdr:row>
      <xdr:rowOff>122904</xdr:rowOff>
    </xdr:from>
    <xdr:ext cx="542264" cy="3120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F878D3C-1236-4035-8B20-0B2B14043668}"/>
            </a:ext>
          </a:extLst>
        </xdr:cNvPr>
        <xdr:cNvSpPr txBox="1"/>
      </xdr:nvSpPr>
      <xdr:spPr>
        <a:xfrm>
          <a:off x="15854516" y="7358831"/>
          <a:ext cx="542264" cy="312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41%</a:t>
          </a:r>
        </a:p>
      </xdr:txBody>
    </xdr:sp>
    <xdr:clientData/>
  </xdr:oneCellAnchor>
  <xdr:oneCellAnchor>
    <xdr:from>
      <xdr:col>19</xdr:col>
      <xdr:colOff>322620</xdr:colOff>
      <xdr:row>20</xdr:row>
      <xdr:rowOff>107539</xdr:rowOff>
    </xdr:from>
    <xdr:ext cx="1996152" cy="59323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E91C73-71E1-4B06-9E95-057BDFC60E6E}"/>
            </a:ext>
          </a:extLst>
        </xdr:cNvPr>
        <xdr:cNvSpPr txBox="1"/>
      </xdr:nvSpPr>
      <xdr:spPr>
        <a:xfrm>
          <a:off x="11291733" y="4163345"/>
          <a:ext cx="1996152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/>
            <a:t>2024 Actual = 1.96%</a:t>
          </a:r>
          <a:r>
            <a:rPr lang="en-US" sz="1600" b="1" baseline="0"/>
            <a:t> of Direct Labor Hours</a:t>
          </a:r>
          <a:endParaRPr lang="en-US" sz="1600" b="1"/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0.02327</cdr:x>
      <cdr:y>0.60733</cdr:y>
    </cdr:from>
    <cdr:to>
      <cdr:x>0.97081</cdr:x>
      <cdr:y>0.76093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383" y="3615531"/>
          <a:ext cx="6694576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Overhead % of</a:t>
          </a:r>
          <a:r>
            <a:rPr lang="en-US" sz="1800" b="1" baseline="0"/>
            <a:t> Total Labor Hours</a:t>
          </a:r>
        </a:p>
        <a:p xmlns:a="http://schemas.openxmlformats.org/drawingml/2006/main">
          <a:pPr algn="ctr"/>
          <a:r>
            <a:rPr lang="en-US" sz="1600" b="1" baseline="0"/>
            <a:t>Cumulative Total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0.75693</cdr:x>
      <cdr:y>0.70526</cdr:y>
    </cdr:from>
    <cdr:to>
      <cdr:x>0.94605</cdr:x>
      <cdr:y>0.77764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6387836" y="3387333"/>
          <a:ext cx="1596012" cy="3476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2021</a:t>
          </a:r>
          <a:r>
            <a:rPr lang="en-US" sz="1600" b="1" baseline="0"/>
            <a:t> Avg.</a:t>
          </a:r>
          <a:r>
            <a:rPr lang="en-US" sz="1600" b="1"/>
            <a:t> = 84%</a:t>
          </a:r>
        </a:p>
      </cdr:txBody>
    </cdr:sp>
  </cdr:relSizeAnchor>
  <cdr:relSizeAnchor xmlns:cdr="http://schemas.openxmlformats.org/drawingml/2006/chartDrawing">
    <cdr:from>
      <cdr:x>0.75471</cdr:x>
      <cdr:y>0.63526</cdr:y>
    </cdr:from>
    <cdr:to>
      <cdr:x>0.94111</cdr:x>
      <cdr:y>0.70663</cdr:y>
    </cdr:to>
    <cdr:sp macro="" textlink="">
      <cdr:nvSpPr>
        <cdr:cNvPr id="3" name="TextBox 12">
          <a:extLst xmlns:a="http://schemas.openxmlformats.org/drawingml/2006/main">
            <a:ext uri="{FF2B5EF4-FFF2-40B4-BE49-F238E27FC236}">
              <a16:creationId xmlns:a16="http://schemas.microsoft.com/office/drawing/2014/main" id="{6B961B5F-1B3C-8BBB-826C-D66B54251340}"/>
            </a:ext>
          </a:extLst>
        </cdr:cNvPr>
        <cdr:cNvSpPr txBox="1"/>
      </cdr:nvSpPr>
      <cdr:spPr>
        <a:xfrm xmlns:a="http://schemas.openxmlformats.org/drawingml/2006/main">
          <a:off x="6369083" y="3051152"/>
          <a:ext cx="1573057" cy="3427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2022</a:t>
          </a:r>
          <a:r>
            <a:rPr lang="en-US" sz="1600" b="1" baseline="0"/>
            <a:t> Avg.</a:t>
          </a:r>
          <a:r>
            <a:rPr lang="en-US" sz="1600" b="1"/>
            <a:t> = 88%</a:t>
          </a:r>
        </a:p>
      </cdr:txBody>
    </cdr:sp>
  </cdr:relSizeAnchor>
  <cdr:relSizeAnchor xmlns:cdr="http://schemas.openxmlformats.org/drawingml/2006/chartDrawing">
    <cdr:from>
      <cdr:x>0.06955</cdr:x>
      <cdr:y>0.39396</cdr:y>
    </cdr:from>
    <cdr:to>
      <cdr:x>0.34157</cdr:x>
      <cdr:y>0.46769</cdr:y>
    </cdr:to>
    <cdr:sp macro="" textlink="">
      <cdr:nvSpPr>
        <cdr:cNvPr id="4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596844" y="1831659"/>
          <a:ext cx="233435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2024</a:t>
          </a:r>
          <a:r>
            <a:rPr lang="en-US" sz="1600" b="1" baseline="0"/>
            <a:t> Full Year Avg. (83%)</a:t>
          </a:r>
          <a:endParaRPr lang="en-US" sz="1600" b="1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4380B-5D25-4EF9-B589-E0CE685C5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447674</xdr:colOff>
      <xdr:row>113</xdr:row>
      <xdr:rowOff>142875</xdr:rowOff>
    </xdr:from>
    <xdr:to>
      <xdr:col>60</xdr:col>
      <xdr:colOff>471235</xdr:colOff>
      <xdr:row>119</xdr:row>
      <xdr:rowOff>63530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76F77-DB17-4D13-AC68-3C8531D9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22674" y="21707475"/>
          <a:ext cx="6443411" cy="10636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22225</xdr:colOff>
      <xdr:row>3</xdr:row>
      <xdr:rowOff>74613</xdr:rowOff>
    </xdr:from>
    <xdr:to>
      <xdr:col>30</xdr:col>
      <xdr:colOff>0</xdr:colOff>
      <xdr:row>28</xdr:row>
      <xdr:rowOff>88901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310243</xdr:colOff>
      <xdr:row>6</xdr:row>
      <xdr:rowOff>175986</xdr:rowOff>
    </xdr:from>
    <xdr:to>
      <xdr:col>28</xdr:col>
      <xdr:colOff>78014</xdr:colOff>
      <xdr:row>10</xdr:row>
      <xdr:rowOff>61686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5835993" y="1668236"/>
          <a:ext cx="371021" cy="647700"/>
        </a:xfrm>
        <a:prstGeom prst="down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27</xdr:col>
      <xdr:colOff>579664</xdr:colOff>
      <xdr:row>7</xdr:row>
      <xdr:rowOff>5443</xdr:rowOff>
    </xdr:from>
    <xdr:ext cx="721480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6105414" y="1688193"/>
          <a:ext cx="7214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Better</a:t>
          </a:r>
        </a:p>
      </xdr:txBody>
    </xdr:sp>
    <xdr:clientData/>
  </xdr:oneCellAnchor>
  <xdr:oneCellAnchor>
    <xdr:from>
      <xdr:col>27</xdr:col>
      <xdr:colOff>344715</xdr:colOff>
      <xdr:row>22</xdr:row>
      <xdr:rowOff>152854</xdr:rowOff>
    </xdr:from>
    <xdr:ext cx="876330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5870465" y="4693104"/>
          <a:ext cx="87633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&lt; 1</a:t>
          </a:r>
        </a:p>
      </xdr:txBody>
    </xdr:sp>
    <xdr:clientData/>
  </xdr:oneCellAnchor>
  <xdr:oneCellAnchor>
    <xdr:from>
      <xdr:col>3</xdr:col>
      <xdr:colOff>20408</xdr:colOff>
      <xdr:row>5</xdr:row>
      <xdr:rowOff>49892</xdr:rowOff>
    </xdr:from>
    <xdr:ext cx="60067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1401533" y="1351642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2025</a:t>
          </a:r>
        </a:p>
      </xdr:txBody>
    </xdr:sp>
    <xdr:clientData/>
  </xdr:oneCellAnchor>
  <xdr:oneCellAnchor>
    <xdr:from>
      <xdr:col>2</xdr:col>
      <xdr:colOff>580569</xdr:colOff>
      <xdr:row>10</xdr:row>
      <xdr:rowOff>158750</xdr:rowOff>
    </xdr:from>
    <xdr:ext cx="600677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1358444" y="2413000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2025</a:t>
          </a:r>
        </a:p>
      </xdr:txBody>
    </xdr:sp>
    <xdr:clientData/>
  </xdr:oneCellAnchor>
  <xdr:oneCellAnchor>
    <xdr:from>
      <xdr:col>2</xdr:col>
      <xdr:colOff>564694</xdr:colOff>
      <xdr:row>18</xdr:row>
      <xdr:rowOff>90714</xdr:rowOff>
    </xdr:from>
    <xdr:ext cx="600677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1342569" y="3868964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2024</a:t>
          </a:r>
        </a:p>
      </xdr:txBody>
    </xdr:sp>
    <xdr:clientData/>
  </xdr:oneCellAnchor>
  <xdr:twoCellAnchor>
    <xdr:from>
      <xdr:col>1</xdr:col>
      <xdr:colOff>13607</xdr:colOff>
      <xdr:row>30</xdr:row>
      <xdr:rowOff>81642</xdr:rowOff>
    </xdr:from>
    <xdr:to>
      <xdr:col>14</xdr:col>
      <xdr:colOff>483507</xdr:colOff>
      <xdr:row>55</xdr:row>
      <xdr:rowOff>122124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594177</xdr:colOff>
      <xdr:row>23</xdr:row>
      <xdr:rowOff>165553</xdr:rowOff>
    </xdr:from>
    <xdr:ext cx="600677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1372052" y="4896303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2024</a:t>
          </a:r>
        </a:p>
      </xdr:txBody>
    </xdr:sp>
    <xdr:clientData/>
  </xdr:oneCellAnchor>
  <xdr:twoCellAnchor>
    <xdr:from>
      <xdr:col>28</xdr:col>
      <xdr:colOff>31750</xdr:colOff>
      <xdr:row>12</xdr:row>
      <xdr:rowOff>127000</xdr:rowOff>
    </xdr:from>
    <xdr:to>
      <xdr:col>29</xdr:col>
      <xdr:colOff>29177</xdr:colOff>
      <xdr:row>14</xdr:row>
      <xdr:rowOff>88786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6160750" y="2762250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chemeClr val="tx2"/>
              </a:solidFill>
            </a:rPr>
            <a:t>2023</a:t>
          </a:r>
        </a:p>
      </xdr:txBody>
    </xdr:sp>
    <xdr:clientData/>
  </xdr:twoCellAnchor>
  <xdr:twoCellAnchor>
    <xdr:from>
      <xdr:col>17</xdr:col>
      <xdr:colOff>428625</xdr:colOff>
      <xdr:row>8</xdr:row>
      <xdr:rowOff>127000</xdr:rowOff>
    </xdr:from>
    <xdr:to>
      <xdr:col>18</xdr:col>
      <xdr:colOff>426052</xdr:colOff>
      <xdr:row>10</xdr:row>
      <xdr:rowOff>88786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9EF533E8-05B4-4C47-812E-80ADDF3C1EF2}"/>
            </a:ext>
          </a:extLst>
        </xdr:cNvPr>
        <xdr:cNvSpPr txBox="1"/>
      </xdr:nvSpPr>
      <xdr:spPr>
        <a:xfrm>
          <a:off x="9921875" y="2000250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chemeClr val="tx2"/>
              </a:solidFill>
            </a:rPr>
            <a:t>2024</a:t>
          </a:r>
        </a:p>
      </xdr:txBody>
    </xdr:sp>
    <xdr:clientData/>
  </xdr:twoCellAnchor>
  <xdr:twoCellAnchor>
    <xdr:from>
      <xdr:col>17</xdr:col>
      <xdr:colOff>238125</xdr:colOff>
      <xdr:row>24</xdr:row>
      <xdr:rowOff>142875</xdr:rowOff>
    </xdr:from>
    <xdr:to>
      <xdr:col>18</xdr:col>
      <xdr:colOff>235552</xdr:colOff>
      <xdr:row>26</xdr:row>
      <xdr:rowOff>104661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F5F66EAE-D09B-40BD-847F-F4D7D3B727BD}"/>
            </a:ext>
          </a:extLst>
        </xdr:cNvPr>
        <xdr:cNvSpPr txBox="1"/>
      </xdr:nvSpPr>
      <xdr:spPr>
        <a:xfrm>
          <a:off x="9731375" y="5064125"/>
          <a:ext cx="6006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>
              <a:solidFill>
                <a:schemeClr val="tx2"/>
              </a:solidFill>
            </a:rPr>
            <a:t>2025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0.25674</cdr:x>
      <cdr:y>0.13618</cdr:y>
    </cdr:from>
    <cdr:to>
      <cdr:x>0.32859</cdr:x>
      <cdr:y>0.20755</cdr:y>
    </cdr:to>
    <cdr:sp macro="" textlink="">
      <cdr:nvSpPr>
        <cdr:cNvPr id="6" name="TextBox 10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B000000}"/>
            </a:ext>
          </a:extLst>
        </cdr:cNvPr>
        <cdr:cNvSpPr txBox="1"/>
      </cdr:nvSpPr>
      <cdr:spPr>
        <a:xfrm xmlns:a="http://schemas.openxmlformats.org/drawingml/2006/main">
          <a:off x="2146272" y="654093"/>
          <a:ext cx="600649" cy="34278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tx2"/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0.25675</cdr:x>
      <cdr:y>0.35762</cdr:y>
    </cdr:from>
    <cdr:to>
      <cdr:x>0.32861</cdr:x>
      <cdr:y>0.42899</cdr:y>
    </cdr:to>
    <cdr:sp macro="" textlink="">
      <cdr:nvSpPr>
        <cdr:cNvPr id="7" name="TextBox 10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B000000}"/>
            </a:ext>
          </a:extLst>
        </cdr:cNvPr>
        <cdr:cNvSpPr txBox="1"/>
      </cdr:nvSpPr>
      <cdr:spPr>
        <a:xfrm xmlns:a="http://schemas.openxmlformats.org/drawingml/2006/main">
          <a:off x="2146372" y="1717665"/>
          <a:ext cx="600734" cy="34278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tx2"/>
              </a:solidFill>
            </a:rPr>
            <a:t>2024</a:t>
          </a:r>
        </a:p>
      </cdr:txBody>
    </cdr:sp>
  </cdr:relSizeAnchor>
  <cdr:relSizeAnchor xmlns:cdr="http://schemas.openxmlformats.org/drawingml/2006/chartDrawing">
    <cdr:from>
      <cdr:x>0.1371</cdr:x>
      <cdr:y>0.52618</cdr:y>
    </cdr:from>
    <cdr:to>
      <cdr:x>0.20896</cdr:x>
      <cdr:y>0.59755</cdr:y>
    </cdr:to>
    <cdr:sp macro="" textlink="">
      <cdr:nvSpPr>
        <cdr:cNvPr id="8" name="TextBox 10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B000000}"/>
            </a:ext>
          </a:extLst>
        </cdr:cNvPr>
        <cdr:cNvSpPr txBox="1"/>
      </cdr:nvSpPr>
      <cdr:spPr>
        <a:xfrm xmlns:a="http://schemas.openxmlformats.org/drawingml/2006/main">
          <a:off x="1146151" y="2527235"/>
          <a:ext cx="60067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tx2"/>
              </a:solidFill>
            </a:rPr>
            <a:t>2025</a:t>
          </a:r>
        </a:p>
      </cdr:txBody>
    </cdr:sp>
  </cdr:relSizeAnchor>
  <cdr:relSizeAnchor xmlns:cdr="http://schemas.openxmlformats.org/drawingml/2006/chartDrawing">
    <cdr:from>
      <cdr:x>0.14091</cdr:x>
      <cdr:y>0.75426</cdr:y>
    </cdr:from>
    <cdr:to>
      <cdr:x>0.21276</cdr:x>
      <cdr:y>0.82563</cdr:y>
    </cdr:to>
    <cdr:sp macro="" textlink="">
      <cdr:nvSpPr>
        <cdr:cNvPr id="9" name="TextBox 10">
          <a:extLst xmlns:a="http://schemas.openxmlformats.org/drawingml/2006/main">
            <a:ext uri="{FF2B5EF4-FFF2-40B4-BE49-F238E27FC236}">
              <a16:creationId xmlns:a16="http://schemas.microsoft.com/office/drawing/2014/main" id="{00000000-0008-0000-0100-00000B000000}"/>
            </a:ext>
          </a:extLst>
        </cdr:cNvPr>
        <cdr:cNvSpPr txBox="1"/>
      </cdr:nvSpPr>
      <cdr:spPr>
        <a:xfrm xmlns:a="http://schemas.openxmlformats.org/drawingml/2006/main">
          <a:off x="1177976" y="3622702"/>
          <a:ext cx="60067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tx2"/>
              </a:solidFill>
            </a:rPr>
            <a:t>2025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113242</xdr:colOff>
      <xdr:row>3</xdr:row>
      <xdr:rowOff>37042</xdr:rowOff>
    </xdr:from>
    <xdr:to>
      <xdr:col>11</xdr:col>
      <xdr:colOff>601133</xdr:colOff>
      <xdr:row>20</xdr:row>
      <xdr:rowOff>179917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E8614-B520-40D2-92E1-483D31A7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16</xdr:row>
      <xdr:rowOff>133350</xdr:rowOff>
    </xdr:from>
    <xdr:to>
      <xdr:col>3</xdr:col>
      <xdr:colOff>152400</xdr:colOff>
      <xdr:row>20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F37ECD-DA5F-458B-A954-AEA0794D24BC}"/>
            </a:ext>
          </a:extLst>
        </xdr:cNvPr>
        <xdr:cNvSpPr/>
      </xdr:nvSpPr>
      <xdr:spPr>
        <a:xfrm>
          <a:off x="180975" y="3305175"/>
          <a:ext cx="1304925" cy="685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</xdr:colOff>
      <xdr:row>3</xdr:row>
      <xdr:rowOff>76199</xdr:rowOff>
    </xdr:from>
    <xdr:to>
      <xdr:col>23</xdr:col>
      <xdr:colOff>600075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72194-422E-4D45-98E6-208247999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219076</xdr:colOff>
      <xdr:row>23</xdr:row>
      <xdr:rowOff>95249</xdr:rowOff>
    </xdr:from>
    <xdr:to>
      <xdr:col>11</xdr:col>
      <xdr:colOff>600076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2F1DC-512C-489B-878D-CF6C10697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</xdr:colOff>
      <xdr:row>23</xdr:row>
      <xdr:rowOff>76200</xdr:rowOff>
    </xdr:from>
    <xdr:to>
      <xdr:col>23</xdr:col>
      <xdr:colOff>590551</xdr:colOff>
      <xdr:row>39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34D22-E95D-466B-955A-6F672B5AE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371475</xdr:colOff>
      <xdr:row>16</xdr:row>
      <xdr:rowOff>133350</xdr:rowOff>
    </xdr:from>
    <xdr:to>
      <xdr:col>11</xdr:col>
      <xdr:colOff>533400</xdr:colOff>
      <xdr:row>20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85E2AFE-5176-4F33-BF76-512F8579A40C}"/>
            </a:ext>
          </a:extLst>
        </xdr:cNvPr>
        <xdr:cNvSpPr/>
      </xdr:nvSpPr>
      <xdr:spPr>
        <a:xfrm>
          <a:off x="5362575" y="3305175"/>
          <a:ext cx="1381125" cy="685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371476</xdr:colOff>
      <xdr:row>17</xdr:row>
      <xdr:rowOff>66675</xdr:rowOff>
    </xdr:from>
    <xdr:to>
      <xdr:col>11</xdr:col>
      <xdr:colOff>533400</xdr:colOff>
      <xdr:row>18</xdr:row>
      <xdr:rowOff>183170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8F7FE6BC-7275-4400-B721-4B967FBA089A}"/>
            </a:ext>
          </a:extLst>
        </xdr:cNvPr>
        <xdr:cNvSpPr txBox="1"/>
      </xdr:nvSpPr>
      <xdr:spPr>
        <a:xfrm>
          <a:off x="5362576" y="3429000"/>
          <a:ext cx="1381124" cy="30699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 baseline="0"/>
            <a:t>Last Week =</a:t>
          </a:r>
          <a:endParaRPr lang="en-US" sz="1400" b="1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0.05479</cdr:x>
      <cdr:y>0.79507</cdr:y>
    </cdr:from>
    <cdr:to>
      <cdr:x>0.22603</cdr:x>
      <cdr:y>0.9559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BF8725-421A-4DB3-A664-65BE9FFB9B44}"/>
            </a:ext>
          </a:extLst>
        </cdr:cNvPr>
        <cdr:cNvSpPr txBox="1"/>
      </cdr:nvSpPr>
      <cdr:spPr>
        <a:xfrm xmlns:a="http://schemas.openxmlformats.org/drawingml/2006/main">
          <a:off x="304800" y="2919414"/>
          <a:ext cx="952500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0.41781</cdr:x>
      <cdr:y>0.37549</cdr:y>
    </cdr:from>
    <cdr:to>
      <cdr:x>0.58219</cdr:x>
      <cdr:y>0.62451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B26F588-CAEC-4B31-9748-2917C80908B0}"/>
            </a:ext>
          </a:extLst>
        </cdr:cNvPr>
        <cdr:cNvSpPr txBox="1"/>
      </cdr:nvSpPr>
      <cdr:spPr>
        <a:xfrm xmlns:a="http://schemas.openxmlformats.org/drawingml/2006/main">
          <a:off x="2324100" y="137874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0.01199</cdr:x>
      <cdr:y>0.84695</cdr:y>
    </cdr:from>
    <cdr:to>
      <cdr:x>0.20341</cdr:x>
      <cdr:y>0.94293</cdr:y>
    </cdr:to>
    <cdr:sp macro="" textlink="'QC Data 2026'!$I$5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706FFFF-171C-4CD3-8873-CAEC421A34DB}"/>
            </a:ext>
          </a:extLst>
        </cdr:cNvPr>
        <cdr:cNvSpPr txBox="1"/>
      </cdr:nvSpPr>
      <cdr:spPr>
        <a:xfrm xmlns:a="http://schemas.openxmlformats.org/drawingml/2006/main">
          <a:off x="80286" y="2863856"/>
          <a:ext cx="1281789" cy="324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3D5B5612-C954-41CB-8FAB-6227E7B2FE45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18</a:t>
          </a:fld>
          <a:endParaRPr lang="en-US" sz="1800"/>
        </a:p>
      </cdr:txBody>
    </cdr:sp>
  </cdr:relSizeAnchor>
  <cdr:relSizeAnchor xmlns:cdr="http://schemas.openxmlformats.org/drawingml/2006/chartDrawing">
    <cdr:from>
      <cdr:x>0.01199</cdr:x>
      <cdr:y>0.78729</cdr:y>
    </cdr:from>
    <cdr:to>
      <cdr:x>0.2089</cdr:x>
      <cdr:y>0.87808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4CF402-B436-49C0-819E-5F3C4DD9976B}"/>
            </a:ext>
          </a:extLst>
        </cdr:cNvPr>
        <cdr:cNvSpPr txBox="1"/>
      </cdr:nvSpPr>
      <cdr:spPr>
        <a:xfrm xmlns:a="http://schemas.openxmlformats.org/drawingml/2006/main">
          <a:off x="66675" y="2890839"/>
          <a:ext cx="10953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/>
            <a:t>Total</a:t>
          </a:r>
          <a:r>
            <a:rPr lang="en-US" sz="1400" b="1" baseline="0"/>
            <a:t> Defects =</a:t>
          </a:r>
          <a:endParaRPr lang="en-US" sz="1400" b="1"/>
        </a:p>
      </cdr:txBody>
    </cdr:sp>
  </cdr:relSizeAnchor>
  <cdr:relSizeAnchor xmlns:cdr="http://schemas.openxmlformats.org/drawingml/2006/chartDrawing">
    <cdr:from>
      <cdr:x>0.7852</cdr:x>
      <cdr:y>0.84883</cdr:y>
    </cdr:from>
    <cdr:to>
      <cdr:x>0.98791</cdr:x>
      <cdr:y>0.94481</cdr:y>
    </cdr:to>
    <cdr:sp macro="" textlink="'QC Data 2023'!$I$11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15EC23D-F61C-47F0-AACD-6CD6EFC70EE2}"/>
            </a:ext>
          </a:extLst>
        </cdr:cNvPr>
        <cdr:cNvSpPr txBox="1"/>
      </cdr:nvSpPr>
      <cdr:spPr>
        <a:xfrm xmlns:a="http://schemas.openxmlformats.org/drawingml/2006/main">
          <a:off x="5257775" y="2870213"/>
          <a:ext cx="1357361" cy="324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t>0</a:t>
          </a:r>
          <a:endParaRPr lang="en-US" sz="18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104775</xdr:rowOff>
    </xdr:from>
    <xdr:to>
      <xdr:col>12</xdr:col>
      <xdr:colOff>0</xdr:colOff>
      <xdr:row>19</xdr:row>
      <xdr:rowOff>152398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51323-6B55-4CA2-9751-7A8BA4F2C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3</xdr:row>
      <xdr:rowOff>85725</xdr:rowOff>
    </xdr:from>
    <xdr:to>
      <xdr:col>24</xdr:col>
      <xdr:colOff>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CD32A-C95D-4C5C-AEF3-5A90F5EEC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15</xdr:col>
      <xdr:colOff>264583</xdr:colOff>
      <xdr:row>3</xdr:row>
      <xdr:rowOff>21167</xdr:rowOff>
    </xdr:from>
    <xdr:ext cx="911340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EEA6F0-31D2-49BD-8650-D36CA4C92E0E}"/>
            </a:ext>
          </a:extLst>
        </xdr:cNvPr>
        <xdr:cNvSpPr txBox="1"/>
      </xdr:nvSpPr>
      <xdr:spPr>
        <a:xfrm>
          <a:off x="8561916" y="687917"/>
          <a:ext cx="91134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Max Target</a:t>
          </a:r>
        </a:p>
        <a:p>
          <a:pPr algn="ctr"/>
          <a:r>
            <a:rPr lang="en-US" sz="1200" b="1"/>
            <a:t>$1.75</a:t>
          </a:r>
        </a:p>
      </xdr:txBody>
    </xdr:sp>
    <xdr:clientData/>
  </xdr:oneCellAnchor>
  <xdr:oneCellAnchor>
    <xdr:from>
      <xdr:col>14</xdr:col>
      <xdr:colOff>139701</xdr:colOff>
      <xdr:row>8</xdr:row>
      <xdr:rowOff>46567</xdr:rowOff>
    </xdr:from>
    <xdr:ext cx="725712" cy="468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7D131A-CF22-4E7C-B172-3EBBC74A0EB2}"/>
            </a:ext>
          </a:extLst>
        </xdr:cNvPr>
        <xdr:cNvSpPr txBox="1"/>
      </xdr:nvSpPr>
      <xdr:spPr>
        <a:xfrm>
          <a:off x="7823201" y="1665817"/>
          <a:ext cx="725712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ysClr val="windowText" lastClr="000000"/>
              </a:solidFill>
            </a:rPr>
            <a:t>Baseline</a:t>
          </a: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$1.40</a:t>
          </a:r>
        </a:p>
      </xdr:txBody>
    </xdr:sp>
    <xdr:clientData/>
  </xdr:oneCellAnchor>
  <xdr:twoCellAnchor>
    <xdr:from>
      <xdr:col>15</xdr:col>
      <xdr:colOff>251580</xdr:colOff>
      <xdr:row>9</xdr:row>
      <xdr:rowOff>31750</xdr:rowOff>
    </xdr:from>
    <xdr:to>
      <xdr:col>16</xdr:col>
      <xdr:colOff>222250</xdr:colOff>
      <xdr:row>9</xdr:row>
      <xdr:rowOff>90106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B3F1330-D6F1-47E2-AA6A-AD584474BF81}"/>
            </a:ext>
          </a:extLst>
        </xdr:cNvPr>
        <xdr:cNvCxnSpPr>
          <a:stCxn id="5" idx="3"/>
        </xdr:cNvCxnSpPr>
      </xdr:nvCxnSpPr>
      <xdr:spPr>
        <a:xfrm flipV="1">
          <a:off x="8548913" y="1841500"/>
          <a:ext cx="584504" cy="5835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423333</xdr:colOff>
      <xdr:row>4</xdr:row>
      <xdr:rowOff>84667</xdr:rowOff>
    </xdr:from>
    <xdr:to>
      <xdr:col>18</xdr:col>
      <xdr:colOff>63500</xdr:colOff>
      <xdr:row>4</xdr:row>
      <xdr:rowOff>105833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EEB532-E47A-4372-AFFA-CDD4815F18EF}"/>
            </a:ext>
          </a:extLst>
        </xdr:cNvPr>
        <xdr:cNvCxnSpPr/>
      </xdr:nvCxnSpPr>
      <xdr:spPr>
        <a:xfrm>
          <a:off x="9334500" y="941917"/>
          <a:ext cx="867833" cy="2116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19050</xdr:rowOff>
    </xdr:from>
    <xdr:to>
      <xdr:col>11</xdr:col>
      <xdr:colOff>600075</xdr:colOff>
      <xdr:row>40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1B0459-5086-40C9-8061-557BC3945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0.00225</cdr:x>
      <cdr:y>0.68725</cdr:y>
    </cdr:from>
    <cdr:to>
      <cdr:x>0.9965</cdr:x>
      <cdr:y>0.78899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60" y="2140557"/>
          <a:ext cx="5407465" cy="31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600" b="1"/>
            <a:t>Year-to-Date</a:t>
          </a:r>
          <a:r>
            <a:rPr lang="en-US" sz="1600" b="1" baseline="0"/>
            <a:t> Cost of Rework Per Hour</a:t>
          </a:r>
        </a:p>
      </cdr:txBody>
    </cdr:sp>
  </cdr:relSizeAnchor>
  <cdr:relSizeAnchor xmlns:cdr="http://schemas.openxmlformats.org/drawingml/2006/chartDrawing">
    <cdr:from>
      <cdr:x>0</cdr:x>
      <cdr:y>0.78287</cdr:y>
    </cdr:from>
    <cdr:to>
      <cdr:x>1</cdr:x>
      <cdr:y>0.87768</cdr:y>
    </cdr:to>
    <cdr:sp macro="" textlink="'QC Data 2026'!$Y$60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C4F1E6-9F67-4A26-94F1-B29A5F8A2FC9}"/>
            </a:ext>
          </a:extLst>
        </cdr:cNvPr>
        <cdr:cNvSpPr txBox="1"/>
      </cdr:nvSpPr>
      <cdr:spPr>
        <a:xfrm xmlns:a="http://schemas.openxmlformats.org/drawingml/2006/main">
          <a:off x="0" y="2438399"/>
          <a:ext cx="54387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892318A-8E21-4747-AEE0-E8B19E03886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$0.24 </a:t>
          </a:fld>
          <a:endParaRPr lang="en-US" sz="1800" b="1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225071</xdr:colOff>
      <xdr:row>30</xdr:row>
      <xdr:rowOff>171981</xdr:rowOff>
    </xdr:from>
    <xdr:to>
      <xdr:col>29</xdr:col>
      <xdr:colOff>162137</xdr:colOff>
      <xdr:row>59</xdr:row>
      <xdr:rowOff>27407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E6DFA2-1D64-4BA0-BD24-D026BFD73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22225</xdr:colOff>
      <xdr:row>3</xdr:row>
      <xdr:rowOff>74613</xdr:rowOff>
    </xdr:from>
    <xdr:to>
      <xdr:col>30</xdr:col>
      <xdr:colOff>12700</xdr:colOff>
      <xdr:row>28</xdr:row>
      <xdr:rowOff>88901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A6124-F1CF-48A7-8B67-2E4CBFEC3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20</xdr:col>
      <xdr:colOff>314899</xdr:colOff>
      <xdr:row>38</xdr:row>
      <xdr:rowOff>48603</xdr:rowOff>
    </xdr:from>
    <xdr:ext cx="1284711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CCB86F-457E-4D55-B4C1-D9C78551DE5B}"/>
            </a:ext>
          </a:extLst>
        </xdr:cNvPr>
        <xdr:cNvSpPr txBox="1"/>
      </xdr:nvSpPr>
      <xdr:spPr>
        <a:xfrm>
          <a:off x="11811574" y="7487628"/>
          <a:ext cx="1284711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Target</a:t>
          </a:r>
          <a:r>
            <a:rPr lang="en-US" sz="1600" b="1" baseline="0">
              <a:solidFill>
                <a:schemeClr val="bg1"/>
              </a:solidFill>
            </a:rPr>
            <a:t> &lt; 20%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A66DD1-9A00-436C-97FA-EB3A6806E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346941</xdr:colOff>
      <xdr:row>13</xdr:row>
      <xdr:rowOff>133933</xdr:rowOff>
    </xdr:from>
    <xdr:to>
      <xdr:col>18</xdr:col>
      <xdr:colOff>105640</xdr:colOff>
      <xdr:row>17</xdr:row>
      <xdr:rowOff>22520</xdr:rowOff>
    </xdr:to>
    <xdr:sp macro="" textlink="">
      <xdr:nvSpPr>
        <xdr:cNvPr id="6" name="Down Arrow 9">
          <a:extLst>
            <a:ext uri="{FF2B5EF4-FFF2-40B4-BE49-F238E27FC236}">
              <a16:creationId xmlns:a16="http://schemas.microsoft.com/office/drawing/2014/main" id="{142B8C34-F5DD-40C5-931B-FDB3D404EEC9}"/>
            </a:ext>
          </a:extLst>
        </xdr:cNvPr>
        <xdr:cNvSpPr/>
      </xdr:nvSpPr>
      <xdr:spPr>
        <a:xfrm>
          <a:off x="10014816" y="2962858"/>
          <a:ext cx="368299" cy="650587"/>
        </a:xfrm>
        <a:prstGeom prst="down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4040</xdr:colOff>
      <xdr:row>14</xdr:row>
      <xdr:rowOff>47920</xdr:rowOff>
    </xdr:from>
    <xdr:ext cx="721480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60A321D-A51E-479D-9B8D-48E68B660A90}"/>
            </a:ext>
          </a:extLst>
        </xdr:cNvPr>
        <xdr:cNvSpPr txBox="1"/>
      </xdr:nvSpPr>
      <xdr:spPr>
        <a:xfrm>
          <a:off x="10281515" y="3067345"/>
          <a:ext cx="7214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Better</a:t>
          </a:r>
        </a:p>
      </xdr:txBody>
    </xdr:sp>
    <xdr:clientData/>
  </xdr:oneCellAnchor>
  <xdr:oneCellAnchor>
    <xdr:from>
      <xdr:col>25</xdr:col>
      <xdr:colOff>508000</xdr:colOff>
      <xdr:row>4</xdr:row>
      <xdr:rowOff>177800</xdr:rowOff>
    </xdr:from>
    <xdr:ext cx="1635384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28B35E-1CB6-4073-A742-02A126649985}"/>
            </a:ext>
          </a:extLst>
        </xdr:cNvPr>
        <xdr:cNvSpPr txBox="1"/>
      </xdr:nvSpPr>
      <xdr:spPr>
        <a:xfrm>
          <a:off x="15052675" y="1292225"/>
          <a:ext cx="163538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&lt; 600 Hours</a:t>
          </a:r>
        </a:p>
      </xdr:txBody>
    </xdr:sp>
    <xdr:clientData/>
  </xdr:oneCellAnchor>
  <xdr:oneCellAnchor>
    <xdr:from>
      <xdr:col>12</xdr:col>
      <xdr:colOff>236589</xdr:colOff>
      <xdr:row>8</xdr:row>
      <xdr:rowOff>165715</xdr:rowOff>
    </xdr:from>
    <xdr:ext cx="11299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5935F3-A2C5-4406-8F65-4F194DF63656}"/>
            </a:ext>
          </a:extLst>
        </xdr:cNvPr>
        <xdr:cNvSpPr txBox="1"/>
      </xdr:nvSpPr>
      <xdr:spPr>
        <a:xfrm>
          <a:off x="7165258" y="2009263"/>
          <a:ext cx="11299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&gt; 95%</a:t>
          </a:r>
        </a:p>
      </xdr:txBody>
    </xdr:sp>
    <xdr:clientData/>
  </xdr:oneCellAnchor>
  <xdr:oneCellAnchor>
    <xdr:from>
      <xdr:col>24</xdr:col>
      <xdr:colOff>419603</xdr:colOff>
      <xdr:row>42</xdr:row>
      <xdr:rowOff>172413</xdr:rowOff>
    </xdr:from>
    <xdr:ext cx="1534267" cy="5932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16F222-2D1A-451D-9E9F-9D68215BC4CC}"/>
            </a:ext>
          </a:extLst>
        </xdr:cNvPr>
        <xdr:cNvSpPr txBox="1"/>
      </xdr:nvSpPr>
      <xdr:spPr>
        <a:xfrm>
          <a:off x="14461297" y="8145760"/>
          <a:ext cx="1534267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Red Zone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>
              <a:solidFill>
                <a:schemeClr val="bg1"/>
              </a:solidFill>
            </a:rPr>
            <a:t>&gt;</a:t>
          </a:r>
          <a:r>
            <a:rPr lang="en-US" sz="1600" b="1" baseline="0">
              <a:solidFill>
                <a:schemeClr val="bg1"/>
              </a:solidFill>
            </a:rPr>
            <a:t>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400002</xdr:colOff>
      <xdr:row>22</xdr:row>
      <xdr:rowOff>183116</xdr:rowOff>
    </xdr:from>
    <xdr:to>
      <xdr:col>14</xdr:col>
      <xdr:colOff>161921</xdr:colOff>
      <xdr:row>24</xdr:row>
      <xdr:rowOff>150267</xdr:rowOff>
    </xdr:to>
    <xdr:sp macro="" textlink="">
      <xdr:nvSpPr>
        <xdr:cNvPr id="11" name="TextBox 12">
          <a:extLst>
            <a:ext uri="{FF2B5EF4-FFF2-40B4-BE49-F238E27FC236}">
              <a16:creationId xmlns:a16="http://schemas.microsoft.com/office/drawing/2014/main" id="{808BE661-7E8D-49A7-AD68-19C8460376CF}"/>
            </a:ext>
          </a:extLst>
        </xdr:cNvPr>
        <xdr:cNvSpPr txBox="1"/>
      </xdr:nvSpPr>
      <xdr:spPr>
        <a:xfrm>
          <a:off x="6667452" y="4726541"/>
          <a:ext cx="1714544" cy="348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2020</a:t>
          </a:r>
          <a:r>
            <a:rPr lang="en-US" sz="1600" b="1" baseline="0"/>
            <a:t> Avg.</a:t>
          </a:r>
          <a:r>
            <a:rPr lang="en-US" sz="1600" b="1"/>
            <a:t> = 82%</a:t>
          </a:r>
        </a:p>
      </xdr:txBody>
    </xdr:sp>
    <xdr:clientData/>
  </xdr:twoCellAnchor>
  <xdr:twoCellAnchor>
    <xdr:from>
      <xdr:col>11</xdr:col>
      <xdr:colOff>412750</xdr:colOff>
      <xdr:row>17</xdr:row>
      <xdr:rowOff>111125</xdr:rowOff>
    </xdr:from>
    <xdr:to>
      <xdr:col>14</xdr:col>
      <xdr:colOff>49057</xdr:colOff>
      <xdr:row>19</xdr:row>
      <xdr:rowOff>72913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A2C708AE-AEA3-44B8-AA60-5B6D3A3011DF}"/>
            </a:ext>
          </a:extLst>
        </xdr:cNvPr>
        <xdr:cNvSpPr txBox="1"/>
      </xdr:nvSpPr>
      <xdr:spPr>
        <a:xfrm>
          <a:off x="6680200" y="3702050"/>
          <a:ext cx="1588932" cy="342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2023</a:t>
          </a:r>
          <a:r>
            <a:rPr lang="en-US" sz="1600" b="1" baseline="0"/>
            <a:t> Avg.</a:t>
          </a:r>
          <a:r>
            <a:rPr lang="en-US" sz="1600" b="1"/>
            <a:t> = 73%</a:t>
          </a:r>
        </a:p>
      </xdr:txBody>
    </xdr:sp>
    <xdr:clientData/>
  </xdr:twoCellAnchor>
  <xdr:oneCellAnchor>
    <xdr:from>
      <xdr:col>24</xdr:col>
      <xdr:colOff>46088</xdr:colOff>
      <xdr:row>31</xdr:row>
      <xdr:rowOff>0</xdr:rowOff>
    </xdr:from>
    <xdr:ext cx="542264" cy="3120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58DC24-BE3C-40AD-8E18-C669AC539A68}"/>
            </a:ext>
          </a:extLst>
        </xdr:cNvPr>
        <xdr:cNvSpPr txBox="1"/>
      </xdr:nvSpPr>
      <xdr:spPr>
        <a:xfrm>
          <a:off x="14087782" y="6237339"/>
          <a:ext cx="542264" cy="312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28%</a:t>
          </a:r>
        </a:p>
      </xdr:txBody>
    </xdr:sp>
    <xdr:clientData/>
  </xdr:one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0.02327</cdr:x>
      <cdr:y>0.60733</cdr:y>
    </cdr:from>
    <cdr:to>
      <cdr:x>0.97081</cdr:x>
      <cdr:y>0.76093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383" y="3615531"/>
          <a:ext cx="6694576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Overhead % of</a:t>
          </a:r>
          <a:r>
            <a:rPr lang="en-US" sz="1800" b="1" baseline="0"/>
            <a:t> Total Labor Hours</a:t>
          </a:r>
        </a:p>
        <a:p xmlns:a="http://schemas.openxmlformats.org/drawingml/2006/main">
          <a:pPr algn="ctr"/>
          <a:r>
            <a:rPr lang="en-US" sz="1600" b="1" baseline="0"/>
            <a:t>Cumulative Total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0.75693</cdr:x>
      <cdr:y>0.70526</cdr:y>
    </cdr:from>
    <cdr:to>
      <cdr:x>0.94605</cdr:x>
      <cdr:y>0.77764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6387836" y="3387333"/>
          <a:ext cx="1596012" cy="3476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2021</a:t>
          </a:r>
          <a:r>
            <a:rPr lang="en-US" sz="1600" b="1" baseline="0"/>
            <a:t> Avg.</a:t>
          </a:r>
          <a:r>
            <a:rPr lang="en-US" sz="1600" b="1"/>
            <a:t> = 84%</a:t>
          </a:r>
        </a:p>
      </cdr:txBody>
    </cdr:sp>
  </cdr:relSizeAnchor>
  <cdr:relSizeAnchor xmlns:cdr="http://schemas.openxmlformats.org/drawingml/2006/chartDrawing">
    <cdr:from>
      <cdr:x>0.75471</cdr:x>
      <cdr:y>0.63526</cdr:y>
    </cdr:from>
    <cdr:to>
      <cdr:x>0.94111</cdr:x>
      <cdr:y>0.70663</cdr:y>
    </cdr:to>
    <cdr:sp macro="" textlink="">
      <cdr:nvSpPr>
        <cdr:cNvPr id="3" name="TextBox 12">
          <a:extLst xmlns:a="http://schemas.openxmlformats.org/drawingml/2006/main">
            <a:ext uri="{FF2B5EF4-FFF2-40B4-BE49-F238E27FC236}">
              <a16:creationId xmlns:a16="http://schemas.microsoft.com/office/drawing/2014/main" id="{6B961B5F-1B3C-8BBB-826C-D66B54251340}"/>
            </a:ext>
          </a:extLst>
        </cdr:cNvPr>
        <cdr:cNvSpPr txBox="1"/>
      </cdr:nvSpPr>
      <cdr:spPr>
        <a:xfrm xmlns:a="http://schemas.openxmlformats.org/drawingml/2006/main">
          <a:off x="6369083" y="3051152"/>
          <a:ext cx="1573057" cy="3427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2022</a:t>
          </a:r>
          <a:r>
            <a:rPr lang="en-US" sz="1600" b="1" baseline="0"/>
            <a:t> Avg.</a:t>
          </a:r>
          <a:r>
            <a:rPr lang="en-US" sz="1600" b="1"/>
            <a:t> = 88%</a:t>
          </a:r>
        </a:p>
      </cdr:txBody>
    </cdr:sp>
  </cdr:relSizeAnchor>
  <cdr:relSizeAnchor xmlns:cdr="http://schemas.openxmlformats.org/drawingml/2006/chartDrawing">
    <cdr:from>
      <cdr:x>0.06955</cdr:x>
      <cdr:y>0.39396</cdr:y>
    </cdr:from>
    <cdr:to>
      <cdr:x>0.34157</cdr:x>
      <cdr:y>0.46769</cdr:y>
    </cdr:to>
    <cdr:sp macro="" textlink="">
      <cdr:nvSpPr>
        <cdr:cNvPr id="4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596844" y="1831659"/>
          <a:ext cx="233435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2024</a:t>
          </a:r>
          <a:r>
            <a:rPr lang="en-US" sz="1600" b="1" baseline="0"/>
            <a:t> Full Year Avg. (83%)</a:t>
          </a:r>
          <a:endParaRPr lang="en-US" sz="1600" b="1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C452D-B77F-406F-87C1-39434A913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438149</xdr:colOff>
      <xdr:row>100</xdr:row>
      <xdr:rowOff>57150</xdr:rowOff>
    </xdr:from>
    <xdr:to>
      <xdr:col>60</xdr:col>
      <xdr:colOff>461710</xdr:colOff>
      <xdr:row>105</xdr:row>
      <xdr:rowOff>168305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9B7AE7-8E23-4B1B-BD45-DB6D38D1C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13149" y="19145250"/>
          <a:ext cx="6443411" cy="106365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</xdr:row>
      <xdr:rowOff>47625</xdr:rowOff>
    </xdr:from>
    <xdr:to>
      <xdr:col>12</xdr:col>
      <xdr:colOff>19050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16</xdr:row>
      <xdr:rowOff>133350</xdr:rowOff>
    </xdr:from>
    <xdr:to>
      <xdr:col>3</xdr:col>
      <xdr:colOff>152400</xdr:colOff>
      <xdr:row>20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95275" y="3228975"/>
          <a:ext cx="1304925" cy="685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</xdr:colOff>
      <xdr:row>3</xdr:row>
      <xdr:rowOff>76199</xdr:rowOff>
    </xdr:from>
    <xdr:to>
      <xdr:col>23</xdr:col>
      <xdr:colOff>600075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219076</xdr:colOff>
      <xdr:row>23</xdr:row>
      <xdr:rowOff>95249</xdr:rowOff>
    </xdr:from>
    <xdr:to>
      <xdr:col>11</xdr:col>
      <xdr:colOff>600076</xdr:colOff>
      <xdr:row>39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</xdr:colOff>
      <xdr:row>23</xdr:row>
      <xdr:rowOff>76200</xdr:rowOff>
    </xdr:from>
    <xdr:to>
      <xdr:col>23</xdr:col>
      <xdr:colOff>590551</xdr:colOff>
      <xdr:row>39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371475</xdr:colOff>
      <xdr:row>16</xdr:row>
      <xdr:rowOff>133350</xdr:rowOff>
    </xdr:from>
    <xdr:to>
      <xdr:col>11</xdr:col>
      <xdr:colOff>533400</xdr:colOff>
      <xdr:row>20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5476875" y="3305175"/>
          <a:ext cx="1381125" cy="6858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371476</xdr:colOff>
      <xdr:row>17</xdr:row>
      <xdr:rowOff>66675</xdr:rowOff>
    </xdr:from>
    <xdr:to>
      <xdr:col>11</xdr:col>
      <xdr:colOff>533400</xdr:colOff>
      <xdr:row>18</xdr:row>
      <xdr:rowOff>183170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476876" y="3429000"/>
          <a:ext cx="1381124" cy="30699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 baseline="0"/>
            <a:t>Last Week =</a:t>
          </a:r>
          <a:endParaRPr lang="en-US" sz="1400" b="1"/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0.05479</cdr:x>
      <cdr:y>0.79507</cdr:y>
    </cdr:from>
    <cdr:to>
      <cdr:x>0.22603</cdr:x>
      <cdr:y>0.9559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BF8725-421A-4DB3-A664-65BE9FFB9B44}"/>
            </a:ext>
          </a:extLst>
        </cdr:cNvPr>
        <cdr:cNvSpPr txBox="1"/>
      </cdr:nvSpPr>
      <cdr:spPr>
        <a:xfrm xmlns:a="http://schemas.openxmlformats.org/drawingml/2006/main">
          <a:off x="304800" y="2919414"/>
          <a:ext cx="952500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0.41781</cdr:x>
      <cdr:y>0.37549</cdr:y>
    </cdr:from>
    <cdr:to>
      <cdr:x>0.58219</cdr:x>
      <cdr:y>0.62451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B26F588-CAEC-4B31-9748-2917C80908B0}"/>
            </a:ext>
          </a:extLst>
        </cdr:cNvPr>
        <cdr:cNvSpPr txBox="1"/>
      </cdr:nvSpPr>
      <cdr:spPr>
        <a:xfrm xmlns:a="http://schemas.openxmlformats.org/drawingml/2006/main">
          <a:off x="2324100" y="137874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0.01199</cdr:x>
      <cdr:y>0.84695</cdr:y>
    </cdr:from>
    <cdr:to>
      <cdr:x>0.20341</cdr:x>
      <cdr:y>0.94293</cdr:y>
    </cdr:to>
    <cdr:sp macro="" textlink="'QC Data 2024'!$I$56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706FFFF-171C-4CD3-8873-CAEC421A34DB}"/>
            </a:ext>
          </a:extLst>
        </cdr:cNvPr>
        <cdr:cNvSpPr txBox="1"/>
      </cdr:nvSpPr>
      <cdr:spPr>
        <a:xfrm xmlns:a="http://schemas.openxmlformats.org/drawingml/2006/main">
          <a:off x="80286" y="2863856"/>
          <a:ext cx="1281789" cy="324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D79E86EC-9105-4570-B25B-EDAEF093E738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362</a:t>
          </a:fld>
          <a:endParaRPr lang="en-US" sz="1800"/>
        </a:p>
      </cdr:txBody>
    </cdr:sp>
  </cdr:relSizeAnchor>
  <cdr:relSizeAnchor xmlns:cdr="http://schemas.openxmlformats.org/drawingml/2006/chartDrawing">
    <cdr:from>
      <cdr:x>0.01199</cdr:x>
      <cdr:y>0.78729</cdr:y>
    </cdr:from>
    <cdr:to>
      <cdr:x>0.2089</cdr:x>
      <cdr:y>0.87808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4CF402-B436-49C0-819E-5F3C4DD9976B}"/>
            </a:ext>
          </a:extLst>
        </cdr:cNvPr>
        <cdr:cNvSpPr txBox="1"/>
      </cdr:nvSpPr>
      <cdr:spPr>
        <a:xfrm xmlns:a="http://schemas.openxmlformats.org/drawingml/2006/main">
          <a:off x="66675" y="2890839"/>
          <a:ext cx="10953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/>
            <a:t>Total</a:t>
          </a:r>
          <a:r>
            <a:rPr lang="en-US" sz="1400" b="1" baseline="0"/>
            <a:t> Defects =</a:t>
          </a:r>
          <a:endParaRPr lang="en-US" sz="1400" b="1"/>
        </a:p>
      </cdr:txBody>
    </cdr:sp>
  </cdr:relSizeAnchor>
  <cdr:relSizeAnchor xmlns:cdr="http://schemas.openxmlformats.org/drawingml/2006/chartDrawing">
    <cdr:from>
      <cdr:x>0.7852</cdr:x>
      <cdr:y>0.84883</cdr:y>
    </cdr:from>
    <cdr:to>
      <cdr:x>0.98791</cdr:x>
      <cdr:y>0.94481</cdr:y>
    </cdr:to>
    <cdr:sp macro="" textlink="'QC Data 2023'!$I$11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15EC23D-F61C-47F0-AACD-6CD6EFC70EE2}"/>
            </a:ext>
          </a:extLst>
        </cdr:cNvPr>
        <cdr:cNvSpPr txBox="1"/>
      </cdr:nvSpPr>
      <cdr:spPr>
        <a:xfrm xmlns:a="http://schemas.openxmlformats.org/drawingml/2006/main">
          <a:off x="5257775" y="2870213"/>
          <a:ext cx="1357361" cy="3245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8</a:t>
          </a:r>
          <a:endParaRPr lang="en-US" sz="32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104775</xdr:rowOff>
    </xdr:from>
    <xdr:to>
      <xdr:col>12</xdr:col>
      <xdr:colOff>0</xdr:colOff>
      <xdr:row>19</xdr:row>
      <xdr:rowOff>152398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3</xdr:row>
      <xdr:rowOff>85725</xdr:rowOff>
    </xdr:from>
    <xdr:to>
      <xdr:col>24</xdr:col>
      <xdr:colOff>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22</xdr:col>
      <xdr:colOff>190500</xdr:colOff>
      <xdr:row>5</xdr:row>
      <xdr:rowOff>95250</xdr:rowOff>
    </xdr:from>
    <xdr:ext cx="911340" cy="46807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10258425" y="1133475"/>
          <a:ext cx="911340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Max Target</a:t>
          </a:r>
        </a:p>
        <a:p>
          <a:pPr algn="ctr"/>
          <a:r>
            <a:rPr lang="en-US" sz="1200" b="1"/>
            <a:t>$78,000</a:t>
          </a:r>
        </a:p>
      </xdr:txBody>
    </xdr:sp>
    <xdr:clientData/>
  </xdr:oneCellAnchor>
  <xdr:oneCellAnchor>
    <xdr:from>
      <xdr:col>13</xdr:col>
      <xdr:colOff>552450</xdr:colOff>
      <xdr:row>4</xdr:row>
      <xdr:rowOff>57150</xdr:rowOff>
    </xdr:from>
    <xdr:ext cx="725712" cy="46807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6353175" y="904875"/>
          <a:ext cx="725712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ysClr val="windowText" lastClr="000000"/>
              </a:solidFill>
            </a:rPr>
            <a:t>Baseline</a:t>
          </a:r>
        </a:p>
        <a:p>
          <a:pPr algn="ctr"/>
          <a:r>
            <a:rPr lang="en-US" sz="1200" b="1">
              <a:solidFill>
                <a:sysClr val="windowText" lastClr="000000"/>
              </a:solidFill>
            </a:rPr>
            <a:t>$50,000</a:t>
          </a:r>
        </a:p>
      </xdr:txBody>
    </xdr:sp>
    <xdr:clientData/>
  </xdr:oneCellAnchor>
  <xdr:twoCellAnchor>
    <xdr:from>
      <xdr:col>15</xdr:col>
      <xdr:colOff>58962</xdr:colOff>
      <xdr:row>5</xdr:row>
      <xdr:rowOff>100689</xdr:rowOff>
    </xdr:from>
    <xdr:to>
      <xdr:col>16</xdr:col>
      <xdr:colOff>571500</xdr:colOff>
      <xdr:row>6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CxnSpPr>
          <a:stCxn id="5" idx="3"/>
        </xdr:cNvCxnSpPr>
      </xdr:nvCxnSpPr>
      <xdr:spPr>
        <a:xfrm>
          <a:off x="8298087" y="1138914"/>
          <a:ext cx="1122138" cy="1183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504825</xdr:colOff>
      <xdr:row>6</xdr:row>
      <xdr:rowOff>138789</xdr:rowOff>
    </xdr:from>
    <xdr:to>
      <xdr:col>22</xdr:col>
      <xdr:colOff>190500</xdr:colOff>
      <xdr:row>8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>
          <a:stCxn id="4" idx="1"/>
        </xdr:cNvCxnSpPr>
      </xdr:nvCxnSpPr>
      <xdr:spPr>
        <a:xfrm flipH="1">
          <a:off x="11791950" y="1367514"/>
          <a:ext cx="904875" cy="2993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19050</xdr:rowOff>
    </xdr:from>
    <xdr:to>
      <xdr:col>11</xdr:col>
      <xdr:colOff>600075</xdr:colOff>
      <xdr:row>40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0.00225</cdr:x>
      <cdr:y>0.68725</cdr:y>
    </cdr:from>
    <cdr:to>
      <cdr:x>0.9965</cdr:x>
      <cdr:y>0.78899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60" y="2140557"/>
          <a:ext cx="5407465" cy="316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600" b="1"/>
            <a:t>Year-to-Date</a:t>
          </a:r>
          <a:r>
            <a:rPr lang="en-US" sz="1600" b="1" baseline="0"/>
            <a:t> Cost of Rework</a:t>
          </a:r>
        </a:p>
      </cdr:txBody>
    </cdr:sp>
  </cdr:relSizeAnchor>
  <cdr:relSizeAnchor xmlns:cdr="http://schemas.openxmlformats.org/drawingml/2006/chartDrawing">
    <cdr:from>
      <cdr:x>0</cdr:x>
      <cdr:y>0.78287</cdr:y>
    </cdr:from>
    <cdr:to>
      <cdr:x>1</cdr:x>
      <cdr:y>0.87768</cdr:y>
    </cdr:to>
    <cdr:sp macro="" textlink="'QC Data 2024'!$Y$5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C4F1E6-9F67-4A26-94F1-B29A5F8A2FC9}"/>
            </a:ext>
          </a:extLst>
        </cdr:cNvPr>
        <cdr:cNvSpPr txBox="1"/>
      </cdr:nvSpPr>
      <cdr:spPr>
        <a:xfrm xmlns:a="http://schemas.openxmlformats.org/drawingml/2006/main">
          <a:off x="0" y="2438399"/>
          <a:ext cx="54387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A22E768D-9178-4D02-BE8A-40F41577E334}" type="TxLink">
            <a:rPr lang="en-US" sz="14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$72,539 </a:t>
          </a:fld>
          <a:endParaRPr lang="en-US" sz="2000" b="1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225071</xdr:colOff>
      <xdr:row>30</xdr:row>
      <xdr:rowOff>171981</xdr:rowOff>
    </xdr:from>
    <xdr:to>
      <xdr:col>29</xdr:col>
      <xdr:colOff>162137</xdr:colOff>
      <xdr:row>59</xdr:row>
      <xdr:rowOff>27407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22225</xdr:colOff>
      <xdr:row>3</xdr:row>
      <xdr:rowOff>74613</xdr:rowOff>
    </xdr:from>
    <xdr:to>
      <xdr:col>30</xdr:col>
      <xdr:colOff>12700</xdr:colOff>
      <xdr:row>28</xdr:row>
      <xdr:rowOff>88901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20</xdr:col>
      <xdr:colOff>314899</xdr:colOff>
      <xdr:row>38</xdr:row>
      <xdr:rowOff>48603</xdr:rowOff>
    </xdr:from>
    <xdr:ext cx="1284711" cy="5932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1583913" y="7413709"/>
          <a:ext cx="1284711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Target</a:t>
          </a:r>
          <a:r>
            <a:rPr lang="en-US" sz="1600" b="1" baseline="0">
              <a:solidFill>
                <a:schemeClr val="bg1"/>
              </a:solidFill>
            </a:rPr>
            <a:t> &lt; 20%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346941</xdr:colOff>
      <xdr:row>13</xdr:row>
      <xdr:rowOff>133933</xdr:rowOff>
    </xdr:from>
    <xdr:to>
      <xdr:col>18</xdr:col>
      <xdr:colOff>105640</xdr:colOff>
      <xdr:row>17</xdr:row>
      <xdr:rowOff>22520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843077" y="2948138"/>
          <a:ext cx="364836" cy="639041"/>
        </a:xfrm>
        <a:prstGeom prst="downArrow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4040</xdr:colOff>
      <xdr:row>14</xdr:row>
      <xdr:rowOff>47920</xdr:rowOff>
    </xdr:from>
    <xdr:ext cx="721480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106313" y="3049738"/>
          <a:ext cx="7214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chemeClr val="tx2"/>
              </a:solidFill>
            </a:rPr>
            <a:t>Better</a:t>
          </a:r>
        </a:p>
      </xdr:txBody>
    </xdr:sp>
    <xdr:clientData/>
  </xdr:oneCellAnchor>
  <xdr:oneCellAnchor>
    <xdr:from>
      <xdr:col>25</xdr:col>
      <xdr:colOff>508000</xdr:colOff>
      <xdr:row>4</xdr:row>
      <xdr:rowOff>177800</xdr:rowOff>
    </xdr:from>
    <xdr:ext cx="1635384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4929655" y="1291286"/>
          <a:ext cx="163538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&lt; 600 Hours</a:t>
          </a:r>
        </a:p>
      </xdr:txBody>
    </xdr:sp>
    <xdr:clientData/>
  </xdr:oneCellAnchor>
  <xdr:oneCellAnchor>
    <xdr:from>
      <xdr:col>12</xdr:col>
      <xdr:colOff>190500</xdr:colOff>
      <xdr:row>6</xdr:row>
      <xdr:rowOff>88900</xdr:rowOff>
    </xdr:from>
    <xdr:ext cx="1129925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7035800" y="1714500"/>
          <a:ext cx="11299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&gt; 95%</a:t>
          </a:r>
        </a:p>
      </xdr:txBody>
    </xdr:sp>
    <xdr:clientData/>
  </xdr:oneCellAnchor>
  <xdr:oneCellAnchor>
    <xdr:from>
      <xdr:col>24</xdr:col>
      <xdr:colOff>434966</xdr:colOff>
      <xdr:row>42</xdr:row>
      <xdr:rowOff>172413</xdr:rowOff>
    </xdr:from>
    <xdr:ext cx="1534267" cy="5932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18769" y="8288786"/>
          <a:ext cx="1534267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600" b="1">
              <a:solidFill>
                <a:schemeClr val="bg1"/>
              </a:solidFill>
            </a:rPr>
            <a:t>Red Zone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>
              <a:solidFill>
                <a:schemeClr val="bg1"/>
              </a:solidFill>
            </a:rPr>
            <a:t>&gt;</a:t>
          </a:r>
          <a:r>
            <a:rPr lang="en-US" sz="1600" b="1" baseline="0">
              <a:solidFill>
                <a:schemeClr val="bg1"/>
              </a:solidFill>
            </a:rPr>
            <a:t> 25%</a:t>
          </a:r>
        </a:p>
        <a:p>
          <a:pPr algn="ctr"/>
          <a:r>
            <a:rPr lang="en-US" sz="1600" b="1" baseline="0">
              <a:solidFill>
                <a:schemeClr val="bg1"/>
              </a:solidFill>
            </a:rPr>
            <a:t> Total Labor</a:t>
          </a:r>
          <a:endParaRPr lang="en-US" sz="1600" b="1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400002</xdr:colOff>
      <xdr:row>22</xdr:row>
      <xdr:rowOff>183116</xdr:rowOff>
    </xdr:from>
    <xdr:to>
      <xdr:col>14</xdr:col>
      <xdr:colOff>161921</xdr:colOff>
      <xdr:row>24</xdr:row>
      <xdr:rowOff>150267</xdr:rowOff>
    </xdr:to>
    <xdr:sp macro="" textlink="">
      <xdr:nvSpPr>
        <xdr:cNvPr id="14" name="TextBox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607127" y="4723366"/>
          <a:ext cx="1698669" cy="348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2020</a:t>
          </a:r>
          <a:r>
            <a:rPr lang="en-US" sz="1600" b="1" baseline="0"/>
            <a:t> Avg.</a:t>
          </a:r>
          <a:r>
            <a:rPr lang="en-US" sz="1600" b="1"/>
            <a:t> = 82%</a:t>
          </a:r>
        </a:p>
      </xdr:txBody>
    </xdr:sp>
    <xdr:clientData/>
  </xdr:twoCellAnchor>
  <xdr:twoCellAnchor>
    <xdr:from>
      <xdr:col>11</xdr:col>
      <xdr:colOff>412750</xdr:colOff>
      <xdr:row>17</xdr:row>
      <xdr:rowOff>111125</xdr:rowOff>
    </xdr:from>
    <xdr:to>
      <xdr:col>14</xdr:col>
      <xdr:colOff>49057</xdr:colOff>
      <xdr:row>19</xdr:row>
      <xdr:rowOff>72913</xdr:rowOff>
    </xdr:to>
    <xdr:sp macro="" textlink="">
      <xdr:nvSpPr>
        <xdr:cNvPr id="2" name="TextBox 12">
          <a:extLst>
            <a:ext uri="{FF2B5EF4-FFF2-40B4-BE49-F238E27FC236}">
              <a16:creationId xmlns:a16="http://schemas.microsoft.com/office/drawing/2014/main" id="{597D5D5B-68FF-F8EC-5D7B-399CB438FCA5}"/>
            </a:ext>
          </a:extLst>
        </xdr:cNvPr>
        <xdr:cNvSpPr txBox="1"/>
      </xdr:nvSpPr>
      <xdr:spPr>
        <a:xfrm>
          <a:off x="6619875" y="3698875"/>
          <a:ext cx="1573057" cy="342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2023</a:t>
          </a:r>
          <a:r>
            <a:rPr lang="en-US" sz="1600" b="1" baseline="0"/>
            <a:t> Avg.</a:t>
          </a:r>
          <a:r>
            <a:rPr lang="en-US" sz="1600" b="1"/>
            <a:t> = 73%</a:t>
          </a:r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0.02327</cdr:x>
      <cdr:y>0.60733</cdr:y>
    </cdr:from>
    <cdr:to>
      <cdr:x>0.97081</cdr:x>
      <cdr:y>0.76093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383" y="3615531"/>
          <a:ext cx="6694576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Overhead % of</a:t>
          </a:r>
          <a:r>
            <a:rPr lang="en-US" sz="1800" b="1" baseline="0"/>
            <a:t> Total Labor Hours</a:t>
          </a:r>
        </a:p>
        <a:p xmlns:a="http://schemas.openxmlformats.org/drawingml/2006/main">
          <a:pPr algn="ctr"/>
          <a:r>
            <a:rPr lang="en-US" sz="1600" b="1" baseline="0"/>
            <a:t>Cumulative Total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0.75693</cdr:x>
      <cdr:y>0.70526</cdr:y>
    </cdr:from>
    <cdr:to>
      <cdr:x>0.94605</cdr:x>
      <cdr:y>0.77764</cdr:y>
    </cdr:to>
    <cdr:sp macro="" textlink="">
      <cdr:nvSpPr>
        <cdr:cNvPr id="2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6387836" y="3387333"/>
          <a:ext cx="1596012" cy="34764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2021</a:t>
          </a:r>
          <a:r>
            <a:rPr lang="en-US" sz="1600" b="1" baseline="0"/>
            <a:t> Avg.</a:t>
          </a:r>
          <a:r>
            <a:rPr lang="en-US" sz="1600" b="1"/>
            <a:t> = 84%</a:t>
          </a:r>
        </a:p>
      </cdr:txBody>
    </cdr:sp>
  </cdr:relSizeAnchor>
  <cdr:relSizeAnchor xmlns:cdr="http://schemas.openxmlformats.org/drawingml/2006/chartDrawing">
    <cdr:from>
      <cdr:x>0.75471</cdr:x>
      <cdr:y>0.63526</cdr:y>
    </cdr:from>
    <cdr:to>
      <cdr:x>0.94111</cdr:x>
      <cdr:y>0.70663</cdr:y>
    </cdr:to>
    <cdr:sp macro="" textlink="">
      <cdr:nvSpPr>
        <cdr:cNvPr id="3" name="TextBox 12">
          <a:extLst xmlns:a="http://schemas.openxmlformats.org/drawingml/2006/main">
            <a:ext uri="{FF2B5EF4-FFF2-40B4-BE49-F238E27FC236}">
              <a16:creationId xmlns:a16="http://schemas.microsoft.com/office/drawing/2014/main" id="{6B961B5F-1B3C-8BBB-826C-D66B54251340}"/>
            </a:ext>
          </a:extLst>
        </cdr:cNvPr>
        <cdr:cNvSpPr txBox="1"/>
      </cdr:nvSpPr>
      <cdr:spPr>
        <a:xfrm xmlns:a="http://schemas.openxmlformats.org/drawingml/2006/main">
          <a:off x="6369083" y="3051152"/>
          <a:ext cx="1573057" cy="34278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2022</a:t>
          </a:r>
          <a:r>
            <a:rPr lang="en-US" sz="1600" b="1" baseline="0"/>
            <a:t> Avg.</a:t>
          </a:r>
          <a:r>
            <a:rPr lang="en-US" sz="1600" b="1"/>
            <a:t> = 88%</a:t>
          </a:r>
        </a:p>
      </cdr:txBody>
    </cdr:sp>
  </cdr:relSizeAnchor>
  <cdr:relSizeAnchor xmlns:cdr="http://schemas.openxmlformats.org/drawingml/2006/chartDrawing">
    <cdr:from>
      <cdr:x>0.09819</cdr:x>
      <cdr:y>0.31796</cdr:y>
    </cdr:from>
    <cdr:to>
      <cdr:x>0.3748</cdr:x>
      <cdr:y>0.38933</cdr:y>
    </cdr:to>
    <cdr:sp macro="" textlink="">
      <cdr:nvSpPr>
        <cdr:cNvPr id="4" name="TextBox 12">
          <a:extLst xmlns:a="http://schemas.openxmlformats.org/drawingml/2006/main">
            <a:ext uri="{FF2B5EF4-FFF2-40B4-BE49-F238E27FC236}">
              <a16:creationId xmlns:a16="http://schemas.microsoft.com/office/drawing/2014/main" id="{00000000-0008-0000-0200-00000D000000}"/>
            </a:ext>
          </a:extLst>
        </cdr:cNvPr>
        <cdr:cNvSpPr txBox="1"/>
      </cdr:nvSpPr>
      <cdr:spPr>
        <a:xfrm xmlns:a="http://schemas.openxmlformats.org/drawingml/2006/main">
          <a:off x="828675" y="1527175"/>
          <a:ext cx="2334357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2022</a:t>
          </a:r>
          <a:r>
            <a:rPr lang="en-US" sz="1600" b="1" baseline="0"/>
            <a:t> Full Year Avg. (88%)</a:t>
          </a:r>
          <a:endParaRPr lang="en-US" sz="1600" b="1"/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50</xdr:col>
      <xdr:colOff>523874</xdr:colOff>
      <xdr:row>84</xdr:row>
      <xdr:rowOff>85725</xdr:rowOff>
    </xdr:from>
    <xdr:to>
      <xdr:col>60</xdr:col>
      <xdr:colOff>547435</xdr:colOff>
      <xdr:row>90</xdr:row>
      <xdr:rowOff>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98874" y="16125825"/>
          <a:ext cx="6443411" cy="10636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59</xdr:row>
      <xdr:rowOff>80962</xdr:rowOff>
    </xdr:from>
    <xdr:to>
      <xdr:col>10</xdr:col>
      <xdr:colOff>38100</xdr:colOff>
      <xdr:row>73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57</xdr:row>
      <xdr:rowOff>80962</xdr:rowOff>
    </xdr:from>
    <xdr:to>
      <xdr:col>12</xdr:col>
      <xdr:colOff>342900</xdr:colOff>
      <xdr:row>71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</xdr:colOff>
      <xdr:row>19</xdr:row>
      <xdr:rowOff>134155</xdr:rowOff>
    </xdr:from>
    <xdr:to>
      <xdr:col>13</xdr:col>
      <xdr:colOff>563451</xdr:colOff>
      <xdr:row>40</xdr:row>
      <xdr:rowOff>80493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160987</xdr:colOff>
      <xdr:row>2</xdr:row>
      <xdr:rowOff>10397</xdr:rowOff>
    </xdr:from>
    <xdr:to>
      <xdr:col>14</xdr:col>
      <xdr:colOff>26831</xdr:colOff>
      <xdr:row>18</xdr:row>
      <xdr:rowOff>160986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0.02327</cdr:x>
      <cdr:y>0.58799</cdr:y>
    </cdr:from>
    <cdr:to>
      <cdr:x>0.97081</cdr:x>
      <cdr:y>0.74159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7145" y="2855537"/>
          <a:ext cx="6806032" cy="7459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 baseline="0"/>
            <a:t>On-Time Completion %</a:t>
          </a:r>
        </a:p>
        <a:p xmlns:a="http://schemas.openxmlformats.org/drawingml/2006/main">
          <a:pPr algn="ctr"/>
          <a:r>
            <a:rPr lang="en-US" sz="1600" b="1" baseline="0"/>
            <a:t>2020 YTD (Cumulative Total)</a:t>
          </a:r>
        </a:p>
      </cdr:txBody>
    </cdr:sp>
  </cdr:relSizeAnchor>
  <cdr:relSizeAnchor xmlns:cdr="http://schemas.openxmlformats.org/drawingml/2006/chartDrawing">
    <cdr:from>
      <cdr:x>0.02388</cdr:x>
      <cdr:y>0.21764</cdr:y>
    </cdr:from>
    <cdr:to>
      <cdr:x>0.23496</cdr:x>
      <cdr:y>0.28823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1573A19-3DDB-490C-A90F-C31F3A000A46}"/>
            </a:ext>
          </a:extLst>
        </cdr:cNvPr>
        <cdr:cNvSpPr txBox="1"/>
      </cdr:nvSpPr>
      <cdr:spPr>
        <a:xfrm xmlns:a="http://schemas.openxmlformats.org/drawingml/2006/main">
          <a:off x="171539" y="1056961"/>
          <a:ext cx="1516121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Red Zone &lt; 80%</a:t>
          </a:r>
        </a:p>
      </cdr:txBody>
    </cdr:sp>
  </cdr:relSizeAnchor>
  <cdr:relSizeAnchor xmlns:cdr="http://schemas.openxmlformats.org/drawingml/2006/chartDrawing">
    <cdr:from>
      <cdr:x>0.82376</cdr:x>
      <cdr:y>0.45797</cdr:y>
    </cdr:from>
    <cdr:to>
      <cdr:x>1</cdr:x>
      <cdr:y>0.52856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FAEB9A4-7A70-453B-8ADB-C33DC0195BCE}"/>
            </a:ext>
          </a:extLst>
        </cdr:cNvPr>
        <cdr:cNvSpPr txBox="1"/>
      </cdr:nvSpPr>
      <cdr:spPr>
        <a:xfrm xmlns:a="http://schemas.openxmlformats.org/drawingml/2006/main">
          <a:off x="5916920" y="2224110"/>
          <a:ext cx="1265924" cy="342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Goal = 95% +</a:t>
          </a:r>
        </a:p>
      </cdr:txBody>
    </cdr:sp>
  </cdr:relSizeAnchor>
  <cdr:relSizeAnchor xmlns:cdr="http://schemas.openxmlformats.org/drawingml/2006/chartDrawing">
    <cdr:from>
      <cdr:x>0.24467</cdr:x>
      <cdr:y>0.7747</cdr:y>
    </cdr:from>
    <cdr:to>
      <cdr:x>0.706</cdr:x>
      <cdr:y>0.94843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75E4613-A6C6-4A58-A202-BE73F33A00BE}"/>
            </a:ext>
          </a:extLst>
        </cdr:cNvPr>
        <cdr:cNvSpPr txBox="1"/>
      </cdr:nvSpPr>
      <cdr:spPr>
        <a:xfrm xmlns:a="http://schemas.openxmlformats.org/drawingml/2006/main">
          <a:off x="1757428" y="3762262"/>
          <a:ext cx="3313627" cy="8436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  YTD Jobs</a:t>
          </a:r>
          <a:r>
            <a:rPr lang="en-US" sz="1600" baseline="0"/>
            <a:t> </a:t>
          </a:r>
          <a:r>
            <a:rPr lang="en-US" sz="1600"/>
            <a:t>On Time		83</a:t>
          </a:r>
        </a:p>
        <a:p xmlns:a="http://schemas.openxmlformats.org/drawingml/2006/main">
          <a:r>
            <a:rPr lang="en-US" sz="1600" baseline="0"/>
            <a:t>  YTD Jobs Late		</a:t>
          </a:r>
          <a:r>
            <a:rPr lang="en-US" sz="1600" u="sng" baseline="0"/>
            <a:t>16</a:t>
          </a:r>
        </a:p>
        <a:p xmlns:a="http://schemas.openxmlformats.org/drawingml/2006/main">
          <a:r>
            <a:rPr lang="en-US" sz="1600"/>
            <a:t>  YTD Completed</a:t>
          </a:r>
          <a:r>
            <a:rPr lang="en-US" sz="1600" baseline="0"/>
            <a:t> Jobs		99</a:t>
          </a:r>
          <a:endParaRPr lang="en-US" sz="1600"/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3</xdr:row>
      <xdr:rowOff>73818</xdr:rowOff>
    </xdr:from>
    <xdr:to>
      <xdr:col>14</xdr:col>
      <xdr:colOff>520700</xdr:colOff>
      <xdr:row>28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190500</xdr:colOff>
      <xdr:row>6</xdr:row>
      <xdr:rowOff>88900</xdr:rowOff>
    </xdr:from>
    <xdr:ext cx="11299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7067550" y="1584325"/>
          <a:ext cx="11299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Goal &gt; 95%</a:t>
          </a:r>
        </a:p>
      </xdr:txBody>
    </xdr:sp>
    <xdr:clientData/>
  </xdr:oneCellAnchor>
  <xdr:twoCellAnchor>
    <xdr:from>
      <xdr:col>1</xdr:col>
      <xdr:colOff>-1</xdr:colOff>
      <xdr:row>35</xdr:row>
      <xdr:rowOff>117276</xdr:rowOff>
    </xdr:from>
    <xdr:to>
      <xdr:col>15</xdr:col>
      <xdr:colOff>44648</xdr:colOff>
      <xdr:row>57</xdr:row>
      <xdr:rowOff>44649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166686</xdr:rowOff>
    </xdr:from>
    <xdr:to>
      <xdr:col>17</xdr:col>
      <xdr:colOff>533399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39</xdr:row>
      <xdr:rowOff>52387</xdr:rowOff>
    </xdr:from>
    <xdr:to>
      <xdr:col>17</xdr:col>
      <xdr:colOff>323850</xdr:colOff>
      <xdr:row>77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142875</xdr:colOff>
      <xdr:row>7</xdr:row>
      <xdr:rowOff>95250</xdr:rowOff>
    </xdr:from>
    <xdr:ext cx="1832809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2581275" y="1428750"/>
          <a:ext cx="18328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Baseline = 120 Hours / Week</a:t>
          </a:r>
        </a:p>
      </xdr:txBody>
    </xdr:sp>
    <xdr:clientData/>
  </xdr:oneCellAnchor>
  <xdr:oneCellAnchor>
    <xdr:from>
      <xdr:col>11</xdr:col>
      <xdr:colOff>238125</xdr:colOff>
      <xdr:row>7</xdr:row>
      <xdr:rowOff>133350</xdr:rowOff>
    </xdr:from>
    <xdr:ext cx="189160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6943725" y="1466850"/>
          <a:ext cx="18916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Red Zone = 180 Hours / Week</a:t>
          </a:r>
        </a:p>
      </xdr:txBody>
    </xdr:sp>
    <xdr:clientData/>
  </xdr:oneCellAnchor>
  <xdr:twoCellAnchor>
    <xdr:from>
      <xdr:col>7</xdr:col>
      <xdr:colOff>146884</xdr:colOff>
      <xdr:row>8</xdr:row>
      <xdr:rowOff>37030</xdr:rowOff>
    </xdr:from>
    <xdr:to>
      <xdr:col>7</xdr:col>
      <xdr:colOff>333375</xdr:colOff>
      <xdr:row>9</xdr:row>
      <xdr:rowOff>19050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>
          <a:stCxn id="3" idx="3"/>
        </xdr:cNvCxnSpPr>
      </xdr:nvCxnSpPr>
      <xdr:spPr>
        <a:xfrm>
          <a:off x="4414084" y="1561030"/>
          <a:ext cx="186491" cy="1725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8</xdr:row>
      <xdr:rowOff>114300</xdr:rowOff>
    </xdr:from>
    <xdr:to>
      <xdr:col>11</xdr:col>
      <xdr:colOff>200025</xdr:colOff>
      <xdr:row>9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CxnSpPr/>
      </xdr:nvCxnSpPr>
      <xdr:spPr>
        <a:xfrm flipH="1">
          <a:off x="6343650" y="1638300"/>
          <a:ext cx="561975" cy="95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352425</xdr:colOff>
      <xdr:row>45</xdr:row>
      <xdr:rowOff>133350</xdr:rowOff>
    </xdr:from>
    <xdr:ext cx="161056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7058025" y="8705850"/>
          <a:ext cx="161056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Target &lt; 20% Total Labor</a:t>
          </a:r>
        </a:p>
      </xdr:txBody>
    </xdr:sp>
    <xdr:clientData/>
  </xdr:oneCellAnchor>
  <xdr:oneCellAnchor>
    <xdr:from>
      <xdr:col>13</xdr:col>
      <xdr:colOff>400050</xdr:colOff>
      <xdr:row>52</xdr:row>
      <xdr:rowOff>57150</xdr:rowOff>
    </xdr:from>
    <xdr:ext cx="177875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8324850" y="9963150"/>
          <a:ext cx="17787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Red Zone &gt; 25% Total Labor</a:t>
          </a:r>
        </a:p>
      </xdr:txBody>
    </xdr:sp>
    <xdr:clientData/>
  </xdr:oneCellAnchor>
  <xdr:twoCellAnchor>
    <xdr:from>
      <xdr:col>11</xdr:col>
      <xdr:colOff>190502</xdr:colOff>
      <xdr:row>46</xdr:row>
      <xdr:rowOff>142875</xdr:rowOff>
    </xdr:from>
    <xdr:to>
      <xdr:col>11</xdr:col>
      <xdr:colOff>371475</xdr:colOff>
      <xdr:row>47</xdr:row>
      <xdr:rowOff>114300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CxnSpPr/>
      </xdr:nvCxnSpPr>
      <xdr:spPr>
        <a:xfrm flipH="1">
          <a:off x="6896102" y="8905875"/>
          <a:ext cx="180973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52</xdr:row>
      <xdr:rowOff>189430</xdr:rowOff>
    </xdr:from>
    <xdr:to>
      <xdr:col>13</xdr:col>
      <xdr:colOff>400050</xdr:colOff>
      <xdr:row>53</xdr:row>
      <xdr:rowOff>123825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>
          <a:stCxn id="11" idx="1"/>
        </xdr:cNvCxnSpPr>
      </xdr:nvCxnSpPr>
      <xdr:spPr>
        <a:xfrm flipH="1">
          <a:off x="7991475" y="10095430"/>
          <a:ext cx="333375" cy="124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4761</xdr:rowOff>
    </xdr:from>
    <xdr:to>
      <xdr:col>14</xdr:col>
      <xdr:colOff>428625</xdr:colOff>
      <xdr:row>31</xdr:row>
      <xdr:rowOff>142875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152399</xdr:colOff>
      <xdr:row>36</xdr:row>
      <xdr:rowOff>28574</xdr:rowOff>
    </xdr:from>
    <xdr:to>
      <xdr:col>14</xdr:col>
      <xdr:colOff>419100</xdr:colOff>
      <xdr:row>67</xdr:row>
      <xdr:rowOff>57149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72</xdr:row>
      <xdr:rowOff>9524</xdr:rowOff>
    </xdr:from>
    <xdr:to>
      <xdr:col>14</xdr:col>
      <xdr:colOff>342900</xdr:colOff>
      <xdr:row>102</xdr:row>
      <xdr:rowOff>133349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4761</xdr:rowOff>
    </xdr:from>
    <xdr:to>
      <xdr:col>14</xdr:col>
      <xdr:colOff>333375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147636</xdr:rowOff>
    </xdr:from>
    <xdr:to>
      <xdr:col>17</xdr:col>
      <xdr:colOff>533399</xdr:colOff>
      <xdr:row>35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123825</xdr:colOff>
      <xdr:row>10</xdr:row>
      <xdr:rowOff>104775</xdr:rowOff>
    </xdr:from>
    <xdr:ext cx="19490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1343025" y="2009775"/>
          <a:ext cx="1949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Green Zone &lt; 800 Hours / Year</a:t>
          </a:r>
        </a:p>
      </xdr:txBody>
    </xdr:sp>
    <xdr:clientData/>
  </xdr:one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0.68288</cdr:x>
      <cdr:y>0.29624</cdr:y>
    </cdr:from>
    <cdr:to>
      <cdr:x>0.85157</cdr:x>
      <cdr:y>0.33612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03000000}"/>
            </a:ext>
          </a:extLst>
        </cdr:cNvPr>
        <cdr:cNvSpPr txBox="1"/>
      </cdr:nvSpPr>
      <cdr:spPr>
        <a:xfrm xmlns:a="http://schemas.openxmlformats.org/drawingml/2006/main">
          <a:off x="7356513" y="1965305"/>
          <a:ext cx="1817292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Red Zone &gt; 800 Hours / 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9FC1-E1D3-4D1B-A1A6-D71DDA3AFB6A}">
  <dimension ref="B1:AQ58"/>
  <sheetViews>
    <sheetView zoomScale="62" zoomScaleNormal="62" workbookViewId="0">
      <selection activeCell="N55" sqref="N55:O58"/>
    </sheetView>
  </sheetViews>
  <sheetFormatPr defaultRowHeight="15" x14ac:dyDescent="0.25"/>
  <cols>
    <col min="1" max="1" width="2.5703125" customWidth="1"/>
    <col min="14" max="14" width="11" bestFit="1" customWidth="1"/>
    <col min="16" max="16" width="3.42578125" customWidth="1"/>
    <col min="29" max="29" width="10" bestFit="1" customWidth="1"/>
  </cols>
  <sheetData>
    <row r="1" spans="2:33" ht="31.5" x14ac:dyDescent="0.25">
      <c r="B1" s="10"/>
      <c r="C1" s="10"/>
      <c r="D1" s="172" t="s">
        <v>50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</f>
        <v>46098</v>
      </c>
      <c r="U1" s="173"/>
      <c r="V1" s="173"/>
      <c r="W1" s="173"/>
      <c r="X1" s="173"/>
      <c r="Y1" s="173"/>
      <c r="Z1" s="12"/>
      <c r="AA1" s="12"/>
      <c r="AB1" s="10"/>
      <c r="AC1" s="10"/>
      <c r="AD1" s="10"/>
      <c r="AE1" s="10"/>
      <c r="AF1" s="10"/>
      <c r="AG1" s="10"/>
    </row>
    <row r="2" spans="2:33" ht="14.25" customHeight="1" x14ac:dyDescent="0.25"/>
    <row r="3" spans="2:33" ht="27" customHeight="1" x14ac:dyDescent="0.25">
      <c r="B3" s="174" t="s">
        <v>393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394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30" spans="2:43" ht="27" customHeight="1" x14ac:dyDescent="0.25">
      <c r="B30" s="14"/>
      <c r="C30" s="19" t="s">
        <v>55</v>
      </c>
      <c r="D30" s="19"/>
      <c r="E30" s="24">
        <f>'2026 Data'!J11</f>
        <v>1.05</v>
      </c>
      <c r="F30" s="19"/>
      <c r="G30" s="19" t="s">
        <v>56</v>
      </c>
      <c r="H30" s="15"/>
      <c r="I30" s="15"/>
      <c r="J30" s="24">
        <f>'2026 Data'!L11</f>
        <v>0.96500000000000008</v>
      </c>
      <c r="K30" s="15"/>
      <c r="L30" s="19" t="s">
        <v>57</v>
      </c>
      <c r="M30" s="15"/>
      <c r="N30" s="24">
        <f>'2026 Data'!M11</f>
        <v>0.95</v>
      </c>
      <c r="O30" s="16"/>
      <c r="Q30" s="18"/>
      <c r="R30" s="19" t="s">
        <v>51</v>
      </c>
      <c r="S30" s="20"/>
      <c r="T30" s="136">
        <f>'2025 Data'!AL57</f>
        <v>2.7659640840603521E-3</v>
      </c>
      <c r="U30" s="20"/>
      <c r="V30" s="19" t="s">
        <v>53</v>
      </c>
      <c r="W30" s="20"/>
      <c r="X30" s="20"/>
      <c r="Y30" s="136">
        <f>'2025 Data'!AO55</f>
        <v>1.2500000000000001E-2</v>
      </c>
      <c r="Z30" s="20"/>
      <c r="AA30" s="19" t="s">
        <v>52</v>
      </c>
      <c r="AB30" s="20"/>
      <c r="AC30" s="136">
        <f>T30-Y30</f>
        <v>-9.734035915939649E-3</v>
      </c>
      <c r="AD30" s="137" t="s">
        <v>381</v>
      </c>
    </row>
    <row r="31" spans="2:43" x14ac:dyDescent="0.25">
      <c r="AM31" s="121" t="s">
        <v>352</v>
      </c>
      <c r="AN31" s="81"/>
      <c r="AO31" s="81"/>
      <c r="AP31" s="81"/>
      <c r="AQ31" s="122"/>
    </row>
    <row r="32" spans="2:43" hidden="1" x14ac:dyDescent="0.25">
      <c r="AM32" s="123"/>
      <c r="AQ32" s="124"/>
    </row>
    <row r="33" spans="2:43" hidden="1" x14ac:dyDescent="0.25">
      <c r="AM33" s="123"/>
      <c r="AQ33" s="124"/>
    </row>
    <row r="34" spans="2:43" x14ac:dyDescent="0.25">
      <c r="AM34" s="123" t="s">
        <v>353</v>
      </c>
      <c r="AQ34" s="124"/>
    </row>
    <row r="35" spans="2:43" ht="21" x14ac:dyDescent="0.25">
      <c r="B35" s="174" t="s">
        <v>91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AM35" s="123" t="s">
        <v>23</v>
      </c>
      <c r="AN35">
        <v>20</v>
      </c>
      <c r="AP35" t="s">
        <v>20</v>
      </c>
      <c r="AQ35" s="125">
        <v>0.41</v>
      </c>
    </row>
    <row r="36" spans="2:43" x14ac:dyDescent="0.25">
      <c r="AM36" s="123" t="s">
        <v>24</v>
      </c>
      <c r="AN36">
        <v>5</v>
      </c>
      <c r="AP36" t="s">
        <v>21</v>
      </c>
      <c r="AQ36" s="85">
        <v>0.01</v>
      </c>
    </row>
    <row r="37" spans="2:43" x14ac:dyDescent="0.25">
      <c r="B37" s="166" t="s">
        <v>88</v>
      </c>
      <c r="C37" s="167"/>
      <c r="D37" s="167"/>
      <c r="E37" s="167"/>
      <c r="F37" s="167"/>
      <c r="G37" s="167"/>
      <c r="H37" s="167"/>
      <c r="I37" s="167"/>
      <c r="J37" s="167"/>
      <c r="K37" s="168"/>
      <c r="L37" s="166" t="s">
        <v>89</v>
      </c>
      <c r="M37" s="168"/>
      <c r="N37" s="166" t="s">
        <v>90</v>
      </c>
      <c r="O37" s="168"/>
      <c r="AM37" s="123" t="s">
        <v>25</v>
      </c>
      <c r="AN37">
        <v>20</v>
      </c>
      <c r="AP37" t="s">
        <v>22</v>
      </c>
      <c r="AQ37" s="85">
        <f>0.99-AQ35-AQ36</f>
        <v>0.57000000000000006</v>
      </c>
    </row>
    <row r="38" spans="2:43" x14ac:dyDescent="0.25">
      <c r="B38" s="169"/>
      <c r="C38" s="170"/>
      <c r="D38" s="170"/>
      <c r="E38" s="170"/>
      <c r="F38" s="170"/>
      <c r="G38" s="170"/>
      <c r="H38" s="170"/>
      <c r="I38" s="170"/>
      <c r="J38" s="170"/>
      <c r="K38" s="171"/>
      <c r="L38" s="169"/>
      <c r="M38" s="171"/>
      <c r="N38" s="169"/>
      <c r="O38" s="171"/>
      <c r="AM38" s="123" t="s">
        <v>26</v>
      </c>
      <c r="AN38">
        <v>45</v>
      </c>
      <c r="AQ38" s="124"/>
    </row>
    <row r="39" spans="2:43" ht="15" customHeight="1" x14ac:dyDescent="0.25">
      <c r="B39" s="145" t="s">
        <v>390</v>
      </c>
      <c r="C39" s="146"/>
      <c r="D39" s="146"/>
      <c r="E39" s="146"/>
      <c r="F39" s="146"/>
      <c r="G39" s="146"/>
      <c r="H39" s="146"/>
      <c r="I39" s="146"/>
      <c r="J39" s="146"/>
      <c r="K39" s="147"/>
      <c r="L39" s="154" t="s">
        <v>361</v>
      </c>
      <c r="M39" s="155"/>
      <c r="N39" s="160">
        <v>45992</v>
      </c>
      <c r="O39" s="161"/>
      <c r="AM39" s="123"/>
      <c r="AQ39" s="124"/>
    </row>
    <row r="40" spans="2:43" ht="15" customHeight="1" x14ac:dyDescent="0.25">
      <c r="B40" s="148"/>
      <c r="C40" s="149"/>
      <c r="D40" s="149"/>
      <c r="E40" s="149"/>
      <c r="F40" s="149"/>
      <c r="G40" s="149"/>
      <c r="H40" s="149"/>
      <c r="I40" s="149"/>
      <c r="J40" s="149"/>
      <c r="K40" s="150"/>
      <c r="L40" s="156"/>
      <c r="M40" s="157"/>
      <c r="N40" s="162"/>
      <c r="O40" s="163"/>
      <c r="AM40" s="123"/>
      <c r="AQ40" s="124"/>
    </row>
    <row r="41" spans="2:43" ht="15" customHeight="1" x14ac:dyDescent="0.25">
      <c r="B41" s="148"/>
      <c r="C41" s="149"/>
      <c r="D41" s="149"/>
      <c r="E41" s="149"/>
      <c r="F41" s="149"/>
      <c r="G41" s="149"/>
      <c r="H41" s="149"/>
      <c r="I41" s="149"/>
      <c r="J41" s="149"/>
      <c r="K41" s="150"/>
      <c r="L41" s="156"/>
      <c r="M41" s="157"/>
      <c r="N41" s="162"/>
      <c r="O41" s="163"/>
      <c r="AM41" s="123"/>
      <c r="AQ41" s="124"/>
    </row>
    <row r="42" spans="2:43" ht="15" customHeight="1" x14ac:dyDescent="0.25">
      <c r="B42" s="151"/>
      <c r="C42" s="152"/>
      <c r="D42" s="152"/>
      <c r="E42" s="152"/>
      <c r="F42" s="152"/>
      <c r="G42" s="152"/>
      <c r="H42" s="152"/>
      <c r="I42" s="152"/>
      <c r="J42" s="152"/>
      <c r="K42" s="153"/>
      <c r="L42" s="158"/>
      <c r="M42" s="159"/>
      <c r="N42" s="164"/>
      <c r="O42" s="165"/>
      <c r="AM42" s="123"/>
      <c r="AQ42" s="124"/>
    </row>
    <row r="43" spans="2:43" ht="15" customHeight="1" x14ac:dyDescent="0.25">
      <c r="B43" s="145" t="s">
        <v>388</v>
      </c>
      <c r="C43" s="146"/>
      <c r="D43" s="146"/>
      <c r="E43" s="146"/>
      <c r="F43" s="146"/>
      <c r="G43" s="146"/>
      <c r="H43" s="146"/>
      <c r="I43" s="146"/>
      <c r="J43" s="146"/>
      <c r="K43" s="147"/>
      <c r="L43" s="154" t="s">
        <v>361</v>
      </c>
      <c r="M43" s="155"/>
      <c r="N43" s="160">
        <v>46068</v>
      </c>
      <c r="O43" s="161"/>
      <c r="AM43" s="123" t="s">
        <v>40</v>
      </c>
      <c r="AN43" s="91">
        <v>42699</v>
      </c>
      <c r="AO43" s="84">
        <f>AN43/AN45</f>
        <v>0.71709995969367191</v>
      </c>
      <c r="AQ43" s="124"/>
    </row>
    <row r="44" spans="2:43" ht="15" customHeight="1" x14ac:dyDescent="0.25">
      <c r="B44" s="148"/>
      <c r="C44" s="149"/>
      <c r="D44" s="149"/>
      <c r="E44" s="149"/>
      <c r="F44" s="149"/>
      <c r="G44" s="149"/>
      <c r="H44" s="149"/>
      <c r="I44" s="149"/>
      <c r="J44" s="149"/>
      <c r="K44" s="150"/>
      <c r="L44" s="156"/>
      <c r="M44" s="157"/>
      <c r="N44" s="162"/>
      <c r="O44" s="163"/>
      <c r="AM44" s="123" t="s">
        <v>337</v>
      </c>
      <c r="AN44" s="91">
        <v>16845</v>
      </c>
      <c r="AO44" s="84">
        <f>AN44/AN45</f>
        <v>0.28290004030632809</v>
      </c>
      <c r="AQ44" s="124"/>
    </row>
    <row r="45" spans="2:43" ht="15" customHeight="1" x14ac:dyDescent="0.25">
      <c r="B45" s="148"/>
      <c r="C45" s="149"/>
      <c r="D45" s="149"/>
      <c r="E45" s="149"/>
      <c r="F45" s="149"/>
      <c r="G45" s="149"/>
      <c r="H45" s="149"/>
      <c r="I45" s="149"/>
      <c r="J45" s="149"/>
      <c r="K45" s="150"/>
      <c r="L45" s="156"/>
      <c r="M45" s="157"/>
      <c r="N45" s="162"/>
      <c r="O45" s="163"/>
      <c r="AM45" s="123" t="s">
        <v>4</v>
      </c>
      <c r="AN45" s="91">
        <f>SUM(AN43:AN44)</f>
        <v>59544</v>
      </c>
      <c r="AQ45" s="124"/>
    </row>
    <row r="46" spans="2:43" ht="15" customHeight="1" x14ac:dyDescent="0.25">
      <c r="B46" s="151"/>
      <c r="C46" s="152"/>
      <c r="D46" s="152"/>
      <c r="E46" s="152"/>
      <c r="F46" s="152"/>
      <c r="G46" s="152"/>
      <c r="H46" s="152"/>
      <c r="I46" s="152"/>
      <c r="J46" s="152"/>
      <c r="K46" s="153"/>
      <c r="L46" s="158"/>
      <c r="M46" s="159"/>
      <c r="N46" s="164"/>
      <c r="O46" s="165"/>
      <c r="AM46" s="126"/>
      <c r="AN46" s="54"/>
      <c r="AO46" s="54"/>
      <c r="AP46" s="54"/>
      <c r="AQ46" s="127"/>
    </row>
    <row r="47" spans="2:43" ht="15" customHeight="1" x14ac:dyDescent="0.25">
      <c r="B47" s="145" t="s">
        <v>401</v>
      </c>
      <c r="C47" s="146"/>
      <c r="D47" s="146"/>
      <c r="E47" s="146"/>
      <c r="F47" s="146"/>
      <c r="G47" s="146"/>
      <c r="H47" s="146"/>
      <c r="I47" s="146"/>
      <c r="J47" s="146"/>
      <c r="K47" s="147"/>
      <c r="L47" s="154" t="s">
        <v>361</v>
      </c>
      <c r="M47" s="155"/>
      <c r="N47" s="160">
        <v>46068</v>
      </c>
      <c r="O47" s="161"/>
    </row>
    <row r="48" spans="2:43" ht="15" customHeight="1" x14ac:dyDescent="0.25">
      <c r="B48" s="148"/>
      <c r="C48" s="149"/>
      <c r="D48" s="149"/>
      <c r="E48" s="149"/>
      <c r="F48" s="149"/>
      <c r="G48" s="149"/>
      <c r="H48" s="149"/>
      <c r="I48" s="149"/>
      <c r="J48" s="149"/>
      <c r="K48" s="150"/>
      <c r="L48" s="156"/>
      <c r="M48" s="157"/>
      <c r="N48" s="162"/>
      <c r="O48" s="163"/>
    </row>
    <row r="49" spans="2:15" ht="15" customHeight="1" x14ac:dyDescent="0.25">
      <c r="B49" s="148"/>
      <c r="C49" s="149"/>
      <c r="D49" s="149"/>
      <c r="E49" s="149"/>
      <c r="F49" s="149"/>
      <c r="G49" s="149"/>
      <c r="H49" s="149"/>
      <c r="I49" s="149"/>
      <c r="J49" s="149"/>
      <c r="K49" s="150"/>
      <c r="L49" s="156"/>
      <c r="M49" s="157"/>
      <c r="N49" s="162"/>
      <c r="O49" s="163"/>
    </row>
    <row r="50" spans="2:15" ht="15" customHeight="1" x14ac:dyDescent="0.25">
      <c r="B50" s="151"/>
      <c r="C50" s="152"/>
      <c r="D50" s="152"/>
      <c r="E50" s="152"/>
      <c r="F50" s="152"/>
      <c r="G50" s="152"/>
      <c r="H50" s="152"/>
      <c r="I50" s="152"/>
      <c r="J50" s="152"/>
      <c r="K50" s="153"/>
      <c r="L50" s="158"/>
      <c r="M50" s="159"/>
      <c r="N50" s="164"/>
      <c r="O50" s="165"/>
    </row>
    <row r="51" spans="2:15" ht="15" customHeight="1" x14ac:dyDescent="0.25">
      <c r="B51" s="145" t="s">
        <v>392</v>
      </c>
      <c r="C51" s="146"/>
      <c r="D51" s="146"/>
      <c r="E51" s="146"/>
      <c r="F51" s="146"/>
      <c r="G51" s="146"/>
      <c r="H51" s="146"/>
      <c r="I51" s="146"/>
      <c r="J51" s="146"/>
      <c r="K51" s="147"/>
      <c r="L51" s="154" t="s">
        <v>364</v>
      </c>
      <c r="M51" s="155"/>
      <c r="N51" s="160">
        <v>46082</v>
      </c>
      <c r="O51" s="161"/>
    </row>
    <row r="52" spans="2:15" ht="15" customHeight="1" x14ac:dyDescent="0.25">
      <c r="B52" s="148"/>
      <c r="C52" s="149"/>
      <c r="D52" s="149"/>
      <c r="E52" s="149"/>
      <c r="F52" s="149"/>
      <c r="G52" s="149"/>
      <c r="H52" s="149"/>
      <c r="I52" s="149"/>
      <c r="J52" s="149"/>
      <c r="K52" s="150"/>
      <c r="L52" s="156"/>
      <c r="M52" s="157"/>
      <c r="N52" s="162"/>
      <c r="O52" s="163"/>
    </row>
    <row r="53" spans="2:15" ht="15" customHeight="1" x14ac:dyDescent="0.25">
      <c r="B53" s="148"/>
      <c r="C53" s="149"/>
      <c r="D53" s="149"/>
      <c r="E53" s="149"/>
      <c r="F53" s="149"/>
      <c r="G53" s="149"/>
      <c r="H53" s="149"/>
      <c r="I53" s="149"/>
      <c r="J53" s="149"/>
      <c r="K53" s="150"/>
      <c r="L53" s="156"/>
      <c r="M53" s="157"/>
      <c r="N53" s="162"/>
      <c r="O53" s="163"/>
    </row>
    <row r="54" spans="2:15" ht="15" customHeight="1" x14ac:dyDescent="0.25">
      <c r="B54" s="151"/>
      <c r="C54" s="152"/>
      <c r="D54" s="152"/>
      <c r="E54" s="152"/>
      <c r="F54" s="152"/>
      <c r="G54" s="152"/>
      <c r="H54" s="152"/>
      <c r="I54" s="152"/>
      <c r="J54" s="152"/>
      <c r="K54" s="153"/>
      <c r="L54" s="158"/>
      <c r="M54" s="159"/>
      <c r="N54" s="164"/>
      <c r="O54" s="165"/>
    </row>
    <row r="55" spans="2:15" ht="15" customHeight="1" x14ac:dyDescent="0.25">
      <c r="B55" s="145" t="s">
        <v>391</v>
      </c>
      <c r="C55" s="146"/>
      <c r="D55" s="146"/>
      <c r="E55" s="146"/>
      <c r="F55" s="146"/>
      <c r="G55" s="146"/>
      <c r="H55" s="146"/>
      <c r="I55" s="146"/>
      <c r="J55" s="146"/>
      <c r="K55" s="147"/>
      <c r="L55" s="154" t="s">
        <v>364</v>
      </c>
      <c r="M55" s="155"/>
      <c r="N55" s="160">
        <v>46068</v>
      </c>
      <c r="O55" s="161"/>
    </row>
    <row r="56" spans="2:15" ht="15" customHeight="1" x14ac:dyDescent="0.25">
      <c r="B56" s="148"/>
      <c r="C56" s="149"/>
      <c r="D56" s="149"/>
      <c r="E56" s="149"/>
      <c r="F56" s="149"/>
      <c r="G56" s="149"/>
      <c r="H56" s="149"/>
      <c r="I56" s="149"/>
      <c r="J56" s="149"/>
      <c r="K56" s="150"/>
      <c r="L56" s="156"/>
      <c r="M56" s="157"/>
      <c r="N56" s="162"/>
      <c r="O56" s="163"/>
    </row>
    <row r="57" spans="2:15" ht="15" customHeight="1" x14ac:dyDescent="0.25">
      <c r="B57" s="148"/>
      <c r="C57" s="149"/>
      <c r="D57" s="149"/>
      <c r="E57" s="149"/>
      <c r="F57" s="149"/>
      <c r="G57" s="149"/>
      <c r="H57" s="149"/>
      <c r="I57" s="149"/>
      <c r="J57" s="149"/>
      <c r="K57" s="150"/>
      <c r="L57" s="156"/>
      <c r="M57" s="157"/>
      <c r="N57" s="162"/>
      <c r="O57" s="163"/>
    </row>
    <row r="58" spans="2:15" ht="15" customHeight="1" x14ac:dyDescent="0.25">
      <c r="B58" s="151"/>
      <c r="C58" s="152"/>
      <c r="D58" s="152"/>
      <c r="E58" s="152"/>
      <c r="F58" s="152"/>
      <c r="G58" s="152"/>
      <c r="H58" s="152"/>
      <c r="I58" s="152"/>
      <c r="J58" s="152"/>
      <c r="K58" s="153"/>
      <c r="L58" s="158"/>
      <c r="M58" s="159"/>
      <c r="N58" s="164"/>
      <c r="O58" s="165"/>
    </row>
  </sheetData>
  <mergeCells count="23">
    <mergeCell ref="B37:K38"/>
    <mergeCell ref="L37:M38"/>
    <mergeCell ref="N37:O38"/>
    <mergeCell ref="D1:R1"/>
    <mergeCell ref="T1:Y1"/>
    <mergeCell ref="B3:O3"/>
    <mergeCell ref="Q3:AD3"/>
    <mergeCell ref="B35:O35"/>
    <mergeCell ref="B39:K42"/>
    <mergeCell ref="L39:M42"/>
    <mergeCell ref="N39:O42"/>
    <mergeCell ref="B43:K46"/>
    <mergeCell ref="L43:M46"/>
    <mergeCell ref="N43:O46"/>
    <mergeCell ref="B55:K58"/>
    <mergeCell ref="L55:M58"/>
    <mergeCell ref="N55:O58"/>
    <mergeCell ref="B47:K50"/>
    <mergeCell ref="L47:M50"/>
    <mergeCell ref="N47:O50"/>
    <mergeCell ref="B51:K54"/>
    <mergeCell ref="L51:M54"/>
    <mergeCell ref="N51:O54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DEB2B709-08BD-4A2E-A23A-BE2FF4CBA5D3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cellIs" priority="4" operator="greaterThan" id="{3D31A2B7-C66D-4C9B-8960-A66974AE09D6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ellIs" priority="2" operator="greaterThan" id="{E6F7F55E-33E7-4339-9AA6-50E81ED52779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greaterThan" id="{978DAE2B-F55E-44D6-A42E-0DE18D6C2EEF}">
            <xm:f>'2020 Data'!$N$4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1AA5-A9E7-47C4-A465-74FAA63C6093}">
  <dimension ref="A1:BZ176"/>
  <sheetViews>
    <sheetView workbookViewId="0">
      <selection activeCell="AB20" sqref="AB20"/>
    </sheetView>
  </sheetViews>
  <sheetFormatPr defaultRowHeight="15" x14ac:dyDescent="0.25"/>
  <cols>
    <col min="2" max="2" width="12.85546875" customWidth="1"/>
    <col min="11" max="11" width="2.85546875" customWidth="1"/>
    <col min="16" max="16" width="2.5703125" customWidth="1"/>
    <col min="22" max="22" width="2.42578125" customWidth="1"/>
    <col min="26" max="26" width="2.7109375" customWidth="1"/>
    <col min="31" max="31" width="2.8554687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1" spans="1:78" x14ac:dyDescent="0.25">
      <c r="AZ1" s="181" t="s">
        <v>334</v>
      </c>
      <c r="BA1" s="182"/>
      <c r="BB1" s="182"/>
      <c r="BC1" s="182"/>
      <c r="BD1" s="182"/>
      <c r="BE1" s="182"/>
      <c r="BF1" s="183"/>
    </row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399</v>
      </c>
      <c r="AB2" s="178"/>
      <c r="AC2" s="178"/>
      <c r="AD2" s="179"/>
      <c r="AF2" s="177" t="s">
        <v>400</v>
      </c>
      <c r="AG2" s="178"/>
      <c r="AH2" s="178"/>
      <c r="AI2" s="179"/>
      <c r="AK2" s="177" t="s">
        <v>398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395</v>
      </c>
      <c r="O3" s="142" t="s">
        <v>396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144" t="s">
        <v>396</v>
      </c>
      <c r="AP3" s="7" t="s">
        <v>397</v>
      </c>
      <c r="AR3" t="s">
        <v>31</v>
      </c>
      <c r="AS3" t="s">
        <v>29</v>
      </c>
      <c r="AT3" t="s">
        <v>30</v>
      </c>
      <c r="AU3" t="s">
        <v>360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2026</v>
      </c>
      <c r="B4" s="13">
        <v>46027</v>
      </c>
      <c r="C4" s="115"/>
      <c r="D4" s="7">
        <v>1</v>
      </c>
      <c r="F4" s="5">
        <v>0.38</v>
      </c>
      <c r="G4" s="5">
        <v>0.92</v>
      </c>
      <c r="H4" s="5">
        <v>1.04</v>
      </c>
      <c r="I4" s="5">
        <v>0.65</v>
      </c>
      <c r="J4" s="6">
        <v>0.94</v>
      </c>
      <c r="K4" s="7"/>
      <c r="L4" s="143">
        <v>0.96</v>
      </c>
      <c r="M4" s="143">
        <v>0.98250000000000004</v>
      </c>
      <c r="N4" s="9">
        <v>0.96</v>
      </c>
      <c r="O4" s="9">
        <v>0.95</v>
      </c>
      <c r="Q4" s="1"/>
      <c r="R4" s="1"/>
      <c r="S4" s="1"/>
      <c r="T4" s="1"/>
      <c r="U4" s="4"/>
      <c r="V4" s="4"/>
      <c r="W4" t="s">
        <v>8</v>
      </c>
      <c r="X4" s="5">
        <v>0.92</v>
      </c>
      <c r="Y4" s="5">
        <v>0.95</v>
      </c>
      <c r="AA4">
        <v>733.25</v>
      </c>
      <c r="AB4">
        <v>324.25</v>
      </c>
      <c r="AC4">
        <f>AA4+AB4</f>
        <v>1057.5</v>
      </c>
      <c r="AD4" s="1">
        <f t="shared" ref="AD4:AD57" si="0">AB4/AC4</f>
        <v>0.3066193853427896</v>
      </c>
      <c r="AF4">
        <f>AA4</f>
        <v>733.25</v>
      </c>
      <c r="AG4">
        <f>AB4</f>
        <v>324.25</v>
      </c>
      <c r="AH4">
        <f>SUM(AF4:AG4)</f>
        <v>1057.5</v>
      </c>
      <c r="AI4" s="1">
        <f t="shared" ref="AI4:AI56" si="1">AG4/AH4</f>
        <v>0.3066193853427896</v>
      </c>
      <c r="AK4" s="110">
        <f>'QC Data 2026'!N4</f>
        <v>0</v>
      </c>
      <c r="AL4" s="134">
        <f>AK4/AA4</f>
        <v>0</v>
      </c>
      <c r="AM4">
        <f>AK4</f>
        <v>0</v>
      </c>
      <c r="AN4" s="134">
        <f t="shared" ref="AN4:AN55" si="2">AM4/AF4</f>
        <v>0</v>
      </c>
      <c r="AO4" s="134">
        <v>1.2500000000000001E-2</v>
      </c>
      <c r="AP4" s="134">
        <v>1.8700000000000001E-2</v>
      </c>
      <c r="AR4" t="s">
        <v>8</v>
      </c>
      <c r="AS4" s="110">
        <f>AK4+AK5+AK6+AK7</f>
        <v>0</v>
      </c>
      <c r="AT4">
        <v>50</v>
      </c>
      <c r="AU4">
        <f>AS4</f>
        <v>0</v>
      </c>
      <c r="AV4">
        <f>AT4</f>
        <v>50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3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4">VLOOKUP(BU4,Operation,2)</f>
        <v>Weld all Outside Seams</v>
      </c>
      <c r="BW4" s="65">
        <v>942.98291999726723</v>
      </c>
      <c r="BX4" s="65">
        <v>1390</v>
      </c>
      <c r="BY4" s="1">
        <f t="shared" ref="BY4:BY13" si="5">BW4/BX4</f>
        <v>0.67840497841530012</v>
      </c>
      <c r="BZ4" s="66">
        <f>BX4-BW4</f>
        <v>447.01708000273277</v>
      </c>
    </row>
    <row r="5" spans="1:78" x14ac:dyDescent="0.25">
      <c r="A5" s="7">
        <v>2026</v>
      </c>
      <c r="B5" s="13">
        <v>46034</v>
      </c>
      <c r="C5" s="116"/>
      <c r="D5" s="7">
        <v>2</v>
      </c>
      <c r="F5" s="5">
        <v>0.87</v>
      </c>
      <c r="G5" s="5">
        <v>1.1000000000000001</v>
      </c>
      <c r="H5" s="5">
        <v>0.93</v>
      </c>
      <c r="I5" s="5">
        <v>0.52</v>
      </c>
      <c r="J5" s="6">
        <v>0.97</v>
      </c>
      <c r="K5" s="7"/>
      <c r="L5" s="143">
        <v>0.97499999999999998</v>
      </c>
      <c r="M5" s="143">
        <v>0.9425</v>
      </c>
      <c r="N5" s="9">
        <v>0.96</v>
      </c>
      <c r="O5" s="9">
        <v>0.95</v>
      </c>
      <c r="Q5" s="1"/>
      <c r="R5" s="1"/>
      <c r="S5" s="1"/>
      <c r="T5" s="1"/>
      <c r="U5" s="4"/>
      <c r="V5" s="4"/>
      <c r="W5" t="s">
        <v>9</v>
      </c>
      <c r="X5" s="5">
        <v>0.94</v>
      </c>
      <c r="Y5" s="5">
        <v>0.95</v>
      </c>
      <c r="AA5">
        <v>752</v>
      </c>
      <c r="AB5">
        <v>410</v>
      </c>
      <c r="AC5">
        <f t="shared" ref="AC5:AC57" si="6">AA5+AB5</f>
        <v>1162</v>
      </c>
      <c r="AD5" s="1">
        <f t="shared" si="0"/>
        <v>0.35283993115318418</v>
      </c>
      <c r="AF5">
        <f>AF4+AA5</f>
        <v>1485.25</v>
      </c>
      <c r="AG5">
        <f>AG4+AB5</f>
        <v>734.25</v>
      </c>
      <c r="AH5">
        <f>AH4+AC5</f>
        <v>2219.5</v>
      </c>
      <c r="AI5" s="1">
        <f t="shared" si="1"/>
        <v>0.33081775174588873</v>
      </c>
      <c r="AK5" s="110"/>
      <c r="AL5" s="134">
        <f t="shared" ref="AL5:AL55" si="7">AK5/AA5</f>
        <v>0</v>
      </c>
      <c r="AM5">
        <f t="shared" ref="AM5:AM27" si="8">AM4+AK5</f>
        <v>0</v>
      </c>
      <c r="AN5" s="134">
        <f t="shared" si="2"/>
        <v>0</v>
      </c>
      <c r="AO5" s="134">
        <v>1.2500000000000001E-2</v>
      </c>
      <c r="AP5" s="134">
        <v>1.8700000000000001E-2</v>
      </c>
      <c r="AR5" t="s">
        <v>9</v>
      </c>
      <c r="AS5" s="110">
        <f>AK8+AK9+AK10+AK11</f>
        <v>0</v>
      </c>
      <c r="AT5">
        <v>50</v>
      </c>
      <c r="AU5" s="110">
        <f>AU4+AS5</f>
        <v>0</v>
      </c>
      <c r="AV5">
        <f>AV4+AT5</f>
        <v>100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3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4"/>
        <v>Tack Shell Courses</v>
      </c>
      <c r="BW5" s="65">
        <v>558</v>
      </c>
      <c r="BX5" s="65">
        <v>994.5</v>
      </c>
      <c r="BY5" s="1">
        <f t="shared" si="5"/>
        <v>0.56108597285067874</v>
      </c>
      <c r="BZ5" s="66">
        <f t="shared" ref="BZ5:BZ13" si="11">BX5-BW5</f>
        <v>436.5</v>
      </c>
    </row>
    <row r="6" spans="1:78" x14ac:dyDescent="0.25">
      <c r="A6" s="7">
        <v>2026</v>
      </c>
      <c r="B6" s="13">
        <v>46041</v>
      </c>
      <c r="C6" s="116" t="s">
        <v>8</v>
      </c>
      <c r="D6" s="7">
        <v>3</v>
      </c>
      <c r="F6" s="5">
        <v>0.69</v>
      </c>
      <c r="G6" s="5">
        <v>1.06</v>
      </c>
      <c r="H6" s="5">
        <v>0.98</v>
      </c>
      <c r="I6" s="5">
        <v>0.15</v>
      </c>
      <c r="J6" s="6">
        <v>0.92</v>
      </c>
      <c r="K6" s="7"/>
      <c r="L6" s="143">
        <v>1.0075000000000001</v>
      </c>
      <c r="M6" s="143">
        <v>0.94249999999999989</v>
      </c>
      <c r="N6" s="9">
        <v>0.96</v>
      </c>
      <c r="O6" s="9">
        <v>0.95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A6">
        <v>750.25</v>
      </c>
      <c r="AB6">
        <v>417.75</v>
      </c>
      <c r="AC6">
        <f t="shared" si="6"/>
        <v>1168</v>
      </c>
      <c r="AD6" s="1">
        <f t="shared" si="0"/>
        <v>0.35766267123287671</v>
      </c>
      <c r="AF6">
        <f t="shared" ref="AF6:AH21" si="12">AF5+AA6</f>
        <v>2235.5</v>
      </c>
      <c r="AG6">
        <f t="shared" si="12"/>
        <v>1152</v>
      </c>
      <c r="AH6">
        <f t="shared" si="12"/>
        <v>3387.5</v>
      </c>
      <c r="AI6" s="1">
        <f t="shared" si="1"/>
        <v>0.34007380073800736</v>
      </c>
      <c r="AK6" s="110"/>
      <c r="AL6" s="134">
        <f t="shared" si="7"/>
        <v>0</v>
      </c>
      <c r="AM6">
        <f t="shared" si="8"/>
        <v>0</v>
      </c>
      <c r="AN6" s="134">
        <f t="shared" si="2"/>
        <v>0</v>
      </c>
      <c r="AO6" s="134">
        <v>1.2500000000000001E-2</v>
      </c>
      <c r="AP6" s="134">
        <v>1.8700000000000001E-2</v>
      </c>
      <c r="AR6" t="s">
        <v>10</v>
      </c>
      <c r="AS6" s="110">
        <f>AK12+AK13+AK14+AK15+AK16</f>
        <v>0</v>
      </c>
      <c r="AT6">
        <v>50</v>
      </c>
      <c r="AU6" s="110">
        <f t="shared" ref="AU6:AV15" si="13">AU5+AS6</f>
        <v>0</v>
      </c>
      <c r="AV6">
        <f t="shared" si="13"/>
        <v>150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3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4"/>
        <v>Install Internal Parts</v>
      </c>
      <c r="BW6" s="65">
        <v>479.33818042422695</v>
      </c>
      <c r="BX6" s="65">
        <v>808</v>
      </c>
      <c r="BY6" s="1">
        <f t="shared" si="5"/>
        <v>0.59324032230721158</v>
      </c>
      <c r="BZ6" s="66">
        <f t="shared" si="11"/>
        <v>328.66181957577305</v>
      </c>
    </row>
    <row r="7" spans="1:78" x14ac:dyDescent="0.25">
      <c r="A7" s="7">
        <v>2026</v>
      </c>
      <c r="B7" s="13">
        <v>46048</v>
      </c>
      <c r="C7" s="117"/>
      <c r="D7" s="7">
        <v>4</v>
      </c>
      <c r="F7" s="5">
        <v>0.7</v>
      </c>
      <c r="G7" s="5">
        <v>0.89</v>
      </c>
      <c r="H7" s="5">
        <v>1.25</v>
      </c>
      <c r="I7" s="5">
        <v>0.59</v>
      </c>
      <c r="J7" s="6">
        <v>0.91</v>
      </c>
      <c r="K7" s="7"/>
      <c r="L7" s="8">
        <f t="shared" ref="L7:L27" si="14">AVERAGE(J4:J7)</f>
        <v>0.93500000000000005</v>
      </c>
      <c r="M7" s="143">
        <v>0.95499999999999996</v>
      </c>
      <c r="N7" s="9">
        <v>0.96</v>
      </c>
      <c r="O7" s="9">
        <v>0.95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A7">
        <v>661.5</v>
      </c>
      <c r="AB7" s="140">
        <v>447.25</v>
      </c>
      <c r="AC7">
        <f t="shared" si="6"/>
        <v>1108.75</v>
      </c>
      <c r="AD7" s="1">
        <f t="shared" si="0"/>
        <v>0.40338218714768886</v>
      </c>
      <c r="AF7">
        <f t="shared" si="12"/>
        <v>2897</v>
      </c>
      <c r="AG7">
        <f t="shared" si="12"/>
        <v>1599.25</v>
      </c>
      <c r="AH7">
        <f t="shared" si="12"/>
        <v>4496.25</v>
      </c>
      <c r="AI7" s="1">
        <f t="shared" si="1"/>
        <v>0.35568529329997217</v>
      </c>
      <c r="AK7" s="110"/>
      <c r="AL7" s="134">
        <f t="shared" si="7"/>
        <v>0</v>
      </c>
      <c r="AM7">
        <f t="shared" si="8"/>
        <v>0</v>
      </c>
      <c r="AN7" s="134">
        <f t="shared" si="2"/>
        <v>0</v>
      </c>
      <c r="AO7" s="134">
        <v>1.2500000000000001E-2</v>
      </c>
      <c r="AP7" s="134">
        <v>1.8700000000000001E-2</v>
      </c>
      <c r="AR7" t="s">
        <v>11</v>
      </c>
      <c r="AS7" s="110">
        <f>AK17+AK18+AK19+AK20</f>
        <v>0</v>
      </c>
      <c r="AT7">
        <v>50</v>
      </c>
      <c r="AU7" s="110">
        <f t="shared" si="13"/>
        <v>0</v>
      </c>
      <c r="AV7">
        <f t="shared" si="13"/>
        <v>200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3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4"/>
        <v>BI, SQ, T&amp;C Shells</v>
      </c>
      <c r="BW7" s="65">
        <v>971.16692466460245</v>
      </c>
      <c r="BX7" s="65">
        <v>1271</v>
      </c>
      <c r="BY7" s="1">
        <f t="shared" si="5"/>
        <v>0.76409671492100906</v>
      </c>
      <c r="BZ7" s="66">
        <f t="shared" si="11"/>
        <v>299.83307533539755</v>
      </c>
    </row>
    <row r="8" spans="1:78" x14ac:dyDescent="0.25">
      <c r="A8" s="7">
        <v>2026</v>
      </c>
      <c r="B8" s="13">
        <v>46055</v>
      </c>
      <c r="C8" s="115"/>
      <c r="D8" s="7">
        <v>5</v>
      </c>
      <c r="F8" s="5">
        <v>0.65</v>
      </c>
      <c r="G8" s="5">
        <v>0.95</v>
      </c>
      <c r="H8" s="5">
        <v>1.23</v>
      </c>
      <c r="I8" s="5">
        <v>0.59</v>
      </c>
      <c r="J8" s="6">
        <v>0.93</v>
      </c>
      <c r="K8" s="7"/>
      <c r="L8" s="8">
        <f t="shared" si="14"/>
        <v>0.93250000000000011</v>
      </c>
      <c r="M8" s="143">
        <v>0.96</v>
      </c>
      <c r="N8" s="9">
        <v>0.96</v>
      </c>
      <c r="O8" s="9">
        <v>0.95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110">
        <v>729.5</v>
      </c>
      <c r="AB8" s="140">
        <v>500.75</v>
      </c>
      <c r="AC8">
        <f t="shared" si="6"/>
        <v>1230.25</v>
      </c>
      <c r="AD8" s="1">
        <f t="shared" si="0"/>
        <v>0.40703109124161757</v>
      </c>
      <c r="AF8">
        <f t="shared" si="12"/>
        <v>3626.5</v>
      </c>
      <c r="AG8">
        <f t="shared" si="12"/>
        <v>2100</v>
      </c>
      <c r="AH8">
        <f t="shared" si="12"/>
        <v>5726.5</v>
      </c>
      <c r="AI8" s="1">
        <f t="shared" si="1"/>
        <v>0.36671614424168342</v>
      </c>
      <c r="AK8" s="110"/>
      <c r="AL8" s="134">
        <f t="shared" si="7"/>
        <v>0</v>
      </c>
      <c r="AM8">
        <f t="shared" si="8"/>
        <v>0</v>
      </c>
      <c r="AN8" s="134">
        <f t="shared" si="2"/>
        <v>0</v>
      </c>
      <c r="AO8" s="134">
        <v>1.2500000000000001E-2</v>
      </c>
      <c r="AP8" s="134">
        <v>1.8700000000000001E-2</v>
      </c>
      <c r="AR8" t="s">
        <v>12</v>
      </c>
      <c r="AS8" s="110">
        <f>AK21+AK22+AK23+AK24</f>
        <v>0</v>
      </c>
      <c r="AT8">
        <v>50</v>
      </c>
      <c r="AU8" s="110">
        <f t="shared" si="13"/>
        <v>0</v>
      </c>
      <c r="AV8">
        <f t="shared" si="13"/>
        <v>250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3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4"/>
        <v>Move Tank to Detail Rolls</v>
      </c>
      <c r="BW8" s="65">
        <v>164.14545454545456</v>
      </c>
      <c r="BX8" s="65">
        <v>461.5</v>
      </c>
      <c r="BY8" s="1">
        <f t="shared" si="5"/>
        <v>0.35567812469220922</v>
      </c>
      <c r="BZ8" s="66">
        <f t="shared" si="11"/>
        <v>297.35454545454547</v>
      </c>
    </row>
    <row r="9" spans="1:78" x14ac:dyDescent="0.25">
      <c r="A9" s="7">
        <v>2026</v>
      </c>
      <c r="B9" s="13">
        <v>46062</v>
      </c>
      <c r="C9" s="116"/>
      <c r="D9" s="7">
        <v>6</v>
      </c>
      <c r="F9" s="5">
        <v>0.73</v>
      </c>
      <c r="G9" s="5">
        <v>0.97</v>
      </c>
      <c r="H9" s="5">
        <v>1.07</v>
      </c>
      <c r="I9" s="5">
        <v>1</v>
      </c>
      <c r="J9" s="6">
        <v>0.97</v>
      </c>
      <c r="K9" s="7"/>
      <c r="L9" s="8">
        <f>AVERAGE(J6:J9)</f>
        <v>0.93250000000000011</v>
      </c>
      <c r="M9" s="143">
        <v>0.97499999999999998</v>
      </c>
      <c r="N9" s="9">
        <v>0.96</v>
      </c>
      <c r="O9" s="9">
        <v>0.95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110">
        <v>873.5</v>
      </c>
      <c r="AB9" s="2">
        <v>408</v>
      </c>
      <c r="AC9">
        <f t="shared" si="6"/>
        <v>1281.5</v>
      </c>
      <c r="AD9" s="1">
        <f t="shared" si="0"/>
        <v>0.31837690206788921</v>
      </c>
      <c r="AF9">
        <f t="shared" si="12"/>
        <v>4500</v>
      </c>
      <c r="AG9">
        <f t="shared" si="12"/>
        <v>2508</v>
      </c>
      <c r="AH9">
        <f t="shared" si="12"/>
        <v>7008</v>
      </c>
      <c r="AI9" s="1">
        <f t="shared" si="1"/>
        <v>0.35787671232876711</v>
      </c>
      <c r="AK9" s="110"/>
      <c r="AL9" s="134">
        <f t="shared" si="7"/>
        <v>0</v>
      </c>
      <c r="AM9">
        <f t="shared" si="8"/>
        <v>0</v>
      </c>
      <c r="AN9" s="134">
        <f t="shared" si="2"/>
        <v>0</v>
      </c>
      <c r="AO9" s="134">
        <v>1.2500000000000001E-2</v>
      </c>
      <c r="AP9" s="134">
        <v>1.8700000000000001E-2</v>
      </c>
      <c r="AR9" t="s">
        <v>13</v>
      </c>
      <c r="AS9" s="110">
        <f>AK25+AK26+AK27+AK28+AK29</f>
        <v>0</v>
      </c>
      <c r="AT9">
        <v>50</v>
      </c>
      <c r="AU9" s="110">
        <f t="shared" si="13"/>
        <v>0</v>
      </c>
      <c r="AV9">
        <f t="shared" si="13"/>
        <v>300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3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4"/>
        <v>B&amp;C parts-lugs, supp, etc</v>
      </c>
      <c r="BW9" s="65">
        <v>769.92174030985382</v>
      </c>
      <c r="BX9" s="65">
        <v>1061</v>
      </c>
      <c r="BY9" s="1">
        <f t="shared" si="5"/>
        <v>0.72565668266715722</v>
      </c>
      <c r="BZ9" s="66">
        <f t="shared" si="11"/>
        <v>291.07825969014618</v>
      </c>
    </row>
    <row r="10" spans="1:78" x14ac:dyDescent="0.25">
      <c r="A10" s="7">
        <v>2026</v>
      </c>
      <c r="B10" s="13">
        <v>46069</v>
      </c>
      <c r="C10" s="116" t="s">
        <v>9</v>
      </c>
      <c r="D10" s="7">
        <v>7</v>
      </c>
      <c r="F10" s="5">
        <v>0.61</v>
      </c>
      <c r="G10" s="5">
        <v>0.92</v>
      </c>
      <c r="H10" s="5">
        <v>1.01</v>
      </c>
      <c r="I10" s="5">
        <v>0.42</v>
      </c>
      <c r="J10" s="34">
        <v>0.91</v>
      </c>
      <c r="K10" s="7"/>
      <c r="L10" s="8">
        <f t="shared" si="14"/>
        <v>0.93</v>
      </c>
      <c r="M10" s="143">
        <v>0.95</v>
      </c>
      <c r="N10" s="9">
        <v>0.96</v>
      </c>
      <c r="O10" s="9">
        <v>0.95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>
        <v>988</v>
      </c>
      <c r="AB10" s="2">
        <v>357</v>
      </c>
      <c r="AC10">
        <f t="shared" si="6"/>
        <v>1345</v>
      </c>
      <c r="AD10" s="1">
        <f t="shared" si="0"/>
        <v>0.26542750929368031</v>
      </c>
      <c r="AF10">
        <f t="shared" si="12"/>
        <v>5488</v>
      </c>
      <c r="AG10">
        <f t="shared" si="12"/>
        <v>2865</v>
      </c>
      <c r="AH10">
        <f t="shared" si="12"/>
        <v>8353</v>
      </c>
      <c r="AI10" s="1">
        <f t="shared" si="1"/>
        <v>0.34299054232012449</v>
      </c>
      <c r="AK10" s="110"/>
      <c r="AL10" s="134">
        <f t="shared" si="7"/>
        <v>0</v>
      </c>
      <c r="AM10">
        <f t="shared" si="8"/>
        <v>0</v>
      </c>
      <c r="AN10" s="134">
        <f t="shared" si="2"/>
        <v>0</v>
      </c>
      <c r="AO10" s="134">
        <v>1.2500000000000001E-2</v>
      </c>
      <c r="AP10" s="134">
        <v>1.8700000000000001E-2</v>
      </c>
      <c r="AR10" t="s">
        <v>14</v>
      </c>
      <c r="AS10" s="110">
        <f>AK30+AK31+AK32+AK33</f>
        <v>0</v>
      </c>
      <c r="AT10">
        <v>50</v>
      </c>
      <c r="AU10" s="110">
        <f t="shared" si="13"/>
        <v>0</v>
      </c>
      <c r="AV10">
        <f t="shared" si="13"/>
        <v>350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3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4"/>
        <v>Fit Bottom Head to Shell</v>
      </c>
      <c r="BW10" s="65">
        <v>732.67698412698417</v>
      </c>
      <c r="BX10" s="65">
        <v>1012</v>
      </c>
      <c r="BY10" s="1">
        <f t="shared" si="5"/>
        <v>0.7239891147499844</v>
      </c>
      <c r="BZ10" s="66">
        <f t="shared" si="11"/>
        <v>279.32301587301583</v>
      </c>
    </row>
    <row r="11" spans="1:78" x14ac:dyDescent="0.25">
      <c r="A11" s="7">
        <v>2026</v>
      </c>
      <c r="B11" s="13">
        <v>46076</v>
      </c>
      <c r="C11" s="117"/>
      <c r="D11" s="7">
        <v>8</v>
      </c>
      <c r="F11" s="5">
        <v>0.67</v>
      </c>
      <c r="G11" s="5">
        <v>0.96</v>
      </c>
      <c r="H11" s="5">
        <v>1.21</v>
      </c>
      <c r="I11" s="5">
        <v>0.93</v>
      </c>
      <c r="J11" s="6">
        <v>1.05</v>
      </c>
      <c r="K11" s="7"/>
      <c r="L11" s="8">
        <f t="shared" si="14"/>
        <v>0.96500000000000008</v>
      </c>
      <c r="M11" s="8">
        <f>AVERAGE(J4:J11)</f>
        <v>0.95</v>
      </c>
      <c r="N11" s="9">
        <v>0.96</v>
      </c>
      <c r="O11" s="9">
        <v>0.95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110">
        <v>1005.5</v>
      </c>
      <c r="AB11" s="2">
        <v>431</v>
      </c>
      <c r="AC11">
        <f t="shared" si="6"/>
        <v>1436.5</v>
      </c>
      <c r="AD11" s="1">
        <f t="shared" si="0"/>
        <v>0.30003480682213712</v>
      </c>
      <c r="AF11">
        <f t="shared" si="12"/>
        <v>6493.5</v>
      </c>
      <c r="AG11">
        <f t="shared" si="12"/>
        <v>3296</v>
      </c>
      <c r="AH11">
        <f t="shared" si="12"/>
        <v>9789.5</v>
      </c>
      <c r="AI11" s="1">
        <f t="shared" si="1"/>
        <v>0.33668726696971246</v>
      </c>
      <c r="AK11" s="110"/>
      <c r="AL11" s="134">
        <f t="shared" si="7"/>
        <v>0</v>
      </c>
      <c r="AM11">
        <f t="shared" si="8"/>
        <v>0</v>
      </c>
      <c r="AN11" s="134">
        <f t="shared" si="2"/>
        <v>0</v>
      </c>
      <c r="AO11" s="134">
        <v>1.2500000000000001E-2</v>
      </c>
      <c r="AP11" s="134">
        <v>1.8700000000000001E-2</v>
      </c>
      <c r="AR11" t="s">
        <v>15</v>
      </c>
      <c r="AS11" s="110">
        <f>AK34+AK35+AK36+AK37</f>
        <v>0</v>
      </c>
      <c r="AT11">
        <v>50</v>
      </c>
      <c r="AU11" s="110">
        <f t="shared" si="13"/>
        <v>0</v>
      </c>
      <c r="AV11">
        <f t="shared" si="13"/>
        <v>400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3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4"/>
        <v>Weld Shell Nozz &amp; M/Ws</v>
      </c>
      <c r="BW11" s="65">
        <v>974.8</v>
      </c>
      <c r="BX11" s="65">
        <v>1225.25</v>
      </c>
      <c r="BY11" s="1">
        <f t="shared" si="5"/>
        <v>0.79559273617629056</v>
      </c>
      <c r="BZ11" s="66">
        <f t="shared" si="11"/>
        <v>250.45000000000005</v>
      </c>
    </row>
    <row r="12" spans="1:78" x14ac:dyDescent="0.25">
      <c r="A12" s="7">
        <v>2026</v>
      </c>
      <c r="B12" s="13">
        <v>46083</v>
      </c>
      <c r="C12" s="115"/>
      <c r="D12" s="7">
        <v>9</v>
      </c>
      <c r="F12" s="5">
        <v>0.55000000000000004</v>
      </c>
      <c r="G12" s="5">
        <v>1.04</v>
      </c>
      <c r="H12" s="5">
        <v>0.97</v>
      </c>
      <c r="I12" s="5">
        <v>1</v>
      </c>
      <c r="J12" s="6">
        <v>0.95</v>
      </c>
      <c r="K12" s="7"/>
      <c r="L12" s="8">
        <f t="shared" si="14"/>
        <v>0.97</v>
      </c>
      <c r="M12" s="8">
        <f t="shared" ref="M12:M56" si="15">AVERAGE(J5:J12)</f>
        <v>0.95125000000000004</v>
      </c>
      <c r="N12" s="9">
        <v>0.96</v>
      </c>
      <c r="O12" s="9">
        <v>0.95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140">
        <v>947.25</v>
      </c>
      <c r="AB12" s="140">
        <v>453.25</v>
      </c>
      <c r="AC12">
        <f t="shared" si="6"/>
        <v>1400.5</v>
      </c>
      <c r="AD12" s="1">
        <f t="shared" si="0"/>
        <v>0.32363441627990003</v>
      </c>
      <c r="AF12">
        <f t="shared" si="12"/>
        <v>7440.75</v>
      </c>
      <c r="AG12">
        <f t="shared" si="12"/>
        <v>3749.25</v>
      </c>
      <c r="AH12">
        <f t="shared" si="12"/>
        <v>11190</v>
      </c>
      <c r="AI12" s="1">
        <f t="shared" si="1"/>
        <v>0.33505361930294908</v>
      </c>
      <c r="AK12" s="110"/>
      <c r="AL12" s="134">
        <f t="shared" si="7"/>
        <v>0</v>
      </c>
      <c r="AM12">
        <f t="shared" si="8"/>
        <v>0</v>
      </c>
      <c r="AN12" s="134">
        <f t="shared" si="2"/>
        <v>0</v>
      </c>
      <c r="AO12" s="134">
        <v>1.2500000000000001E-2</v>
      </c>
      <c r="AP12" s="134">
        <v>1.8700000000000001E-2</v>
      </c>
      <c r="AR12" t="s">
        <v>16</v>
      </c>
      <c r="AS12" s="110">
        <f>AK38+AK39+AK40+AK41+AK42</f>
        <v>0</v>
      </c>
      <c r="AT12">
        <v>50</v>
      </c>
      <c r="AU12" s="110">
        <f t="shared" si="13"/>
        <v>0</v>
      </c>
      <c r="AV12">
        <f t="shared" si="13"/>
        <v>450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3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4"/>
        <v>Build Nozzles-Weld</v>
      </c>
      <c r="BW12" s="65">
        <v>958.03205989859259</v>
      </c>
      <c r="BX12" s="65">
        <v>1184.75</v>
      </c>
      <c r="BY12" s="1">
        <f t="shared" si="5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2026</v>
      </c>
      <c r="B13" s="13">
        <v>46090</v>
      </c>
      <c r="C13" s="116"/>
      <c r="D13" s="7">
        <v>10</v>
      </c>
      <c r="F13" s="33"/>
      <c r="G13" s="33"/>
      <c r="H13" s="33"/>
      <c r="I13" s="33"/>
      <c r="J13" s="34"/>
      <c r="K13" s="7"/>
      <c r="L13" s="8">
        <f t="shared" si="14"/>
        <v>0.97000000000000008</v>
      </c>
      <c r="M13" s="8">
        <f t="shared" si="15"/>
        <v>0.94857142857142862</v>
      </c>
      <c r="N13" s="9">
        <v>0.96</v>
      </c>
      <c r="O13" s="9">
        <v>0.95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140">
        <v>921.75</v>
      </c>
      <c r="AB13" s="110">
        <v>426.5</v>
      </c>
      <c r="AC13">
        <f t="shared" si="6"/>
        <v>1348.25</v>
      </c>
      <c r="AD13" s="36">
        <f t="shared" si="0"/>
        <v>0.3163359910995735</v>
      </c>
      <c r="AF13">
        <f t="shared" si="12"/>
        <v>8362.5</v>
      </c>
      <c r="AG13">
        <f t="shared" si="12"/>
        <v>4175.75</v>
      </c>
      <c r="AH13">
        <f t="shared" si="12"/>
        <v>12538.25</v>
      </c>
      <c r="AI13" s="36">
        <f>AG13/AH13</f>
        <v>0.33304089486172311</v>
      </c>
      <c r="AK13" s="110"/>
      <c r="AL13" s="134">
        <f t="shared" si="7"/>
        <v>0</v>
      </c>
      <c r="AM13">
        <f t="shared" si="8"/>
        <v>0</v>
      </c>
      <c r="AN13" s="135">
        <f t="shared" si="2"/>
        <v>0</v>
      </c>
      <c r="AO13" s="134">
        <v>1.2500000000000001E-2</v>
      </c>
      <c r="AP13" s="134">
        <v>1.8700000000000001E-2</v>
      </c>
      <c r="AR13" t="s">
        <v>17</v>
      </c>
      <c r="AS13">
        <f>AK43+AK44+AK45+AK46</f>
        <v>0</v>
      </c>
      <c r="AT13">
        <v>50</v>
      </c>
      <c r="AU13" s="110">
        <f t="shared" si="13"/>
        <v>0</v>
      </c>
      <c r="AV13">
        <f t="shared" si="13"/>
        <v>500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3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4"/>
        <v>Fit Top to Shell-Weld</v>
      </c>
      <c r="BW13" s="65">
        <v>539.9</v>
      </c>
      <c r="BX13" s="65">
        <v>753.75</v>
      </c>
      <c r="BY13" s="36">
        <f t="shared" si="5"/>
        <v>0.71628524046434494</v>
      </c>
      <c r="BZ13" s="66">
        <f t="shared" si="11"/>
        <v>213.85000000000002</v>
      </c>
    </row>
    <row r="14" spans="1:78" x14ac:dyDescent="0.25">
      <c r="A14" s="7">
        <v>2026</v>
      </c>
      <c r="B14" s="13">
        <v>46097</v>
      </c>
      <c r="C14" s="116" t="s">
        <v>10</v>
      </c>
      <c r="D14" s="7">
        <v>11</v>
      </c>
      <c r="F14" s="5"/>
      <c r="G14" s="5"/>
      <c r="H14" s="5"/>
      <c r="I14" s="5"/>
      <c r="J14" s="6"/>
      <c r="K14" s="7"/>
      <c r="L14" s="8">
        <f t="shared" si="14"/>
        <v>1</v>
      </c>
      <c r="M14" s="8">
        <f t="shared" si="15"/>
        <v>0.95333333333333348</v>
      </c>
      <c r="N14" s="9">
        <v>0.96</v>
      </c>
      <c r="O14" s="9">
        <v>0.95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/>
      <c r="AB14" s="2"/>
      <c r="AC14">
        <f t="shared" si="6"/>
        <v>0</v>
      </c>
      <c r="AD14" s="1" t="e">
        <f t="shared" si="0"/>
        <v>#DIV/0!</v>
      </c>
      <c r="AF14">
        <f t="shared" si="12"/>
        <v>8362.5</v>
      </c>
      <c r="AG14">
        <f t="shared" si="12"/>
        <v>4175.75</v>
      </c>
      <c r="AH14">
        <f t="shared" si="12"/>
        <v>12538.25</v>
      </c>
      <c r="AI14" s="1">
        <f t="shared" si="1"/>
        <v>0.33304089486172311</v>
      </c>
      <c r="AK14" s="110"/>
      <c r="AL14" s="134" t="e">
        <f t="shared" si="7"/>
        <v>#DIV/0!</v>
      </c>
      <c r="AM14">
        <f t="shared" si="8"/>
        <v>0</v>
      </c>
      <c r="AN14" s="134">
        <f t="shared" si="2"/>
        <v>0</v>
      </c>
      <c r="AO14" s="134">
        <v>1.2500000000000001E-2</v>
      </c>
      <c r="AP14" s="134">
        <v>1.8700000000000001E-2</v>
      </c>
      <c r="AR14" t="s">
        <v>18</v>
      </c>
      <c r="AS14">
        <f>AK47+AK48+AK49+AK50</f>
        <v>0</v>
      </c>
      <c r="AT14">
        <v>50</v>
      </c>
      <c r="AU14" s="110">
        <f t="shared" si="13"/>
        <v>0</v>
      </c>
      <c r="AV14">
        <f t="shared" si="13"/>
        <v>550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3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2026</v>
      </c>
      <c r="B15" s="13">
        <v>46104</v>
      </c>
      <c r="C15" s="118"/>
      <c r="D15" s="7">
        <v>12</v>
      </c>
      <c r="F15" s="5"/>
      <c r="G15" s="5"/>
      <c r="H15" s="5"/>
      <c r="I15" s="5"/>
      <c r="J15" s="6"/>
      <c r="L15" s="8">
        <f t="shared" si="14"/>
        <v>0.95</v>
      </c>
      <c r="M15" s="8">
        <f t="shared" si="15"/>
        <v>0.96200000000000008</v>
      </c>
      <c r="N15" s="9">
        <v>0.96</v>
      </c>
      <c r="O15" s="9">
        <v>0.95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/>
      <c r="AB15" s="2"/>
      <c r="AC15">
        <f t="shared" si="6"/>
        <v>0</v>
      </c>
      <c r="AD15" s="1" t="e">
        <f t="shared" si="0"/>
        <v>#DIV/0!</v>
      </c>
      <c r="AF15">
        <f t="shared" si="12"/>
        <v>8362.5</v>
      </c>
      <c r="AG15">
        <f t="shared" si="12"/>
        <v>4175.75</v>
      </c>
      <c r="AH15">
        <f t="shared" si="12"/>
        <v>12538.25</v>
      </c>
      <c r="AI15" s="1">
        <f t="shared" si="1"/>
        <v>0.33304089486172311</v>
      </c>
      <c r="AK15" s="110"/>
      <c r="AL15" s="134" t="e">
        <f t="shared" si="7"/>
        <v>#DIV/0!</v>
      </c>
      <c r="AM15">
        <f t="shared" si="8"/>
        <v>0</v>
      </c>
      <c r="AN15" s="134">
        <f t="shared" si="2"/>
        <v>0</v>
      </c>
      <c r="AO15" s="134">
        <v>1.2500000000000001E-2</v>
      </c>
      <c r="AP15" s="134">
        <v>1.8700000000000001E-2</v>
      </c>
      <c r="AR15" t="s">
        <v>19</v>
      </c>
      <c r="AS15">
        <f>AK51+AK52+AK53+AK54+AK55</f>
        <v>0</v>
      </c>
      <c r="AT15">
        <v>50</v>
      </c>
      <c r="AU15" s="110">
        <f t="shared" si="13"/>
        <v>0</v>
      </c>
      <c r="AV15">
        <f t="shared" si="13"/>
        <v>600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3"/>
        <v>0</v>
      </c>
      <c r="BF15" s="77">
        <f>3063.25+238</f>
        <v>3301.25</v>
      </c>
      <c r="BG15" s="7">
        <f t="shared" ref="BG15:BG33" si="16">SUM(BB4:BB15)</f>
        <v>2</v>
      </c>
      <c r="BH15" s="28">
        <f t="shared" ref="BH15:BH51" si="17">SUM(BF4:BF15)</f>
        <v>46931.5</v>
      </c>
      <c r="BI15" s="29">
        <f>BG15*200000/(BH15+1280)</f>
        <v>8.2967756655569733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2026</v>
      </c>
      <c r="B16" s="13">
        <v>46111</v>
      </c>
      <c r="C16" s="117"/>
      <c r="D16" s="7">
        <v>13</v>
      </c>
      <c r="F16" s="5"/>
      <c r="G16" s="5"/>
      <c r="H16" s="5"/>
      <c r="I16" s="5"/>
      <c r="J16" s="6"/>
      <c r="L16" s="8" t="e">
        <f t="shared" si="14"/>
        <v>#DIV/0!</v>
      </c>
      <c r="M16" s="8">
        <f t="shared" si="15"/>
        <v>0.97</v>
      </c>
      <c r="N16" s="9">
        <v>0.96</v>
      </c>
      <c r="O16" s="9">
        <v>0.95</v>
      </c>
      <c r="Q16" s="1"/>
      <c r="R16" s="1"/>
      <c r="S16" s="1"/>
      <c r="T16" s="1"/>
      <c r="U16" s="4"/>
      <c r="V16" s="4"/>
      <c r="W16" s="4"/>
      <c r="X16" s="4"/>
      <c r="Y16" s="4"/>
      <c r="AA16" s="2"/>
      <c r="AB16" s="2"/>
      <c r="AC16">
        <f t="shared" si="6"/>
        <v>0</v>
      </c>
      <c r="AD16" s="1" t="e">
        <f t="shared" si="0"/>
        <v>#DIV/0!</v>
      </c>
      <c r="AF16">
        <f t="shared" si="12"/>
        <v>8362.5</v>
      </c>
      <c r="AG16">
        <f t="shared" si="12"/>
        <v>4175.75</v>
      </c>
      <c r="AH16">
        <f t="shared" si="12"/>
        <v>12538.25</v>
      </c>
      <c r="AI16" s="1">
        <f t="shared" si="1"/>
        <v>0.33304089486172311</v>
      </c>
      <c r="AK16" s="110"/>
      <c r="AL16" s="134" t="e">
        <f t="shared" si="7"/>
        <v>#DIV/0!</v>
      </c>
      <c r="AM16">
        <f t="shared" si="8"/>
        <v>0</v>
      </c>
      <c r="AN16" s="134">
        <f t="shared" si="2"/>
        <v>0</v>
      </c>
      <c r="AO16" s="134">
        <v>1.2500000000000001E-2</v>
      </c>
      <c r="AP16" s="134">
        <v>1.8700000000000001E-2</v>
      </c>
      <c r="AZ16" s="69">
        <v>2020</v>
      </c>
      <c r="BA16" s="70" t="s">
        <v>8</v>
      </c>
      <c r="BB16" s="70">
        <v>0</v>
      </c>
      <c r="BC16" s="70">
        <v>1</v>
      </c>
      <c r="BD16" s="70">
        <v>0</v>
      </c>
      <c r="BE16" s="70">
        <f t="shared" si="3"/>
        <v>1</v>
      </c>
      <c r="BF16" s="78">
        <f>3060.5+785.25</f>
        <v>3845.75</v>
      </c>
      <c r="BG16" s="7">
        <f t="shared" si="16"/>
        <v>2</v>
      </c>
      <c r="BH16" s="28">
        <f t="shared" si="17"/>
        <v>47165</v>
      </c>
      <c r="BI16" s="29">
        <f t="shared" ref="BI16:BI66" si="18">BG16*200000/(BH16+1280)</f>
        <v>8.2567860460315821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2026</v>
      </c>
      <c r="B17" s="13">
        <v>46118</v>
      </c>
      <c r="C17" s="115"/>
      <c r="D17" s="7">
        <v>14</v>
      </c>
      <c r="F17" s="33"/>
      <c r="G17" s="33"/>
      <c r="H17" s="33"/>
      <c r="I17" s="33"/>
      <c r="J17" s="34"/>
      <c r="L17" s="8" t="e">
        <f t="shared" si="14"/>
        <v>#DIV/0!</v>
      </c>
      <c r="M17" s="8">
        <f t="shared" si="15"/>
        <v>0.97000000000000008</v>
      </c>
      <c r="N17" s="9">
        <v>0.96</v>
      </c>
      <c r="O17" s="9">
        <v>0.95</v>
      </c>
      <c r="Q17" s="36"/>
      <c r="R17" s="36"/>
      <c r="S17" s="36"/>
      <c r="T17" s="36"/>
      <c r="U17" s="99"/>
      <c r="V17" s="99"/>
      <c r="W17" s="99"/>
      <c r="X17" s="99"/>
      <c r="Y17" s="99"/>
      <c r="AA17" s="110"/>
      <c r="AB17" s="2"/>
      <c r="AC17">
        <f t="shared" si="6"/>
        <v>0</v>
      </c>
      <c r="AD17" s="36" t="e">
        <f t="shared" si="0"/>
        <v>#DIV/0!</v>
      </c>
      <c r="AF17">
        <f t="shared" si="12"/>
        <v>8362.5</v>
      </c>
      <c r="AG17">
        <f t="shared" si="12"/>
        <v>4175.75</v>
      </c>
      <c r="AH17">
        <f t="shared" si="12"/>
        <v>12538.25</v>
      </c>
      <c r="AI17" s="36">
        <f t="shared" si="1"/>
        <v>0.33304089486172311</v>
      </c>
      <c r="AK17" s="110"/>
      <c r="AL17" s="134" t="e">
        <f t="shared" si="7"/>
        <v>#DIV/0!</v>
      </c>
      <c r="AM17">
        <f t="shared" si="8"/>
        <v>0</v>
      </c>
      <c r="AN17" s="135">
        <f t="shared" si="2"/>
        <v>0</v>
      </c>
      <c r="AO17" s="134">
        <v>1.2500000000000001E-2</v>
      </c>
      <c r="AP17" s="134">
        <v>1.8700000000000001E-2</v>
      </c>
      <c r="AR17" t="s">
        <v>49</v>
      </c>
      <c r="AS17">
        <f>SUM(AS4:AS16)</f>
        <v>0</v>
      </c>
      <c r="AT17">
        <f>SUM(AT4:AT16)</f>
        <v>600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3"/>
        <v>1</v>
      </c>
      <c r="BF17" s="79">
        <f>3042.5+613.75</f>
        <v>3656.25</v>
      </c>
      <c r="BG17" s="7">
        <f t="shared" si="16"/>
        <v>2</v>
      </c>
      <c r="BH17" s="28">
        <f t="shared" si="17"/>
        <v>47923.75</v>
      </c>
      <c r="BI17" s="29">
        <f t="shared" si="18"/>
        <v>8.1294616772095623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2026</v>
      </c>
      <c r="B18" s="13">
        <v>46125</v>
      </c>
      <c r="C18" s="116"/>
      <c r="D18" s="7">
        <v>15</v>
      </c>
      <c r="F18" s="33"/>
      <c r="G18" s="33"/>
      <c r="H18" s="33"/>
      <c r="I18" s="33"/>
      <c r="J18" s="34"/>
      <c r="L18" s="8" t="e">
        <f t="shared" si="14"/>
        <v>#DIV/0!</v>
      </c>
      <c r="M18" s="8">
        <f t="shared" si="15"/>
        <v>1</v>
      </c>
      <c r="N18" s="9">
        <v>0.96</v>
      </c>
      <c r="O18" s="9">
        <v>0.95</v>
      </c>
      <c r="Q18" s="36"/>
      <c r="R18" s="36"/>
      <c r="S18" s="36"/>
      <c r="T18" s="36"/>
      <c r="U18" s="99"/>
      <c r="AA18" s="2"/>
      <c r="AB18" s="2"/>
      <c r="AC18">
        <f t="shared" si="6"/>
        <v>0</v>
      </c>
      <c r="AD18" s="36" t="e">
        <f t="shared" si="0"/>
        <v>#DIV/0!</v>
      </c>
      <c r="AF18">
        <f t="shared" si="12"/>
        <v>8362.5</v>
      </c>
      <c r="AG18">
        <f t="shared" si="12"/>
        <v>4175.75</v>
      </c>
      <c r="AH18">
        <f t="shared" si="12"/>
        <v>12538.25</v>
      </c>
      <c r="AI18" s="36">
        <f t="shared" si="1"/>
        <v>0.33304089486172311</v>
      </c>
      <c r="AK18" s="110"/>
      <c r="AL18" s="134" t="e">
        <f t="shared" si="7"/>
        <v>#DIV/0!</v>
      </c>
      <c r="AM18">
        <f t="shared" si="8"/>
        <v>0</v>
      </c>
      <c r="AN18" s="135">
        <f t="shared" si="2"/>
        <v>0</v>
      </c>
      <c r="AO18" s="134">
        <v>1.2500000000000001E-2</v>
      </c>
      <c r="AP18" s="134">
        <v>1.8700000000000001E-2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3"/>
        <v>1</v>
      </c>
      <c r="BF18" s="79">
        <f>3452.5+791.25</f>
        <v>4243.75</v>
      </c>
      <c r="BG18" s="7">
        <f t="shared" si="16"/>
        <v>2</v>
      </c>
      <c r="BH18" s="28">
        <f t="shared" si="17"/>
        <v>49039.5</v>
      </c>
      <c r="BI18" s="29">
        <f t="shared" si="18"/>
        <v>7.9492045827164421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2026</v>
      </c>
      <c r="B19" s="13">
        <v>46132</v>
      </c>
      <c r="C19" s="116" t="s">
        <v>11</v>
      </c>
      <c r="D19" s="7">
        <v>16</v>
      </c>
      <c r="F19" s="33"/>
      <c r="G19" s="33"/>
      <c r="H19" s="33"/>
      <c r="I19" s="33"/>
      <c r="J19" s="34"/>
      <c r="L19" s="8" t="e">
        <f t="shared" si="14"/>
        <v>#DIV/0!</v>
      </c>
      <c r="M19" s="8">
        <f t="shared" si="15"/>
        <v>0.95</v>
      </c>
      <c r="N19" s="9">
        <v>0.96</v>
      </c>
      <c r="O19" s="9">
        <v>0.95</v>
      </c>
      <c r="Q19" s="36"/>
      <c r="R19" s="36"/>
      <c r="S19" s="36"/>
      <c r="T19" s="36"/>
      <c r="U19" s="99"/>
      <c r="AA19" s="2"/>
      <c r="AB19" s="2"/>
      <c r="AC19">
        <f t="shared" si="6"/>
        <v>0</v>
      </c>
      <c r="AD19" s="36" t="e">
        <f t="shared" si="0"/>
        <v>#DIV/0!</v>
      </c>
      <c r="AF19">
        <f t="shared" si="12"/>
        <v>8362.5</v>
      </c>
      <c r="AG19">
        <f t="shared" si="12"/>
        <v>4175.75</v>
      </c>
      <c r="AH19">
        <f t="shared" si="12"/>
        <v>12538.25</v>
      </c>
      <c r="AI19" s="36">
        <f t="shared" si="1"/>
        <v>0.33304089486172311</v>
      </c>
      <c r="AK19" s="110"/>
      <c r="AL19" s="134" t="e">
        <f t="shared" si="7"/>
        <v>#DIV/0!</v>
      </c>
      <c r="AM19">
        <f t="shared" si="8"/>
        <v>0</v>
      </c>
      <c r="AN19" s="135">
        <f t="shared" si="2"/>
        <v>0</v>
      </c>
      <c r="AO19" s="134">
        <v>1.2500000000000001E-2</v>
      </c>
      <c r="AP19" s="134">
        <v>1.8700000000000001E-2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3"/>
        <v>2</v>
      </c>
      <c r="BF19" s="79">
        <f>3935.5+777</f>
        <v>4712.5</v>
      </c>
      <c r="BG19" s="7">
        <f t="shared" si="16"/>
        <v>2</v>
      </c>
      <c r="BH19" s="28">
        <f t="shared" si="17"/>
        <v>49970.75</v>
      </c>
      <c r="BI19" s="29">
        <f t="shared" si="18"/>
        <v>7.8047638327243991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2026</v>
      </c>
      <c r="B20" s="13">
        <v>46139</v>
      </c>
      <c r="C20" s="117"/>
      <c r="D20" s="7">
        <v>17</v>
      </c>
      <c r="F20" s="33"/>
      <c r="G20" s="33"/>
      <c r="H20" s="33"/>
      <c r="I20" s="33"/>
      <c r="J20" s="34"/>
      <c r="L20" s="8" t="e">
        <f t="shared" si="14"/>
        <v>#DIV/0!</v>
      </c>
      <c r="M20" s="8" t="e">
        <f t="shared" si="15"/>
        <v>#DIV/0!</v>
      </c>
      <c r="N20" s="9">
        <v>0.96</v>
      </c>
      <c r="O20" s="9">
        <v>0.95</v>
      </c>
      <c r="Q20" s="36"/>
      <c r="R20" s="36"/>
      <c r="S20" s="36"/>
      <c r="T20" s="36"/>
      <c r="U20" s="99"/>
      <c r="AA20" s="2"/>
      <c r="AB20" s="140"/>
      <c r="AC20">
        <f t="shared" si="6"/>
        <v>0</v>
      </c>
      <c r="AD20" s="36" t="e">
        <f t="shared" si="0"/>
        <v>#DIV/0!</v>
      </c>
      <c r="AF20">
        <f t="shared" si="12"/>
        <v>8362.5</v>
      </c>
      <c r="AG20">
        <f t="shared" si="12"/>
        <v>4175.75</v>
      </c>
      <c r="AH20">
        <f t="shared" si="12"/>
        <v>12538.25</v>
      </c>
      <c r="AI20" s="36">
        <f t="shared" si="1"/>
        <v>0.33304089486172311</v>
      </c>
      <c r="AK20" s="110"/>
      <c r="AL20" s="134" t="e">
        <f t="shared" si="7"/>
        <v>#DIV/0!</v>
      </c>
      <c r="AM20">
        <f t="shared" si="8"/>
        <v>0</v>
      </c>
      <c r="AN20" s="135">
        <f t="shared" si="2"/>
        <v>0</v>
      </c>
      <c r="AO20" s="134">
        <v>1.2500000000000001E-2</v>
      </c>
      <c r="AP20" s="134">
        <v>1.8700000000000001E-2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3"/>
        <v>0</v>
      </c>
      <c r="BF20" s="79">
        <f>3541+676</f>
        <v>4217</v>
      </c>
      <c r="BG20" s="7">
        <f t="shared" si="16"/>
        <v>2</v>
      </c>
      <c r="BH20" s="28">
        <f t="shared" si="17"/>
        <v>50305.5</v>
      </c>
      <c r="BI20" s="29">
        <f t="shared" si="18"/>
        <v>7.7541169514689203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2026</v>
      </c>
      <c r="B21" s="13">
        <v>46146</v>
      </c>
      <c r="C21" s="115"/>
      <c r="D21" s="7">
        <v>18</v>
      </c>
      <c r="F21" s="33"/>
      <c r="G21" s="33"/>
      <c r="H21" s="33"/>
      <c r="I21" s="33"/>
      <c r="J21" s="34"/>
      <c r="L21" s="8" t="e">
        <f t="shared" si="14"/>
        <v>#DIV/0!</v>
      </c>
      <c r="M21" s="8" t="e">
        <f t="shared" si="15"/>
        <v>#DIV/0!</v>
      </c>
      <c r="N21" s="9">
        <v>0.96</v>
      </c>
      <c r="O21" s="9">
        <v>0.95</v>
      </c>
      <c r="Q21" s="36"/>
      <c r="R21" s="36"/>
      <c r="S21" s="36"/>
      <c r="T21" s="36"/>
      <c r="U21" s="99"/>
      <c r="AA21" s="140"/>
      <c r="AB21" s="2"/>
      <c r="AC21">
        <f t="shared" si="6"/>
        <v>0</v>
      </c>
      <c r="AD21" s="36" t="e">
        <f t="shared" si="0"/>
        <v>#DIV/0!</v>
      </c>
      <c r="AF21">
        <f t="shared" si="12"/>
        <v>8362.5</v>
      </c>
      <c r="AG21">
        <f t="shared" si="12"/>
        <v>4175.75</v>
      </c>
      <c r="AH21">
        <f t="shared" si="12"/>
        <v>12538.25</v>
      </c>
      <c r="AI21" s="36">
        <f t="shared" si="1"/>
        <v>0.33304089486172311</v>
      </c>
      <c r="AK21" s="110"/>
      <c r="AL21" s="134" t="e">
        <f t="shared" si="7"/>
        <v>#DIV/0!</v>
      </c>
      <c r="AM21">
        <f t="shared" si="8"/>
        <v>0</v>
      </c>
      <c r="AN21" s="135">
        <f t="shared" si="2"/>
        <v>0</v>
      </c>
      <c r="AO21" s="134">
        <v>1.2500000000000001E-2</v>
      </c>
      <c r="AP21" s="134">
        <v>1.8700000000000001E-2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3"/>
        <v>4</v>
      </c>
      <c r="BF21" s="79">
        <v>4153</v>
      </c>
      <c r="BG21" s="7">
        <f t="shared" si="16"/>
        <v>1</v>
      </c>
      <c r="BH21" s="28">
        <f t="shared" si="17"/>
        <v>50629</v>
      </c>
      <c r="BI21" s="29">
        <f t="shared" si="18"/>
        <v>3.8528964148798859</v>
      </c>
      <c r="BJ21" s="7">
        <v>4</v>
      </c>
      <c r="BL21" s="72">
        <v>2021</v>
      </c>
      <c r="BM21" s="7" t="s">
        <v>13</v>
      </c>
      <c r="BR21" s="100">
        <v>0.95</v>
      </c>
    </row>
    <row r="22" spans="1:75" x14ac:dyDescent="0.25">
      <c r="A22" s="7">
        <v>2026</v>
      </c>
      <c r="B22" s="13">
        <v>46153</v>
      </c>
      <c r="C22" s="116"/>
      <c r="D22" s="7">
        <v>19</v>
      </c>
      <c r="F22" s="33"/>
      <c r="G22" s="33"/>
      <c r="H22" s="33"/>
      <c r="I22" s="33"/>
      <c r="J22" s="34"/>
      <c r="L22" s="8" t="e">
        <f t="shared" si="14"/>
        <v>#DIV/0!</v>
      </c>
      <c r="M22" s="8" t="e">
        <f t="shared" si="15"/>
        <v>#DIV/0!</v>
      </c>
      <c r="N22" s="9">
        <v>0.96</v>
      </c>
      <c r="O22" s="9">
        <v>0.95</v>
      </c>
      <c r="Q22" s="36"/>
      <c r="R22" s="36"/>
      <c r="S22" s="36"/>
      <c r="T22" s="36"/>
      <c r="U22" s="99"/>
      <c r="AA22" s="2"/>
      <c r="AB22" s="2"/>
      <c r="AC22">
        <f t="shared" si="6"/>
        <v>0</v>
      </c>
      <c r="AD22" s="36" t="e">
        <f t="shared" si="0"/>
        <v>#DIV/0!</v>
      </c>
      <c r="AF22">
        <f t="shared" ref="AF22:AH37" si="19">AF21+AA22</f>
        <v>8362.5</v>
      </c>
      <c r="AG22">
        <f t="shared" si="19"/>
        <v>4175.75</v>
      </c>
      <c r="AH22">
        <f t="shared" si="19"/>
        <v>12538.25</v>
      </c>
      <c r="AI22" s="36">
        <f t="shared" si="1"/>
        <v>0.33304089486172311</v>
      </c>
      <c r="AK22" s="110"/>
      <c r="AL22" s="134" t="e">
        <f t="shared" si="7"/>
        <v>#DIV/0!</v>
      </c>
      <c r="AM22">
        <f t="shared" si="8"/>
        <v>0</v>
      </c>
      <c r="AN22" s="135">
        <f t="shared" si="2"/>
        <v>0</v>
      </c>
      <c r="AO22" s="134">
        <v>1.2500000000000001E-2</v>
      </c>
      <c r="AP22" s="134">
        <v>1.8700000000000001E-2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3"/>
        <v>4</v>
      </c>
      <c r="BF22" s="79">
        <v>3759.75</v>
      </c>
      <c r="BG22" s="7">
        <f t="shared" si="16"/>
        <v>1</v>
      </c>
      <c r="BH22" s="28">
        <f t="shared" si="17"/>
        <v>50113.25</v>
      </c>
      <c r="BI22" s="29">
        <f t="shared" si="18"/>
        <v>3.8915616350396212</v>
      </c>
      <c r="BJ22" s="7">
        <v>4</v>
      </c>
      <c r="BL22" s="72">
        <v>2021</v>
      </c>
      <c r="BM22" s="7" t="s">
        <v>14</v>
      </c>
      <c r="BR22" s="100">
        <v>0.95</v>
      </c>
      <c r="BW22" s="7"/>
    </row>
    <row r="23" spans="1:75" x14ac:dyDescent="0.25">
      <c r="A23" s="7">
        <v>2026</v>
      </c>
      <c r="B23" s="13">
        <v>46160</v>
      </c>
      <c r="C23" s="116" t="s">
        <v>12</v>
      </c>
      <c r="D23" s="7">
        <v>20</v>
      </c>
      <c r="F23" s="33"/>
      <c r="G23" s="33"/>
      <c r="H23" s="33"/>
      <c r="I23" s="33"/>
      <c r="J23" s="34"/>
      <c r="L23" s="8" t="e">
        <f t="shared" si="14"/>
        <v>#DIV/0!</v>
      </c>
      <c r="M23" s="8" t="e">
        <f t="shared" si="15"/>
        <v>#DIV/0!</v>
      </c>
      <c r="N23" s="9">
        <v>0.96</v>
      </c>
      <c r="O23" s="9">
        <v>0.95</v>
      </c>
      <c r="Q23" s="36"/>
      <c r="R23" s="36"/>
      <c r="S23" s="36"/>
      <c r="T23" s="36"/>
      <c r="U23" s="99"/>
      <c r="AA23" s="110"/>
      <c r="AB23" s="140"/>
      <c r="AC23">
        <f t="shared" si="6"/>
        <v>0</v>
      </c>
      <c r="AD23" s="36" t="e">
        <f t="shared" si="0"/>
        <v>#DIV/0!</v>
      </c>
      <c r="AF23">
        <f t="shared" si="19"/>
        <v>8362.5</v>
      </c>
      <c r="AG23">
        <f t="shared" si="19"/>
        <v>4175.75</v>
      </c>
      <c r="AH23">
        <f t="shared" si="19"/>
        <v>12538.25</v>
      </c>
      <c r="AI23" s="36">
        <f t="shared" si="1"/>
        <v>0.33304089486172311</v>
      </c>
      <c r="AK23" s="110"/>
      <c r="AL23" s="134" t="e">
        <f t="shared" si="7"/>
        <v>#DIV/0!</v>
      </c>
      <c r="AM23">
        <f t="shared" si="8"/>
        <v>0</v>
      </c>
      <c r="AN23" s="135">
        <f t="shared" si="2"/>
        <v>0</v>
      </c>
      <c r="AO23" s="134">
        <v>1.2500000000000001E-2</v>
      </c>
      <c r="AP23" s="134">
        <v>1.8700000000000001E-2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3"/>
        <v>2</v>
      </c>
      <c r="BF23" s="79">
        <v>4286</v>
      </c>
      <c r="BG23" s="7">
        <f t="shared" si="16"/>
        <v>1</v>
      </c>
      <c r="BH23" s="28">
        <f t="shared" si="17"/>
        <v>49842.5</v>
      </c>
      <c r="BI23" s="29">
        <f t="shared" si="18"/>
        <v>3.9121717443395765</v>
      </c>
      <c r="BJ23" s="7">
        <v>4</v>
      </c>
      <c r="BL23" s="72">
        <v>2021</v>
      </c>
      <c r="BM23" s="7" t="s">
        <v>15</v>
      </c>
      <c r="BR23" s="100">
        <v>0.95</v>
      </c>
      <c r="BW23" s="7"/>
    </row>
    <row r="24" spans="1:75" x14ac:dyDescent="0.25">
      <c r="A24" s="7">
        <v>2026</v>
      </c>
      <c r="B24" s="13">
        <v>46167</v>
      </c>
      <c r="C24" s="117"/>
      <c r="D24" s="7">
        <v>21</v>
      </c>
      <c r="F24" s="33"/>
      <c r="G24" s="33"/>
      <c r="H24" s="33"/>
      <c r="I24" s="33"/>
      <c r="J24" s="34"/>
      <c r="L24" s="8" t="e">
        <f t="shared" si="14"/>
        <v>#DIV/0!</v>
      </c>
      <c r="M24" s="8" t="e">
        <f t="shared" si="15"/>
        <v>#DIV/0!</v>
      </c>
      <c r="N24" s="9">
        <v>0.96</v>
      </c>
      <c r="O24" s="9">
        <v>0.95</v>
      </c>
      <c r="Q24" s="36"/>
      <c r="R24" s="36"/>
      <c r="S24" s="36"/>
      <c r="T24" s="36"/>
      <c r="U24" s="99"/>
      <c r="AA24" s="110"/>
      <c r="AB24" s="140"/>
      <c r="AC24">
        <f t="shared" si="6"/>
        <v>0</v>
      </c>
      <c r="AD24" s="36" t="e">
        <f t="shared" si="0"/>
        <v>#DIV/0!</v>
      </c>
      <c r="AF24">
        <f t="shared" si="19"/>
        <v>8362.5</v>
      </c>
      <c r="AG24">
        <f t="shared" si="19"/>
        <v>4175.75</v>
      </c>
      <c r="AH24">
        <f t="shared" si="19"/>
        <v>12538.25</v>
      </c>
      <c r="AI24" s="36">
        <f t="shared" si="1"/>
        <v>0.33304089486172311</v>
      </c>
      <c r="AK24" s="110"/>
      <c r="AL24" s="134" t="e">
        <f t="shared" si="7"/>
        <v>#DIV/0!</v>
      </c>
      <c r="AM24">
        <f t="shared" si="8"/>
        <v>0</v>
      </c>
      <c r="AN24" s="135">
        <f t="shared" si="2"/>
        <v>0</v>
      </c>
      <c r="AO24" s="134">
        <v>1.2500000000000001E-2</v>
      </c>
      <c r="AP24" s="134">
        <v>1.8700000000000001E-2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3"/>
        <v>2</v>
      </c>
      <c r="BF24" s="79">
        <v>4497</v>
      </c>
      <c r="BG24" s="7">
        <f t="shared" si="16"/>
        <v>1</v>
      </c>
      <c r="BH24" s="28">
        <f t="shared" si="17"/>
        <v>50126</v>
      </c>
      <c r="BI24" s="29">
        <f t="shared" si="18"/>
        <v>3.8905964284324788</v>
      </c>
      <c r="BJ24" s="7">
        <v>4</v>
      </c>
      <c r="BL24" s="72">
        <v>2021</v>
      </c>
      <c r="BM24" s="7" t="s">
        <v>16</v>
      </c>
      <c r="BR24" s="100">
        <v>0.95</v>
      </c>
      <c r="BW24" s="7"/>
    </row>
    <row r="25" spans="1:75" x14ac:dyDescent="0.25">
      <c r="A25" s="7">
        <v>2026</v>
      </c>
      <c r="B25" s="13">
        <v>46174</v>
      </c>
      <c r="C25" s="115"/>
      <c r="D25" s="7">
        <v>22</v>
      </c>
      <c r="F25" s="33"/>
      <c r="G25" s="33"/>
      <c r="H25" s="33"/>
      <c r="I25" s="33"/>
      <c r="J25" s="34"/>
      <c r="L25" s="8" t="e">
        <f t="shared" si="14"/>
        <v>#DIV/0!</v>
      </c>
      <c r="M25" s="8" t="e">
        <f t="shared" si="15"/>
        <v>#DIV/0!</v>
      </c>
      <c r="N25" s="9">
        <v>0.96</v>
      </c>
      <c r="O25" s="9">
        <v>0.95</v>
      </c>
      <c r="Q25" s="36"/>
      <c r="R25" s="36"/>
      <c r="S25" s="36"/>
      <c r="T25" s="36"/>
      <c r="U25" s="99"/>
      <c r="AA25" s="140"/>
      <c r="AB25" s="140"/>
      <c r="AC25" s="2">
        <f t="shared" si="6"/>
        <v>0</v>
      </c>
      <c r="AD25" s="36" t="e">
        <f t="shared" si="0"/>
        <v>#DIV/0!</v>
      </c>
      <c r="AF25">
        <f t="shared" si="19"/>
        <v>8362.5</v>
      </c>
      <c r="AG25">
        <f t="shared" si="19"/>
        <v>4175.75</v>
      </c>
      <c r="AH25">
        <f t="shared" si="19"/>
        <v>12538.25</v>
      </c>
      <c r="AI25" s="36">
        <f t="shared" si="1"/>
        <v>0.33304089486172311</v>
      </c>
      <c r="AK25" s="110"/>
      <c r="AL25" s="134" t="e">
        <f t="shared" si="7"/>
        <v>#DIV/0!</v>
      </c>
      <c r="AM25">
        <f t="shared" si="8"/>
        <v>0</v>
      </c>
      <c r="AN25" s="135">
        <f t="shared" si="2"/>
        <v>0</v>
      </c>
      <c r="AO25" s="134">
        <v>1.2500000000000001E-2</v>
      </c>
      <c r="AP25" s="134">
        <v>1.8700000000000001E-2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3"/>
        <v>1</v>
      </c>
      <c r="BF25" s="79">
        <v>4461.75</v>
      </c>
      <c r="BG25" s="7">
        <f t="shared" si="16"/>
        <v>0</v>
      </c>
      <c r="BH25" s="28">
        <f t="shared" si="17"/>
        <v>48874.75</v>
      </c>
      <c r="BI25" s="29">
        <f t="shared" si="18"/>
        <v>0</v>
      </c>
      <c r="BJ25" s="7">
        <v>4</v>
      </c>
      <c r="BL25" s="72">
        <v>2021</v>
      </c>
      <c r="BM25" s="7" t="s">
        <v>17</v>
      </c>
      <c r="BR25" s="100">
        <v>0.95</v>
      </c>
      <c r="BW25" s="7"/>
    </row>
    <row r="26" spans="1:75" ht="15.75" customHeight="1" x14ac:dyDescent="0.25">
      <c r="A26" s="7">
        <v>2026</v>
      </c>
      <c r="B26" s="13">
        <v>46181</v>
      </c>
      <c r="C26" s="116"/>
      <c r="D26" s="7">
        <v>23</v>
      </c>
      <c r="F26" s="5"/>
      <c r="G26" s="5"/>
      <c r="H26" s="5"/>
      <c r="I26" s="5"/>
      <c r="J26" s="6"/>
      <c r="L26" s="8" t="e">
        <f t="shared" si="14"/>
        <v>#DIV/0!</v>
      </c>
      <c r="M26" s="8" t="e">
        <f t="shared" si="15"/>
        <v>#DIV/0!</v>
      </c>
      <c r="N26" s="9">
        <v>0.96</v>
      </c>
      <c r="O26" s="9">
        <v>0.95</v>
      </c>
      <c r="Q26" s="1"/>
      <c r="R26" s="1"/>
      <c r="S26" s="1"/>
      <c r="T26" s="1"/>
      <c r="U26" s="4"/>
      <c r="AA26" s="2"/>
      <c r="AB26" s="110"/>
      <c r="AC26">
        <f t="shared" si="6"/>
        <v>0</v>
      </c>
      <c r="AD26" s="1" t="e">
        <f t="shared" si="0"/>
        <v>#DIV/0!</v>
      </c>
      <c r="AF26">
        <f t="shared" si="19"/>
        <v>8362.5</v>
      </c>
      <c r="AG26">
        <f t="shared" si="19"/>
        <v>4175.75</v>
      </c>
      <c r="AH26">
        <f t="shared" si="19"/>
        <v>12538.25</v>
      </c>
      <c r="AI26" s="1">
        <f t="shared" si="1"/>
        <v>0.33304089486172311</v>
      </c>
      <c r="AK26" s="110"/>
      <c r="AL26" s="134" t="e">
        <f t="shared" si="7"/>
        <v>#DIV/0!</v>
      </c>
      <c r="AM26">
        <f t="shared" si="8"/>
        <v>0</v>
      </c>
      <c r="AN26" s="134">
        <f t="shared" si="2"/>
        <v>0</v>
      </c>
      <c r="AO26" s="134">
        <v>1.2500000000000001E-2</v>
      </c>
      <c r="AP26" s="134">
        <v>1.8700000000000001E-2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3"/>
        <v>2</v>
      </c>
      <c r="BF26" s="73">
        <v>3802.25</v>
      </c>
      <c r="BG26" s="7">
        <f t="shared" si="16"/>
        <v>0</v>
      </c>
      <c r="BH26" s="28">
        <f t="shared" si="17"/>
        <v>48936.25</v>
      </c>
      <c r="BI26" s="29">
        <f t="shared" si="18"/>
        <v>0</v>
      </c>
      <c r="BJ26" s="7">
        <v>4</v>
      </c>
      <c r="BL26" s="72">
        <v>2021</v>
      </c>
      <c r="BM26" s="7" t="s">
        <v>18</v>
      </c>
      <c r="BR26" s="85">
        <v>0.95</v>
      </c>
      <c r="BW26" s="7"/>
    </row>
    <row r="27" spans="1:75" ht="15.75" customHeight="1" x14ac:dyDescent="0.25">
      <c r="A27" s="7">
        <v>2026</v>
      </c>
      <c r="B27" s="13">
        <v>46188</v>
      </c>
      <c r="C27" s="116" t="s">
        <v>13</v>
      </c>
      <c r="D27" s="7">
        <v>24</v>
      </c>
      <c r="F27" s="5"/>
      <c r="G27" s="5"/>
      <c r="H27" s="5"/>
      <c r="I27" s="5"/>
      <c r="J27" s="6"/>
      <c r="L27" s="8" t="e">
        <f t="shared" si="14"/>
        <v>#DIV/0!</v>
      </c>
      <c r="M27" s="8" t="e">
        <f t="shared" si="15"/>
        <v>#DIV/0!</v>
      </c>
      <c r="N27" s="9">
        <v>0.96</v>
      </c>
      <c r="O27" s="9">
        <v>0.95</v>
      </c>
      <c r="Q27" s="1"/>
      <c r="R27" s="1"/>
      <c r="S27" s="1"/>
      <c r="T27" s="1"/>
      <c r="U27" s="4"/>
      <c r="AA27" s="2"/>
      <c r="AB27" s="2"/>
      <c r="AC27">
        <f t="shared" si="6"/>
        <v>0</v>
      </c>
      <c r="AD27" s="1" t="e">
        <f t="shared" si="0"/>
        <v>#DIV/0!</v>
      </c>
      <c r="AF27">
        <f t="shared" si="19"/>
        <v>8362.5</v>
      </c>
      <c r="AG27">
        <f t="shared" si="19"/>
        <v>4175.75</v>
      </c>
      <c r="AH27">
        <f t="shared" si="19"/>
        <v>12538.25</v>
      </c>
      <c r="AI27" s="1">
        <f t="shared" si="1"/>
        <v>0.33304089486172311</v>
      </c>
      <c r="AK27" s="110"/>
      <c r="AL27" s="134" t="e">
        <f t="shared" si="7"/>
        <v>#DIV/0!</v>
      </c>
      <c r="AM27">
        <f t="shared" si="8"/>
        <v>0</v>
      </c>
      <c r="AN27" s="134">
        <f t="shared" si="2"/>
        <v>0</v>
      </c>
      <c r="AO27" s="134">
        <v>1.2500000000000001E-2</v>
      </c>
      <c r="AP27" s="134">
        <v>1.8700000000000001E-2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3"/>
        <v>1</v>
      </c>
      <c r="BF27" s="80">
        <v>3848.25</v>
      </c>
      <c r="BG27" s="7">
        <f t="shared" si="16"/>
        <v>0</v>
      </c>
      <c r="BH27" s="28">
        <f t="shared" si="17"/>
        <v>49483.25</v>
      </c>
      <c r="BI27" s="29">
        <f t="shared" si="18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W27" s="7"/>
    </row>
    <row r="28" spans="1:75" x14ac:dyDescent="0.25">
      <c r="A28" s="7">
        <v>2026</v>
      </c>
      <c r="B28" s="13">
        <v>46195</v>
      </c>
      <c r="C28" s="118"/>
      <c r="D28" s="7">
        <v>25</v>
      </c>
      <c r="F28" s="33"/>
      <c r="G28" s="33"/>
      <c r="H28" s="33"/>
      <c r="I28" s="33"/>
      <c r="J28" s="34"/>
      <c r="L28" s="8" t="e">
        <f>AVERAGE(J25:J28)</f>
        <v>#DIV/0!</v>
      </c>
      <c r="M28" s="8" t="e">
        <f t="shared" si="15"/>
        <v>#DIV/0!</v>
      </c>
      <c r="N28" s="9">
        <v>0.96</v>
      </c>
      <c r="O28" s="9">
        <v>0.95</v>
      </c>
      <c r="Q28" s="1"/>
      <c r="R28" s="1"/>
      <c r="S28" s="1"/>
      <c r="T28" s="1"/>
      <c r="U28" s="4"/>
      <c r="AA28" s="110"/>
      <c r="AB28" s="110"/>
      <c r="AC28">
        <f t="shared" si="6"/>
        <v>0</v>
      </c>
      <c r="AD28" s="1" t="e">
        <f t="shared" si="0"/>
        <v>#DIV/0!</v>
      </c>
      <c r="AF28">
        <f t="shared" si="19"/>
        <v>8362.5</v>
      </c>
      <c r="AG28">
        <f t="shared" si="19"/>
        <v>4175.75</v>
      </c>
      <c r="AH28">
        <f t="shared" si="19"/>
        <v>12538.25</v>
      </c>
      <c r="AI28" s="1">
        <f t="shared" si="1"/>
        <v>0.33304089486172311</v>
      </c>
      <c r="AK28" s="110"/>
      <c r="AL28" s="134" t="e">
        <f t="shared" si="7"/>
        <v>#DIV/0!</v>
      </c>
      <c r="AM28">
        <f>AM27+AK28</f>
        <v>0</v>
      </c>
      <c r="AN28" s="134">
        <f t="shared" si="2"/>
        <v>0</v>
      </c>
      <c r="AO28" s="134">
        <v>1.2500000000000001E-2</v>
      </c>
      <c r="AP28" s="134">
        <v>1.8700000000000001E-2</v>
      </c>
      <c r="AZ28" s="69">
        <v>2021</v>
      </c>
      <c r="BA28" s="70" t="s">
        <v>8</v>
      </c>
      <c r="BB28" s="70">
        <v>0</v>
      </c>
      <c r="BC28" s="70">
        <v>0</v>
      </c>
      <c r="BD28" s="70">
        <v>1</v>
      </c>
      <c r="BE28" s="70">
        <f>SUM(BB28:BD28)</f>
        <v>1</v>
      </c>
      <c r="BF28" s="78">
        <v>2984.25</v>
      </c>
      <c r="BG28" s="7">
        <f t="shared" si="16"/>
        <v>0</v>
      </c>
      <c r="BH28" s="28">
        <f t="shared" si="17"/>
        <v>48621.75</v>
      </c>
      <c r="BI28" s="29">
        <f t="shared" si="18"/>
        <v>0</v>
      </c>
      <c r="BJ28" s="7">
        <v>2</v>
      </c>
      <c r="BL28" s="7">
        <v>2022</v>
      </c>
      <c r="BM28" s="7" t="s">
        <v>8</v>
      </c>
      <c r="BO28" s="102">
        <v>3</v>
      </c>
      <c r="BR28" s="1"/>
      <c r="BU28" s="7"/>
      <c r="BW28" s="7"/>
    </row>
    <row r="29" spans="1:75" x14ac:dyDescent="0.25">
      <c r="A29" s="7">
        <v>2026</v>
      </c>
      <c r="B29" s="13">
        <v>46202</v>
      </c>
      <c r="C29" s="117"/>
      <c r="D29" s="7">
        <v>26</v>
      </c>
      <c r="F29" s="33"/>
      <c r="G29" s="33"/>
      <c r="H29" s="33"/>
      <c r="I29" s="33"/>
      <c r="J29" s="34"/>
      <c r="L29" s="8" t="e">
        <f>AVERAGE(J26:J29)</f>
        <v>#DIV/0!</v>
      </c>
      <c r="M29" s="8" t="e">
        <f t="shared" si="15"/>
        <v>#DIV/0!</v>
      </c>
      <c r="N29" s="9">
        <v>0.96</v>
      </c>
      <c r="O29" s="9">
        <v>0.95</v>
      </c>
      <c r="Q29" s="1"/>
      <c r="R29" s="1"/>
      <c r="S29" s="1"/>
      <c r="T29" s="1"/>
      <c r="U29" s="4"/>
      <c r="AA29" s="2"/>
      <c r="AB29" s="140"/>
      <c r="AC29">
        <f t="shared" si="6"/>
        <v>0</v>
      </c>
      <c r="AD29" s="1" t="e">
        <f t="shared" si="0"/>
        <v>#DIV/0!</v>
      </c>
      <c r="AF29">
        <f t="shared" si="19"/>
        <v>8362.5</v>
      </c>
      <c r="AG29">
        <f t="shared" si="19"/>
        <v>4175.75</v>
      </c>
      <c r="AH29">
        <f t="shared" si="19"/>
        <v>12538.25</v>
      </c>
      <c r="AI29" s="1">
        <f t="shared" si="1"/>
        <v>0.33304089486172311</v>
      </c>
      <c r="AK29" s="110"/>
      <c r="AL29" s="134" t="e">
        <f t="shared" si="7"/>
        <v>#DIV/0!</v>
      </c>
      <c r="AM29">
        <f>AM28+AK29</f>
        <v>0</v>
      </c>
      <c r="AN29" s="134">
        <f t="shared" si="2"/>
        <v>0</v>
      </c>
      <c r="AO29" s="134">
        <v>1.2500000000000001E-2</v>
      </c>
      <c r="AP29" s="134">
        <v>1.8700000000000001E-2</v>
      </c>
      <c r="AZ29" s="72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>SUM(BB29:BD29)</f>
        <v>0</v>
      </c>
      <c r="BF29" s="79">
        <v>3347.5</v>
      </c>
      <c r="BG29" s="7">
        <f t="shared" si="16"/>
        <v>0</v>
      </c>
      <c r="BH29" s="28">
        <f t="shared" si="17"/>
        <v>48313</v>
      </c>
      <c r="BI29" s="29">
        <f t="shared" si="18"/>
        <v>0</v>
      </c>
      <c r="BJ29" s="7">
        <v>2</v>
      </c>
      <c r="BL29" s="7">
        <v>2022</v>
      </c>
      <c r="BM29" s="7" t="s">
        <v>9</v>
      </c>
      <c r="BR29" s="1"/>
      <c r="BU29" s="7"/>
      <c r="BW29" s="7"/>
    </row>
    <row r="30" spans="1:75" x14ac:dyDescent="0.25">
      <c r="A30" s="7">
        <v>2026</v>
      </c>
      <c r="B30" s="13">
        <v>46209</v>
      </c>
      <c r="C30" s="115"/>
      <c r="D30" s="7">
        <v>27</v>
      </c>
      <c r="F30" s="33"/>
      <c r="G30" s="33"/>
      <c r="H30" s="33"/>
      <c r="I30" s="33"/>
      <c r="J30" s="34"/>
      <c r="L30" s="8" t="e">
        <f>AVERAGE(J27:J30)</f>
        <v>#DIV/0!</v>
      </c>
      <c r="M30" s="8" t="e">
        <f t="shared" si="15"/>
        <v>#DIV/0!</v>
      </c>
      <c r="N30" s="9">
        <v>0.96</v>
      </c>
      <c r="O30" s="9">
        <v>0.95</v>
      </c>
      <c r="Q30" s="1"/>
      <c r="R30" s="1"/>
      <c r="S30" s="1"/>
      <c r="T30" s="1"/>
      <c r="U30" s="4"/>
      <c r="AA30" s="140"/>
      <c r="AB30" s="2"/>
      <c r="AC30">
        <f t="shared" si="6"/>
        <v>0</v>
      </c>
      <c r="AD30" s="1" t="e">
        <f t="shared" si="0"/>
        <v>#DIV/0!</v>
      </c>
      <c r="AF30">
        <f t="shared" si="19"/>
        <v>8362.5</v>
      </c>
      <c r="AG30">
        <f t="shared" si="19"/>
        <v>4175.75</v>
      </c>
      <c r="AH30">
        <f t="shared" si="19"/>
        <v>12538.25</v>
      </c>
      <c r="AI30" s="1">
        <f t="shared" si="1"/>
        <v>0.33304089486172311</v>
      </c>
      <c r="AK30" s="110"/>
      <c r="AL30" s="134" t="e">
        <f t="shared" si="7"/>
        <v>#DIV/0!</v>
      </c>
      <c r="AM30">
        <f>AM29+AK30</f>
        <v>0</v>
      </c>
      <c r="AN30" s="134">
        <f t="shared" si="2"/>
        <v>0</v>
      </c>
      <c r="AO30" s="134">
        <v>1.2500000000000001E-2</v>
      </c>
      <c r="AP30" s="134">
        <v>1.8700000000000001E-2</v>
      </c>
      <c r="AZ30" s="72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ref="BE30:BE51" si="20">SUM(BB30:BD30)</f>
        <v>3</v>
      </c>
      <c r="BF30" s="79">
        <v>3695.25</v>
      </c>
      <c r="BG30" s="7">
        <f t="shared" si="16"/>
        <v>0</v>
      </c>
      <c r="BH30" s="28">
        <f t="shared" si="17"/>
        <v>47764.5</v>
      </c>
      <c r="BI30" s="29">
        <f t="shared" si="18"/>
        <v>0</v>
      </c>
      <c r="BJ30" s="7">
        <v>2</v>
      </c>
      <c r="BL30" s="7">
        <v>2022</v>
      </c>
      <c r="BM30" s="7" t="s">
        <v>10</v>
      </c>
      <c r="BR30" s="1"/>
      <c r="BU30" s="7"/>
      <c r="BW30" s="7"/>
    </row>
    <row r="31" spans="1:75" x14ac:dyDescent="0.25">
      <c r="A31" s="7">
        <v>2026</v>
      </c>
      <c r="B31" s="13">
        <v>46216</v>
      </c>
      <c r="C31" s="116"/>
      <c r="D31" s="7">
        <v>28</v>
      </c>
      <c r="F31" s="33"/>
      <c r="G31" s="33"/>
      <c r="H31" s="33"/>
      <c r="I31" s="33"/>
      <c r="J31" s="34"/>
      <c r="L31" s="8" t="e">
        <f>AVERAGE(J28:J31)</f>
        <v>#DIV/0!</v>
      </c>
      <c r="M31" s="8" t="e">
        <f t="shared" si="15"/>
        <v>#DIV/0!</v>
      </c>
      <c r="N31" s="9">
        <v>0.96</v>
      </c>
      <c r="O31" s="9">
        <v>0.95</v>
      </c>
      <c r="Q31" s="1"/>
      <c r="R31" s="1"/>
      <c r="S31" s="1"/>
      <c r="T31" s="1"/>
      <c r="U31" s="4"/>
      <c r="AA31" s="2"/>
      <c r="AB31" s="140"/>
      <c r="AC31">
        <f t="shared" si="6"/>
        <v>0</v>
      </c>
      <c r="AD31" s="1" t="e">
        <f t="shared" si="0"/>
        <v>#DIV/0!</v>
      </c>
      <c r="AF31">
        <f t="shared" si="19"/>
        <v>8362.5</v>
      </c>
      <c r="AG31">
        <f t="shared" si="19"/>
        <v>4175.75</v>
      </c>
      <c r="AH31">
        <f t="shared" si="19"/>
        <v>12538.25</v>
      </c>
      <c r="AI31" s="1">
        <f t="shared" si="1"/>
        <v>0.33304089486172311</v>
      </c>
      <c r="AK31" s="110"/>
      <c r="AL31" s="134" t="e">
        <f t="shared" si="7"/>
        <v>#DIV/0!</v>
      </c>
      <c r="AM31">
        <f t="shared" ref="AM31:AM55" si="21">AM30+AK31</f>
        <v>0</v>
      </c>
      <c r="AN31" s="134">
        <f t="shared" si="2"/>
        <v>0</v>
      </c>
      <c r="AO31" s="134">
        <v>1.2500000000000001E-2</v>
      </c>
      <c r="AP31" s="134">
        <v>1.8700000000000001E-2</v>
      </c>
      <c r="AZ31" s="72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0"/>
        <v>1</v>
      </c>
      <c r="BF31" s="79">
        <v>2841.5</v>
      </c>
      <c r="BG31" s="7">
        <f t="shared" si="16"/>
        <v>0</v>
      </c>
      <c r="BH31" s="28">
        <f t="shared" si="17"/>
        <v>45893.5</v>
      </c>
      <c r="BI31" s="29">
        <f t="shared" si="18"/>
        <v>0</v>
      </c>
      <c r="BJ31" s="7">
        <v>2</v>
      </c>
      <c r="BL31" s="7">
        <v>2022</v>
      </c>
      <c r="BM31" s="7" t="s">
        <v>11</v>
      </c>
      <c r="BR31" s="1"/>
      <c r="BU31" s="7"/>
      <c r="BW31" s="7"/>
    </row>
    <row r="32" spans="1:75" x14ac:dyDescent="0.25">
      <c r="A32" s="7">
        <v>2026</v>
      </c>
      <c r="B32" s="13">
        <v>46223</v>
      </c>
      <c r="C32" s="116" t="s">
        <v>14</v>
      </c>
      <c r="D32" s="7">
        <v>29</v>
      </c>
      <c r="F32" s="33"/>
      <c r="G32" s="33"/>
      <c r="H32" s="33"/>
      <c r="I32" s="33"/>
      <c r="J32" s="34"/>
      <c r="L32" s="8" t="e">
        <f>AVERAGE(J29:J32)</f>
        <v>#DIV/0!</v>
      </c>
      <c r="M32" s="8" t="e">
        <f t="shared" si="15"/>
        <v>#DIV/0!</v>
      </c>
      <c r="N32" s="9">
        <v>0.96</v>
      </c>
      <c r="O32" s="9">
        <v>0.95</v>
      </c>
      <c r="Q32" s="1"/>
      <c r="R32" s="1"/>
      <c r="S32" s="1"/>
      <c r="T32" s="1"/>
      <c r="U32" s="4"/>
      <c r="AA32" s="110"/>
      <c r="AB32" s="2"/>
      <c r="AC32">
        <f t="shared" si="6"/>
        <v>0</v>
      </c>
      <c r="AD32" s="1" t="e">
        <f t="shared" si="0"/>
        <v>#DIV/0!</v>
      </c>
      <c r="AF32">
        <f t="shared" si="19"/>
        <v>8362.5</v>
      </c>
      <c r="AG32">
        <f t="shared" si="19"/>
        <v>4175.75</v>
      </c>
      <c r="AH32">
        <f t="shared" si="19"/>
        <v>12538.25</v>
      </c>
      <c r="AI32" s="1">
        <f t="shared" si="1"/>
        <v>0.33304089486172311</v>
      </c>
      <c r="AK32" s="110"/>
      <c r="AL32" s="134" t="e">
        <f t="shared" si="7"/>
        <v>#DIV/0!</v>
      </c>
      <c r="AM32">
        <f t="shared" si="21"/>
        <v>0</v>
      </c>
      <c r="AN32" s="134">
        <f t="shared" si="2"/>
        <v>0</v>
      </c>
      <c r="AO32" s="134">
        <v>1.2500000000000001E-2</v>
      </c>
      <c r="AP32" s="134">
        <v>1.8700000000000001E-2</v>
      </c>
      <c r="AZ32" s="72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0"/>
        <v>0</v>
      </c>
      <c r="BF32" s="79">
        <v>2637.75</v>
      </c>
      <c r="BG32" s="7">
        <f t="shared" si="16"/>
        <v>0</v>
      </c>
      <c r="BH32" s="28">
        <f t="shared" si="17"/>
        <v>44314.25</v>
      </c>
      <c r="BI32" s="29">
        <f t="shared" si="18"/>
        <v>0</v>
      </c>
      <c r="BJ32" s="7">
        <v>2</v>
      </c>
      <c r="BL32" s="7">
        <v>2022</v>
      </c>
      <c r="BM32" s="7" t="s">
        <v>12</v>
      </c>
      <c r="BR32" s="1"/>
      <c r="BU32" s="7"/>
      <c r="BW32" s="7"/>
    </row>
    <row r="33" spans="1:75" x14ac:dyDescent="0.25">
      <c r="A33" s="7">
        <v>2026</v>
      </c>
      <c r="B33" s="13">
        <v>46230</v>
      </c>
      <c r="C33" s="117"/>
      <c r="D33" s="7">
        <v>30</v>
      </c>
      <c r="F33" s="5"/>
      <c r="G33" s="5"/>
      <c r="H33" s="5"/>
      <c r="I33" s="5"/>
      <c r="J33" s="6"/>
      <c r="L33" s="8" t="e">
        <f t="shared" ref="L33:L56" si="22">AVERAGE(J30:J33)</f>
        <v>#DIV/0!</v>
      </c>
      <c r="M33" s="8" t="e">
        <f t="shared" si="15"/>
        <v>#DIV/0!</v>
      </c>
      <c r="N33" s="9">
        <v>0.96</v>
      </c>
      <c r="O33" s="9">
        <v>0.95</v>
      </c>
      <c r="Q33" s="1"/>
      <c r="R33" s="1"/>
      <c r="S33" s="1"/>
      <c r="T33" s="1"/>
      <c r="U33" s="4"/>
      <c r="AA33" s="2"/>
      <c r="AB33" s="110"/>
      <c r="AC33">
        <f t="shared" si="6"/>
        <v>0</v>
      </c>
      <c r="AD33" s="1" t="e">
        <f t="shared" si="0"/>
        <v>#DIV/0!</v>
      </c>
      <c r="AF33">
        <f t="shared" ref="AF33:AG48" si="23">AF32+AA47</f>
        <v>8362.5</v>
      </c>
      <c r="AG33">
        <f t="shared" si="23"/>
        <v>4175.75</v>
      </c>
      <c r="AH33">
        <f t="shared" si="19"/>
        <v>12538.25</v>
      </c>
      <c r="AI33" s="1">
        <f t="shared" si="1"/>
        <v>0.33304089486172311</v>
      </c>
      <c r="AK33" s="110"/>
      <c r="AL33" s="134" t="e">
        <f t="shared" si="7"/>
        <v>#DIV/0!</v>
      </c>
      <c r="AM33">
        <f t="shared" si="21"/>
        <v>0</v>
      </c>
      <c r="AN33" s="134">
        <f t="shared" si="2"/>
        <v>0</v>
      </c>
      <c r="AO33" s="134">
        <v>1.2500000000000001E-2</v>
      </c>
      <c r="AP33" s="134">
        <v>1.8700000000000001E-2</v>
      </c>
      <c r="AZ33" s="72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0"/>
        <v>2</v>
      </c>
      <c r="BF33" s="79">
        <v>4042.75</v>
      </c>
      <c r="BG33" s="7">
        <f t="shared" si="16"/>
        <v>0</v>
      </c>
      <c r="BH33" s="28">
        <f t="shared" si="17"/>
        <v>44204</v>
      </c>
      <c r="BI33" s="29">
        <f t="shared" si="18"/>
        <v>0</v>
      </c>
      <c r="BJ33" s="7">
        <v>2</v>
      </c>
      <c r="BL33" s="7">
        <v>2022</v>
      </c>
      <c r="BM33" s="7" t="s">
        <v>13</v>
      </c>
      <c r="BR33" s="1"/>
      <c r="BU33" s="7"/>
      <c r="BW33" s="7"/>
    </row>
    <row r="34" spans="1:75" x14ac:dyDescent="0.25">
      <c r="A34" s="7">
        <v>2026</v>
      </c>
      <c r="B34" s="13">
        <v>46237</v>
      </c>
      <c r="C34" s="115"/>
      <c r="D34" s="7">
        <v>31</v>
      </c>
      <c r="F34" s="5"/>
      <c r="G34" s="5"/>
      <c r="H34" s="5"/>
      <c r="I34" s="5"/>
      <c r="J34" s="6"/>
      <c r="L34" s="8" t="e">
        <f t="shared" si="22"/>
        <v>#DIV/0!</v>
      </c>
      <c r="M34" s="8" t="e">
        <f t="shared" si="15"/>
        <v>#DIV/0!</v>
      </c>
      <c r="N34" s="9">
        <v>0.96</v>
      </c>
      <c r="O34" s="9">
        <v>0.95</v>
      </c>
      <c r="Q34" s="1"/>
      <c r="R34" s="1"/>
      <c r="S34" s="1"/>
      <c r="T34" s="1"/>
      <c r="U34" s="4"/>
      <c r="AA34" s="2"/>
      <c r="AB34" s="140"/>
      <c r="AC34">
        <f t="shared" si="6"/>
        <v>0</v>
      </c>
      <c r="AD34" s="1" t="e">
        <f t="shared" si="0"/>
        <v>#DIV/0!</v>
      </c>
      <c r="AF34">
        <f t="shared" si="23"/>
        <v>8362.5</v>
      </c>
      <c r="AG34">
        <f t="shared" si="23"/>
        <v>4175.75</v>
      </c>
      <c r="AH34">
        <f t="shared" si="19"/>
        <v>12538.25</v>
      </c>
      <c r="AI34" s="1">
        <f t="shared" si="1"/>
        <v>0.33304089486172311</v>
      </c>
      <c r="AK34" s="110"/>
      <c r="AL34" s="134" t="e">
        <f t="shared" si="7"/>
        <v>#DIV/0!</v>
      </c>
      <c r="AM34">
        <f t="shared" si="21"/>
        <v>0</v>
      </c>
      <c r="AN34" s="134">
        <f t="shared" si="2"/>
        <v>0</v>
      </c>
      <c r="AO34" s="134">
        <v>1.2500000000000001E-2</v>
      </c>
      <c r="AP34" s="134">
        <v>1.8700000000000001E-2</v>
      </c>
      <c r="AZ34" s="72">
        <v>2021</v>
      </c>
      <c r="BA34" s="7" t="s">
        <v>14</v>
      </c>
      <c r="BB34" s="7">
        <v>0</v>
      </c>
      <c r="BC34" s="7">
        <v>1</v>
      </c>
      <c r="BD34" s="7">
        <v>0</v>
      </c>
      <c r="BE34" s="7">
        <f t="shared" si="20"/>
        <v>1</v>
      </c>
      <c r="BF34" s="79">
        <v>3331</v>
      </c>
      <c r="BG34" s="7">
        <f t="shared" ref="BG34:BG51" si="24">SUM(BB23:BB34)</f>
        <v>0</v>
      </c>
      <c r="BH34" s="28">
        <f t="shared" si="17"/>
        <v>43775.25</v>
      </c>
      <c r="BI34" s="29">
        <f t="shared" si="18"/>
        <v>0</v>
      </c>
      <c r="BJ34" s="7">
        <v>2</v>
      </c>
      <c r="BL34" s="7">
        <v>2022</v>
      </c>
      <c r="BM34" s="7" t="s">
        <v>14</v>
      </c>
      <c r="BR34" s="1"/>
      <c r="BU34" s="7"/>
      <c r="BW34" s="7"/>
    </row>
    <row r="35" spans="1:75" x14ac:dyDescent="0.25">
      <c r="A35" s="7">
        <v>2026</v>
      </c>
      <c r="B35" s="13">
        <v>46244</v>
      </c>
      <c r="C35" s="116"/>
      <c r="D35" s="7">
        <v>32</v>
      </c>
      <c r="F35" s="5"/>
      <c r="G35" s="5"/>
      <c r="H35" s="5"/>
      <c r="I35" s="5"/>
      <c r="J35" s="6"/>
      <c r="L35" s="8" t="e">
        <f t="shared" si="22"/>
        <v>#DIV/0!</v>
      </c>
      <c r="M35" s="8" t="e">
        <f t="shared" si="15"/>
        <v>#DIV/0!</v>
      </c>
      <c r="N35" s="9">
        <v>0.96</v>
      </c>
      <c r="O35" s="9">
        <v>0.95</v>
      </c>
      <c r="Q35" s="1"/>
      <c r="R35" s="1"/>
      <c r="S35" s="1"/>
      <c r="T35" s="1"/>
      <c r="U35" s="4"/>
      <c r="AA35" s="2"/>
      <c r="AB35" s="110"/>
      <c r="AC35">
        <f t="shared" si="6"/>
        <v>0</v>
      </c>
      <c r="AD35" s="1" t="e">
        <f t="shared" si="0"/>
        <v>#DIV/0!</v>
      </c>
      <c r="AF35">
        <f t="shared" si="23"/>
        <v>8362.5</v>
      </c>
      <c r="AG35">
        <f t="shared" si="23"/>
        <v>4175.75</v>
      </c>
      <c r="AH35">
        <f t="shared" si="19"/>
        <v>12538.25</v>
      </c>
      <c r="AI35" s="1">
        <f t="shared" si="1"/>
        <v>0.33304089486172311</v>
      </c>
      <c r="AK35" s="110"/>
      <c r="AL35" s="134" t="e">
        <f t="shared" si="7"/>
        <v>#DIV/0!</v>
      </c>
      <c r="AM35">
        <f t="shared" si="21"/>
        <v>0</v>
      </c>
      <c r="AN35" s="134">
        <f t="shared" si="2"/>
        <v>0</v>
      </c>
      <c r="AO35" s="134">
        <v>1.2500000000000001E-2</v>
      </c>
      <c r="AP35" s="134">
        <v>1.8700000000000001E-2</v>
      </c>
      <c r="AZ35" s="72">
        <v>2021</v>
      </c>
      <c r="BA35" s="7" t="s">
        <v>15</v>
      </c>
      <c r="BB35" s="7">
        <v>0</v>
      </c>
      <c r="BC35" s="108">
        <v>1</v>
      </c>
      <c r="BD35" s="108">
        <v>0</v>
      </c>
      <c r="BE35" s="7">
        <f t="shared" si="20"/>
        <v>1</v>
      </c>
      <c r="BF35" s="79">
        <v>3369</v>
      </c>
      <c r="BG35" s="7">
        <f t="shared" si="24"/>
        <v>0</v>
      </c>
      <c r="BH35" s="28">
        <f t="shared" si="17"/>
        <v>42858.25</v>
      </c>
      <c r="BI35" s="29">
        <f t="shared" si="18"/>
        <v>0</v>
      </c>
      <c r="BJ35" s="7">
        <v>2</v>
      </c>
      <c r="BL35" s="7">
        <v>2022</v>
      </c>
      <c r="BM35" s="7" t="s">
        <v>15</v>
      </c>
      <c r="BR35" s="1"/>
      <c r="BU35" t="s">
        <v>155</v>
      </c>
      <c r="BV35" t="s">
        <v>156</v>
      </c>
      <c r="BW35" s="7"/>
    </row>
    <row r="36" spans="1:75" x14ac:dyDescent="0.25">
      <c r="A36" s="7">
        <v>2026</v>
      </c>
      <c r="B36" s="13">
        <v>46251</v>
      </c>
      <c r="C36" s="116" t="s">
        <v>15</v>
      </c>
      <c r="D36" s="7">
        <v>33</v>
      </c>
      <c r="F36" s="5"/>
      <c r="G36" s="5"/>
      <c r="H36" s="5"/>
      <c r="I36" s="5"/>
      <c r="J36" s="6"/>
      <c r="L36" s="8" t="e">
        <f>AVERAGE(J33:J38)</f>
        <v>#DIV/0!</v>
      </c>
      <c r="M36" s="8" t="e">
        <f>AVERAGE(J29:J38)</f>
        <v>#DIV/0!</v>
      </c>
      <c r="N36" s="9">
        <v>0.96</v>
      </c>
      <c r="O36" s="9">
        <v>0.95</v>
      </c>
      <c r="Q36" s="1"/>
      <c r="R36" s="1"/>
      <c r="S36" s="1"/>
      <c r="T36" s="1"/>
      <c r="U36" s="4"/>
      <c r="AA36" s="2"/>
      <c r="AB36" s="110"/>
      <c r="AC36">
        <f t="shared" si="6"/>
        <v>0</v>
      </c>
      <c r="AD36" s="1" t="e">
        <f t="shared" si="0"/>
        <v>#DIV/0!</v>
      </c>
      <c r="AF36">
        <f t="shared" si="23"/>
        <v>8362.5</v>
      </c>
      <c r="AG36">
        <f t="shared" si="23"/>
        <v>4175.75</v>
      </c>
      <c r="AH36">
        <f t="shared" si="19"/>
        <v>12538.25</v>
      </c>
      <c r="AI36" s="1">
        <f t="shared" si="1"/>
        <v>0.33304089486172311</v>
      </c>
      <c r="AK36" s="110"/>
      <c r="AL36" s="134" t="e">
        <f t="shared" si="7"/>
        <v>#DIV/0!</v>
      </c>
      <c r="AM36">
        <f t="shared" si="21"/>
        <v>0</v>
      </c>
      <c r="AN36" s="134">
        <f t="shared" si="2"/>
        <v>0</v>
      </c>
      <c r="AO36" s="134">
        <v>1.2500000000000001E-2</v>
      </c>
      <c r="AP36" s="134">
        <v>1.8700000000000001E-2</v>
      </c>
      <c r="AZ36" s="72">
        <v>2021</v>
      </c>
      <c r="BA36" s="7" t="s">
        <v>16</v>
      </c>
      <c r="BB36" s="7">
        <v>0</v>
      </c>
      <c r="BC36" s="108">
        <v>1</v>
      </c>
      <c r="BD36" s="108">
        <v>0</v>
      </c>
      <c r="BE36" s="7">
        <f t="shared" si="20"/>
        <v>1</v>
      </c>
      <c r="BF36" s="79">
        <v>3255</v>
      </c>
      <c r="BG36" s="7">
        <f t="shared" si="24"/>
        <v>0</v>
      </c>
      <c r="BH36" s="28">
        <f t="shared" si="17"/>
        <v>41616.25</v>
      </c>
      <c r="BI36" s="29">
        <f t="shared" si="18"/>
        <v>0</v>
      </c>
      <c r="BJ36" s="7">
        <v>2</v>
      </c>
      <c r="BL36" s="7">
        <v>2022</v>
      </c>
      <c r="BM36" s="7" t="s">
        <v>16</v>
      </c>
      <c r="BR36" s="1"/>
      <c r="BU36" s="7">
        <v>100</v>
      </c>
      <c r="BV36" t="s">
        <v>157</v>
      </c>
      <c r="BW36" s="7"/>
    </row>
    <row r="37" spans="1:75" x14ac:dyDescent="0.25">
      <c r="A37" s="7">
        <v>2026</v>
      </c>
      <c r="B37" s="13">
        <v>46258</v>
      </c>
      <c r="C37" s="117"/>
      <c r="D37" s="7">
        <v>34</v>
      </c>
      <c r="F37" s="5"/>
      <c r="G37" s="5"/>
      <c r="H37" s="5"/>
      <c r="I37" s="5"/>
      <c r="J37" s="6"/>
      <c r="L37" s="8" t="e">
        <f t="shared" si="22"/>
        <v>#DIV/0!</v>
      </c>
      <c r="M37" s="8" t="e">
        <f t="shared" si="15"/>
        <v>#DIV/0!</v>
      </c>
      <c r="N37" s="9">
        <v>0.96</v>
      </c>
      <c r="O37" s="9">
        <v>0.95</v>
      </c>
      <c r="Q37" s="1"/>
      <c r="R37" s="1"/>
      <c r="S37" s="1"/>
      <c r="T37" s="1"/>
      <c r="U37" s="4"/>
      <c r="AA37" s="110"/>
      <c r="AB37" s="110"/>
      <c r="AC37" s="2">
        <f t="shared" si="6"/>
        <v>0</v>
      </c>
      <c r="AD37" s="1" t="e">
        <f t="shared" si="0"/>
        <v>#DIV/0!</v>
      </c>
      <c r="AF37">
        <f t="shared" si="23"/>
        <v>8362.5</v>
      </c>
      <c r="AG37">
        <f t="shared" si="23"/>
        <v>4175.75</v>
      </c>
      <c r="AH37">
        <f t="shared" si="19"/>
        <v>12538.25</v>
      </c>
      <c r="AI37" s="1">
        <f t="shared" si="1"/>
        <v>0.33304089486172311</v>
      </c>
      <c r="AK37" s="110"/>
      <c r="AL37" s="134" t="e">
        <f t="shared" si="7"/>
        <v>#DIV/0!</v>
      </c>
      <c r="AM37">
        <f t="shared" si="21"/>
        <v>0</v>
      </c>
      <c r="AN37" s="134">
        <f t="shared" si="2"/>
        <v>0</v>
      </c>
      <c r="AO37" s="134">
        <v>1.2500000000000001E-2</v>
      </c>
      <c r="AP37" s="134">
        <v>1.8700000000000001E-2</v>
      </c>
      <c r="AZ37" s="72">
        <v>2021</v>
      </c>
      <c r="BA37" s="7" t="s">
        <v>17</v>
      </c>
      <c r="BB37" s="7">
        <v>0</v>
      </c>
      <c r="BC37" s="114">
        <v>1</v>
      </c>
      <c r="BD37" s="108">
        <v>2</v>
      </c>
      <c r="BE37" s="7">
        <f t="shared" si="20"/>
        <v>3</v>
      </c>
      <c r="BF37" s="79">
        <v>5129</v>
      </c>
      <c r="BG37" s="7">
        <f t="shared" si="24"/>
        <v>0</v>
      </c>
      <c r="BH37" s="28">
        <f t="shared" si="17"/>
        <v>42283.5</v>
      </c>
      <c r="BI37" s="29">
        <f t="shared" si="18"/>
        <v>0</v>
      </c>
      <c r="BJ37" s="7">
        <v>2</v>
      </c>
      <c r="BL37" s="7">
        <v>2022</v>
      </c>
      <c r="BM37" s="7" t="s">
        <v>17</v>
      </c>
      <c r="BR37" s="1"/>
      <c r="BU37" s="7">
        <v>105</v>
      </c>
      <c r="BV37" t="s">
        <v>158</v>
      </c>
      <c r="BW37" s="7"/>
    </row>
    <row r="38" spans="1:75" x14ac:dyDescent="0.25">
      <c r="A38" s="7">
        <v>2026</v>
      </c>
      <c r="B38" s="13">
        <v>46265</v>
      </c>
      <c r="C38" s="115"/>
      <c r="D38" s="7">
        <v>35</v>
      </c>
      <c r="F38" s="5"/>
      <c r="G38" s="5"/>
      <c r="H38" s="5"/>
      <c r="I38" s="5"/>
      <c r="J38" s="6"/>
      <c r="L38" s="8" t="e">
        <f>AVERAGE(J35:J38)</f>
        <v>#DIV/0!</v>
      </c>
      <c r="M38" s="8" t="e">
        <f>AVERAGE(J31:J38)</f>
        <v>#DIV/0!</v>
      </c>
      <c r="N38" s="9">
        <v>0.96</v>
      </c>
      <c r="O38" s="9">
        <v>0.95</v>
      </c>
      <c r="Q38" s="1"/>
      <c r="R38" s="1"/>
      <c r="S38" s="1"/>
      <c r="T38" s="1"/>
      <c r="U38" s="4"/>
      <c r="AA38" s="140"/>
      <c r="AB38" s="140"/>
      <c r="AC38">
        <f t="shared" si="6"/>
        <v>0</v>
      </c>
      <c r="AD38" s="1" t="e">
        <f t="shared" si="0"/>
        <v>#DIV/0!</v>
      </c>
      <c r="AF38">
        <f t="shared" si="23"/>
        <v>8362.5</v>
      </c>
      <c r="AG38">
        <f t="shared" si="23"/>
        <v>4175.75</v>
      </c>
      <c r="AH38">
        <f t="shared" ref="AH38:AH56" si="25">AH37+AC38</f>
        <v>12538.25</v>
      </c>
      <c r="AI38" s="1">
        <f t="shared" si="1"/>
        <v>0.33304089486172311</v>
      </c>
      <c r="AK38" s="110"/>
      <c r="AL38" s="134" t="e">
        <f t="shared" si="7"/>
        <v>#DIV/0!</v>
      </c>
      <c r="AM38">
        <f t="shared" si="21"/>
        <v>0</v>
      </c>
      <c r="AN38" s="134">
        <f t="shared" si="2"/>
        <v>0</v>
      </c>
      <c r="AO38" s="134">
        <v>1.2500000000000001E-2</v>
      </c>
      <c r="AP38" s="134">
        <v>1.8700000000000001E-2</v>
      </c>
      <c r="AZ38" s="72">
        <v>2021</v>
      </c>
      <c r="BA38" s="7" t="s">
        <v>18</v>
      </c>
      <c r="BB38" s="7">
        <v>0</v>
      </c>
      <c r="BC38" s="108">
        <v>1</v>
      </c>
      <c r="BD38" s="108">
        <v>2</v>
      </c>
      <c r="BE38" s="7">
        <f t="shared" si="20"/>
        <v>3</v>
      </c>
      <c r="BF38" s="79">
        <v>5102</v>
      </c>
      <c r="BG38" s="7">
        <f t="shared" si="24"/>
        <v>0</v>
      </c>
      <c r="BH38" s="28">
        <f t="shared" si="17"/>
        <v>43583.25</v>
      </c>
      <c r="BI38" s="29">
        <f t="shared" si="18"/>
        <v>0</v>
      </c>
      <c r="BJ38" s="7">
        <v>2</v>
      </c>
      <c r="BL38" s="7">
        <v>2022</v>
      </c>
      <c r="BM38" s="7" t="s">
        <v>18</v>
      </c>
      <c r="BR38" s="1"/>
      <c r="BU38" s="7">
        <v>107</v>
      </c>
      <c r="BV38" t="s">
        <v>159</v>
      </c>
      <c r="BW38" s="7"/>
    </row>
    <row r="39" spans="1:75" x14ac:dyDescent="0.25">
      <c r="A39" s="7">
        <v>2026</v>
      </c>
      <c r="B39" s="13">
        <v>46272</v>
      </c>
      <c r="C39" s="116"/>
      <c r="D39" s="7">
        <v>36</v>
      </c>
      <c r="F39" s="5"/>
      <c r="G39" s="5"/>
      <c r="H39" s="5"/>
      <c r="I39" s="5"/>
      <c r="J39" s="6"/>
      <c r="L39" s="8" t="e">
        <f>AVERAGE(J37:J39)</f>
        <v>#DIV/0!</v>
      </c>
      <c r="M39" s="8" t="e">
        <f t="shared" si="15"/>
        <v>#DIV/0!</v>
      </c>
      <c r="N39" s="9">
        <v>0.96</v>
      </c>
      <c r="O39" s="9">
        <v>0.95</v>
      </c>
      <c r="Q39" s="1"/>
      <c r="R39" s="1"/>
      <c r="S39" s="1"/>
      <c r="T39" s="1"/>
      <c r="U39" s="4"/>
      <c r="AA39" s="140"/>
      <c r="AB39" s="110"/>
      <c r="AC39">
        <f t="shared" si="6"/>
        <v>0</v>
      </c>
      <c r="AD39" s="1" t="e">
        <f t="shared" si="0"/>
        <v>#DIV/0!</v>
      </c>
      <c r="AF39">
        <f t="shared" si="23"/>
        <v>8362.5</v>
      </c>
      <c r="AG39">
        <f t="shared" si="23"/>
        <v>4175.75</v>
      </c>
      <c r="AH39">
        <f t="shared" si="25"/>
        <v>12538.25</v>
      </c>
      <c r="AI39" s="1">
        <f t="shared" si="1"/>
        <v>0.33304089486172311</v>
      </c>
      <c r="AK39" s="110"/>
      <c r="AL39" s="134" t="e">
        <f t="shared" si="7"/>
        <v>#DIV/0!</v>
      </c>
      <c r="AM39">
        <f t="shared" si="21"/>
        <v>0</v>
      </c>
      <c r="AN39" s="134">
        <f t="shared" si="2"/>
        <v>0</v>
      </c>
      <c r="AO39" s="134">
        <v>1.2500000000000001E-2</v>
      </c>
      <c r="AP39" s="134">
        <v>1.8700000000000001E-2</v>
      </c>
      <c r="AZ39" s="75">
        <v>2021</v>
      </c>
      <c r="BA39" s="76" t="s">
        <v>19</v>
      </c>
      <c r="BB39" s="76">
        <v>0</v>
      </c>
      <c r="BC39" s="109">
        <v>1</v>
      </c>
      <c r="BD39" s="109">
        <v>0</v>
      </c>
      <c r="BE39" s="76">
        <f t="shared" si="20"/>
        <v>1</v>
      </c>
      <c r="BF39" s="80">
        <v>5019</v>
      </c>
      <c r="BG39" s="7">
        <f t="shared" si="24"/>
        <v>0</v>
      </c>
      <c r="BH39" s="28">
        <f t="shared" si="17"/>
        <v>44754</v>
      </c>
      <c r="BI39" s="29">
        <f t="shared" si="18"/>
        <v>0</v>
      </c>
      <c r="BJ39" s="7">
        <v>2</v>
      </c>
      <c r="BL39" s="7">
        <v>2022</v>
      </c>
      <c r="BM39" s="7" t="s">
        <v>19</v>
      </c>
      <c r="BR39" s="1"/>
      <c r="BU39" s="7">
        <v>110</v>
      </c>
      <c r="BV39" t="s">
        <v>160</v>
      </c>
      <c r="BW39" s="7"/>
    </row>
    <row r="40" spans="1:75" x14ac:dyDescent="0.25">
      <c r="A40" s="7">
        <v>2026</v>
      </c>
      <c r="B40" s="13">
        <v>46279</v>
      </c>
      <c r="C40" s="116" t="s">
        <v>16</v>
      </c>
      <c r="D40" s="7">
        <v>37</v>
      </c>
      <c r="F40" s="5"/>
      <c r="G40" s="5"/>
      <c r="H40" s="5"/>
      <c r="I40" s="5"/>
      <c r="J40" s="6"/>
      <c r="L40" s="8" t="e">
        <f t="shared" si="22"/>
        <v>#DIV/0!</v>
      </c>
      <c r="M40" s="8" t="e">
        <f t="shared" si="15"/>
        <v>#DIV/0!</v>
      </c>
      <c r="N40" s="9">
        <v>0.96</v>
      </c>
      <c r="O40" s="9">
        <v>0.95</v>
      </c>
      <c r="Q40" s="1"/>
      <c r="R40" s="1"/>
      <c r="S40" s="1"/>
      <c r="T40" s="1"/>
      <c r="U40" s="4"/>
      <c r="AA40" s="140"/>
      <c r="AB40" s="110"/>
      <c r="AC40">
        <f t="shared" si="6"/>
        <v>0</v>
      </c>
      <c r="AD40" s="1" t="e">
        <f t="shared" si="0"/>
        <v>#DIV/0!</v>
      </c>
      <c r="AF40">
        <f t="shared" si="23"/>
        <v>8362.5</v>
      </c>
      <c r="AG40">
        <f t="shared" si="23"/>
        <v>4175.75</v>
      </c>
      <c r="AH40">
        <f t="shared" si="25"/>
        <v>12538.25</v>
      </c>
      <c r="AI40" s="1">
        <f t="shared" si="1"/>
        <v>0.33304089486172311</v>
      </c>
      <c r="AK40" s="110"/>
      <c r="AL40" s="134" t="e">
        <f t="shared" si="7"/>
        <v>#DIV/0!</v>
      </c>
      <c r="AM40">
        <f t="shared" si="21"/>
        <v>0</v>
      </c>
      <c r="AN40" s="134">
        <f t="shared" si="2"/>
        <v>0</v>
      </c>
      <c r="AO40" s="134">
        <v>1.2500000000000001E-2</v>
      </c>
      <c r="AP40" s="134">
        <v>1.8700000000000001E-2</v>
      </c>
      <c r="AZ40" s="69">
        <v>2022</v>
      </c>
      <c r="BA40" s="70" t="s">
        <v>8</v>
      </c>
      <c r="BB40" s="70">
        <v>0</v>
      </c>
      <c r="BC40" s="70">
        <v>1</v>
      </c>
      <c r="BD40" s="70">
        <v>1</v>
      </c>
      <c r="BE40" s="70">
        <f t="shared" si="20"/>
        <v>2</v>
      </c>
      <c r="BF40" s="78">
        <v>4683</v>
      </c>
      <c r="BG40" s="7">
        <f t="shared" si="24"/>
        <v>0</v>
      </c>
      <c r="BH40" s="28">
        <f t="shared" si="17"/>
        <v>46452.75</v>
      </c>
      <c r="BI40" s="29">
        <f t="shared" si="18"/>
        <v>0</v>
      </c>
      <c r="BJ40" s="7">
        <v>2</v>
      </c>
      <c r="BL40" s="7">
        <v>2022</v>
      </c>
      <c r="BM40" s="7" t="s">
        <v>49</v>
      </c>
      <c r="BN40">
        <f>SUM(BN16:BN27)</f>
        <v>15</v>
      </c>
      <c r="BO40" s="102">
        <f>SUM(BO16:BO27)</f>
        <v>11</v>
      </c>
      <c r="BP40">
        <f>BN40+BO40</f>
        <v>26</v>
      </c>
      <c r="BQ40" s="1">
        <f>BN40/BP40</f>
        <v>0.57692307692307687</v>
      </c>
      <c r="BR40" s="1">
        <v>0.95</v>
      </c>
      <c r="BU40" s="7">
        <v>115</v>
      </c>
      <c r="BV40" t="s">
        <v>161</v>
      </c>
      <c r="BW40" s="7"/>
    </row>
    <row r="41" spans="1:75" x14ac:dyDescent="0.25">
      <c r="A41" s="7">
        <v>2026</v>
      </c>
      <c r="B41" s="13">
        <v>46286</v>
      </c>
      <c r="C41" s="118"/>
      <c r="D41" s="7">
        <v>38</v>
      </c>
      <c r="F41" s="5"/>
      <c r="G41" s="5"/>
      <c r="H41" s="5"/>
      <c r="I41" s="5"/>
      <c r="J41" s="6"/>
      <c r="L41" s="8" t="e">
        <f>AVERAGE(J38:J41)</f>
        <v>#DIV/0!</v>
      </c>
      <c r="M41" s="8" t="e">
        <f>AVERAGE(J34:J41)</f>
        <v>#DIV/0!</v>
      </c>
      <c r="N41" s="9">
        <v>0.96</v>
      </c>
      <c r="O41" s="9">
        <v>0.95</v>
      </c>
      <c r="Q41" s="1"/>
      <c r="R41" s="1"/>
      <c r="S41" s="1"/>
      <c r="T41" s="1"/>
      <c r="U41" s="4"/>
      <c r="AA41" s="140"/>
      <c r="AB41" s="140"/>
      <c r="AC41">
        <f t="shared" si="6"/>
        <v>0</v>
      </c>
      <c r="AD41" s="1" t="e">
        <f t="shared" si="0"/>
        <v>#DIV/0!</v>
      </c>
      <c r="AF41">
        <f t="shared" si="23"/>
        <v>8362.5</v>
      </c>
      <c r="AG41">
        <f t="shared" si="23"/>
        <v>4175.75</v>
      </c>
      <c r="AH41">
        <f t="shared" si="25"/>
        <v>12538.25</v>
      </c>
      <c r="AI41" s="1">
        <f t="shared" si="1"/>
        <v>0.33304089486172311</v>
      </c>
      <c r="AK41" s="110"/>
      <c r="AL41" s="134" t="e">
        <f t="shared" si="7"/>
        <v>#DIV/0!</v>
      </c>
      <c r="AM41">
        <f t="shared" si="21"/>
        <v>0</v>
      </c>
      <c r="AN41" s="134">
        <f t="shared" si="2"/>
        <v>0</v>
      </c>
      <c r="AO41" s="134">
        <v>1.2500000000000001E-2</v>
      </c>
      <c r="AP41" s="134">
        <v>1.8700000000000001E-2</v>
      </c>
      <c r="AZ41" s="72">
        <v>2022</v>
      </c>
      <c r="BA41" s="7" t="s">
        <v>9</v>
      </c>
      <c r="BB41" s="7">
        <v>0</v>
      </c>
      <c r="BC41" s="7">
        <v>0</v>
      </c>
      <c r="BD41" s="7">
        <v>1</v>
      </c>
      <c r="BE41" s="7">
        <f t="shared" si="20"/>
        <v>1</v>
      </c>
      <c r="BF41" s="79">
        <v>5033</v>
      </c>
      <c r="BG41" s="7">
        <f t="shared" si="24"/>
        <v>0</v>
      </c>
      <c r="BH41" s="28">
        <f t="shared" si="17"/>
        <v>48138.25</v>
      </c>
      <c r="BI41" s="29">
        <f t="shared" si="18"/>
        <v>0</v>
      </c>
      <c r="BJ41" s="7">
        <v>2</v>
      </c>
      <c r="BL41" t="s">
        <v>78</v>
      </c>
      <c r="BN41">
        <f>SUM(BN5:BN16)</f>
        <v>110</v>
      </c>
      <c r="BO41" s="102">
        <f>SUM(BO5:BO16)</f>
        <v>25</v>
      </c>
      <c r="BP41">
        <f>BN41+BO41</f>
        <v>135</v>
      </c>
      <c r="BQ41" s="1">
        <f>BN41/BP41</f>
        <v>0.81481481481481477</v>
      </c>
      <c r="BR41" s="1">
        <v>0.95</v>
      </c>
      <c r="BU41" s="7">
        <v>120</v>
      </c>
      <c r="BV41" t="s">
        <v>162</v>
      </c>
      <c r="BW41" s="7"/>
    </row>
    <row r="42" spans="1:75" x14ac:dyDescent="0.25">
      <c r="A42" s="7">
        <v>2026</v>
      </c>
      <c r="B42" s="13">
        <v>46293</v>
      </c>
      <c r="C42" s="117"/>
      <c r="D42" s="7">
        <v>39</v>
      </c>
      <c r="F42" s="5"/>
      <c r="G42" s="5"/>
      <c r="H42" s="5"/>
      <c r="I42" s="5"/>
      <c r="J42" s="6"/>
      <c r="L42" s="8" t="e">
        <f t="shared" si="22"/>
        <v>#DIV/0!</v>
      </c>
      <c r="M42" s="8" t="e">
        <f t="shared" si="15"/>
        <v>#DIV/0!</v>
      </c>
      <c r="N42" s="9">
        <v>0.96</v>
      </c>
      <c r="O42" s="9">
        <v>0.95</v>
      </c>
      <c r="Q42" s="1"/>
      <c r="R42" s="1"/>
      <c r="S42" s="1"/>
      <c r="T42" s="1"/>
      <c r="U42" s="4"/>
      <c r="AA42" s="2"/>
      <c r="AB42" s="140"/>
      <c r="AC42">
        <f t="shared" si="6"/>
        <v>0</v>
      </c>
      <c r="AD42" s="1" t="e">
        <f t="shared" si="0"/>
        <v>#DIV/0!</v>
      </c>
      <c r="AF42">
        <f t="shared" si="23"/>
        <v>8362.5</v>
      </c>
      <c r="AG42">
        <f t="shared" si="23"/>
        <v>4175.75</v>
      </c>
      <c r="AH42">
        <f t="shared" si="25"/>
        <v>12538.25</v>
      </c>
      <c r="AI42" s="1">
        <f t="shared" si="1"/>
        <v>0.33304089486172311</v>
      </c>
      <c r="AK42" s="110"/>
      <c r="AL42" s="134" t="e">
        <f t="shared" si="7"/>
        <v>#DIV/0!</v>
      </c>
      <c r="AM42">
        <f t="shared" si="21"/>
        <v>0</v>
      </c>
      <c r="AN42" s="134">
        <f t="shared" si="2"/>
        <v>0</v>
      </c>
      <c r="AO42" s="134">
        <v>1.2500000000000001E-2</v>
      </c>
      <c r="AP42" s="134">
        <v>1.8700000000000001E-2</v>
      </c>
      <c r="AZ42" s="72">
        <v>2022</v>
      </c>
      <c r="BA42" s="7" t="s">
        <v>10</v>
      </c>
      <c r="BB42" s="7">
        <v>0</v>
      </c>
      <c r="BC42" s="7">
        <v>1</v>
      </c>
      <c r="BD42" s="7">
        <v>1</v>
      </c>
      <c r="BE42" s="7">
        <f t="shared" si="20"/>
        <v>2</v>
      </c>
      <c r="BF42" s="79">
        <v>4646</v>
      </c>
      <c r="BG42" s="7">
        <f t="shared" si="24"/>
        <v>0</v>
      </c>
      <c r="BH42" s="28">
        <f t="shared" si="17"/>
        <v>49089</v>
      </c>
      <c r="BI42" s="29">
        <f t="shared" si="18"/>
        <v>0</v>
      </c>
      <c r="BJ42" s="7">
        <v>2</v>
      </c>
      <c r="BU42" s="7">
        <v>125</v>
      </c>
      <c r="BV42" t="s">
        <v>163</v>
      </c>
      <c r="BW42" s="7"/>
    </row>
    <row r="43" spans="1:75" x14ac:dyDescent="0.25">
      <c r="A43" s="7">
        <v>2026</v>
      </c>
      <c r="B43" s="13">
        <v>46300</v>
      </c>
      <c r="C43" s="115"/>
      <c r="D43" s="7">
        <v>40</v>
      </c>
      <c r="F43" s="5"/>
      <c r="G43" s="5"/>
      <c r="H43" s="5"/>
      <c r="I43" s="5"/>
      <c r="J43" s="6"/>
      <c r="L43" s="8" t="e">
        <f t="shared" si="22"/>
        <v>#DIV/0!</v>
      </c>
      <c r="M43" s="8" t="e">
        <f>AVERAGE(J37:J43)</f>
        <v>#DIV/0!</v>
      </c>
      <c r="N43" s="9">
        <v>0.96</v>
      </c>
      <c r="O43" s="9">
        <v>0.95</v>
      </c>
      <c r="Q43" s="1"/>
      <c r="R43" s="1"/>
      <c r="S43" s="1"/>
      <c r="T43" s="1"/>
      <c r="U43" s="4"/>
      <c r="AA43" s="2"/>
      <c r="AB43" s="140"/>
      <c r="AC43">
        <f t="shared" si="6"/>
        <v>0</v>
      </c>
      <c r="AD43" s="1" t="e">
        <f t="shared" si="0"/>
        <v>#DIV/0!</v>
      </c>
      <c r="AF43">
        <f t="shared" si="23"/>
        <v>16725</v>
      </c>
      <c r="AG43">
        <f t="shared" si="23"/>
        <v>8351.5</v>
      </c>
      <c r="AH43">
        <f t="shared" si="25"/>
        <v>12538.25</v>
      </c>
      <c r="AI43" s="1">
        <f t="shared" si="1"/>
        <v>0.66608178972344623</v>
      </c>
      <c r="AK43" s="110"/>
      <c r="AL43" s="134" t="e">
        <f t="shared" si="7"/>
        <v>#DIV/0!</v>
      </c>
      <c r="AM43">
        <f t="shared" si="21"/>
        <v>0</v>
      </c>
      <c r="AN43" s="134">
        <f t="shared" si="2"/>
        <v>0</v>
      </c>
      <c r="AO43" s="134">
        <v>1.2500000000000001E-2</v>
      </c>
      <c r="AP43" s="134">
        <v>1.8700000000000001E-2</v>
      </c>
      <c r="AZ43" s="72">
        <v>2022</v>
      </c>
      <c r="BA43" s="7" t="s">
        <v>11</v>
      </c>
      <c r="BB43" s="7">
        <v>0</v>
      </c>
      <c r="BC43" s="7">
        <v>0</v>
      </c>
      <c r="BD43" s="7">
        <v>0</v>
      </c>
      <c r="BE43" s="7">
        <f t="shared" si="20"/>
        <v>0</v>
      </c>
      <c r="BF43" s="79">
        <v>3362</v>
      </c>
      <c r="BG43" s="7">
        <f t="shared" si="24"/>
        <v>0</v>
      </c>
      <c r="BH43" s="28">
        <f t="shared" si="17"/>
        <v>49609.5</v>
      </c>
      <c r="BI43" s="29">
        <f t="shared" si="18"/>
        <v>0</v>
      </c>
      <c r="BJ43" s="7">
        <v>2</v>
      </c>
      <c r="BM43" s="7" t="s">
        <v>25</v>
      </c>
      <c r="BN43">
        <v>80</v>
      </c>
      <c r="BU43" s="7">
        <v>130</v>
      </c>
      <c r="BV43" t="s">
        <v>164</v>
      </c>
      <c r="BW43" s="7"/>
    </row>
    <row r="44" spans="1:75" x14ac:dyDescent="0.25">
      <c r="A44" s="7">
        <v>2026</v>
      </c>
      <c r="B44" s="13">
        <v>46307</v>
      </c>
      <c r="C44" s="116"/>
      <c r="D44" s="7">
        <v>41</v>
      </c>
      <c r="F44" s="5"/>
      <c r="G44" s="5"/>
      <c r="H44" s="5"/>
      <c r="I44" s="5"/>
      <c r="J44" s="6"/>
      <c r="L44" s="8" t="e">
        <f t="shared" si="22"/>
        <v>#DIV/0!</v>
      </c>
      <c r="M44" s="8" t="e">
        <f t="shared" si="15"/>
        <v>#DIV/0!</v>
      </c>
      <c r="N44" s="9">
        <v>0.96</v>
      </c>
      <c r="O44" s="9">
        <v>0.95</v>
      </c>
      <c r="Q44" s="1"/>
      <c r="R44" s="1"/>
      <c r="S44" s="1"/>
      <c r="T44" s="1"/>
      <c r="U44" s="4"/>
      <c r="AA44" s="110"/>
      <c r="AB44" s="140"/>
      <c r="AC44">
        <f t="shared" si="6"/>
        <v>0</v>
      </c>
      <c r="AD44" s="1" t="e">
        <f t="shared" si="0"/>
        <v>#DIV/0!</v>
      </c>
      <c r="AF44">
        <f t="shared" si="23"/>
        <v>16725</v>
      </c>
      <c r="AG44">
        <f t="shared" si="23"/>
        <v>8351.5</v>
      </c>
      <c r="AH44">
        <f t="shared" si="25"/>
        <v>12538.25</v>
      </c>
      <c r="AI44" s="1">
        <f t="shared" si="1"/>
        <v>0.66608178972344623</v>
      </c>
      <c r="AK44" s="110"/>
      <c r="AL44" s="134" t="e">
        <f t="shared" si="7"/>
        <v>#DIV/0!</v>
      </c>
      <c r="AM44">
        <f t="shared" si="21"/>
        <v>0</v>
      </c>
      <c r="AN44" s="134">
        <f t="shared" si="2"/>
        <v>0</v>
      </c>
      <c r="AO44" s="134">
        <v>1.2500000000000001E-2</v>
      </c>
      <c r="AP44" s="134">
        <v>1.8700000000000001E-2</v>
      </c>
      <c r="AZ44" s="72">
        <v>2022</v>
      </c>
      <c r="BA44" s="7" t="s">
        <v>12</v>
      </c>
      <c r="BB44" s="7">
        <v>0</v>
      </c>
      <c r="BC44" s="7">
        <v>2</v>
      </c>
      <c r="BD44" s="7">
        <v>0</v>
      </c>
      <c r="BE44" s="7">
        <f t="shared" si="20"/>
        <v>2</v>
      </c>
      <c r="BF44" s="79">
        <v>3525</v>
      </c>
      <c r="BG44" s="7">
        <f t="shared" si="24"/>
        <v>0</v>
      </c>
      <c r="BH44" s="28">
        <f t="shared" si="17"/>
        <v>50496.75</v>
      </c>
      <c r="BI44" s="29">
        <f t="shared" si="18"/>
        <v>0</v>
      </c>
      <c r="BJ44" s="7">
        <v>2</v>
      </c>
      <c r="BM44" s="7" t="s">
        <v>105</v>
      </c>
      <c r="BN44">
        <v>15</v>
      </c>
      <c r="BU44" s="7">
        <v>135</v>
      </c>
      <c r="BV44" t="s">
        <v>165</v>
      </c>
      <c r="BW44" s="7"/>
    </row>
    <row r="45" spans="1:75" x14ac:dyDescent="0.25">
      <c r="A45" s="7">
        <v>2026</v>
      </c>
      <c r="B45" s="13">
        <v>46314</v>
      </c>
      <c r="C45" s="116" t="s">
        <v>17</v>
      </c>
      <c r="D45" s="7">
        <v>42</v>
      </c>
      <c r="F45" s="5"/>
      <c r="G45" s="5"/>
      <c r="H45" s="5"/>
      <c r="I45" s="5"/>
      <c r="J45" s="6"/>
      <c r="L45" s="8" t="e">
        <f t="shared" si="22"/>
        <v>#DIV/0!</v>
      </c>
      <c r="M45" s="8" t="e">
        <f>AVERAGE(J38:J45)</f>
        <v>#DIV/0!</v>
      </c>
      <c r="N45" s="9">
        <v>0.96</v>
      </c>
      <c r="O45" s="9">
        <v>0.95</v>
      </c>
      <c r="Q45" s="1"/>
      <c r="R45" s="1"/>
      <c r="S45" s="1"/>
      <c r="T45" s="1"/>
      <c r="U45" s="4"/>
      <c r="AA45" s="140"/>
      <c r="AB45" s="2"/>
      <c r="AC45">
        <f t="shared" si="6"/>
        <v>0</v>
      </c>
      <c r="AD45" s="1" t="e">
        <f t="shared" si="0"/>
        <v>#DIV/0!</v>
      </c>
      <c r="AF45">
        <f t="shared" si="23"/>
        <v>16725</v>
      </c>
      <c r="AG45">
        <f t="shared" si="23"/>
        <v>8351.5</v>
      </c>
      <c r="AH45">
        <f t="shared" si="25"/>
        <v>12538.25</v>
      </c>
      <c r="AI45" s="1">
        <f t="shared" si="1"/>
        <v>0.66608178972344623</v>
      </c>
      <c r="AK45" s="110"/>
      <c r="AL45" s="134" t="e">
        <f t="shared" si="7"/>
        <v>#DIV/0!</v>
      </c>
      <c r="AM45">
        <f t="shared" si="21"/>
        <v>0</v>
      </c>
      <c r="AN45" s="134">
        <f t="shared" si="2"/>
        <v>0</v>
      </c>
      <c r="AO45" s="134">
        <v>1.2500000000000001E-2</v>
      </c>
      <c r="AP45" s="134">
        <v>1.8700000000000001E-2</v>
      </c>
      <c r="AZ45" s="72">
        <v>2022</v>
      </c>
      <c r="BA45" s="7" t="s">
        <v>13</v>
      </c>
      <c r="BB45" s="7">
        <v>0</v>
      </c>
      <c r="BC45" s="7">
        <v>2</v>
      </c>
      <c r="BD45" s="7">
        <v>1</v>
      </c>
      <c r="BE45" s="7">
        <f t="shared" si="20"/>
        <v>3</v>
      </c>
      <c r="BF45" s="79">
        <v>3898</v>
      </c>
      <c r="BG45" s="7">
        <f t="shared" si="24"/>
        <v>0</v>
      </c>
      <c r="BH45" s="28">
        <f t="shared" si="17"/>
        <v>50352</v>
      </c>
      <c r="BI45" s="29">
        <f t="shared" si="18"/>
        <v>0</v>
      </c>
      <c r="BJ45" s="7">
        <v>2</v>
      </c>
      <c r="BM45" s="7" t="s">
        <v>104</v>
      </c>
      <c r="BN45">
        <v>5</v>
      </c>
      <c r="BU45" s="7">
        <v>140</v>
      </c>
      <c r="BV45" t="s">
        <v>166</v>
      </c>
      <c r="BW45" s="7"/>
    </row>
    <row r="46" spans="1:75" x14ac:dyDescent="0.25">
      <c r="A46" s="7">
        <v>2026</v>
      </c>
      <c r="B46" s="13">
        <v>46321</v>
      </c>
      <c r="C46" s="117"/>
      <c r="D46" s="7">
        <v>43</v>
      </c>
      <c r="F46" s="5"/>
      <c r="G46" s="5"/>
      <c r="H46" s="5"/>
      <c r="I46" s="5"/>
      <c r="J46" s="6"/>
      <c r="L46" s="8" t="e">
        <f t="shared" si="22"/>
        <v>#DIV/0!</v>
      </c>
      <c r="M46" s="8" t="e">
        <f t="shared" si="15"/>
        <v>#DIV/0!</v>
      </c>
      <c r="N46" s="9">
        <v>0.96</v>
      </c>
      <c r="O46" s="9">
        <v>0.95</v>
      </c>
      <c r="Q46" s="1"/>
      <c r="R46" s="1"/>
      <c r="S46" s="1"/>
      <c r="T46" s="1"/>
      <c r="U46" s="4"/>
      <c r="AA46" s="110"/>
      <c r="AB46" s="140"/>
      <c r="AC46">
        <f t="shared" si="6"/>
        <v>0</v>
      </c>
      <c r="AD46" s="1" t="e">
        <f t="shared" si="0"/>
        <v>#DIV/0!</v>
      </c>
      <c r="AF46">
        <f t="shared" si="23"/>
        <v>16725</v>
      </c>
      <c r="AG46">
        <f t="shared" si="23"/>
        <v>8351.5</v>
      </c>
      <c r="AH46">
        <f t="shared" si="25"/>
        <v>12538.25</v>
      </c>
      <c r="AI46" s="1">
        <f t="shared" si="1"/>
        <v>0.66608178972344623</v>
      </c>
      <c r="AK46" s="110"/>
      <c r="AL46" s="134" t="e">
        <f t="shared" si="7"/>
        <v>#DIV/0!</v>
      </c>
      <c r="AM46">
        <f t="shared" si="21"/>
        <v>0</v>
      </c>
      <c r="AN46" s="134">
        <f t="shared" si="2"/>
        <v>0</v>
      </c>
      <c r="AO46" s="134">
        <v>1.2500000000000001E-2</v>
      </c>
      <c r="AP46" s="134">
        <v>1.8700000000000001E-2</v>
      </c>
      <c r="AZ46" s="72">
        <v>2022</v>
      </c>
      <c r="BA46" s="7" t="s">
        <v>14</v>
      </c>
      <c r="BB46" s="7">
        <v>0</v>
      </c>
      <c r="BC46" s="7">
        <v>0</v>
      </c>
      <c r="BD46" s="7">
        <v>0</v>
      </c>
      <c r="BE46" s="7">
        <f t="shared" si="20"/>
        <v>0</v>
      </c>
      <c r="BF46" s="79">
        <v>4030</v>
      </c>
      <c r="BG46" s="7">
        <f t="shared" si="24"/>
        <v>0</v>
      </c>
      <c r="BH46" s="28">
        <f t="shared" si="17"/>
        <v>51051</v>
      </c>
      <c r="BI46" s="29">
        <f t="shared" si="18"/>
        <v>0</v>
      </c>
      <c r="BJ46" s="7">
        <v>2</v>
      </c>
      <c r="BM46" s="7" t="s">
        <v>26</v>
      </c>
      <c r="BN46">
        <v>100</v>
      </c>
      <c r="BU46" s="7">
        <v>145</v>
      </c>
      <c r="BV46" t="s">
        <v>167</v>
      </c>
      <c r="BW46" s="7"/>
    </row>
    <row r="47" spans="1:75" x14ac:dyDescent="0.25">
      <c r="A47" s="7">
        <v>2026</v>
      </c>
      <c r="B47" s="13">
        <v>46328</v>
      </c>
      <c r="C47" s="115"/>
      <c r="D47" s="7">
        <v>44</v>
      </c>
      <c r="F47" s="5"/>
      <c r="G47" s="5"/>
      <c r="H47" s="5"/>
      <c r="I47" s="5"/>
      <c r="J47" s="6"/>
      <c r="L47" s="8" t="e">
        <f t="shared" si="22"/>
        <v>#DIV/0!</v>
      </c>
      <c r="M47" s="8" t="e">
        <f t="shared" si="15"/>
        <v>#DIV/0!</v>
      </c>
      <c r="N47" s="9">
        <v>0.96</v>
      </c>
      <c r="O47" s="9">
        <v>0.95</v>
      </c>
      <c r="Q47" s="1"/>
      <c r="R47" s="1"/>
      <c r="S47" s="1"/>
      <c r="T47" s="1"/>
      <c r="U47" s="4"/>
      <c r="AA47" s="140"/>
      <c r="AB47" s="140"/>
      <c r="AC47">
        <f t="shared" si="6"/>
        <v>0</v>
      </c>
      <c r="AD47" s="1" t="e">
        <f t="shared" si="0"/>
        <v>#DIV/0!</v>
      </c>
      <c r="AF47">
        <f t="shared" si="23"/>
        <v>16725</v>
      </c>
      <c r="AG47">
        <f t="shared" si="23"/>
        <v>8351.5</v>
      </c>
      <c r="AH47">
        <f t="shared" si="25"/>
        <v>12538.25</v>
      </c>
      <c r="AI47" s="1">
        <f t="shared" si="1"/>
        <v>0.66608178972344623</v>
      </c>
      <c r="AK47" s="110"/>
      <c r="AL47" s="134" t="e">
        <f t="shared" si="7"/>
        <v>#DIV/0!</v>
      </c>
      <c r="AM47">
        <f t="shared" si="21"/>
        <v>0</v>
      </c>
      <c r="AN47" s="134">
        <f t="shared" si="2"/>
        <v>0</v>
      </c>
      <c r="AO47" s="134">
        <v>1.2500000000000001E-2</v>
      </c>
      <c r="AP47" s="134">
        <v>1.8700000000000001E-2</v>
      </c>
      <c r="AZ47" s="72">
        <v>2022</v>
      </c>
      <c r="BA47" s="7" t="s">
        <v>15</v>
      </c>
      <c r="BB47" s="7">
        <v>0</v>
      </c>
      <c r="BC47" s="7">
        <v>1</v>
      </c>
      <c r="BD47" s="7">
        <v>3</v>
      </c>
      <c r="BE47" s="7">
        <f t="shared" si="20"/>
        <v>4</v>
      </c>
      <c r="BF47" s="79">
        <v>5039.5</v>
      </c>
      <c r="BG47" s="7">
        <f t="shared" si="24"/>
        <v>0</v>
      </c>
      <c r="BH47" s="28">
        <f t="shared" si="17"/>
        <v>52721.5</v>
      </c>
      <c r="BI47" s="29">
        <f t="shared" si="18"/>
        <v>0</v>
      </c>
      <c r="BJ47" s="7">
        <v>2</v>
      </c>
      <c r="BU47" s="7">
        <v>147</v>
      </c>
      <c r="BV47" t="s">
        <v>168</v>
      </c>
      <c r="BW47" s="7"/>
    </row>
    <row r="48" spans="1:75" x14ac:dyDescent="0.25">
      <c r="A48" s="7">
        <v>2026</v>
      </c>
      <c r="B48" s="13">
        <v>46335</v>
      </c>
      <c r="C48" s="116"/>
      <c r="D48" s="7">
        <v>45</v>
      </c>
      <c r="F48" s="5"/>
      <c r="G48" s="5"/>
      <c r="H48" s="5"/>
      <c r="I48" s="5"/>
      <c r="J48" s="6"/>
      <c r="L48" s="8" t="e">
        <f t="shared" si="22"/>
        <v>#DIV/0!</v>
      </c>
      <c r="M48" s="8" t="e">
        <f t="shared" si="15"/>
        <v>#DIV/0!</v>
      </c>
      <c r="N48" s="9">
        <v>0.96</v>
      </c>
      <c r="O48" s="9">
        <v>0.95</v>
      </c>
      <c r="Q48" s="1"/>
      <c r="R48" s="1"/>
      <c r="S48" s="1"/>
      <c r="T48" s="1"/>
      <c r="U48" s="4"/>
      <c r="AA48" s="140"/>
      <c r="AB48" s="110"/>
      <c r="AC48">
        <f t="shared" si="6"/>
        <v>0</v>
      </c>
      <c r="AD48" s="1" t="e">
        <f t="shared" si="0"/>
        <v>#DIV/0!</v>
      </c>
      <c r="AF48">
        <f t="shared" si="23"/>
        <v>16725</v>
      </c>
      <c r="AG48">
        <f t="shared" si="23"/>
        <v>8351.5</v>
      </c>
      <c r="AH48">
        <f t="shared" si="25"/>
        <v>12538.25</v>
      </c>
      <c r="AI48" s="1">
        <f t="shared" si="1"/>
        <v>0.66608178972344623</v>
      </c>
      <c r="AK48" s="110"/>
      <c r="AL48" s="134" t="e">
        <f t="shared" si="7"/>
        <v>#DIV/0!</v>
      </c>
      <c r="AM48">
        <f t="shared" si="21"/>
        <v>0</v>
      </c>
      <c r="AN48" s="134">
        <f t="shared" si="2"/>
        <v>0</v>
      </c>
      <c r="AO48" s="134">
        <v>1.2500000000000001E-2</v>
      </c>
      <c r="AP48" s="134">
        <v>1.8700000000000001E-2</v>
      </c>
      <c r="AZ48" s="72">
        <v>2022</v>
      </c>
      <c r="BA48" s="7" t="s">
        <v>16</v>
      </c>
      <c r="BB48" s="7">
        <v>0</v>
      </c>
      <c r="BC48" s="7">
        <v>0</v>
      </c>
      <c r="BD48" s="7">
        <v>0</v>
      </c>
      <c r="BE48" s="7">
        <f t="shared" si="20"/>
        <v>0</v>
      </c>
      <c r="BF48" s="79">
        <v>4765</v>
      </c>
      <c r="BG48" s="7">
        <f t="shared" si="24"/>
        <v>0</v>
      </c>
      <c r="BH48" s="28">
        <f t="shared" si="17"/>
        <v>54231.5</v>
      </c>
      <c r="BI48" s="29">
        <f t="shared" si="18"/>
        <v>0</v>
      </c>
      <c r="BJ48" s="7">
        <v>2</v>
      </c>
      <c r="BM48" s="7" t="s">
        <v>49</v>
      </c>
      <c r="BN48" s="45">
        <f>BQ40</f>
        <v>0.57692307692307687</v>
      </c>
      <c r="BU48" s="7">
        <v>150</v>
      </c>
      <c r="BV48" t="s">
        <v>169</v>
      </c>
      <c r="BW48" s="7"/>
    </row>
    <row r="49" spans="1:75" x14ac:dyDescent="0.25">
      <c r="A49" s="7">
        <v>2026</v>
      </c>
      <c r="B49" s="13">
        <v>46342</v>
      </c>
      <c r="C49" s="116" t="s">
        <v>18</v>
      </c>
      <c r="D49" s="7">
        <v>46</v>
      </c>
      <c r="F49" s="5"/>
      <c r="G49" s="5"/>
      <c r="H49" s="5"/>
      <c r="I49" s="5"/>
      <c r="J49" s="6"/>
      <c r="L49" s="8" t="e">
        <f t="shared" si="22"/>
        <v>#DIV/0!</v>
      </c>
      <c r="M49" s="8" t="e">
        <f t="shared" si="15"/>
        <v>#DIV/0!</v>
      </c>
      <c r="N49" s="9">
        <v>0.96</v>
      </c>
      <c r="O49" s="9">
        <v>0.95</v>
      </c>
      <c r="Q49" s="1"/>
      <c r="R49" s="1"/>
      <c r="S49" s="1"/>
      <c r="T49" s="1"/>
      <c r="U49" s="4"/>
      <c r="AA49" s="140"/>
      <c r="AB49" s="110"/>
      <c r="AC49">
        <f t="shared" si="6"/>
        <v>0</v>
      </c>
      <c r="AD49" s="1" t="e">
        <f t="shared" si="0"/>
        <v>#DIV/0!</v>
      </c>
      <c r="AF49">
        <f t="shared" ref="AF49:AG56" si="26">AF48+AA63</f>
        <v>16725</v>
      </c>
      <c r="AG49">
        <f t="shared" si="26"/>
        <v>8351.5</v>
      </c>
      <c r="AH49">
        <f t="shared" si="25"/>
        <v>12538.25</v>
      </c>
      <c r="AI49" s="1">
        <f t="shared" si="1"/>
        <v>0.66608178972344623</v>
      </c>
      <c r="AK49" s="110"/>
      <c r="AL49" s="134" t="e">
        <f t="shared" si="7"/>
        <v>#DIV/0!</v>
      </c>
      <c r="AM49">
        <f t="shared" si="21"/>
        <v>0</v>
      </c>
      <c r="AN49" s="134">
        <f t="shared" si="2"/>
        <v>0</v>
      </c>
      <c r="AO49" s="134">
        <v>1.2500000000000001E-2</v>
      </c>
      <c r="AP49" s="134">
        <v>1.8700000000000001E-2</v>
      </c>
      <c r="AZ49" s="72">
        <v>2022</v>
      </c>
      <c r="BA49" s="7" t="s">
        <v>17</v>
      </c>
      <c r="BB49" s="7">
        <v>1</v>
      </c>
      <c r="BC49" s="7">
        <v>0</v>
      </c>
      <c r="BD49" s="7">
        <v>1</v>
      </c>
      <c r="BE49" s="7">
        <f t="shared" si="20"/>
        <v>2</v>
      </c>
      <c r="BF49" s="79">
        <v>4974</v>
      </c>
      <c r="BG49" s="7">
        <f t="shared" si="24"/>
        <v>1</v>
      </c>
      <c r="BH49" s="28">
        <f t="shared" si="17"/>
        <v>54076.5</v>
      </c>
      <c r="BI49" s="29">
        <f t="shared" si="18"/>
        <v>3.6129451825892174</v>
      </c>
      <c r="BJ49" s="7">
        <v>2</v>
      </c>
      <c r="BM49" s="7" t="s">
        <v>106</v>
      </c>
      <c r="BN49" s="45">
        <v>0.02</v>
      </c>
      <c r="BU49" s="7">
        <v>155</v>
      </c>
      <c r="BV49" t="s">
        <v>170</v>
      </c>
      <c r="BW49" s="7"/>
    </row>
    <row r="50" spans="1:75" x14ac:dyDescent="0.25">
      <c r="A50" s="7">
        <v>2026</v>
      </c>
      <c r="B50" s="13">
        <v>46349</v>
      </c>
      <c r="C50" s="117"/>
      <c r="D50" s="7">
        <v>47</v>
      </c>
      <c r="F50" s="5"/>
      <c r="G50" s="5"/>
      <c r="H50" s="5"/>
      <c r="I50" s="5"/>
      <c r="J50" s="6"/>
      <c r="L50" s="8" t="e">
        <f t="shared" si="22"/>
        <v>#DIV/0!</v>
      </c>
      <c r="M50" s="8" t="e">
        <f t="shared" si="15"/>
        <v>#DIV/0!</v>
      </c>
      <c r="N50" s="9">
        <v>0.96</v>
      </c>
      <c r="O50" s="9">
        <v>0.95</v>
      </c>
      <c r="Q50" s="1"/>
      <c r="R50" s="1"/>
      <c r="S50" s="1"/>
      <c r="T50" s="1"/>
      <c r="U50" s="4"/>
      <c r="AA50" s="2"/>
      <c r="AB50" s="110"/>
      <c r="AC50">
        <f t="shared" si="6"/>
        <v>0</v>
      </c>
      <c r="AD50" s="1" t="e">
        <f t="shared" si="0"/>
        <v>#DIV/0!</v>
      </c>
      <c r="AF50">
        <f t="shared" si="26"/>
        <v>16725</v>
      </c>
      <c r="AG50">
        <f t="shared" si="26"/>
        <v>8351.5</v>
      </c>
      <c r="AH50">
        <f t="shared" si="25"/>
        <v>12538.25</v>
      </c>
      <c r="AI50" s="1">
        <f t="shared" si="1"/>
        <v>0.66608178972344623</v>
      </c>
      <c r="AK50" s="110"/>
      <c r="AL50" s="134" t="e">
        <f t="shared" si="7"/>
        <v>#DIV/0!</v>
      </c>
      <c r="AM50">
        <f t="shared" si="21"/>
        <v>0</v>
      </c>
      <c r="AN50" s="134">
        <f t="shared" si="2"/>
        <v>0</v>
      </c>
      <c r="AO50" s="134">
        <v>1.2500000000000001E-2</v>
      </c>
      <c r="AP50" s="134">
        <v>1.8700000000000001E-2</v>
      </c>
      <c r="AZ50" s="72">
        <v>2022</v>
      </c>
      <c r="BA50" s="7" t="s">
        <v>18</v>
      </c>
      <c r="BB50" s="7">
        <v>0</v>
      </c>
      <c r="BC50" s="7">
        <v>1</v>
      </c>
      <c r="BD50" s="7">
        <v>0</v>
      </c>
      <c r="BE50" s="7">
        <f t="shared" si="20"/>
        <v>1</v>
      </c>
      <c r="BF50" s="79">
        <v>4607</v>
      </c>
      <c r="BG50" s="7">
        <f t="shared" si="24"/>
        <v>1</v>
      </c>
      <c r="BH50" s="28">
        <f t="shared" si="17"/>
        <v>53581.5</v>
      </c>
      <c r="BI50" s="29">
        <f t="shared" si="18"/>
        <v>3.6455437784238494</v>
      </c>
      <c r="BJ50" s="7">
        <v>2</v>
      </c>
      <c r="BM50" s="7" t="s">
        <v>107</v>
      </c>
      <c r="BN50" s="45">
        <f>2-BN48-BN49</f>
        <v>1.4030769230769231</v>
      </c>
      <c r="BU50" s="7">
        <v>160</v>
      </c>
      <c r="BV50" t="s">
        <v>171</v>
      </c>
      <c r="BW50" s="7"/>
    </row>
    <row r="51" spans="1:75" x14ac:dyDescent="0.25">
      <c r="A51" s="7">
        <v>2026</v>
      </c>
      <c r="B51" s="13">
        <v>46356</v>
      </c>
      <c r="C51" s="116"/>
      <c r="D51" s="7">
        <v>48</v>
      </c>
      <c r="F51" s="5"/>
      <c r="G51" s="5"/>
      <c r="H51" s="5"/>
      <c r="I51" s="5"/>
      <c r="J51" s="6"/>
      <c r="L51" s="8" t="e">
        <f t="shared" si="22"/>
        <v>#DIV/0!</v>
      </c>
      <c r="M51" s="8" t="e">
        <f t="shared" si="15"/>
        <v>#DIV/0!</v>
      </c>
      <c r="N51" s="9">
        <v>0.96</v>
      </c>
      <c r="O51" s="9">
        <v>0.95</v>
      </c>
      <c r="Q51" s="1"/>
      <c r="R51" s="1"/>
      <c r="S51" s="1"/>
      <c r="T51" s="1"/>
      <c r="U51" s="4"/>
      <c r="AA51" s="140"/>
      <c r="AB51" s="140"/>
      <c r="AC51" s="2">
        <f t="shared" si="6"/>
        <v>0</v>
      </c>
      <c r="AD51" s="1" t="e">
        <f t="shared" si="0"/>
        <v>#DIV/0!</v>
      </c>
      <c r="AF51">
        <f t="shared" si="26"/>
        <v>16725</v>
      </c>
      <c r="AG51">
        <f t="shared" si="26"/>
        <v>8351.5</v>
      </c>
      <c r="AH51">
        <f t="shared" si="25"/>
        <v>12538.25</v>
      </c>
      <c r="AI51" s="1">
        <f t="shared" si="1"/>
        <v>0.66608178972344623</v>
      </c>
      <c r="AK51" s="110"/>
      <c r="AL51" s="134" t="e">
        <f t="shared" si="7"/>
        <v>#DIV/0!</v>
      </c>
      <c r="AM51">
        <f t="shared" si="21"/>
        <v>0</v>
      </c>
      <c r="AN51" s="134">
        <f t="shared" si="2"/>
        <v>0</v>
      </c>
      <c r="AO51" s="134">
        <v>1.2500000000000001E-2</v>
      </c>
      <c r="AP51" s="134">
        <v>1.8700000000000001E-2</v>
      </c>
      <c r="AZ51" s="75">
        <v>2022</v>
      </c>
      <c r="BA51" s="76" t="s">
        <v>19</v>
      </c>
      <c r="BB51" s="76">
        <v>0</v>
      </c>
      <c r="BC51" s="76">
        <v>1</v>
      </c>
      <c r="BD51" s="76">
        <v>0</v>
      </c>
      <c r="BE51" s="76">
        <f t="shared" si="20"/>
        <v>1</v>
      </c>
      <c r="BF51" s="80">
        <v>4314</v>
      </c>
      <c r="BG51" s="7">
        <f t="shared" si="24"/>
        <v>1</v>
      </c>
      <c r="BH51" s="28">
        <f t="shared" si="17"/>
        <v>52876.5</v>
      </c>
      <c r="BI51" s="29">
        <f t="shared" si="18"/>
        <v>3.693000840157691</v>
      </c>
      <c r="BJ51" s="7">
        <v>2</v>
      </c>
      <c r="BU51" s="7">
        <v>165</v>
      </c>
      <c r="BV51" t="s">
        <v>172</v>
      </c>
      <c r="BW51" s="7"/>
    </row>
    <row r="52" spans="1:75" x14ac:dyDescent="0.25">
      <c r="A52" s="7">
        <v>2026</v>
      </c>
      <c r="B52" s="13">
        <v>46363</v>
      </c>
      <c r="C52" s="116"/>
      <c r="D52" s="7">
        <v>49</v>
      </c>
      <c r="F52" s="5"/>
      <c r="G52" s="5"/>
      <c r="H52" s="5"/>
      <c r="I52" s="5"/>
      <c r="J52" s="6"/>
      <c r="L52" s="8" t="e">
        <f t="shared" si="22"/>
        <v>#DIV/0!</v>
      </c>
      <c r="M52" s="8" t="e">
        <f t="shared" si="15"/>
        <v>#DIV/0!</v>
      </c>
      <c r="N52" s="9">
        <v>0.96</v>
      </c>
      <c r="O52" s="9">
        <v>0.95</v>
      </c>
      <c r="Q52" s="1"/>
      <c r="R52" s="1"/>
      <c r="S52" s="1"/>
      <c r="T52" s="1"/>
      <c r="U52" s="4"/>
      <c r="AA52" s="2"/>
      <c r="AB52" s="140"/>
      <c r="AC52">
        <f t="shared" si="6"/>
        <v>0</v>
      </c>
      <c r="AD52" s="1" t="e">
        <f t="shared" si="0"/>
        <v>#DIV/0!</v>
      </c>
      <c r="AF52">
        <f t="shared" si="26"/>
        <v>16725</v>
      </c>
      <c r="AG52">
        <f t="shared" si="26"/>
        <v>8351.5</v>
      </c>
      <c r="AH52">
        <f t="shared" si="25"/>
        <v>12538.25</v>
      </c>
      <c r="AI52" s="1">
        <f t="shared" si="1"/>
        <v>0.66608178972344623</v>
      </c>
      <c r="AK52" s="110"/>
      <c r="AL52" s="134" t="e">
        <f t="shared" si="7"/>
        <v>#DIV/0!</v>
      </c>
      <c r="AM52">
        <f t="shared" si="21"/>
        <v>0</v>
      </c>
      <c r="AN52" s="134">
        <f t="shared" si="2"/>
        <v>0</v>
      </c>
      <c r="AO52" s="134">
        <v>1.2500000000000001E-2</v>
      </c>
      <c r="AP52" s="134">
        <v>1.8700000000000001E-2</v>
      </c>
      <c r="AZ52" s="69">
        <v>2023</v>
      </c>
      <c r="BA52" s="70" t="s">
        <v>8</v>
      </c>
      <c r="BB52" s="70">
        <v>0</v>
      </c>
      <c r="BC52" s="70">
        <v>1</v>
      </c>
      <c r="BD52" s="70">
        <v>1</v>
      </c>
      <c r="BE52" s="70">
        <f t="shared" ref="BE52:BE63" si="27">SUM(BB52:BD52)</f>
        <v>2</v>
      </c>
      <c r="BF52" s="78">
        <v>5390</v>
      </c>
      <c r="BG52" s="7">
        <f>SUM(BB41:BB52)</f>
        <v>1</v>
      </c>
      <c r="BH52" s="28">
        <f>SUM(BF41:BF52)</f>
        <v>53583.5</v>
      </c>
      <c r="BI52" s="29">
        <f t="shared" si="18"/>
        <v>3.6454108833741925</v>
      </c>
      <c r="BJ52" s="7">
        <v>1</v>
      </c>
      <c r="BU52" s="7">
        <v>170</v>
      </c>
      <c r="BV52" t="s">
        <v>173</v>
      </c>
      <c r="BW52" s="7"/>
    </row>
    <row r="53" spans="1:75" x14ac:dyDescent="0.25">
      <c r="A53" s="7">
        <v>2026</v>
      </c>
      <c r="B53" s="13">
        <v>46370</v>
      </c>
      <c r="C53" s="116" t="s">
        <v>19</v>
      </c>
      <c r="D53" s="7">
        <v>50</v>
      </c>
      <c r="F53" s="5"/>
      <c r="G53" s="5"/>
      <c r="H53" s="5"/>
      <c r="I53" s="5"/>
      <c r="J53" s="6"/>
      <c r="L53" s="8" t="e">
        <f t="shared" si="22"/>
        <v>#DIV/0!</v>
      </c>
      <c r="M53" s="8" t="e">
        <f t="shared" si="15"/>
        <v>#DIV/0!</v>
      </c>
      <c r="N53" s="9">
        <v>0.96</v>
      </c>
      <c r="O53" s="9">
        <v>0.95</v>
      </c>
      <c r="Q53" s="1"/>
      <c r="R53" s="1"/>
      <c r="S53" s="1"/>
      <c r="T53" s="1"/>
      <c r="U53" s="4"/>
      <c r="AA53" s="140"/>
      <c r="AB53" s="140"/>
      <c r="AC53">
        <f t="shared" si="6"/>
        <v>0</v>
      </c>
      <c r="AD53" s="1" t="e">
        <f t="shared" si="0"/>
        <v>#DIV/0!</v>
      </c>
      <c r="AF53">
        <f t="shared" si="26"/>
        <v>16725</v>
      </c>
      <c r="AG53">
        <f t="shared" si="26"/>
        <v>8351.5</v>
      </c>
      <c r="AH53">
        <f t="shared" si="25"/>
        <v>12538.25</v>
      </c>
      <c r="AI53" s="1">
        <f t="shared" si="1"/>
        <v>0.66608178972344623</v>
      </c>
      <c r="AK53" s="110"/>
      <c r="AL53" s="134" t="e">
        <f t="shared" si="7"/>
        <v>#DIV/0!</v>
      </c>
      <c r="AM53">
        <f t="shared" si="21"/>
        <v>0</v>
      </c>
      <c r="AN53" s="134">
        <f t="shared" si="2"/>
        <v>0</v>
      </c>
      <c r="AO53" s="134">
        <v>1.2500000000000001E-2</v>
      </c>
      <c r="AP53" s="134">
        <v>1.8700000000000001E-2</v>
      </c>
      <c r="AZ53" s="72">
        <v>2023</v>
      </c>
      <c r="BA53" s="7" t="s">
        <v>9</v>
      </c>
      <c r="BB53" s="7">
        <v>1</v>
      </c>
      <c r="BC53" s="7">
        <v>3</v>
      </c>
      <c r="BD53" s="7">
        <v>0</v>
      </c>
      <c r="BE53" s="7">
        <f t="shared" si="27"/>
        <v>4</v>
      </c>
      <c r="BF53" s="79">
        <v>5469.25</v>
      </c>
      <c r="BG53" s="7">
        <f>SUM(BB42:BB53)</f>
        <v>2</v>
      </c>
      <c r="BH53" s="28">
        <f>SUM(BF42:BF53)</f>
        <v>54019.75</v>
      </c>
      <c r="BI53" s="29">
        <f t="shared" si="18"/>
        <v>7.2333057563551373</v>
      </c>
      <c r="BJ53" s="7">
        <v>1</v>
      </c>
      <c r="BU53" s="7">
        <v>175</v>
      </c>
      <c r="BV53" t="s">
        <v>174</v>
      </c>
      <c r="BW53" s="7"/>
    </row>
    <row r="54" spans="1:75" x14ac:dyDescent="0.25">
      <c r="A54" s="7">
        <v>2026</v>
      </c>
      <c r="B54" s="13">
        <v>46377</v>
      </c>
      <c r="C54" s="118"/>
      <c r="D54" s="7">
        <v>51</v>
      </c>
      <c r="F54" s="5"/>
      <c r="G54" s="5"/>
      <c r="H54" s="5"/>
      <c r="I54" s="5"/>
      <c r="J54" s="6"/>
      <c r="L54" s="8" t="e">
        <f t="shared" si="22"/>
        <v>#DIV/0!</v>
      </c>
      <c r="M54" s="8" t="e">
        <f t="shared" si="15"/>
        <v>#DIV/0!</v>
      </c>
      <c r="N54" s="9">
        <v>0.96</v>
      </c>
      <c r="O54" s="9">
        <v>0.95</v>
      </c>
      <c r="Q54" s="1"/>
      <c r="R54" s="1"/>
      <c r="S54" s="1"/>
      <c r="T54" s="1"/>
      <c r="U54" s="4"/>
      <c r="AA54" s="2"/>
      <c r="AB54" s="110"/>
      <c r="AC54">
        <f t="shared" si="6"/>
        <v>0</v>
      </c>
      <c r="AD54" s="1" t="e">
        <f t="shared" si="0"/>
        <v>#DIV/0!</v>
      </c>
      <c r="AF54">
        <f t="shared" si="26"/>
        <v>16725</v>
      </c>
      <c r="AG54">
        <f t="shared" si="26"/>
        <v>8351.5</v>
      </c>
      <c r="AH54">
        <f t="shared" si="25"/>
        <v>12538.25</v>
      </c>
      <c r="AI54" s="1">
        <f t="shared" si="1"/>
        <v>0.66608178972344623</v>
      </c>
      <c r="AK54" s="110"/>
      <c r="AL54" s="134" t="e">
        <f t="shared" si="7"/>
        <v>#DIV/0!</v>
      </c>
      <c r="AM54">
        <f t="shared" si="21"/>
        <v>0</v>
      </c>
      <c r="AN54" s="134">
        <f t="shared" si="2"/>
        <v>0</v>
      </c>
      <c r="AO54" s="134">
        <v>1.2500000000000001E-2</v>
      </c>
      <c r="AP54" s="134">
        <v>1.8700000000000001E-2</v>
      </c>
      <c r="AZ54" s="72">
        <v>2023</v>
      </c>
      <c r="BA54" s="7" t="s">
        <v>10</v>
      </c>
      <c r="BB54" s="7">
        <v>0</v>
      </c>
      <c r="BC54" s="7">
        <v>0</v>
      </c>
      <c r="BD54" s="7">
        <v>1</v>
      </c>
      <c r="BE54" s="7">
        <f t="shared" si="27"/>
        <v>1</v>
      </c>
      <c r="BF54" s="79">
        <v>6230.75</v>
      </c>
      <c r="BG54" s="7">
        <f t="shared" ref="BG54:BG63" si="28">SUM(BB43:BB54)</f>
        <v>2</v>
      </c>
      <c r="BH54" s="28">
        <f t="shared" ref="BH54:BH63" si="29">SUM(BF43:BF54)</f>
        <v>55604.5</v>
      </c>
      <c r="BI54" s="29">
        <f t="shared" si="18"/>
        <v>7.031792491803567</v>
      </c>
      <c r="BJ54" s="7">
        <v>1</v>
      </c>
      <c r="BU54" s="7">
        <v>180</v>
      </c>
      <c r="BV54" t="s">
        <v>175</v>
      </c>
      <c r="BW54" s="7"/>
    </row>
    <row r="55" spans="1:75" x14ac:dyDescent="0.25">
      <c r="A55" s="7">
        <v>2026</v>
      </c>
      <c r="B55" s="13">
        <v>46384</v>
      </c>
      <c r="C55" s="117"/>
      <c r="D55" s="7">
        <v>52</v>
      </c>
      <c r="F55" s="5"/>
      <c r="G55" s="5"/>
      <c r="H55" s="5"/>
      <c r="I55" s="5"/>
      <c r="J55" s="6"/>
      <c r="L55" s="8" t="e">
        <f t="shared" si="22"/>
        <v>#DIV/0!</v>
      </c>
      <c r="M55" s="8" t="e">
        <f t="shared" si="15"/>
        <v>#DIV/0!</v>
      </c>
      <c r="N55" s="9">
        <v>0.96</v>
      </c>
      <c r="O55" s="9">
        <v>0.95</v>
      </c>
      <c r="Q55" s="1"/>
      <c r="R55" s="1"/>
      <c r="S55" s="1"/>
      <c r="T55" s="1"/>
      <c r="U55" s="4"/>
      <c r="AA55" s="140"/>
      <c r="AB55" s="140"/>
      <c r="AC55">
        <f t="shared" si="6"/>
        <v>0</v>
      </c>
      <c r="AD55" s="1" t="e">
        <f t="shared" si="0"/>
        <v>#DIV/0!</v>
      </c>
      <c r="AF55">
        <f t="shared" si="26"/>
        <v>16725</v>
      </c>
      <c r="AG55">
        <f t="shared" si="26"/>
        <v>8351.5</v>
      </c>
      <c r="AH55">
        <f t="shared" si="25"/>
        <v>12538.25</v>
      </c>
      <c r="AI55" s="1">
        <f t="shared" si="1"/>
        <v>0.66608178972344623</v>
      </c>
      <c r="AK55" s="110"/>
      <c r="AL55" s="134" t="e">
        <f t="shared" si="7"/>
        <v>#DIV/0!</v>
      </c>
      <c r="AM55">
        <f t="shared" si="21"/>
        <v>0</v>
      </c>
      <c r="AN55" s="134">
        <f t="shared" si="2"/>
        <v>0</v>
      </c>
      <c r="AO55" s="134">
        <v>1.2500000000000001E-2</v>
      </c>
      <c r="AP55" s="134">
        <v>1.8700000000000001E-2</v>
      </c>
      <c r="AZ55" s="72">
        <v>2023</v>
      </c>
      <c r="BA55" s="7" t="s">
        <v>11</v>
      </c>
      <c r="BB55" s="7">
        <v>0</v>
      </c>
      <c r="BC55" s="7">
        <v>0</v>
      </c>
      <c r="BD55" s="7">
        <v>1</v>
      </c>
      <c r="BE55" s="7">
        <f t="shared" si="27"/>
        <v>1</v>
      </c>
      <c r="BF55" s="79">
        <v>4990.75</v>
      </c>
      <c r="BG55" s="7">
        <f t="shared" si="28"/>
        <v>2</v>
      </c>
      <c r="BH55" s="28">
        <f t="shared" si="29"/>
        <v>57233.25</v>
      </c>
      <c r="BI55" s="29">
        <f t="shared" si="18"/>
        <v>6.8360584995706102</v>
      </c>
      <c r="BJ55" s="7">
        <v>1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E56" t="s">
        <v>335</v>
      </c>
      <c r="F56" s="5"/>
      <c r="G56" s="5"/>
      <c r="H56" s="5"/>
      <c r="I56" s="5"/>
      <c r="J56" s="6"/>
      <c r="L56" s="8" t="e">
        <f t="shared" si="22"/>
        <v>#DIV/0!</v>
      </c>
      <c r="M56" s="8" t="e">
        <f t="shared" si="15"/>
        <v>#DIV/0!</v>
      </c>
      <c r="N56" s="9">
        <v>0.96</v>
      </c>
      <c r="O56" s="9">
        <v>0.95</v>
      </c>
      <c r="Q56" s="1"/>
      <c r="R56" s="1"/>
      <c r="S56" s="1"/>
      <c r="T56" s="1"/>
      <c r="U56" s="4"/>
      <c r="AA56" s="140"/>
      <c r="AB56" s="140"/>
      <c r="AC56">
        <f t="shared" si="6"/>
        <v>0</v>
      </c>
      <c r="AD56" s="1" t="e">
        <f t="shared" si="0"/>
        <v>#DIV/0!</v>
      </c>
      <c r="AF56">
        <f t="shared" si="26"/>
        <v>16725</v>
      </c>
      <c r="AG56">
        <f t="shared" si="26"/>
        <v>8351.5</v>
      </c>
      <c r="AH56">
        <f t="shared" si="25"/>
        <v>12538.25</v>
      </c>
      <c r="AI56" s="1">
        <f t="shared" si="1"/>
        <v>0.66608178972344623</v>
      </c>
      <c r="AK56" s="110"/>
      <c r="AL56" s="134"/>
      <c r="AM56" s="110"/>
      <c r="AN56" s="134"/>
      <c r="AO56" s="134"/>
      <c r="AP56" s="134"/>
      <c r="AZ56" s="72">
        <v>2023</v>
      </c>
      <c r="BA56" s="7" t="s">
        <v>12</v>
      </c>
      <c r="BB56" s="7">
        <v>0</v>
      </c>
      <c r="BC56" s="7">
        <v>0</v>
      </c>
      <c r="BD56" s="7">
        <v>0</v>
      </c>
      <c r="BE56" s="7">
        <f t="shared" si="27"/>
        <v>0</v>
      </c>
      <c r="BF56" s="79">
        <v>5013.25</v>
      </c>
      <c r="BG56" s="7">
        <f t="shared" si="28"/>
        <v>2</v>
      </c>
      <c r="BH56" s="28">
        <f t="shared" si="29"/>
        <v>58721.5</v>
      </c>
      <c r="BI56" s="29">
        <f t="shared" si="18"/>
        <v>6.6665000041665623</v>
      </c>
      <c r="BJ56" s="7">
        <v>1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Y57" t="s">
        <v>377</v>
      </c>
      <c r="AA57" s="2">
        <f>SUM(AA4:AA56)</f>
        <v>8362.5</v>
      </c>
      <c r="AB57" s="2">
        <f>SUM(AB4:AB56)</f>
        <v>4175.75</v>
      </c>
      <c r="AC57">
        <f t="shared" si="6"/>
        <v>12538.25</v>
      </c>
      <c r="AD57" s="1">
        <f t="shared" si="0"/>
        <v>0.33304089486172311</v>
      </c>
      <c r="AJ57" t="s">
        <v>377</v>
      </c>
      <c r="AK57" s="110">
        <f>SUM(AK4:AK56)</f>
        <v>0</v>
      </c>
      <c r="AL57" s="134">
        <f>AK57/AA57</f>
        <v>0</v>
      </c>
      <c r="AZ57" s="72">
        <v>2023</v>
      </c>
      <c r="BA57" s="7" t="s">
        <v>13</v>
      </c>
      <c r="BB57" s="7">
        <v>0</v>
      </c>
      <c r="BC57" s="7">
        <v>1</v>
      </c>
      <c r="BD57" s="7">
        <v>0</v>
      </c>
      <c r="BE57" s="7">
        <f t="shared" si="27"/>
        <v>1</v>
      </c>
      <c r="BF57" s="79">
        <v>4337.75</v>
      </c>
      <c r="BG57" s="7">
        <f t="shared" si="28"/>
        <v>2</v>
      </c>
      <c r="BH57" s="28">
        <f t="shared" si="29"/>
        <v>59161.25</v>
      </c>
      <c r="BI57" s="29">
        <f t="shared" si="18"/>
        <v>6.6179968150890325</v>
      </c>
      <c r="BJ57" s="7">
        <v>1</v>
      </c>
      <c r="BU57" s="7">
        <v>205</v>
      </c>
      <c r="BV57" t="s">
        <v>178</v>
      </c>
      <c r="BW57" s="7"/>
    </row>
    <row r="58" spans="1:75" x14ac:dyDescent="0.25">
      <c r="F58" s="91">
        <v>4032</v>
      </c>
      <c r="G58" s="91">
        <v>19262</v>
      </c>
      <c r="H58" s="91">
        <v>16570</v>
      </c>
      <c r="I58" s="91">
        <v>565</v>
      </c>
      <c r="J58" s="91">
        <f>SUM(F58:I58)</f>
        <v>40429</v>
      </c>
      <c r="Q58" s="1"/>
      <c r="R58" s="1"/>
      <c r="S58" s="1"/>
      <c r="T58" s="1"/>
      <c r="U58" s="4"/>
      <c r="AA58" s="2"/>
      <c r="AB58" s="2"/>
      <c r="AZ58" s="72">
        <v>2023</v>
      </c>
      <c r="BA58" s="7" t="s">
        <v>14</v>
      </c>
      <c r="BB58" s="7">
        <v>1</v>
      </c>
      <c r="BC58" s="7">
        <v>0</v>
      </c>
      <c r="BD58" s="7">
        <v>0</v>
      </c>
      <c r="BE58" s="7">
        <f t="shared" si="27"/>
        <v>1</v>
      </c>
      <c r="BF58" s="79">
        <v>3849.75</v>
      </c>
      <c r="BG58" s="7">
        <f t="shared" si="28"/>
        <v>3</v>
      </c>
      <c r="BH58" s="28">
        <f t="shared" si="29"/>
        <v>58981</v>
      </c>
      <c r="BI58" s="29">
        <f t="shared" si="18"/>
        <v>9.9566884054363527</v>
      </c>
      <c r="BJ58" s="7">
        <v>1</v>
      </c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AZ59" s="72">
        <v>2023</v>
      </c>
      <c r="BA59" s="7" t="s">
        <v>15</v>
      </c>
      <c r="BB59" s="7">
        <v>1</v>
      </c>
      <c r="BC59" s="7">
        <v>1</v>
      </c>
      <c r="BD59" s="7">
        <v>0</v>
      </c>
      <c r="BE59" s="7">
        <f t="shared" si="27"/>
        <v>2</v>
      </c>
      <c r="BF59" s="79">
        <v>5185.5</v>
      </c>
      <c r="BG59" s="7">
        <f t="shared" si="28"/>
        <v>4</v>
      </c>
      <c r="BH59" s="28">
        <f t="shared" si="29"/>
        <v>59127</v>
      </c>
      <c r="BI59" s="29">
        <f t="shared" si="18"/>
        <v>13.243498270068038</v>
      </c>
      <c r="BJ59" s="7">
        <v>1</v>
      </c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AZ60" s="72">
        <v>2023</v>
      </c>
      <c r="BA60" s="7" t="s">
        <v>16</v>
      </c>
      <c r="BB60" s="7">
        <v>0</v>
      </c>
      <c r="BC60" s="7">
        <v>0</v>
      </c>
      <c r="BD60" s="7">
        <v>0</v>
      </c>
      <c r="BE60" s="7">
        <f t="shared" si="27"/>
        <v>0</v>
      </c>
      <c r="BF60" s="79">
        <v>4122.75</v>
      </c>
      <c r="BG60" s="7">
        <f t="shared" si="28"/>
        <v>4</v>
      </c>
      <c r="BH60" s="28">
        <f t="shared" si="29"/>
        <v>58484.75</v>
      </c>
      <c r="BI60" s="29">
        <f t="shared" si="18"/>
        <v>13.385816890391075</v>
      </c>
      <c r="BJ60" s="7">
        <v>1</v>
      </c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AZ61" s="72">
        <v>2023</v>
      </c>
      <c r="BA61" s="7" t="s">
        <v>17</v>
      </c>
      <c r="BB61" s="7">
        <v>0</v>
      </c>
      <c r="BC61" s="7">
        <v>0</v>
      </c>
      <c r="BD61" s="7">
        <v>0</v>
      </c>
      <c r="BE61" s="7">
        <f t="shared" si="27"/>
        <v>0</v>
      </c>
      <c r="BF61" s="79">
        <v>5403.75</v>
      </c>
      <c r="BG61" s="7">
        <f t="shared" si="28"/>
        <v>3</v>
      </c>
      <c r="BH61" s="28">
        <f t="shared" si="29"/>
        <v>58914.5</v>
      </c>
      <c r="BI61" s="29">
        <f t="shared" si="18"/>
        <v>9.9676880778144188</v>
      </c>
      <c r="BJ61" s="7">
        <v>1</v>
      </c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AZ62" s="72">
        <v>2023</v>
      </c>
      <c r="BA62" s="7" t="s">
        <v>18</v>
      </c>
      <c r="BB62" s="7">
        <v>0</v>
      </c>
      <c r="BC62" s="7">
        <v>0</v>
      </c>
      <c r="BD62" s="7">
        <v>1</v>
      </c>
      <c r="BE62" s="7">
        <f t="shared" si="27"/>
        <v>1</v>
      </c>
      <c r="BF62" s="79">
        <v>5218.25</v>
      </c>
      <c r="BG62" s="7">
        <f t="shared" si="28"/>
        <v>3</v>
      </c>
      <c r="BH62" s="28">
        <f t="shared" si="29"/>
        <v>59525.75</v>
      </c>
      <c r="BI62" s="29">
        <f t="shared" si="18"/>
        <v>9.8674878609342045</v>
      </c>
      <c r="BJ62" s="7">
        <v>1</v>
      </c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AZ63" s="75">
        <v>2023</v>
      </c>
      <c r="BA63" s="76" t="s">
        <v>19</v>
      </c>
      <c r="BB63" s="76">
        <v>0</v>
      </c>
      <c r="BC63" s="76">
        <v>0</v>
      </c>
      <c r="BD63" s="76">
        <v>0</v>
      </c>
      <c r="BE63" s="76">
        <f t="shared" si="27"/>
        <v>0</v>
      </c>
      <c r="BF63" s="80">
        <v>4308.25</v>
      </c>
      <c r="BG63" s="7">
        <f t="shared" si="28"/>
        <v>3</v>
      </c>
      <c r="BH63" s="28">
        <f t="shared" si="29"/>
        <v>59520</v>
      </c>
      <c r="BI63" s="29">
        <f t="shared" si="18"/>
        <v>9.8684210526315788</v>
      </c>
      <c r="BJ63" s="7">
        <v>1</v>
      </c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AZ64" s="69">
        <v>2024</v>
      </c>
      <c r="BA64" s="70" t="s">
        <v>8</v>
      </c>
      <c r="BB64" s="70">
        <v>0</v>
      </c>
      <c r="BC64" s="70">
        <v>0</v>
      </c>
      <c r="BD64" s="70">
        <v>0</v>
      </c>
      <c r="BE64" s="70">
        <f t="shared" ref="BE64:BE87" si="30">SUM(BB64:BD64)</f>
        <v>0</v>
      </c>
      <c r="BF64" s="78">
        <f>3663.5+1909.25</f>
        <v>5572.75</v>
      </c>
      <c r="BG64" s="7">
        <f t="shared" ref="BG64:BG65" si="31">SUM(BB53:BB64)</f>
        <v>3</v>
      </c>
      <c r="BH64" s="28">
        <f t="shared" ref="BH64:BH71" si="32">SUM(BF53:BF64)</f>
        <v>59702.75</v>
      </c>
      <c r="BI64" s="29">
        <f t="shared" si="18"/>
        <v>9.8388478709143161</v>
      </c>
      <c r="BJ64" s="7">
        <v>1</v>
      </c>
      <c r="BU64" s="7">
        <v>240</v>
      </c>
      <c r="BV64" t="s">
        <v>185</v>
      </c>
      <c r="BW64" s="7"/>
    </row>
    <row r="65" spans="5:75" x14ac:dyDescent="0.25">
      <c r="Q65" s="1"/>
      <c r="R65" s="1"/>
      <c r="S65" s="1"/>
      <c r="T65" s="1"/>
      <c r="U65" s="4"/>
      <c r="AA65" s="2"/>
      <c r="AB65" s="2"/>
      <c r="AZ65" s="72">
        <v>2024</v>
      </c>
      <c r="BA65" s="7" t="s">
        <v>9</v>
      </c>
      <c r="BB65" s="7">
        <v>0</v>
      </c>
      <c r="BC65" s="7">
        <v>0</v>
      </c>
      <c r="BD65" s="7">
        <v>1</v>
      </c>
      <c r="BE65" s="7">
        <f t="shared" si="30"/>
        <v>1</v>
      </c>
      <c r="BF65" s="79">
        <f>3704.75+1733.75</f>
        <v>5438.5</v>
      </c>
      <c r="BG65" s="7">
        <f t="shared" si="31"/>
        <v>2</v>
      </c>
      <c r="BH65" s="28">
        <f t="shared" si="32"/>
        <v>59672</v>
      </c>
      <c r="BI65" s="29">
        <f t="shared" si="18"/>
        <v>6.5625410158813491</v>
      </c>
      <c r="BJ65" s="7">
        <v>1</v>
      </c>
      <c r="BU65" s="7">
        <v>245</v>
      </c>
      <c r="BV65" t="s">
        <v>186</v>
      </c>
      <c r="BW65" s="7"/>
    </row>
    <row r="66" spans="5:75" x14ac:dyDescent="0.25">
      <c r="Q66" s="1"/>
      <c r="R66" s="1"/>
      <c r="S66" s="1"/>
      <c r="T66" s="1"/>
      <c r="U66" s="4"/>
      <c r="AA66" s="2"/>
      <c r="AB66" s="2"/>
      <c r="AZ66" s="72">
        <v>2024</v>
      </c>
      <c r="BA66" s="7" t="s">
        <v>10</v>
      </c>
      <c r="BB66" s="7">
        <v>0</v>
      </c>
      <c r="BC66" s="7">
        <v>0</v>
      </c>
      <c r="BD66" s="7">
        <v>0</v>
      </c>
      <c r="BE66" s="7">
        <f t="shared" si="30"/>
        <v>0</v>
      </c>
      <c r="BF66" s="79">
        <f>4107+1452.5</f>
        <v>5559.5</v>
      </c>
      <c r="BG66" s="7">
        <f>SUM(BB55:BB66)</f>
        <v>2</v>
      </c>
      <c r="BH66" s="28">
        <f t="shared" si="32"/>
        <v>59000.75</v>
      </c>
      <c r="BI66" s="29">
        <f t="shared" si="18"/>
        <v>6.6356175064178862</v>
      </c>
      <c r="BJ66" s="7">
        <v>1</v>
      </c>
      <c r="BM66" s="46" t="s">
        <v>108</v>
      </c>
      <c r="BU66" s="7">
        <v>250</v>
      </c>
      <c r="BV66" t="s">
        <v>187</v>
      </c>
      <c r="BW66" s="7"/>
    </row>
    <row r="67" spans="5:75" x14ac:dyDescent="0.25">
      <c r="Q67" s="1"/>
      <c r="R67" s="1"/>
      <c r="S67" s="1"/>
      <c r="T67" s="1"/>
      <c r="U67" s="4"/>
      <c r="AA67" s="2"/>
      <c r="AB67" s="2"/>
      <c r="AZ67" s="72">
        <v>2024</v>
      </c>
      <c r="BA67" s="7" t="s">
        <v>11</v>
      </c>
      <c r="BB67" s="7">
        <v>0</v>
      </c>
      <c r="BC67" s="7">
        <v>0</v>
      </c>
      <c r="BD67" s="7">
        <v>1</v>
      </c>
      <c r="BE67" s="7">
        <f t="shared" si="30"/>
        <v>1</v>
      </c>
      <c r="BF67" s="79">
        <f>4273.25+1237.75</f>
        <v>5511</v>
      </c>
      <c r="BG67" s="7">
        <f>SUM(BB56:BB67)</f>
        <v>2</v>
      </c>
      <c r="BH67" s="28">
        <f t="shared" si="32"/>
        <v>59521</v>
      </c>
      <c r="BI67" s="29">
        <f>BG67*200000/(BH67+1280)</f>
        <v>6.5788391638295423</v>
      </c>
      <c r="BJ67" s="7">
        <v>1</v>
      </c>
      <c r="BU67" s="7">
        <v>252</v>
      </c>
      <c r="BV67" t="s">
        <v>188</v>
      </c>
      <c r="BW67" s="7"/>
    </row>
    <row r="68" spans="5:75" x14ac:dyDescent="0.25">
      <c r="AA68" s="2"/>
      <c r="AB68" s="2"/>
      <c r="AZ68" s="72">
        <v>2024</v>
      </c>
      <c r="BA68" s="7" t="s">
        <v>12</v>
      </c>
      <c r="BB68" s="7">
        <v>0</v>
      </c>
      <c r="BC68" s="7">
        <v>0</v>
      </c>
      <c r="BD68" s="7">
        <v>1</v>
      </c>
      <c r="BE68" s="7">
        <f t="shared" si="30"/>
        <v>1</v>
      </c>
      <c r="BF68" s="79">
        <f>3747+993</f>
        <v>4740</v>
      </c>
      <c r="BG68" s="7">
        <f>SUM(BB57:BB68)</f>
        <v>2</v>
      </c>
      <c r="BH68" s="28">
        <f t="shared" si="32"/>
        <v>59247.75</v>
      </c>
      <c r="BI68" s="29">
        <f>BG68*200000/(BH68+1280)</f>
        <v>6.6085390585310044</v>
      </c>
      <c r="BJ68" s="7">
        <v>1</v>
      </c>
      <c r="BM68" s="47" t="s">
        <v>4</v>
      </c>
      <c r="BN68" s="47" t="s">
        <v>100</v>
      </c>
      <c r="BO68" s="105" t="s">
        <v>101</v>
      </c>
      <c r="BP68" s="47" t="s">
        <v>109</v>
      </c>
      <c r="BU68" s="7">
        <v>255</v>
      </c>
      <c r="BV68" t="s">
        <v>189</v>
      </c>
      <c r="BW68" s="7"/>
    </row>
    <row r="69" spans="5:75" x14ac:dyDescent="0.25">
      <c r="AA69" s="2"/>
      <c r="AB69" s="2"/>
      <c r="AZ69" s="72">
        <v>2024</v>
      </c>
      <c r="BA69" s="7" t="s">
        <v>13</v>
      </c>
      <c r="BB69" s="7">
        <v>0</v>
      </c>
      <c r="BC69" s="7">
        <v>0</v>
      </c>
      <c r="BD69" s="7">
        <v>0</v>
      </c>
      <c r="BE69" s="7">
        <f t="shared" si="30"/>
        <v>0</v>
      </c>
      <c r="BF69" s="79">
        <f>3713.25+1098</f>
        <v>4811.25</v>
      </c>
      <c r="BG69" s="7">
        <f>SUM(BB58:BB69)</f>
        <v>2</v>
      </c>
      <c r="BH69" s="28">
        <f t="shared" si="32"/>
        <v>59721.25</v>
      </c>
      <c r="BI69" s="29">
        <f>BG69*200000/(BH69+1280)</f>
        <v>6.5572426794532896</v>
      </c>
      <c r="BJ69" s="7">
        <v>1</v>
      </c>
      <c r="BM69" s="47">
        <f>BP40</f>
        <v>26</v>
      </c>
      <c r="BN69" s="47">
        <f>BN40</f>
        <v>15</v>
      </c>
      <c r="BO69" s="105">
        <f>BO40</f>
        <v>11</v>
      </c>
      <c r="BP69" s="48">
        <f>BQ40</f>
        <v>0.57692307692307687</v>
      </c>
      <c r="BU69" s="7">
        <v>257</v>
      </c>
      <c r="BV69" t="s">
        <v>190</v>
      </c>
      <c r="BW69" s="7"/>
    </row>
    <row r="70" spans="5:75" x14ac:dyDescent="0.25">
      <c r="AA70" s="2"/>
      <c r="AB70" s="2"/>
      <c r="AZ70" s="72">
        <v>2024</v>
      </c>
      <c r="BA70" s="7" t="s">
        <v>14</v>
      </c>
      <c r="BB70" s="7">
        <v>0</v>
      </c>
      <c r="BC70" s="7">
        <v>0</v>
      </c>
      <c r="BD70" s="7">
        <v>1</v>
      </c>
      <c r="BE70" s="7">
        <f t="shared" si="30"/>
        <v>1</v>
      </c>
      <c r="BF70" s="79">
        <f>3319.75+1250.75</f>
        <v>4570.5</v>
      </c>
      <c r="BG70" s="7">
        <f t="shared" ref="BG70" si="33">SUM(BB59:BB70)</f>
        <v>1</v>
      </c>
      <c r="BH70" s="28">
        <f t="shared" si="32"/>
        <v>60442</v>
      </c>
      <c r="BI70" s="29">
        <f t="shared" ref="BI70" si="34">BG70*200000/(BH70+1280)</f>
        <v>3.2403356987783933</v>
      </c>
      <c r="BJ70" s="7">
        <v>1</v>
      </c>
      <c r="BU70" s="7">
        <v>260</v>
      </c>
      <c r="BV70" t="s">
        <v>191</v>
      </c>
      <c r="BW70" s="7"/>
    </row>
    <row r="71" spans="5:75" x14ac:dyDescent="0.25">
      <c r="AZ71" s="72">
        <v>2024</v>
      </c>
      <c r="BA71" s="7" t="s">
        <v>15</v>
      </c>
      <c r="BB71" s="7">
        <v>0</v>
      </c>
      <c r="BC71" s="7">
        <v>0</v>
      </c>
      <c r="BD71" s="7">
        <v>0</v>
      </c>
      <c r="BE71" s="7">
        <f t="shared" si="30"/>
        <v>0</v>
      </c>
      <c r="BF71" s="79">
        <f>2316.75+1070.5</f>
        <v>3387.25</v>
      </c>
      <c r="BG71" s="7">
        <f>SUM(BB60:BB71)+0.005</f>
        <v>5.0000000000000001E-3</v>
      </c>
      <c r="BH71" s="28">
        <f t="shared" si="32"/>
        <v>58643.75</v>
      </c>
      <c r="BI71" s="29">
        <f t="shared" ref="BI71:BI74" si="35">BG71*200000/(BH71+1280)+0.075</f>
        <v>9.1687874173428732E-2</v>
      </c>
      <c r="BJ71" s="7">
        <v>1</v>
      </c>
      <c r="BU71" s="7">
        <v>261</v>
      </c>
      <c r="BV71" t="s">
        <v>192</v>
      </c>
      <c r="BW71" s="7"/>
    </row>
    <row r="72" spans="5:75" x14ac:dyDescent="0.25">
      <c r="AZ72" s="72">
        <v>2024</v>
      </c>
      <c r="BA72" s="7" t="s">
        <v>16</v>
      </c>
      <c r="BB72" s="7">
        <v>0</v>
      </c>
      <c r="BC72" s="7">
        <v>1</v>
      </c>
      <c r="BD72" s="7">
        <v>0</v>
      </c>
      <c r="BE72" s="7">
        <f t="shared" si="30"/>
        <v>1</v>
      </c>
      <c r="BF72" s="79">
        <f>1908.75+1084.5</f>
        <v>2993.25</v>
      </c>
      <c r="BG72" s="7">
        <f>SUM(BB61:BB72)+0.005</f>
        <v>5.0000000000000001E-3</v>
      </c>
      <c r="BH72" s="28">
        <f t="shared" ref="BH72:BH78" si="36">SUM(BF61:BF72)</f>
        <v>57514.25</v>
      </c>
      <c r="BI72" s="29">
        <f t="shared" si="35"/>
        <v>9.2008465963933542E-2</v>
      </c>
      <c r="BJ72" s="7">
        <v>1</v>
      </c>
      <c r="BU72" s="7">
        <v>262</v>
      </c>
      <c r="BV72" t="s">
        <v>193</v>
      </c>
      <c r="BW72" s="7"/>
    </row>
    <row r="73" spans="5:75" x14ac:dyDescent="0.25">
      <c r="AZ73" s="72">
        <v>2024</v>
      </c>
      <c r="BA73" s="7" t="s">
        <v>17</v>
      </c>
      <c r="BB73" s="7">
        <v>0</v>
      </c>
      <c r="BC73" s="7">
        <v>1</v>
      </c>
      <c r="BD73" s="7">
        <v>0</v>
      </c>
      <c r="BE73" s="7">
        <f t="shared" si="30"/>
        <v>1</v>
      </c>
      <c r="BF73" s="79">
        <f>2727.75+1453.75</f>
        <v>4181.5</v>
      </c>
      <c r="BG73" s="7">
        <f t="shared" ref="BG73:BG80" si="37">SUM(BB62:BB73)+0.005</f>
        <v>5.0000000000000001E-3</v>
      </c>
      <c r="BH73" s="28">
        <f t="shared" si="36"/>
        <v>56292</v>
      </c>
      <c r="BI73" s="29">
        <f t="shared" si="35"/>
        <v>9.2369554644618906E-2</v>
      </c>
      <c r="BJ73" s="7">
        <v>1</v>
      </c>
      <c r="BU73" s="7">
        <v>265</v>
      </c>
      <c r="BV73" t="s">
        <v>194</v>
      </c>
      <c r="BW73" s="7"/>
    </row>
    <row r="74" spans="5:75" x14ac:dyDescent="0.25">
      <c r="AZ74" s="72">
        <v>2024</v>
      </c>
      <c r="BA74" s="7" t="s">
        <v>18</v>
      </c>
      <c r="BB74" s="7">
        <v>0</v>
      </c>
      <c r="BC74" s="7">
        <v>0</v>
      </c>
      <c r="BD74" s="7">
        <v>1</v>
      </c>
      <c r="BE74" s="7">
        <f t="shared" si="30"/>
        <v>1</v>
      </c>
      <c r="BF74" s="79">
        <f>2000+845.75</f>
        <v>2845.75</v>
      </c>
      <c r="BG74" s="7">
        <f t="shared" si="37"/>
        <v>5.0000000000000001E-3</v>
      </c>
      <c r="BH74" s="28">
        <f t="shared" si="36"/>
        <v>53919.5</v>
      </c>
      <c r="BI74" s="29">
        <f t="shared" si="35"/>
        <v>9.3116106124149667E-2</v>
      </c>
      <c r="BJ74" s="7">
        <v>1</v>
      </c>
      <c r="BU74" s="7">
        <v>270</v>
      </c>
      <c r="BV74" t="s">
        <v>195</v>
      </c>
      <c r="BW74" s="7"/>
    </row>
    <row r="75" spans="5:75" x14ac:dyDescent="0.25">
      <c r="AZ75" s="75">
        <v>2024</v>
      </c>
      <c r="BA75" s="76" t="s">
        <v>19</v>
      </c>
      <c r="BB75" s="76">
        <v>0</v>
      </c>
      <c r="BC75" s="76">
        <v>0</v>
      </c>
      <c r="BD75" s="76">
        <v>1</v>
      </c>
      <c r="BE75" s="76">
        <f t="shared" si="30"/>
        <v>1</v>
      </c>
      <c r="BF75" s="80">
        <f>1461.5+1096</f>
        <v>2557.5</v>
      </c>
      <c r="BG75" s="7">
        <f t="shared" si="37"/>
        <v>5.0000000000000001E-3</v>
      </c>
      <c r="BH75" s="28">
        <f t="shared" si="36"/>
        <v>52168.75</v>
      </c>
      <c r="BI75" s="29">
        <f>BG75*200000/(BH75+1280)+0.07</f>
        <v>8.8709511447882319E-2</v>
      </c>
      <c r="BJ75" s="7">
        <v>1</v>
      </c>
      <c r="BU75" s="7">
        <v>272</v>
      </c>
      <c r="BV75" t="s">
        <v>196</v>
      </c>
      <c r="BW75" s="7"/>
    </row>
    <row r="76" spans="5:75" x14ac:dyDescent="0.25">
      <c r="AZ76" s="69">
        <v>2025</v>
      </c>
      <c r="BA76" s="70" t="s">
        <v>8</v>
      </c>
      <c r="BB76" s="70">
        <v>0</v>
      </c>
      <c r="BC76" s="70">
        <v>0</v>
      </c>
      <c r="BD76" s="70">
        <v>0</v>
      </c>
      <c r="BE76" s="70">
        <f t="shared" si="30"/>
        <v>0</v>
      </c>
      <c r="BF76" s="78">
        <f>1469.25+1451.5</f>
        <v>2920.75</v>
      </c>
      <c r="BG76" s="7">
        <f t="shared" si="37"/>
        <v>5.0000000000000001E-3</v>
      </c>
      <c r="BH76" s="28">
        <f t="shared" si="36"/>
        <v>49516.75</v>
      </c>
      <c r="BI76" s="29">
        <f>BG76*200000/(BH76+1280)+0.07</f>
        <v>8.9686298828173069E-2</v>
      </c>
      <c r="BJ76" s="7">
        <v>1</v>
      </c>
      <c r="BU76" s="7">
        <v>275</v>
      </c>
      <c r="BV76" t="s">
        <v>197</v>
      </c>
      <c r="BW76" s="7"/>
    </row>
    <row r="77" spans="5:75" x14ac:dyDescent="0.25">
      <c r="E77" t="s">
        <v>341</v>
      </c>
      <c r="I77" s="91">
        <v>42677</v>
      </c>
      <c r="AZ77" s="72">
        <v>2025</v>
      </c>
      <c r="BA77" s="7" t="s">
        <v>9</v>
      </c>
      <c r="BB77" s="7">
        <v>0</v>
      </c>
      <c r="BC77" s="7">
        <v>0</v>
      </c>
      <c r="BD77" s="7">
        <v>0</v>
      </c>
      <c r="BE77" s="7">
        <f t="shared" si="30"/>
        <v>0</v>
      </c>
      <c r="BF77" s="79">
        <f>834.5+1860.75</f>
        <v>2695.25</v>
      </c>
      <c r="BG77" s="7">
        <f t="shared" si="37"/>
        <v>5.0000000000000001E-3</v>
      </c>
      <c r="BH77" s="28">
        <f t="shared" si="36"/>
        <v>46773.5</v>
      </c>
      <c r="BI77" s="29">
        <f t="shared" ref="BI77" si="38">BG77*200000/(BH77+1280)+0.07</f>
        <v>9.0810138699574439E-2</v>
      </c>
      <c r="BJ77" s="7">
        <v>1</v>
      </c>
      <c r="BU77" s="7">
        <v>280</v>
      </c>
      <c r="BV77" t="s">
        <v>198</v>
      </c>
      <c r="BW77" s="7"/>
    </row>
    <row r="78" spans="5:75" x14ac:dyDescent="0.25">
      <c r="E78" t="s">
        <v>342</v>
      </c>
      <c r="I78" s="1">
        <v>0.73</v>
      </c>
      <c r="AZ78" s="72">
        <v>2025</v>
      </c>
      <c r="BA78" s="7" t="s">
        <v>10</v>
      </c>
      <c r="BB78" s="7">
        <v>0</v>
      </c>
      <c r="BC78" s="7">
        <v>0</v>
      </c>
      <c r="BD78" s="7">
        <v>0</v>
      </c>
      <c r="BE78" s="7">
        <f t="shared" si="30"/>
        <v>0</v>
      </c>
      <c r="BF78" s="79">
        <f>718.5+1881</f>
        <v>2599.5</v>
      </c>
      <c r="BG78" s="7">
        <f t="shared" si="37"/>
        <v>5.0000000000000001E-3</v>
      </c>
      <c r="BH78" s="28">
        <f t="shared" si="36"/>
        <v>43813.5</v>
      </c>
      <c r="BI78" s="29">
        <f>BG78*200000/(BH78+1280)+0.07</f>
        <v>9.2176145120693678E-2</v>
      </c>
      <c r="BJ78" s="7">
        <v>1</v>
      </c>
      <c r="BU78" s="7">
        <v>282</v>
      </c>
      <c r="BV78" t="s">
        <v>199</v>
      </c>
      <c r="BW78" s="7"/>
    </row>
    <row r="79" spans="5:75" x14ac:dyDescent="0.25">
      <c r="E79" t="s">
        <v>343</v>
      </c>
      <c r="I79" s="91">
        <f>I77*I78</f>
        <v>31154.21</v>
      </c>
      <c r="AZ79" s="72">
        <v>2025</v>
      </c>
      <c r="BA79" s="7" t="s">
        <v>11</v>
      </c>
      <c r="BB79" s="7">
        <v>0</v>
      </c>
      <c r="BC79" s="7">
        <v>0</v>
      </c>
      <c r="BD79" s="7">
        <v>0</v>
      </c>
      <c r="BE79" s="7">
        <f t="shared" si="30"/>
        <v>0</v>
      </c>
      <c r="BF79" s="79">
        <f>518.75+1919.25</f>
        <v>2438</v>
      </c>
      <c r="BG79" s="7">
        <f t="shared" si="37"/>
        <v>5.0000000000000001E-3</v>
      </c>
      <c r="BH79" s="28">
        <f t="shared" ref="BH79:BH80" si="39">SUM(BF68:BF79)</f>
        <v>40740.5</v>
      </c>
      <c r="BI79" s="29">
        <f t="shared" ref="BI79:BI80" si="40">BG79*200000/(BH79+1280)+0.05</f>
        <v>7.3797908163872397E-2</v>
      </c>
      <c r="BJ79" s="7">
        <v>1</v>
      </c>
      <c r="BU79" s="7">
        <v>285</v>
      </c>
      <c r="BV79" t="s">
        <v>200</v>
      </c>
      <c r="BW79" s="7"/>
    </row>
    <row r="80" spans="5:75" x14ac:dyDescent="0.25">
      <c r="AZ80" s="72">
        <v>2025</v>
      </c>
      <c r="BA80" s="7" t="s">
        <v>12</v>
      </c>
      <c r="BB80" s="7">
        <v>0</v>
      </c>
      <c r="BC80" s="7">
        <v>0</v>
      </c>
      <c r="BD80" s="7">
        <v>0</v>
      </c>
      <c r="BE80" s="7">
        <f t="shared" si="30"/>
        <v>0</v>
      </c>
      <c r="BF80" s="79">
        <f>1451.25+1154.25</f>
        <v>2605.5</v>
      </c>
      <c r="BG80" s="7">
        <f t="shared" si="37"/>
        <v>5.0000000000000001E-3</v>
      </c>
      <c r="BH80" s="28">
        <f t="shared" si="39"/>
        <v>38606</v>
      </c>
      <c r="BI80" s="29">
        <f t="shared" si="40"/>
        <v>7.5071453642882216E-2</v>
      </c>
      <c r="BJ80" s="7">
        <v>1</v>
      </c>
      <c r="BU80" s="7">
        <v>290</v>
      </c>
      <c r="BV80" t="s">
        <v>201</v>
      </c>
      <c r="BW80" s="7"/>
    </row>
    <row r="81" spans="5:75" x14ac:dyDescent="0.25">
      <c r="E81" t="s">
        <v>344</v>
      </c>
      <c r="I81" s="1">
        <v>0.85</v>
      </c>
      <c r="AZ81" s="72">
        <v>2025</v>
      </c>
      <c r="BA81" s="7" t="s">
        <v>13</v>
      </c>
      <c r="BB81" s="7">
        <v>0</v>
      </c>
      <c r="BC81" s="7">
        <v>0</v>
      </c>
      <c r="BD81" s="7">
        <v>0</v>
      </c>
      <c r="BE81" s="7">
        <f t="shared" si="30"/>
        <v>0</v>
      </c>
      <c r="BF81" s="79"/>
      <c r="BU81" s="7">
        <v>292</v>
      </c>
      <c r="BV81" t="s">
        <v>202</v>
      </c>
      <c r="BW81" s="7"/>
    </row>
    <row r="82" spans="5:75" x14ac:dyDescent="0.25">
      <c r="E82" t="s">
        <v>345</v>
      </c>
      <c r="I82" s="91">
        <f>I79/I81</f>
        <v>36652.01176470588</v>
      </c>
      <c r="AZ82" s="72">
        <v>2025</v>
      </c>
      <c r="BA82" s="7" t="s">
        <v>14</v>
      </c>
      <c r="BB82" s="7">
        <v>0</v>
      </c>
      <c r="BC82" s="7">
        <v>0</v>
      </c>
      <c r="BD82" s="7">
        <v>0</v>
      </c>
      <c r="BE82" s="7">
        <f t="shared" si="30"/>
        <v>0</v>
      </c>
      <c r="BF82" s="79"/>
      <c r="BU82" s="7">
        <v>295</v>
      </c>
      <c r="BV82" t="s">
        <v>203</v>
      </c>
      <c r="BW82" s="7"/>
    </row>
    <row r="83" spans="5:75" x14ac:dyDescent="0.25">
      <c r="I83" s="91"/>
      <c r="AZ83" s="72">
        <v>2025</v>
      </c>
      <c r="BA83" s="7" t="s">
        <v>15</v>
      </c>
      <c r="BB83" s="7">
        <v>0</v>
      </c>
      <c r="BC83" s="7">
        <v>0</v>
      </c>
      <c r="BD83" s="7">
        <v>0</v>
      </c>
      <c r="BE83" s="7">
        <f t="shared" si="30"/>
        <v>0</v>
      </c>
      <c r="BF83" s="79"/>
      <c r="BU83" s="7">
        <v>300</v>
      </c>
      <c r="BV83" t="s">
        <v>204</v>
      </c>
      <c r="BW83" s="7"/>
    </row>
    <row r="84" spans="5:75" x14ac:dyDescent="0.25">
      <c r="E84" t="s">
        <v>346</v>
      </c>
      <c r="I84" s="91">
        <f>I77-I82</f>
        <v>6024.9882352941204</v>
      </c>
      <c r="AZ84" s="72">
        <v>2025</v>
      </c>
      <c r="BA84" s="7" t="s">
        <v>16</v>
      </c>
      <c r="BB84" s="7">
        <v>0</v>
      </c>
      <c r="BC84" s="7">
        <v>0</v>
      </c>
      <c r="BD84" s="7">
        <v>0</v>
      </c>
      <c r="BE84" s="7">
        <f t="shared" si="30"/>
        <v>0</v>
      </c>
      <c r="BF84" s="79"/>
      <c r="BU84" s="7">
        <v>305</v>
      </c>
      <c r="BV84" t="s">
        <v>205</v>
      </c>
      <c r="BW84" s="7"/>
    </row>
    <row r="85" spans="5:75" x14ac:dyDescent="0.25">
      <c r="AZ85" s="72">
        <v>2025</v>
      </c>
      <c r="BA85" s="7" t="s">
        <v>17</v>
      </c>
      <c r="BB85" s="7">
        <v>0</v>
      </c>
      <c r="BC85" s="7">
        <v>0</v>
      </c>
      <c r="BD85" s="7">
        <v>0</v>
      </c>
      <c r="BE85" s="7">
        <f t="shared" si="30"/>
        <v>0</v>
      </c>
      <c r="BF85" s="79"/>
      <c r="BU85" s="7">
        <v>310</v>
      </c>
      <c r="BV85" t="s">
        <v>206</v>
      </c>
      <c r="BW85" s="7"/>
    </row>
    <row r="86" spans="5:75" x14ac:dyDescent="0.25">
      <c r="E86" t="s">
        <v>347</v>
      </c>
      <c r="I86" s="120">
        <f>I84*30</f>
        <v>180749.64705882361</v>
      </c>
      <c r="AZ86" s="72">
        <v>2025</v>
      </c>
      <c r="BA86" s="7" t="s">
        <v>18</v>
      </c>
      <c r="BB86" s="7">
        <v>0</v>
      </c>
      <c r="BC86" s="7">
        <v>0</v>
      </c>
      <c r="BD86" s="7">
        <v>0</v>
      </c>
      <c r="BE86" s="7">
        <f t="shared" si="30"/>
        <v>0</v>
      </c>
      <c r="BF86" s="79"/>
      <c r="BU86" s="7">
        <v>315</v>
      </c>
      <c r="BV86" t="s">
        <v>207</v>
      </c>
      <c r="BW86" s="7"/>
    </row>
    <row r="87" spans="5:75" x14ac:dyDescent="0.25">
      <c r="AZ87" s="75">
        <v>2025</v>
      </c>
      <c r="BA87" s="76" t="s">
        <v>19</v>
      </c>
      <c r="BB87" s="76">
        <v>0</v>
      </c>
      <c r="BC87" s="76">
        <v>0</v>
      </c>
      <c r="BD87" s="76">
        <v>0</v>
      </c>
      <c r="BE87" s="76">
        <f t="shared" si="30"/>
        <v>0</v>
      </c>
      <c r="BF87" s="80"/>
      <c r="BU87" s="7">
        <v>320</v>
      </c>
      <c r="BV87" t="s">
        <v>208</v>
      </c>
      <c r="BW87" s="7"/>
    </row>
    <row r="88" spans="5:75" x14ac:dyDescent="0.25">
      <c r="BU88" s="7">
        <v>325</v>
      </c>
      <c r="BV88" t="s">
        <v>209</v>
      </c>
      <c r="BW88" s="7"/>
    </row>
    <row r="89" spans="5:75" x14ac:dyDescent="0.25">
      <c r="BU89" s="7">
        <v>326</v>
      </c>
      <c r="BV89" t="s">
        <v>210</v>
      </c>
      <c r="BW89" s="7"/>
    </row>
    <row r="90" spans="5:75" x14ac:dyDescent="0.25">
      <c r="BU90" s="7">
        <v>350</v>
      </c>
      <c r="BV90" t="s">
        <v>211</v>
      </c>
      <c r="BW90" s="7"/>
    </row>
    <row r="91" spans="5:75" x14ac:dyDescent="0.25">
      <c r="BU91" s="7">
        <v>355</v>
      </c>
      <c r="BV91" t="s">
        <v>212</v>
      </c>
      <c r="BW91" s="7"/>
    </row>
    <row r="92" spans="5:75" x14ac:dyDescent="0.25">
      <c r="BU92" s="7">
        <v>360</v>
      </c>
      <c r="BV92" t="s">
        <v>213</v>
      </c>
      <c r="BW92" s="7"/>
    </row>
    <row r="93" spans="5:75" x14ac:dyDescent="0.25">
      <c r="BU93" s="7">
        <v>365</v>
      </c>
      <c r="BV93" t="s">
        <v>214</v>
      </c>
      <c r="BW93" s="7"/>
    </row>
    <row r="94" spans="5:75" x14ac:dyDescent="0.25">
      <c r="BU94" s="7">
        <v>366</v>
      </c>
      <c r="BV94" t="s">
        <v>215</v>
      </c>
      <c r="BW94" s="7"/>
    </row>
    <row r="95" spans="5:75" x14ac:dyDescent="0.25">
      <c r="BU95" s="7">
        <v>370</v>
      </c>
      <c r="BV95" t="s">
        <v>216</v>
      </c>
      <c r="BW95" s="7"/>
    </row>
    <row r="96" spans="5:75" x14ac:dyDescent="0.25">
      <c r="AZ96" s="7">
        <v>2025</v>
      </c>
      <c r="BA96" s="7" t="s">
        <v>49</v>
      </c>
      <c r="BB96" s="7">
        <f>SUM(BB76:BB87)+0.05</f>
        <v>0.05</v>
      </c>
      <c r="BC96" s="7">
        <f>SUM(BC76:BC87)+0.05</f>
        <v>0.05</v>
      </c>
      <c r="BD96" s="7">
        <f>SUM(BD76:BD87)+0.05</f>
        <v>0.05</v>
      </c>
      <c r="BE96" s="7">
        <f>SUM(BE76:BE87)+0.05</f>
        <v>0.05</v>
      </c>
      <c r="BF96" s="119">
        <f t="shared" ref="BF96" si="41">SUM(BF76:BF87)</f>
        <v>13259</v>
      </c>
      <c r="BU96" s="7">
        <v>375</v>
      </c>
      <c r="BV96" t="s">
        <v>217</v>
      </c>
      <c r="BW96" s="7"/>
    </row>
    <row r="97" spans="52:75" x14ac:dyDescent="0.25">
      <c r="AZ97" s="7">
        <v>2024</v>
      </c>
      <c r="BA97" s="7" t="s">
        <v>49</v>
      </c>
      <c r="BB97" s="108">
        <f>SUM(BB64:BB69)+0.05</f>
        <v>0.05</v>
      </c>
      <c r="BC97" s="108">
        <f>SUM(BC64:BC69)+0.05</f>
        <v>0.05</v>
      </c>
      <c r="BD97" s="108">
        <f>SUM(BD64:BD69)</f>
        <v>3</v>
      </c>
      <c r="BE97" s="108">
        <f>SUM(BE64:BE69)</f>
        <v>3</v>
      </c>
      <c r="BF97" s="141">
        <f>SUM(BF64:BF66)</f>
        <v>16570.75</v>
      </c>
      <c r="BG97" t="s">
        <v>379</v>
      </c>
      <c r="BU97" s="7">
        <v>380</v>
      </c>
      <c r="BV97" t="s">
        <v>218</v>
      </c>
      <c r="BW97" s="7"/>
    </row>
    <row r="98" spans="52:75" x14ac:dyDescent="0.25">
      <c r="AZ98" s="7">
        <v>2023</v>
      </c>
      <c r="BA98" s="7" t="s">
        <v>49</v>
      </c>
      <c r="BB98" s="7">
        <f>SUM(BB52:BB56)</f>
        <v>1</v>
      </c>
      <c r="BC98" s="7">
        <f t="shared" ref="BC98:BE98" si="42">SUM(BC52:BC56)</f>
        <v>4</v>
      </c>
      <c r="BD98" s="7">
        <f t="shared" si="42"/>
        <v>3</v>
      </c>
      <c r="BE98" s="7">
        <f t="shared" si="42"/>
        <v>8</v>
      </c>
      <c r="BF98" s="119">
        <f>SUM(BF52:BF56)</f>
        <v>27094</v>
      </c>
      <c r="BU98" s="7">
        <v>382</v>
      </c>
      <c r="BV98" t="s">
        <v>219</v>
      </c>
      <c r="BW98" s="7"/>
    </row>
    <row r="99" spans="52:75" x14ac:dyDescent="0.25">
      <c r="AZ99" s="7">
        <v>2022</v>
      </c>
      <c r="BA99" s="7" t="s">
        <v>49</v>
      </c>
      <c r="BB99" s="7">
        <f>SUM(BB40:BB41)</f>
        <v>0</v>
      </c>
      <c r="BC99" s="7">
        <f>SUM(BC40:BC41)</f>
        <v>1</v>
      </c>
      <c r="BD99" s="7">
        <f>SUM(BD40:BD41)</f>
        <v>2</v>
      </c>
      <c r="BE99" s="7">
        <f>SUM(BE40:BE41)</f>
        <v>3</v>
      </c>
      <c r="BF99" s="119">
        <f>SUM(BF40:BF41)</f>
        <v>9716</v>
      </c>
      <c r="BU99" s="7">
        <v>383</v>
      </c>
      <c r="BV99" t="s">
        <v>220</v>
      </c>
      <c r="BW99" s="7"/>
    </row>
    <row r="100" spans="52:75" x14ac:dyDescent="0.25">
      <c r="AZ100" s="7">
        <v>2021</v>
      </c>
      <c r="BA100" s="7" t="s">
        <v>49</v>
      </c>
      <c r="BB100" s="7">
        <f>SUM(BB28:BB29)</f>
        <v>0</v>
      </c>
      <c r="BC100" s="7">
        <f>SUM(BC28:BC29)</f>
        <v>0</v>
      </c>
      <c r="BD100" s="7">
        <f>SUM(BD28:BD29)</f>
        <v>1</v>
      </c>
      <c r="BE100" s="7">
        <f>SUM(BE28:BE29)</f>
        <v>1</v>
      </c>
      <c r="BF100" s="119">
        <f>SUM(BF28:BF29)</f>
        <v>6331.75</v>
      </c>
      <c r="BU100" s="7">
        <v>385</v>
      </c>
      <c r="BV100" t="s">
        <v>221</v>
      </c>
      <c r="BW100" s="7"/>
    </row>
    <row r="101" spans="52:75" x14ac:dyDescent="0.25">
      <c r="AZ101" s="7">
        <v>2020</v>
      </c>
      <c r="BA101" s="7" t="s">
        <v>49</v>
      </c>
      <c r="BB101" s="7">
        <f>SUM(BB16:BB17)</f>
        <v>0</v>
      </c>
      <c r="BC101" s="7">
        <f>SUM(BC16:BC17)</f>
        <v>1</v>
      </c>
      <c r="BD101" s="7">
        <f>SUM(BD16:BD17)</f>
        <v>1</v>
      </c>
      <c r="BE101" s="7">
        <f>SUM(BE16:BE17)</f>
        <v>2</v>
      </c>
      <c r="BF101" s="119">
        <f>SUM(BF16:BF17)</f>
        <v>7502</v>
      </c>
      <c r="BU101" s="7">
        <v>390</v>
      </c>
      <c r="BV101" t="s">
        <v>222</v>
      </c>
      <c r="BW101" s="7"/>
    </row>
    <row r="102" spans="52:75" x14ac:dyDescent="0.25">
      <c r="AZ102" s="7"/>
      <c r="BA102" s="7"/>
      <c r="BB102" s="7"/>
      <c r="BC102" s="7"/>
      <c r="BD102" s="7"/>
      <c r="BE102" s="7"/>
      <c r="BF102" s="119"/>
      <c r="BU102" s="7">
        <v>395</v>
      </c>
      <c r="BV102" t="s">
        <v>223</v>
      </c>
      <c r="BW102" s="7"/>
    </row>
    <row r="103" spans="52:75" x14ac:dyDescent="0.25">
      <c r="BF103" s="119"/>
      <c r="BU103" s="7">
        <v>450</v>
      </c>
      <c r="BV103" t="s">
        <v>224</v>
      </c>
      <c r="BW103" s="7"/>
    </row>
    <row r="104" spans="52:75" x14ac:dyDescent="0.25">
      <c r="AZ104" t="s">
        <v>78</v>
      </c>
      <c r="BB104" s="7">
        <f>SUM(BB34:BB45)</f>
        <v>0</v>
      </c>
      <c r="BC104" s="7">
        <f>SUM(BC34:BC45)</f>
        <v>12</v>
      </c>
      <c r="BD104" s="7">
        <f>SUM(BD34:BD45)</f>
        <v>8</v>
      </c>
      <c r="BE104" s="7">
        <f>SUM(BE34:BE45)</f>
        <v>20</v>
      </c>
      <c r="BF104" s="119">
        <f>SUM(BF34:BF45)</f>
        <v>50352</v>
      </c>
      <c r="BU104" s="7">
        <v>455</v>
      </c>
      <c r="BV104" t="s">
        <v>225</v>
      </c>
      <c r="BW104" s="7"/>
    </row>
    <row r="105" spans="52:75" x14ac:dyDescent="0.25">
      <c r="BU105" s="7">
        <v>460</v>
      </c>
      <c r="BV105" t="s">
        <v>226</v>
      </c>
      <c r="BW105" s="7"/>
    </row>
    <row r="106" spans="52:75" x14ac:dyDescent="0.25">
      <c r="BU106" s="7">
        <v>465</v>
      </c>
      <c r="BV106" t="s">
        <v>227</v>
      </c>
      <c r="BW106" s="7"/>
    </row>
    <row r="107" spans="52:75" x14ac:dyDescent="0.25">
      <c r="BU107" s="7">
        <v>470</v>
      </c>
      <c r="BV107" t="s">
        <v>228</v>
      </c>
      <c r="BW107" s="7"/>
    </row>
    <row r="108" spans="52:75" x14ac:dyDescent="0.25">
      <c r="BU108" s="7">
        <v>475</v>
      </c>
      <c r="BV108" t="s">
        <v>229</v>
      </c>
      <c r="BW108" s="7"/>
    </row>
    <row r="109" spans="52:75" x14ac:dyDescent="0.25">
      <c r="BU109" s="7">
        <v>477</v>
      </c>
      <c r="BV109" t="s">
        <v>230</v>
      </c>
      <c r="BW109" s="7"/>
    </row>
    <row r="110" spans="52:75" x14ac:dyDescent="0.25">
      <c r="BU110" s="7">
        <v>478</v>
      </c>
      <c r="BV110" t="s">
        <v>231</v>
      </c>
      <c r="BW110" s="7"/>
    </row>
    <row r="111" spans="52:75" x14ac:dyDescent="0.25">
      <c r="BU111" s="7">
        <v>479</v>
      </c>
      <c r="BV111" t="s">
        <v>232</v>
      </c>
      <c r="BW111" s="7"/>
    </row>
    <row r="112" spans="52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1">
    <mergeCell ref="BG2:BJ2"/>
    <mergeCell ref="BL2:BR2"/>
    <mergeCell ref="BU2:BZ2"/>
    <mergeCell ref="AZ1:BF1"/>
    <mergeCell ref="F2:J2"/>
    <mergeCell ref="L2:O2"/>
    <mergeCell ref="Q2:U2"/>
    <mergeCell ref="W2:Y2"/>
    <mergeCell ref="AA2:AD2"/>
    <mergeCell ref="AF2:AI2"/>
    <mergeCell ref="AK2:AP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6B73-C4AF-4E15-B6A0-4F0BB609B4B0}">
  <sheetPr>
    <pageSetUpPr fitToPage="1"/>
  </sheetPr>
  <dimension ref="B1:AQ58"/>
  <sheetViews>
    <sheetView zoomScale="62" zoomScaleNormal="62" workbookViewId="0">
      <selection activeCell="B3" sqref="B3:O3"/>
    </sheetView>
  </sheetViews>
  <sheetFormatPr defaultRowHeight="15" x14ac:dyDescent="0.25"/>
  <cols>
    <col min="1" max="1" width="2.5703125" customWidth="1"/>
    <col min="14" max="14" width="11" bestFit="1" customWidth="1"/>
    <col min="16" max="16" width="3.42578125" customWidth="1"/>
    <col min="29" max="29" width="10" bestFit="1" customWidth="1"/>
  </cols>
  <sheetData>
    <row r="1" spans="2:33" ht="31.5" x14ac:dyDescent="0.25">
      <c r="B1" s="10"/>
      <c r="C1" s="10"/>
      <c r="D1" s="172" t="s">
        <v>50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</f>
        <v>46098</v>
      </c>
      <c r="U1" s="173"/>
      <c r="V1" s="173"/>
      <c r="W1" s="173"/>
      <c r="X1" s="173"/>
      <c r="Y1" s="173"/>
      <c r="Z1" s="12"/>
      <c r="AA1" s="12"/>
      <c r="AB1" s="10"/>
      <c r="AC1" s="10"/>
      <c r="AD1" s="10"/>
      <c r="AE1" s="10"/>
      <c r="AF1" s="10"/>
      <c r="AG1" s="10"/>
    </row>
    <row r="2" spans="2:33" ht="14.25" customHeight="1" x14ac:dyDescent="0.25"/>
    <row r="3" spans="2:33" ht="27" customHeight="1" x14ac:dyDescent="0.25">
      <c r="B3" s="174" t="s">
        <v>374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376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30" spans="2:43" ht="27" customHeight="1" x14ac:dyDescent="0.25">
      <c r="B30" s="14"/>
      <c r="C30" s="19" t="s">
        <v>55</v>
      </c>
      <c r="D30" s="19"/>
      <c r="E30" s="23">
        <f>'2025 Data'!J53</f>
        <v>1.01</v>
      </c>
      <c r="F30" s="19"/>
      <c r="G30" s="19" t="s">
        <v>56</v>
      </c>
      <c r="H30" s="15"/>
      <c r="I30" s="15"/>
      <c r="J30" s="24">
        <f>'2025 Data'!L53</f>
        <v>1.0075000000000001</v>
      </c>
      <c r="K30" s="15"/>
      <c r="L30" s="19" t="s">
        <v>57</v>
      </c>
      <c r="M30" s="15"/>
      <c r="N30" s="24">
        <f>'2025 Data'!M53</f>
        <v>0.97499999999999987</v>
      </c>
      <c r="O30" s="16"/>
      <c r="Q30" s="18"/>
      <c r="R30" s="19" t="s">
        <v>51</v>
      </c>
      <c r="S30" s="20"/>
      <c r="T30" s="136">
        <f>'2025 Data'!AL57</f>
        <v>2.7659640840603521E-3</v>
      </c>
      <c r="U30" s="20"/>
      <c r="V30" s="19" t="s">
        <v>53</v>
      </c>
      <c r="W30" s="20"/>
      <c r="X30" s="20"/>
      <c r="Y30" s="136">
        <f>'2025 Data'!AO55</f>
        <v>1.2500000000000001E-2</v>
      </c>
      <c r="Z30" s="20"/>
      <c r="AA30" s="19" t="s">
        <v>52</v>
      </c>
      <c r="AB30" s="20"/>
      <c r="AC30" s="136">
        <f>T30-Y30</f>
        <v>-9.734035915939649E-3</v>
      </c>
      <c r="AD30" s="137" t="s">
        <v>381</v>
      </c>
    </row>
    <row r="31" spans="2:43" x14ac:dyDescent="0.25">
      <c r="AM31" s="121" t="s">
        <v>352</v>
      </c>
      <c r="AN31" s="81"/>
      <c r="AO31" s="81"/>
      <c r="AP31" s="81"/>
      <c r="AQ31" s="122"/>
    </row>
    <row r="32" spans="2:43" hidden="1" x14ac:dyDescent="0.25">
      <c r="AM32" s="123"/>
      <c r="AQ32" s="124"/>
    </row>
    <row r="33" spans="2:43" hidden="1" x14ac:dyDescent="0.25">
      <c r="AM33" s="123"/>
      <c r="AQ33" s="124"/>
    </row>
    <row r="34" spans="2:43" x14ac:dyDescent="0.25">
      <c r="AM34" s="123" t="s">
        <v>353</v>
      </c>
      <c r="AQ34" s="124"/>
    </row>
    <row r="35" spans="2:43" ht="21" x14ac:dyDescent="0.25">
      <c r="B35" s="174" t="s">
        <v>91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AM35" s="123" t="s">
        <v>23</v>
      </c>
      <c r="AN35">
        <v>20</v>
      </c>
      <c r="AP35" t="s">
        <v>20</v>
      </c>
      <c r="AQ35" s="125">
        <v>0.41</v>
      </c>
    </row>
    <row r="36" spans="2:43" x14ac:dyDescent="0.25">
      <c r="AM36" s="123" t="s">
        <v>24</v>
      </c>
      <c r="AN36">
        <v>5</v>
      </c>
      <c r="AP36" t="s">
        <v>21</v>
      </c>
      <c r="AQ36" s="85">
        <v>0.01</v>
      </c>
    </row>
    <row r="37" spans="2:43" x14ac:dyDescent="0.25">
      <c r="B37" s="166" t="s">
        <v>88</v>
      </c>
      <c r="C37" s="167"/>
      <c r="D37" s="167"/>
      <c r="E37" s="167"/>
      <c r="F37" s="167"/>
      <c r="G37" s="167"/>
      <c r="H37" s="167"/>
      <c r="I37" s="167"/>
      <c r="J37" s="167"/>
      <c r="K37" s="168"/>
      <c r="L37" s="166" t="s">
        <v>89</v>
      </c>
      <c r="M37" s="168"/>
      <c r="N37" s="166" t="s">
        <v>90</v>
      </c>
      <c r="O37" s="168"/>
      <c r="AM37" s="123" t="s">
        <v>25</v>
      </c>
      <c r="AN37">
        <v>20</v>
      </c>
      <c r="AP37" t="s">
        <v>22</v>
      </c>
      <c r="AQ37" s="85">
        <f>0.99-AQ35-AQ36</f>
        <v>0.57000000000000006</v>
      </c>
    </row>
    <row r="38" spans="2:43" x14ac:dyDescent="0.25">
      <c r="B38" s="169"/>
      <c r="C38" s="170"/>
      <c r="D38" s="170"/>
      <c r="E38" s="170"/>
      <c r="F38" s="170"/>
      <c r="G38" s="170"/>
      <c r="H38" s="170"/>
      <c r="I38" s="170"/>
      <c r="J38" s="170"/>
      <c r="K38" s="171"/>
      <c r="L38" s="169"/>
      <c r="M38" s="171"/>
      <c r="N38" s="169"/>
      <c r="O38" s="171"/>
      <c r="AM38" s="123" t="s">
        <v>26</v>
      </c>
      <c r="AN38">
        <v>45</v>
      </c>
      <c r="AQ38" s="124"/>
    </row>
    <row r="39" spans="2:43" ht="15" customHeight="1" x14ac:dyDescent="0.25">
      <c r="B39" s="145" t="s">
        <v>390</v>
      </c>
      <c r="C39" s="146"/>
      <c r="D39" s="146"/>
      <c r="E39" s="146"/>
      <c r="F39" s="146"/>
      <c r="G39" s="146"/>
      <c r="H39" s="146"/>
      <c r="I39" s="146"/>
      <c r="J39" s="146"/>
      <c r="K39" s="147"/>
      <c r="L39" s="154" t="s">
        <v>361</v>
      </c>
      <c r="M39" s="155"/>
      <c r="N39" s="160">
        <v>45992</v>
      </c>
      <c r="O39" s="161"/>
      <c r="AM39" s="123"/>
      <c r="AQ39" s="124"/>
    </row>
    <row r="40" spans="2:43" ht="15" customHeight="1" x14ac:dyDescent="0.25">
      <c r="B40" s="148"/>
      <c r="C40" s="149"/>
      <c r="D40" s="149"/>
      <c r="E40" s="149"/>
      <c r="F40" s="149"/>
      <c r="G40" s="149"/>
      <c r="H40" s="149"/>
      <c r="I40" s="149"/>
      <c r="J40" s="149"/>
      <c r="K40" s="150"/>
      <c r="L40" s="156"/>
      <c r="M40" s="157"/>
      <c r="N40" s="162"/>
      <c r="O40" s="163"/>
      <c r="AM40" s="123"/>
      <c r="AQ40" s="124"/>
    </row>
    <row r="41" spans="2:43" ht="15" customHeight="1" x14ac:dyDescent="0.25">
      <c r="B41" s="148"/>
      <c r="C41" s="149"/>
      <c r="D41" s="149"/>
      <c r="E41" s="149"/>
      <c r="F41" s="149"/>
      <c r="G41" s="149"/>
      <c r="H41" s="149"/>
      <c r="I41" s="149"/>
      <c r="J41" s="149"/>
      <c r="K41" s="150"/>
      <c r="L41" s="156"/>
      <c r="M41" s="157"/>
      <c r="N41" s="162"/>
      <c r="O41" s="163"/>
      <c r="AM41" s="123"/>
      <c r="AQ41" s="124"/>
    </row>
    <row r="42" spans="2:43" ht="15" customHeight="1" x14ac:dyDescent="0.25">
      <c r="B42" s="151"/>
      <c r="C42" s="152"/>
      <c r="D42" s="152"/>
      <c r="E42" s="152"/>
      <c r="F42" s="152"/>
      <c r="G42" s="152"/>
      <c r="H42" s="152"/>
      <c r="I42" s="152"/>
      <c r="J42" s="152"/>
      <c r="K42" s="153"/>
      <c r="L42" s="158"/>
      <c r="M42" s="159"/>
      <c r="N42" s="164"/>
      <c r="O42" s="165"/>
      <c r="AM42" s="123"/>
      <c r="AQ42" s="124"/>
    </row>
    <row r="43" spans="2:43" ht="15" customHeight="1" x14ac:dyDescent="0.25">
      <c r="B43" s="145" t="s">
        <v>388</v>
      </c>
      <c r="C43" s="146"/>
      <c r="D43" s="146"/>
      <c r="E43" s="146"/>
      <c r="F43" s="146"/>
      <c r="G43" s="146"/>
      <c r="H43" s="146"/>
      <c r="I43" s="146"/>
      <c r="J43" s="146"/>
      <c r="K43" s="147"/>
      <c r="L43" s="154" t="s">
        <v>361</v>
      </c>
      <c r="M43" s="155"/>
      <c r="N43" s="160">
        <v>46053</v>
      </c>
      <c r="O43" s="161"/>
      <c r="AM43" s="123" t="s">
        <v>40</v>
      </c>
      <c r="AN43" s="91">
        <v>42699</v>
      </c>
      <c r="AO43" s="84">
        <f>AN43/AN45</f>
        <v>0.71709995969367191</v>
      </c>
      <c r="AQ43" s="124"/>
    </row>
    <row r="44" spans="2:43" ht="15" customHeight="1" x14ac:dyDescent="0.25">
      <c r="B44" s="148"/>
      <c r="C44" s="149"/>
      <c r="D44" s="149"/>
      <c r="E44" s="149"/>
      <c r="F44" s="149"/>
      <c r="G44" s="149"/>
      <c r="H44" s="149"/>
      <c r="I44" s="149"/>
      <c r="J44" s="149"/>
      <c r="K44" s="150"/>
      <c r="L44" s="156"/>
      <c r="M44" s="157"/>
      <c r="N44" s="162"/>
      <c r="O44" s="163"/>
      <c r="AM44" s="123" t="s">
        <v>337</v>
      </c>
      <c r="AN44" s="91">
        <v>16845</v>
      </c>
      <c r="AO44" s="84">
        <f>AN44/AN45</f>
        <v>0.28290004030632809</v>
      </c>
      <c r="AQ44" s="124"/>
    </row>
    <row r="45" spans="2:43" ht="15" customHeight="1" x14ac:dyDescent="0.25">
      <c r="B45" s="148"/>
      <c r="C45" s="149"/>
      <c r="D45" s="149"/>
      <c r="E45" s="149"/>
      <c r="F45" s="149"/>
      <c r="G45" s="149"/>
      <c r="H45" s="149"/>
      <c r="I45" s="149"/>
      <c r="J45" s="149"/>
      <c r="K45" s="150"/>
      <c r="L45" s="156"/>
      <c r="M45" s="157"/>
      <c r="N45" s="162"/>
      <c r="O45" s="163"/>
      <c r="AM45" s="123" t="s">
        <v>4</v>
      </c>
      <c r="AN45" s="91">
        <f>SUM(AN43:AN44)</f>
        <v>59544</v>
      </c>
      <c r="AQ45" s="124"/>
    </row>
    <row r="46" spans="2:43" ht="15" customHeight="1" x14ac:dyDescent="0.25">
      <c r="B46" s="151"/>
      <c r="C46" s="152"/>
      <c r="D46" s="152"/>
      <c r="E46" s="152"/>
      <c r="F46" s="152"/>
      <c r="G46" s="152"/>
      <c r="H46" s="152"/>
      <c r="I46" s="152"/>
      <c r="J46" s="152"/>
      <c r="K46" s="153"/>
      <c r="L46" s="158"/>
      <c r="M46" s="159"/>
      <c r="N46" s="164"/>
      <c r="O46" s="165"/>
      <c r="AM46" s="126"/>
      <c r="AN46" s="54"/>
      <c r="AO46" s="54"/>
      <c r="AP46" s="54"/>
      <c r="AQ46" s="127"/>
    </row>
    <row r="47" spans="2:43" ht="15" customHeight="1" x14ac:dyDescent="0.25">
      <c r="B47" s="145" t="s">
        <v>389</v>
      </c>
      <c r="C47" s="146"/>
      <c r="D47" s="146"/>
      <c r="E47" s="146"/>
      <c r="F47" s="146"/>
      <c r="G47" s="146"/>
      <c r="H47" s="146"/>
      <c r="I47" s="146"/>
      <c r="J47" s="146"/>
      <c r="K47" s="147"/>
      <c r="L47" s="154" t="s">
        <v>361</v>
      </c>
      <c r="M47" s="155"/>
      <c r="N47" s="160">
        <v>46022</v>
      </c>
      <c r="O47" s="161"/>
    </row>
    <row r="48" spans="2:43" ht="15" customHeight="1" x14ac:dyDescent="0.25">
      <c r="B48" s="148"/>
      <c r="C48" s="149"/>
      <c r="D48" s="149"/>
      <c r="E48" s="149"/>
      <c r="F48" s="149"/>
      <c r="G48" s="149"/>
      <c r="H48" s="149"/>
      <c r="I48" s="149"/>
      <c r="J48" s="149"/>
      <c r="K48" s="150"/>
      <c r="L48" s="156"/>
      <c r="M48" s="157"/>
      <c r="N48" s="162"/>
      <c r="O48" s="163"/>
    </row>
    <row r="49" spans="2:15" ht="15" customHeight="1" x14ac:dyDescent="0.25">
      <c r="B49" s="148"/>
      <c r="C49" s="149"/>
      <c r="D49" s="149"/>
      <c r="E49" s="149"/>
      <c r="F49" s="149"/>
      <c r="G49" s="149"/>
      <c r="H49" s="149"/>
      <c r="I49" s="149"/>
      <c r="J49" s="149"/>
      <c r="K49" s="150"/>
      <c r="L49" s="156"/>
      <c r="M49" s="157"/>
      <c r="N49" s="162"/>
      <c r="O49" s="163"/>
    </row>
    <row r="50" spans="2:15" ht="15" customHeight="1" x14ac:dyDescent="0.25">
      <c r="B50" s="151"/>
      <c r="C50" s="152"/>
      <c r="D50" s="152"/>
      <c r="E50" s="152"/>
      <c r="F50" s="152"/>
      <c r="G50" s="152"/>
      <c r="H50" s="152"/>
      <c r="I50" s="152"/>
      <c r="J50" s="152"/>
      <c r="K50" s="153"/>
      <c r="L50" s="158"/>
      <c r="M50" s="159"/>
      <c r="N50" s="164"/>
      <c r="O50" s="165"/>
    </row>
    <row r="51" spans="2:15" ht="15" customHeight="1" x14ac:dyDescent="0.25">
      <c r="B51" s="145" t="s">
        <v>392</v>
      </c>
      <c r="C51" s="146"/>
      <c r="D51" s="146"/>
      <c r="E51" s="146"/>
      <c r="F51" s="146"/>
      <c r="G51" s="146"/>
      <c r="H51" s="146"/>
      <c r="I51" s="146"/>
      <c r="J51" s="146"/>
      <c r="K51" s="147"/>
      <c r="L51" s="154" t="s">
        <v>364</v>
      </c>
      <c r="M51" s="155"/>
      <c r="N51" s="160">
        <v>46041</v>
      </c>
      <c r="O51" s="161"/>
    </row>
    <row r="52" spans="2:15" ht="15" customHeight="1" x14ac:dyDescent="0.25">
      <c r="B52" s="148"/>
      <c r="C52" s="149"/>
      <c r="D52" s="149"/>
      <c r="E52" s="149"/>
      <c r="F52" s="149"/>
      <c r="G52" s="149"/>
      <c r="H52" s="149"/>
      <c r="I52" s="149"/>
      <c r="J52" s="149"/>
      <c r="K52" s="150"/>
      <c r="L52" s="156"/>
      <c r="M52" s="157"/>
      <c r="N52" s="162"/>
      <c r="O52" s="163"/>
    </row>
    <row r="53" spans="2:15" ht="15" customHeight="1" x14ac:dyDescent="0.25">
      <c r="B53" s="148"/>
      <c r="C53" s="149"/>
      <c r="D53" s="149"/>
      <c r="E53" s="149"/>
      <c r="F53" s="149"/>
      <c r="G53" s="149"/>
      <c r="H53" s="149"/>
      <c r="I53" s="149"/>
      <c r="J53" s="149"/>
      <c r="K53" s="150"/>
      <c r="L53" s="156"/>
      <c r="M53" s="157"/>
      <c r="N53" s="162"/>
      <c r="O53" s="163"/>
    </row>
    <row r="54" spans="2:15" ht="15" customHeight="1" x14ac:dyDescent="0.25">
      <c r="B54" s="151"/>
      <c r="C54" s="152"/>
      <c r="D54" s="152"/>
      <c r="E54" s="152"/>
      <c r="F54" s="152"/>
      <c r="G54" s="152"/>
      <c r="H54" s="152"/>
      <c r="I54" s="152"/>
      <c r="J54" s="152"/>
      <c r="K54" s="153"/>
      <c r="L54" s="158"/>
      <c r="M54" s="159"/>
      <c r="N54" s="164"/>
      <c r="O54" s="165"/>
    </row>
    <row r="55" spans="2:15" ht="15" customHeight="1" x14ac:dyDescent="0.25">
      <c r="B55" s="145" t="s">
        <v>391</v>
      </c>
      <c r="C55" s="146"/>
      <c r="D55" s="146"/>
      <c r="E55" s="146"/>
      <c r="F55" s="146"/>
      <c r="G55" s="146"/>
      <c r="H55" s="146"/>
      <c r="I55" s="146"/>
      <c r="J55" s="146"/>
      <c r="K55" s="147"/>
      <c r="L55" s="154" t="s">
        <v>364</v>
      </c>
      <c r="M55" s="155"/>
      <c r="N55" s="160">
        <v>46068</v>
      </c>
      <c r="O55" s="161"/>
    </row>
    <row r="56" spans="2:15" ht="15" customHeight="1" x14ac:dyDescent="0.25">
      <c r="B56" s="148"/>
      <c r="C56" s="149"/>
      <c r="D56" s="149"/>
      <c r="E56" s="149"/>
      <c r="F56" s="149"/>
      <c r="G56" s="149"/>
      <c r="H56" s="149"/>
      <c r="I56" s="149"/>
      <c r="J56" s="149"/>
      <c r="K56" s="150"/>
      <c r="L56" s="156"/>
      <c r="M56" s="157"/>
      <c r="N56" s="162"/>
      <c r="O56" s="163"/>
    </row>
    <row r="57" spans="2:15" ht="15" customHeight="1" x14ac:dyDescent="0.25">
      <c r="B57" s="148"/>
      <c r="C57" s="149"/>
      <c r="D57" s="149"/>
      <c r="E57" s="149"/>
      <c r="F57" s="149"/>
      <c r="G57" s="149"/>
      <c r="H57" s="149"/>
      <c r="I57" s="149"/>
      <c r="J57" s="149"/>
      <c r="K57" s="150"/>
      <c r="L57" s="156"/>
      <c r="M57" s="157"/>
      <c r="N57" s="162"/>
      <c r="O57" s="163"/>
    </row>
    <row r="58" spans="2:15" ht="15" customHeight="1" x14ac:dyDescent="0.25">
      <c r="B58" s="151"/>
      <c r="C58" s="152"/>
      <c r="D58" s="152"/>
      <c r="E58" s="152"/>
      <c r="F58" s="152"/>
      <c r="G58" s="152"/>
      <c r="H58" s="152"/>
      <c r="I58" s="152"/>
      <c r="J58" s="152"/>
      <c r="K58" s="153"/>
      <c r="L58" s="158"/>
      <c r="M58" s="159"/>
      <c r="N58" s="164"/>
      <c r="O58" s="165"/>
    </row>
  </sheetData>
  <mergeCells count="23">
    <mergeCell ref="B37:K38"/>
    <mergeCell ref="L37:M38"/>
    <mergeCell ref="N37:O38"/>
    <mergeCell ref="D1:R1"/>
    <mergeCell ref="T1:Y1"/>
    <mergeCell ref="B3:O3"/>
    <mergeCell ref="Q3:AD3"/>
    <mergeCell ref="B35:O35"/>
    <mergeCell ref="B39:K42"/>
    <mergeCell ref="L39:M42"/>
    <mergeCell ref="N39:O42"/>
    <mergeCell ref="B43:K46"/>
    <mergeCell ref="L43:M46"/>
    <mergeCell ref="N43:O46"/>
    <mergeCell ref="B55:K58"/>
    <mergeCell ref="L55:M58"/>
    <mergeCell ref="N55:O58"/>
    <mergeCell ref="B47:K50"/>
    <mergeCell ref="L47:M50"/>
    <mergeCell ref="N47:O50"/>
    <mergeCell ref="B51:K54"/>
    <mergeCell ref="L51:M54"/>
    <mergeCell ref="N51:O54"/>
  </mergeCells>
  <pageMargins left="0.7" right="0.7" top="0.75" bottom="0.75" header="0.3" footer="0.3"/>
  <pageSetup scale="46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17076260-B117-459A-A650-77239BAF4899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ellIs" priority="1" operator="greaterThan" id="{3290E05F-7181-4B20-8AEA-4E0F4B56768F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greaterThan" id="{5273C582-BC7F-4367-8732-7B8A2E2779BF}">
            <xm:f>'2020 Data'!$N$4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E565-DCCB-49BD-9BC0-9D8FF2975A53}">
  <dimension ref="A1:BZ176"/>
  <sheetViews>
    <sheetView topLeftCell="A10" workbookViewId="0">
      <selection activeCell="J53" sqref="J53"/>
    </sheetView>
  </sheetViews>
  <sheetFormatPr defaultRowHeight="15" x14ac:dyDescent="0.25"/>
  <cols>
    <col min="2" max="2" width="12.85546875" customWidth="1"/>
    <col min="11" max="11" width="2.85546875" customWidth="1"/>
    <col min="16" max="16" width="2.5703125" customWidth="1"/>
    <col min="22" max="22" width="2.42578125" customWidth="1"/>
    <col min="26" max="26" width="2.7109375" customWidth="1"/>
    <col min="31" max="31" width="2.8554687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1" spans="1:78" x14ac:dyDescent="0.25">
      <c r="AZ1" s="181" t="s">
        <v>334</v>
      </c>
      <c r="BA1" s="182"/>
      <c r="BB1" s="182"/>
      <c r="BC1" s="182"/>
      <c r="BD1" s="182"/>
      <c r="BE1" s="182"/>
      <c r="BF1" s="183"/>
    </row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41</v>
      </c>
      <c r="AB2" s="178"/>
      <c r="AC2" s="178"/>
      <c r="AD2" s="179"/>
      <c r="AF2" s="177" t="s">
        <v>42</v>
      </c>
      <c r="AG2" s="178"/>
      <c r="AH2" s="178"/>
      <c r="AI2" s="179"/>
      <c r="AK2" s="177" t="s">
        <v>48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373</v>
      </c>
      <c r="O3" t="s">
        <v>7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7" t="s">
        <v>46</v>
      </c>
      <c r="AP3" s="7" t="s">
        <v>378</v>
      </c>
      <c r="AR3" t="s">
        <v>31</v>
      </c>
      <c r="AS3" t="s">
        <v>29</v>
      </c>
      <c r="AT3" t="s">
        <v>30</v>
      </c>
      <c r="AU3" t="s">
        <v>360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2025</v>
      </c>
      <c r="B4" s="13">
        <v>45656</v>
      </c>
      <c r="C4" s="115"/>
      <c r="D4" s="7">
        <v>1</v>
      </c>
      <c r="F4" s="5">
        <v>0.56000000000000005</v>
      </c>
      <c r="G4" s="5">
        <v>0.69</v>
      </c>
      <c r="H4" s="5">
        <v>0.82</v>
      </c>
      <c r="I4" s="5">
        <v>1</v>
      </c>
      <c r="J4" s="6">
        <v>0.72</v>
      </c>
      <c r="K4" s="7"/>
      <c r="L4" s="7" t="s">
        <v>375</v>
      </c>
      <c r="M4" s="7" t="s">
        <v>375</v>
      </c>
      <c r="N4" s="9">
        <v>0.83</v>
      </c>
      <c r="O4" s="9">
        <v>0.88</v>
      </c>
      <c r="Q4" s="1"/>
      <c r="R4" s="1"/>
      <c r="S4" s="1"/>
      <c r="T4" s="1"/>
      <c r="U4" s="4"/>
      <c r="V4" s="4"/>
      <c r="W4" t="s">
        <v>8</v>
      </c>
      <c r="X4" s="5"/>
      <c r="Y4" s="5">
        <v>0.95</v>
      </c>
      <c r="AA4">
        <v>322.5</v>
      </c>
      <c r="AB4">
        <v>162.5</v>
      </c>
      <c r="AC4">
        <f>AA4+AB4</f>
        <v>485</v>
      </c>
      <c r="AD4" s="1">
        <f t="shared" ref="AD4:AD57" si="0">AB4/AC4</f>
        <v>0.33505154639175255</v>
      </c>
      <c r="AF4">
        <f>AA4</f>
        <v>322.5</v>
      </c>
      <c r="AG4">
        <f>AB4</f>
        <v>162.5</v>
      </c>
      <c r="AH4">
        <f>SUM(AF4:AG4)</f>
        <v>485</v>
      </c>
      <c r="AI4" s="1">
        <f t="shared" ref="AI4:AI56" si="1">AG4/AH4</f>
        <v>0.33505154639175255</v>
      </c>
      <c r="AK4" s="110">
        <f>'QC Data 2026'!N4</f>
        <v>0</v>
      </c>
      <c r="AL4" s="134">
        <f>AK4/AA4</f>
        <v>0</v>
      </c>
      <c r="AM4">
        <f>AK4</f>
        <v>0</v>
      </c>
      <c r="AN4" s="134">
        <f t="shared" ref="AN4:AN55" si="2">AM4/AF4</f>
        <v>0</v>
      </c>
      <c r="AO4" s="134">
        <v>1.2500000000000001E-2</v>
      </c>
      <c r="AP4" s="134">
        <v>1.9E-2</v>
      </c>
      <c r="AR4" t="s">
        <v>8</v>
      </c>
      <c r="AS4" s="110">
        <f>AK4+AK5+AK6+AK7</f>
        <v>35</v>
      </c>
      <c r="AT4">
        <v>50</v>
      </c>
      <c r="AU4">
        <f>AS4</f>
        <v>35</v>
      </c>
      <c r="AV4">
        <f>AT4</f>
        <v>50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3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4">VLOOKUP(BU4,Operation,2)</f>
        <v>Weld all Outside Seams</v>
      </c>
      <c r="BW4" s="65">
        <v>942.98291999726723</v>
      </c>
      <c r="BX4" s="65">
        <v>1390</v>
      </c>
      <c r="BY4" s="1">
        <f t="shared" ref="BY4:BY13" si="5">BW4/BX4</f>
        <v>0.67840497841530012</v>
      </c>
      <c r="BZ4" s="66">
        <f>BX4-BW4</f>
        <v>447.01708000273277</v>
      </c>
    </row>
    <row r="5" spans="1:78" x14ac:dyDescent="0.25">
      <c r="A5" s="7">
        <v>2025</v>
      </c>
      <c r="B5" s="13">
        <v>45663</v>
      </c>
      <c r="C5" s="116"/>
      <c r="D5" s="7">
        <v>2</v>
      </c>
      <c r="F5" s="5">
        <v>0.46</v>
      </c>
      <c r="G5" s="5">
        <v>0.66</v>
      </c>
      <c r="H5" s="5">
        <v>0.87</v>
      </c>
      <c r="I5" s="5">
        <v>0.43</v>
      </c>
      <c r="J5" s="6">
        <v>0.73</v>
      </c>
      <c r="K5" s="7"/>
      <c r="L5" s="7" t="s">
        <v>375</v>
      </c>
      <c r="M5" s="7" t="s">
        <v>375</v>
      </c>
      <c r="N5" s="9">
        <v>0.83</v>
      </c>
      <c r="O5" s="9">
        <v>0.88</v>
      </c>
      <c r="Q5" s="1"/>
      <c r="R5" s="1"/>
      <c r="S5" s="1"/>
      <c r="T5" s="1"/>
      <c r="U5" s="4"/>
      <c r="V5" s="4"/>
      <c r="W5" t="s">
        <v>9</v>
      </c>
      <c r="X5" s="5"/>
      <c r="Y5" s="5">
        <v>0.95</v>
      </c>
      <c r="AA5">
        <v>493</v>
      </c>
      <c r="AB5">
        <v>332.5</v>
      </c>
      <c r="AC5">
        <f t="shared" ref="AC5:AC57" si="6">AA5+AB5</f>
        <v>825.5</v>
      </c>
      <c r="AD5" s="1">
        <f t="shared" si="0"/>
        <v>0.40278619018776501</v>
      </c>
      <c r="AF5">
        <f>AF4+AA5</f>
        <v>815.5</v>
      </c>
      <c r="AG5">
        <f>AG4+AB5</f>
        <v>495</v>
      </c>
      <c r="AH5">
        <f>AH4+AC5</f>
        <v>1310.5</v>
      </c>
      <c r="AI5" s="1">
        <f t="shared" si="1"/>
        <v>0.37771842808088518</v>
      </c>
      <c r="AK5" s="110">
        <f>'QC Data 2026'!N5</f>
        <v>14</v>
      </c>
      <c r="AL5" s="134">
        <f t="shared" ref="AL5:AL55" si="7">AK5/AA5</f>
        <v>2.8397565922920892E-2</v>
      </c>
      <c r="AM5">
        <f t="shared" ref="AM5:AM27" si="8">AM4+AK5</f>
        <v>14</v>
      </c>
      <c r="AN5" s="134">
        <f t="shared" si="2"/>
        <v>1.7167381974248927E-2</v>
      </c>
      <c r="AO5" s="134">
        <v>1.2500000000000001E-2</v>
      </c>
      <c r="AP5" s="134">
        <v>1.9E-2</v>
      </c>
      <c r="AR5" t="s">
        <v>9</v>
      </c>
      <c r="AS5" s="110">
        <f>AK8+AK9+AK10+AK11</f>
        <v>18.5</v>
      </c>
      <c r="AT5">
        <v>50</v>
      </c>
      <c r="AU5" s="110">
        <f>AU4+AS5</f>
        <v>53.5</v>
      </c>
      <c r="AV5">
        <f>AV4+AT5</f>
        <v>100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3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4"/>
        <v>Tack Shell Courses</v>
      </c>
      <c r="BW5" s="65">
        <v>558</v>
      </c>
      <c r="BX5" s="65">
        <v>994.5</v>
      </c>
      <c r="BY5" s="1">
        <f t="shared" si="5"/>
        <v>0.56108597285067874</v>
      </c>
      <c r="BZ5" s="66">
        <f t="shared" ref="BZ5:BZ13" si="11">BX5-BW5</f>
        <v>436.5</v>
      </c>
    </row>
    <row r="6" spans="1:78" x14ac:dyDescent="0.25">
      <c r="A6" s="7">
        <v>2025</v>
      </c>
      <c r="B6" s="13">
        <v>45670</v>
      </c>
      <c r="C6" s="116" t="s">
        <v>8</v>
      </c>
      <c r="D6" s="7">
        <v>3</v>
      </c>
      <c r="F6" s="5">
        <v>1.25</v>
      </c>
      <c r="G6" s="5">
        <v>0.99</v>
      </c>
      <c r="H6" s="5">
        <v>0.98</v>
      </c>
      <c r="I6" s="5">
        <v>0.44</v>
      </c>
      <c r="J6" s="6">
        <v>0.96</v>
      </c>
      <c r="K6" s="7"/>
      <c r="L6" s="7" t="s">
        <v>375</v>
      </c>
      <c r="M6" s="7" t="s">
        <v>375</v>
      </c>
      <c r="N6" s="9">
        <v>0.83</v>
      </c>
      <c r="O6" s="9">
        <v>0.88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A6">
        <v>403</v>
      </c>
      <c r="AB6">
        <v>348.25</v>
      </c>
      <c r="AC6">
        <f t="shared" si="6"/>
        <v>751.25</v>
      </c>
      <c r="AD6" s="1">
        <f t="shared" si="0"/>
        <v>0.46356073211314475</v>
      </c>
      <c r="AF6">
        <f t="shared" ref="AF6:AH21" si="12">AF5+AA6</f>
        <v>1218.5</v>
      </c>
      <c r="AG6">
        <f t="shared" si="12"/>
        <v>843.25</v>
      </c>
      <c r="AH6">
        <f t="shared" si="12"/>
        <v>2061.75</v>
      </c>
      <c r="AI6" s="1">
        <f t="shared" si="1"/>
        <v>0.40899721110706921</v>
      </c>
      <c r="AK6" s="110">
        <f>'QC Data 2026'!N6</f>
        <v>0</v>
      </c>
      <c r="AL6" s="134">
        <f t="shared" si="7"/>
        <v>0</v>
      </c>
      <c r="AM6">
        <f t="shared" si="8"/>
        <v>14</v>
      </c>
      <c r="AN6" s="134">
        <f t="shared" si="2"/>
        <v>1.1489536315141567E-2</v>
      </c>
      <c r="AO6" s="134">
        <v>1.2500000000000001E-2</v>
      </c>
      <c r="AP6" s="134">
        <v>1.9E-2</v>
      </c>
      <c r="AR6" t="s">
        <v>10</v>
      </c>
      <c r="AS6" s="110">
        <f>AK12+AK13+AK14+AK15+AK16</f>
        <v>13</v>
      </c>
      <c r="AT6">
        <v>50</v>
      </c>
      <c r="AU6" s="110">
        <f t="shared" ref="AU6:AV15" si="13">AU5+AS6</f>
        <v>66.5</v>
      </c>
      <c r="AV6">
        <f t="shared" si="13"/>
        <v>150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3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4"/>
        <v>Install Internal Parts</v>
      </c>
      <c r="BW6" s="65">
        <v>479.33818042422695</v>
      </c>
      <c r="BX6" s="65">
        <v>808</v>
      </c>
      <c r="BY6" s="1">
        <f t="shared" si="5"/>
        <v>0.59324032230721158</v>
      </c>
      <c r="BZ6" s="66">
        <f t="shared" si="11"/>
        <v>328.66181957577305</v>
      </c>
    </row>
    <row r="7" spans="1:78" x14ac:dyDescent="0.25">
      <c r="A7" s="7">
        <v>2025</v>
      </c>
      <c r="B7" s="13">
        <v>45677</v>
      </c>
      <c r="C7" s="116"/>
      <c r="D7" s="7">
        <v>4</v>
      </c>
      <c r="F7" s="5">
        <v>1</v>
      </c>
      <c r="G7" s="5">
        <v>1.08</v>
      </c>
      <c r="H7" s="5">
        <v>1.1499999999999999</v>
      </c>
      <c r="I7" s="5">
        <v>0.92</v>
      </c>
      <c r="J7" s="6">
        <v>1.1000000000000001</v>
      </c>
      <c r="K7" s="7"/>
      <c r="L7" s="8">
        <f t="shared" ref="L7:L27" si="14">AVERAGE(J4:J7)</f>
        <v>0.87750000000000006</v>
      </c>
      <c r="M7" s="7" t="s">
        <v>375</v>
      </c>
      <c r="N7" s="9">
        <v>0.83</v>
      </c>
      <c r="O7" s="9">
        <v>0.88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A7">
        <v>138.25</v>
      </c>
      <c r="AB7">
        <v>221.5</v>
      </c>
      <c r="AC7">
        <f t="shared" si="6"/>
        <v>359.75</v>
      </c>
      <c r="AD7" s="1">
        <f t="shared" si="0"/>
        <v>0.61570535093815149</v>
      </c>
      <c r="AF7">
        <f t="shared" si="12"/>
        <v>1356.75</v>
      </c>
      <c r="AG7">
        <f t="shared" si="12"/>
        <v>1064.75</v>
      </c>
      <c r="AH7">
        <f t="shared" si="12"/>
        <v>2421.5</v>
      </c>
      <c r="AI7" s="1">
        <f t="shared" si="1"/>
        <v>0.43970679330993184</v>
      </c>
      <c r="AK7" s="110">
        <v>21</v>
      </c>
      <c r="AL7" s="134">
        <f t="shared" si="7"/>
        <v>0.15189873417721519</v>
      </c>
      <c r="AM7">
        <f t="shared" si="8"/>
        <v>35</v>
      </c>
      <c r="AN7" s="134">
        <f t="shared" si="2"/>
        <v>2.5796941219826793E-2</v>
      </c>
      <c r="AO7" s="134">
        <v>1.2500000000000001E-2</v>
      </c>
      <c r="AP7" s="134">
        <v>1.9E-2</v>
      </c>
      <c r="AR7" t="s">
        <v>11</v>
      </c>
      <c r="AS7" s="110">
        <f>AK17+AK18+AK19+AK20</f>
        <v>0</v>
      </c>
      <c r="AT7">
        <v>50</v>
      </c>
      <c r="AU7" s="110">
        <f t="shared" si="13"/>
        <v>66.5</v>
      </c>
      <c r="AV7">
        <f t="shared" si="13"/>
        <v>200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3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4"/>
        <v>BI, SQ, T&amp;C Shells</v>
      </c>
      <c r="BW7" s="65">
        <v>971.16692466460245</v>
      </c>
      <c r="BX7" s="65">
        <v>1271</v>
      </c>
      <c r="BY7" s="1">
        <f t="shared" si="5"/>
        <v>0.76409671492100906</v>
      </c>
      <c r="BZ7" s="66">
        <f t="shared" si="11"/>
        <v>299.83307533539755</v>
      </c>
    </row>
    <row r="8" spans="1:78" x14ac:dyDescent="0.25">
      <c r="A8" s="7">
        <v>2025</v>
      </c>
      <c r="B8" s="13">
        <v>45684</v>
      </c>
      <c r="C8" s="117"/>
      <c r="D8" s="7">
        <v>5</v>
      </c>
      <c r="F8" s="5">
        <v>1</v>
      </c>
      <c r="G8" s="5">
        <v>0.82</v>
      </c>
      <c r="H8" s="5">
        <v>1.07</v>
      </c>
      <c r="I8" s="5">
        <v>0.43</v>
      </c>
      <c r="J8" s="6">
        <v>0.9</v>
      </c>
      <c r="K8" s="7"/>
      <c r="L8" s="8">
        <f t="shared" si="14"/>
        <v>0.92249999999999999</v>
      </c>
      <c r="M8" s="7" t="s">
        <v>375</v>
      </c>
      <c r="N8" s="9">
        <v>0.83</v>
      </c>
      <c r="O8" s="9">
        <v>0.88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2">
        <v>313.5</v>
      </c>
      <c r="AB8" s="2">
        <v>487.25</v>
      </c>
      <c r="AC8">
        <f t="shared" si="6"/>
        <v>800.75</v>
      </c>
      <c r="AD8" s="1">
        <f t="shared" si="0"/>
        <v>0.60849203871370594</v>
      </c>
      <c r="AF8">
        <f t="shared" si="12"/>
        <v>1670.25</v>
      </c>
      <c r="AG8">
        <f t="shared" si="12"/>
        <v>1552</v>
      </c>
      <c r="AH8">
        <f t="shared" si="12"/>
        <v>3222.25</v>
      </c>
      <c r="AI8" s="1">
        <f t="shared" si="1"/>
        <v>0.48165102024982542</v>
      </c>
      <c r="AK8" s="110">
        <f>'QC Data 2026'!N8</f>
        <v>9.5</v>
      </c>
      <c r="AL8" s="134">
        <f t="shared" si="7"/>
        <v>3.0303030303030304E-2</v>
      </c>
      <c r="AM8">
        <f t="shared" si="8"/>
        <v>44.5</v>
      </c>
      <c r="AN8" s="134">
        <f t="shared" si="2"/>
        <v>2.6642718155964674E-2</v>
      </c>
      <c r="AO8" s="134">
        <v>1.2500000000000001E-2</v>
      </c>
      <c r="AP8" s="134">
        <v>1.9E-2</v>
      </c>
      <c r="AR8" t="s">
        <v>12</v>
      </c>
      <c r="AS8" s="110">
        <f>AK21+AK22+AK23+AK24</f>
        <v>0</v>
      </c>
      <c r="AT8">
        <v>50</v>
      </c>
      <c r="AU8" s="110">
        <f t="shared" si="13"/>
        <v>66.5</v>
      </c>
      <c r="AV8">
        <f t="shared" si="13"/>
        <v>250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3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4"/>
        <v>Move Tank to Detail Rolls</v>
      </c>
      <c r="BW8" s="65">
        <v>164.14545454545456</v>
      </c>
      <c r="BX8" s="65">
        <v>461.5</v>
      </c>
      <c r="BY8" s="1">
        <f t="shared" si="5"/>
        <v>0.35567812469220922</v>
      </c>
      <c r="BZ8" s="66">
        <f t="shared" si="11"/>
        <v>297.35454545454547</v>
      </c>
    </row>
    <row r="9" spans="1:78" x14ac:dyDescent="0.25">
      <c r="A9" s="7">
        <v>2025</v>
      </c>
      <c r="B9" s="13">
        <v>45691</v>
      </c>
      <c r="C9" s="115"/>
      <c r="D9" s="7">
        <v>6</v>
      </c>
      <c r="F9" s="5">
        <v>1</v>
      </c>
      <c r="G9" s="5">
        <v>1.01</v>
      </c>
      <c r="H9" s="5">
        <v>1.01</v>
      </c>
      <c r="I9" s="5">
        <v>1.03</v>
      </c>
      <c r="J9" s="6">
        <v>1.01</v>
      </c>
      <c r="K9" s="7"/>
      <c r="L9" s="8">
        <f>AVERAGE(J6:J9)</f>
        <v>0.99249999999999994</v>
      </c>
      <c r="M9" s="7" t="s">
        <v>375</v>
      </c>
      <c r="N9" s="9">
        <v>0.83</v>
      </c>
      <c r="O9" s="9">
        <v>0.88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2">
        <v>285.75</v>
      </c>
      <c r="AB9" s="2">
        <v>412</v>
      </c>
      <c r="AC9">
        <f t="shared" si="6"/>
        <v>697.75</v>
      </c>
      <c r="AD9" s="1">
        <f t="shared" si="0"/>
        <v>0.59046936581870302</v>
      </c>
      <c r="AF9">
        <f t="shared" si="12"/>
        <v>1956</v>
      </c>
      <c r="AG9">
        <f t="shared" si="12"/>
        <v>1964</v>
      </c>
      <c r="AH9">
        <f t="shared" si="12"/>
        <v>3920</v>
      </c>
      <c r="AI9" s="1">
        <f t="shared" si="1"/>
        <v>0.50102040816326532</v>
      </c>
      <c r="AK9" s="110">
        <f>'QC Data 2026'!N9</f>
        <v>0</v>
      </c>
      <c r="AL9" s="134">
        <f t="shared" si="7"/>
        <v>0</v>
      </c>
      <c r="AM9">
        <f t="shared" si="8"/>
        <v>44.5</v>
      </c>
      <c r="AN9" s="134">
        <f t="shared" si="2"/>
        <v>2.2750511247443764E-2</v>
      </c>
      <c r="AO9" s="134">
        <v>1.2500000000000001E-2</v>
      </c>
      <c r="AP9" s="134">
        <v>1.9E-2</v>
      </c>
      <c r="AR9" t="s">
        <v>13</v>
      </c>
      <c r="AS9" s="110">
        <f>AK25+AK26+AK27+AK28+AK29</f>
        <v>0</v>
      </c>
      <c r="AT9">
        <v>50</v>
      </c>
      <c r="AU9" s="110">
        <f t="shared" si="13"/>
        <v>66.5</v>
      </c>
      <c r="AV9">
        <f t="shared" si="13"/>
        <v>300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3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4"/>
        <v>B&amp;C parts-lugs, supp, etc</v>
      </c>
      <c r="BW9" s="65">
        <v>769.92174030985382</v>
      </c>
      <c r="BX9" s="65">
        <v>1061</v>
      </c>
      <c r="BY9" s="1">
        <f t="shared" si="5"/>
        <v>0.72565668266715722</v>
      </c>
      <c r="BZ9" s="66">
        <f t="shared" si="11"/>
        <v>291.07825969014618</v>
      </c>
    </row>
    <row r="10" spans="1:78" x14ac:dyDescent="0.25">
      <c r="A10" s="7">
        <v>2025</v>
      </c>
      <c r="B10" s="13">
        <v>45698</v>
      </c>
      <c r="C10" s="116" t="s">
        <v>9</v>
      </c>
      <c r="D10" s="7">
        <v>7</v>
      </c>
      <c r="F10" s="5">
        <v>1.67</v>
      </c>
      <c r="G10" s="5">
        <v>1.01</v>
      </c>
      <c r="H10" s="5">
        <v>1.31</v>
      </c>
      <c r="I10" s="5">
        <v>1</v>
      </c>
      <c r="J10" s="34">
        <v>1.08</v>
      </c>
      <c r="K10" s="7"/>
      <c r="L10" s="8">
        <f t="shared" si="14"/>
        <v>1.0225</v>
      </c>
      <c r="M10" s="7" t="s">
        <v>375</v>
      </c>
      <c r="N10" s="9">
        <v>0.83</v>
      </c>
      <c r="O10" s="9">
        <v>0.88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>
        <v>226</v>
      </c>
      <c r="AB10" s="2">
        <v>423</v>
      </c>
      <c r="AC10">
        <f t="shared" si="6"/>
        <v>649</v>
      </c>
      <c r="AD10" s="1">
        <f t="shared" si="0"/>
        <v>0.65177195685670264</v>
      </c>
      <c r="AF10">
        <f t="shared" si="12"/>
        <v>2182</v>
      </c>
      <c r="AG10">
        <f t="shared" si="12"/>
        <v>2387</v>
      </c>
      <c r="AH10">
        <f t="shared" si="12"/>
        <v>4569</v>
      </c>
      <c r="AI10" s="1">
        <f t="shared" si="1"/>
        <v>0.52243379295250603</v>
      </c>
      <c r="AK10" s="110">
        <f>'QC Data 2026'!N10</f>
        <v>9</v>
      </c>
      <c r="AL10" s="134">
        <f t="shared" si="7"/>
        <v>3.9823008849557522E-2</v>
      </c>
      <c r="AM10">
        <f t="shared" si="8"/>
        <v>53.5</v>
      </c>
      <c r="AN10" s="134">
        <f t="shared" si="2"/>
        <v>2.451879010082493E-2</v>
      </c>
      <c r="AO10" s="134">
        <v>1.2500000000000001E-2</v>
      </c>
      <c r="AP10" s="134">
        <v>1.9E-2</v>
      </c>
      <c r="AR10" t="s">
        <v>14</v>
      </c>
      <c r="AS10" s="110">
        <f>AK30+AK31+AK32+AK33</f>
        <v>0</v>
      </c>
      <c r="AT10">
        <v>50</v>
      </c>
      <c r="AU10" s="110">
        <f t="shared" si="13"/>
        <v>66.5</v>
      </c>
      <c r="AV10">
        <f t="shared" si="13"/>
        <v>350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3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4"/>
        <v>Fit Bottom Head to Shell</v>
      </c>
      <c r="BW10" s="65">
        <v>732.67698412698417</v>
      </c>
      <c r="BX10" s="65">
        <v>1012</v>
      </c>
      <c r="BY10" s="1">
        <f t="shared" si="5"/>
        <v>0.7239891147499844</v>
      </c>
      <c r="BZ10" s="66">
        <f t="shared" si="11"/>
        <v>279.32301587301583</v>
      </c>
    </row>
    <row r="11" spans="1:78" x14ac:dyDescent="0.25">
      <c r="A11" s="7">
        <v>2025</v>
      </c>
      <c r="B11" s="13">
        <v>45705</v>
      </c>
      <c r="C11" s="116"/>
      <c r="D11" s="7">
        <v>8</v>
      </c>
      <c r="F11" s="5">
        <v>0.89</v>
      </c>
      <c r="G11" s="5">
        <v>0.98</v>
      </c>
      <c r="H11" s="5">
        <v>0.49</v>
      </c>
      <c r="I11" s="5">
        <v>1</v>
      </c>
      <c r="J11" s="6">
        <v>0.88</v>
      </c>
      <c r="K11" s="7"/>
      <c r="L11" s="8">
        <f t="shared" si="14"/>
        <v>0.96750000000000003</v>
      </c>
      <c r="M11" s="8">
        <f t="shared" ref="M11:M56" si="15">AVERAGE(J4:J11)</f>
        <v>0.92249999999999999</v>
      </c>
      <c r="N11" s="9">
        <v>0.83</v>
      </c>
      <c r="O11" s="9">
        <v>0.88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110">
        <v>169.5</v>
      </c>
      <c r="AB11" s="2">
        <v>481</v>
      </c>
      <c r="AC11">
        <f t="shared" si="6"/>
        <v>650.5</v>
      </c>
      <c r="AD11" s="1">
        <f t="shared" si="0"/>
        <v>0.73943120676402763</v>
      </c>
      <c r="AF11">
        <f t="shared" si="12"/>
        <v>2351.5</v>
      </c>
      <c r="AG11">
        <f t="shared" si="12"/>
        <v>2868</v>
      </c>
      <c r="AH11">
        <f t="shared" si="12"/>
        <v>5219.5</v>
      </c>
      <c r="AI11" s="1">
        <f t="shared" si="1"/>
        <v>0.54947791934093304</v>
      </c>
      <c r="AK11" s="110">
        <f>'QC Data 2026'!N11</f>
        <v>0</v>
      </c>
      <c r="AL11" s="134">
        <f t="shared" si="7"/>
        <v>0</v>
      </c>
      <c r="AM11">
        <f t="shared" si="8"/>
        <v>53.5</v>
      </c>
      <c r="AN11" s="134">
        <f t="shared" si="2"/>
        <v>2.2751435254093132E-2</v>
      </c>
      <c r="AO11" s="134">
        <v>1.2500000000000001E-2</v>
      </c>
      <c r="AP11" s="134">
        <v>1.9E-2</v>
      </c>
      <c r="AR11" t="s">
        <v>15</v>
      </c>
      <c r="AS11" s="110">
        <f>AK34+AK35+AK36+AK37</f>
        <v>0</v>
      </c>
      <c r="AT11">
        <v>50</v>
      </c>
      <c r="AU11" s="110">
        <f t="shared" si="13"/>
        <v>66.5</v>
      </c>
      <c r="AV11">
        <f t="shared" si="13"/>
        <v>400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3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4"/>
        <v>Weld Shell Nozz &amp; M/Ws</v>
      </c>
      <c r="BW11" s="65">
        <v>974.8</v>
      </c>
      <c r="BX11" s="65">
        <v>1225.25</v>
      </c>
      <c r="BY11" s="1">
        <f t="shared" si="5"/>
        <v>0.79559273617629056</v>
      </c>
      <c r="BZ11" s="66">
        <f t="shared" si="11"/>
        <v>250.45000000000005</v>
      </c>
    </row>
    <row r="12" spans="1:78" x14ac:dyDescent="0.25">
      <c r="A12" s="7">
        <v>2025</v>
      </c>
      <c r="B12" s="13">
        <v>45712</v>
      </c>
      <c r="C12" s="117"/>
      <c r="D12" s="7">
        <v>9</v>
      </c>
      <c r="F12" s="5">
        <v>0.96</v>
      </c>
      <c r="G12" s="5">
        <v>1.21</v>
      </c>
      <c r="H12" s="5">
        <v>0.92</v>
      </c>
      <c r="I12" s="5">
        <v>1</v>
      </c>
      <c r="J12" s="6">
        <v>1.03</v>
      </c>
      <c r="K12" s="7"/>
      <c r="L12" s="8">
        <f t="shared" si="14"/>
        <v>1</v>
      </c>
      <c r="M12" s="8">
        <f t="shared" si="15"/>
        <v>0.96125000000000005</v>
      </c>
      <c r="N12" s="9">
        <v>0.83</v>
      </c>
      <c r="O12" s="9">
        <v>0.88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2">
        <v>153.25</v>
      </c>
      <c r="AB12" s="2">
        <v>534.75</v>
      </c>
      <c r="AC12">
        <f t="shared" si="6"/>
        <v>688</v>
      </c>
      <c r="AD12" s="1">
        <f t="shared" si="0"/>
        <v>0.77725290697674421</v>
      </c>
      <c r="AF12">
        <f t="shared" si="12"/>
        <v>2504.75</v>
      </c>
      <c r="AG12">
        <f t="shared" si="12"/>
        <v>3402.75</v>
      </c>
      <c r="AH12">
        <f t="shared" si="12"/>
        <v>5907.5</v>
      </c>
      <c r="AI12" s="1">
        <f t="shared" si="1"/>
        <v>0.57600507829030889</v>
      </c>
      <c r="AK12" s="110">
        <f>'QC Data 2026'!N12</f>
        <v>10</v>
      </c>
      <c r="AL12" s="134">
        <f t="shared" si="7"/>
        <v>6.5252854812398037E-2</v>
      </c>
      <c r="AM12">
        <f t="shared" si="8"/>
        <v>63.5</v>
      </c>
      <c r="AN12" s="134">
        <f t="shared" si="2"/>
        <v>2.5351831520111789E-2</v>
      </c>
      <c r="AO12" s="134">
        <v>1.2500000000000001E-2</v>
      </c>
      <c r="AP12" s="134">
        <v>1.9E-2</v>
      </c>
      <c r="AR12" t="s">
        <v>16</v>
      </c>
      <c r="AS12" s="110">
        <f>AK38+AK39+AK40+AK41+AK42</f>
        <v>0</v>
      </c>
      <c r="AT12">
        <v>50</v>
      </c>
      <c r="AU12" s="110">
        <f t="shared" si="13"/>
        <v>66.5</v>
      </c>
      <c r="AV12">
        <f t="shared" si="13"/>
        <v>450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3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4"/>
        <v>Build Nozzles-Weld</v>
      </c>
      <c r="BW12" s="65">
        <v>958.03205989859259</v>
      </c>
      <c r="BX12" s="65">
        <v>1184.75</v>
      </c>
      <c r="BY12" s="1">
        <f t="shared" si="5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2025</v>
      </c>
      <c r="B13" s="13">
        <v>45719</v>
      </c>
      <c r="C13" s="115"/>
      <c r="D13" s="7">
        <v>10</v>
      </c>
      <c r="F13" s="33">
        <v>1.1499999999999999</v>
      </c>
      <c r="G13" s="33">
        <v>0.75</v>
      </c>
      <c r="H13" s="33">
        <v>0.94</v>
      </c>
      <c r="I13" s="33">
        <v>1</v>
      </c>
      <c r="J13" s="34">
        <v>0.87</v>
      </c>
      <c r="K13" s="7"/>
      <c r="L13" s="8">
        <f t="shared" si="14"/>
        <v>0.96500000000000008</v>
      </c>
      <c r="M13" s="8">
        <f t="shared" si="15"/>
        <v>0.97875000000000001</v>
      </c>
      <c r="N13" s="9">
        <v>0.83</v>
      </c>
      <c r="O13" s="9">
        <v>0.88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2">
        <v>186.5</v>
      </c>
      <c r="AB13" s="2">
        <v>505</v>
      </c>
      <c r="AC13">
        <f t="shared" si="6"/>
        <v>691.5</v>
      </c>
      <c r="AD13" s="36">
        <f t="shared" si="0"/>
        <v>0.73029645697758494</v>
      </c>
      <c r="AF13">
        <f t="shared" si="12"/>
        <v>2691.25</v>
      </c>
      <c r="AG13">
        <f t="shared" si="12"/>
        <v>3907.75</v>
      </c>
      <c r="AH13">
        <f t="shared" si="12"/>
        <v>6599</v>
      </c>
      <c r="AI13" s="36">
        <f>AG13/AH13</f>
        <v>0.59217305652371577</v>
      </c>
      <c r="AK13" s="110">
        <f>'QC Data 2026'!N13</f>
        <v>0</v>
      </c>
      <c r="AL13" s="134">
        <f t="shared" si="7"/>
        <v>0</v>
      </c>
      <c r="AM13">
        <f t="shared" si="8"/>
        <v>63.5</v>
      </c>
      <c r="AN13" s="135">
        <f t="shared" si="2"/>
        <v>2.3594983743613563E-2</v>
      </c>
      <c r="AO13" s="134">
        <v>1.2500000000000001E-2</v>
      </c>
      <c r="AP13" s="134">
        <v>1.9E-2</v>
      </c>
      <c r="AR13" t="s">
        <v>17</v>
      </c>
      <c r="AS13">
        <f>AK43+AK44+AK45+AK46</f>
        <v>0</v>
      </c>
      <c r="AT13">
        <v>50</v>
      </c>
      <c r="AU13" s="110">
        <f t="shared" si="13"/>
        <v>66.5</v>
      </c>
      <c r="AV13">
        <f t="shared" si="13"/>
        <v>500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3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4"/>
        <v>Fit Top to Shell-Weld</v>
      </c>
      <c r="BW13" s="65">
        <v>539.9</v>
      </c>
      <c r="BX13" s="65">
        <v>753.75</v>
      </c>
      <c r="BY13" s="36">
        <f t="shared" si="5"/>
        <v>0.71628524046434494</v>
      </c>
      <c r="BZ13" s="66">
        <f t="shared" si="11"/>
        <v>213.85000000000002</v>
      </c>
    </row>
    <row r="14" spans="1:78" x14ac:dyDescent="0.25">
      <c r="A14" s="7">
        <v>2025</v>
      </c>
      <c r="B14" s="13">
        <v>45726</v>
      </c>
      <c r="C14" s="116" t="s">
        <v>10</v>
      </c>
      <c r="D14" s="7">
        <v>11</v>
      </c>
      <c r="F14" s="5">
        <v>1</v>
      </c>
      <c r="G14" s="5">
        <v>0.67</v>
      </c>
      <c r="H14" s="5">
        <v>0.95</v>
      </c>
      <c r="I14" s="5">
        <v>1.07</v>
      </c>
      <c r="J14" s="6">
        <v>0.84</v>
      </c>
      <c r="K14" s="7"/>
      <c r="L14" s="8">
        <f t="shared" si="14"/>
        <v>0.90500000000000003</v>
      </c>
      <c r="M14" s="8">
        <f t="shared" si="15"/>
        <v>0.96375</v>
      </c>
      <c r="N14" s="9">
        <v>0.83</v>
      </c>
      <c r="O14" s="9">
        <v>0.88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>
        <v>157</v>
      </c>
      <c r="AB14" s="2">
        <v>506</v>
      </c>
      <c r="AC14">
        <f t="shared" si="6"/>
        <v>663</v>
      </c>
      <c r="AD14" s="1">
        <f t="shared" si="0"/>
        <v>0.76319758672699844</v>
      </c>
      <c r="AF14">
        <f t="shared" si="12"/>
        <v>2848.25</v>
      </c>
      <c r="AG14">
        <f t="shared" si="12"/>
        <v>4413.75</v>
      </c>
      <c r="AH14">
        <f t="shared" si="12"/>
        <v>7262</v>
      </c>
      <c r="AI14" s="1">
        <f t="shared" si="1"/>
        <v>0.6077871109887083</v>
      </c>
      <c r="AK14" s="110">
        <f>'QC Data 2026'!N14</f>
        <v>3</v>
      </c>
      <c r="AL14" s="134">
        <f t="shared" si="7"/>
        <v>1.9108280254777069E-2</v>
      </c>
      <c r="AM14">
        <f t="shared" si="8"/>
        <v>66.5</v>
      </c>
      <c r="AN14" s="134">
        <f t="shared" si="2"/>
        <v>2.3347669621697535E-2</v>
      </c>
      <c r="AO14" s="134">
        <v>1.2500000000000001E-2</v>
      </c>
      <c r="AP14" s="134">
        <v>1.9E-2</v>
      </c>
      <c r="AR14" t="s">
        <v>18</v>
      </c>
      <c r="AS14">
        <f>AK47+AK48+AK49+AK50</f>
        <v>0</v>
      </c>
      <c r="AT14">
        <v>50</v>
      </c>
      <c r="AU14" s="110">
        <f t="shared" si="13"/>
        <v>66.5</v>
      </c>
      <c r="AV14">
        <f t="shared" si="13"/>
        <v>550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3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2025</v>
      </c>
      <c r="B15" s="13">
        <v>45733</v>
      </c>
      <c r="C15" s="118"/>
      <c r="D15" s="7">
        <v>12</v>
      </c>
      <c r="F15" s="5">
        <v>1</v>
      </c>
      <c r="G15" s="5">
        <v>1.1399999999999999</v>
      </c>
      <c r="H15" s="5">
        <v>0.97</v>
      </c>
      <c r="I15" s="5">
        <v>1.36</v>
      </c>
      <c r="J15" s="6">
        <v>0.95</v>
      </c>
      <c r="L15" s="8">
        <f t="shared" si="14"/>
        <v>0.92249999999999988</v>
      </c>
      <c r="M15" s="8">
        <f t="shared" si="15"/>
        <v>0.94500000000000006</v>
      </c>
      <c r="N15" s="9">
        <v>0.83</v>
      </c>
      <c r="O15" s="9">
        <v>0.88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>
        <v>114</v>
      </c>
      <c r="AB15" s="2">
        <v>459.5</v>
      </c>
      <c r="AC15">
        <f t="shared" si="6"/>
        <v>573.5</v>
      </c>
      <c r="AD15" s="1">
        <f t="shared" si="0"/>
        <v>0.80122057541412384</v>
      </c>
      <c r="AF15">
        <f t="shared" si="12"/>
        <v>2962.25</v>
      </c>
      <c r="AG15">
        <f t="shared" si="12"/>
        <v>4873.25</v>
      </c>
      <c r="AH15">
        <f t="shared" si="12"/>
        <v>7835.5</v>
      </c>
      <c r="AI15" s="1">
        <f t="shared" si="1"/>
        <v>0.62194499393784697</v>
      </c>
      <c r="AK15" s="110">
        <f>'QC Data 2026'!N15</f>
        <v>0</v>
      </c>
      <c r="AL15" s="134">
        <f t="shared" si="7"/>
        <v>0</v>
      </c>
      <c r="AM15">
        <f t="shared" si="8"/>
        <v>66.5</v>
      </c>
      <c r="AN15" s="134">
        <f t="shared" si="2"/>
        <v>2.2449151827158408E-2</v>
      </c>
      <c r="AO15" s="134">
        <v>1.2500000000000001E-2</v>
      </c>
      <c r="AP15" s="134">
        <v>1.9E-2</v>
      </c>
      <c r="AR15" t="s">
        <v>19</v>
      </c>
      <c r="AS15">
        <f>AK51+AK52+AK53+AK54+AK55</f>
        <v>0</v>
      </c>
      <c r="AT15">
        <v>50</v>
      </c>
      <c r="AU15" s="110">
        <f t="shared" si="13"/>
        <v>66.5</v>
      </c>
      <c r="AV15">
        <f t="shared" si="13"/>
        <v>600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3"/>
        <v>0</v>
      </c>
      <c r="BF15" s="77">
        <f>3063.25+238</f>
        <v>3301.25</v>
      </c>
      <c r="BG15" s="7">
        <f t="shared" ref="BG15:BG33" si="16">SUM(BB4:BB15)</f>
        <v>2</v>
      </c>
      <c r="BH15" s="28">
        <f t="shared" ref="BH15:BH51" si="17">SUM(BF4:BF15)</f>
        <v>46931.5</v>
      </c>
      <c r="BI15" s="29">
        <f>BG15*200000/(BH15+1280)</f>
        <v>8.2967756655569733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2025</v>
      </c>
      <c r="B16" s="13">
        <v>45740</v>
      </c>
      <c r="C16" s="117"/>
      <c r="D16" s="7">
        <v>13</v>
      </c>
      <c r="F16" s="5">
        <v>0.97</v>
      </c>
      <c r="G16" s="5">
        <v>1.05</v>
      </c>
      <c r="H16" s="5">
        <v>0.97</v>
      </c>
      <c r="I16" s="5">
        <v>1</v>
      </c>
      <c r="J16" s="6">
        <v>0.98</v>
      </c>
      <c r="L16" s="8">
        <f t="shared" si="14"/>
        <v>0.91</v>
      </c>
      <c r="M16" s="8">
        <f t="shared" si="15"/>
        <v>0.95500000000000007</v>
      </c>
      <c r="N16" s="9">
        <v>0.83</v>
      </c>
      <c r="O16" s="9">
        <v>0.88</v>
      </c>
      <c r="Q16" s="1"/>
      <c r="R16" s="1"/>
      <c r="S16" s="1"/>
      <c r="T16" s="1"/>
      <c r="U16" s="4"/>
      <c r="V16" s="4"/>
      <c r="W16" s="4"/>
      <c r="X16" s="4"/>
      <c r="Y16" s="4"/>
      <c r="AA16" s="2">
        <v>231</v>
      </c>
      <c r="AB16" s="2">
        <v>310</v>
      </c>
      <c r="AC16">
        <f t="shared" si="6"/>
        <v>541</v>
      </c>
      <c r="AD16" s="1">
        <f t="shared" si="0"/>
        <v>0.57301293900184846</v>
      </c>
      <c r="AF16">
        <f t="shared" si="12"/>
        <v>3193.25</v>
      </c>
      <c r="AG16">
        <f t="shared" si="12"/>
        <v>5183.25</v>
      </c>
      <c r="AH16">
        <f t="shared" si="12"/>
        <v>8376.5</v>
      </c>
      <c r="AI16" s="1">
        <f t="shared" si="1"/>
        <v>0.61878469527845759</v>
      </c>
      <c r="AK16" s="110">
        <f>'QC Data 2026'!N16</f>
        <v>0</v>
      </c>
      <c r="AL16" s="134">
        <f t="shared" si="7"/>
        <v>0</v>
      </c>
      <c r="AM16">
        <f t="shared" si="8"/>
        <v>66.5</v>
      </c>
      <c r="AN16" s="134">
        <f t="shared" si="2"/>
        <v>2.0825178110075941E-2</v>
      </c>
      <c r="AO16" s="134">
        <v>1.2500000000000001E-2</v>
      </c>
      <c r="AP16" s="134">
        <v>1.9E-2</v>
      </c>
      <c r="AZ16" s="69">
        <v>2020</v>
      </c>
      <c r="BA16" s="70" t="s">
        <v>8</v>
      </c>
      <c r="BB16" s="70">
        <v>0</v>
      </c>
      <c r="BC16" s="70">
        <v>1</v>
      </c>
      <c r="BD16" s="70">
        <v>0</v>
      </c>
      <c r="BE16" s="70">
        <f t="shared" si="3"/>
        <v>1</v>
      </c>
      <c r="BF16" s="78">
        <f>3060.5+785.25</f>
        <v>3845.75</v>
      </c>
      <c r="BG16" s="7">
        <f t="shared" si="16"/>
        <v>2</v>
      </c>
      <c r="BH16" s="28">
        <f t="shared" si="17"/>
        <v>47165</v>
      </c>
      <c r="BI16" s="29">
        <f t="shared" ref="BI16:BI66" si="18">BG16*200000/(BH16+1280)</f>
        <v>8.2567860460315821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2025</v>
      </c>
      <c r="B17" s="13">
        <v>45747</v>
      </c>
      <c r="C17" s="115"/>
      <c r="D17" s="7">
        <v>14</v>
      </c>
      <c r="F17" s="33">
        <v>1.1399999999999999</v>
      </c>
      <c r="G17" s="33">
        <v>0.98</v>
      </c>
      <c r="H17" s="33">
        <v>0.97</v>
      </c>
      <c r="I17" s="33">
        <v>1</v>
      </c>
      <c r="J17" s="34">
        <v>0.99</v>
      </c>
      <c r="L17" s="8">
        <f t="shared" si="14"/>
        <v>0.94</v>
      </c>
      <c r="M17" s="8">
        <f t="shared" si="15"/>
        <v>0.95250000000000012</v>
      </c>
      <c r="N17" s="9">
        <v>0.83</v>
      </c>
      <c r="O17" s="9">
        <v>0.88</v>
      </c>
      <c r="Q17" s="36"/>
      <c r="R17" s="36"/>
      <c r="S17" s="36"/>
      <c r="T17" s="36"/>
      <c r="U17" s="99"/>
      <c r="V17" s="99"/>
      <c r="W17" s="99"/>
      <c r="X17" s="99"/>
      <c r="Y17" s="99"/>
      <c r="AA17" s="110">
        <v>127.5</v>
      </c>
      <c r="AB17" s="2">
        <v>458</v>
      </c>
      <c r="AC17">
        <f t="shared" si="6"/>
        <v>585.5</v>
      </c>
      <c r="AD17" s="36">
        <f t="shared" si="0"/>
        <v>0.78223740392826646</v>
      </c>
      <c r="AF17">
        <f t="shared" si="12"/>
        <v>3320.75</v>
      </c>
      <c r="AG17">
        <f t="shared" si="12"/>
        <v>5641.25</v>
      </c>
      <c r="AH17">
        <f t="shared" si="12"/>
        <v>8962</v>
      </c>
      <c r="AI17" s="36">
        <f t="shared" si="1"/>
        <v>0.62946328944432051</v>
      </c>
      <c r="AK17" s="110">
        <f>'QC Data 2026'!N17</f>
        <v>0</v>
      </c>
      <c r="AL17" s="134">
        <f t="shared" si="7"/>
        <v>0</v>
      </c>
      <c r="AM17">
        <f t="shared" si="8"/>
        <v>66.5</v>
      </c>
      <c r="AN17" s="135">
        <f t="shared" si="2"/>
        <v>2.0025596627267935E-2</v>
      </c>
      <c r="AO17" s="134">
        <v>1.2500000000000001E-2</v>
      </c>
      <c r="AP17" s="134">
        <v>1.9E-2</v>
      </c>
      <c r="AR17" t="s">
        <v>49</v>
      </c>
      <c r="AS17">
        <f>SUM(AS4:AS16)</f>
        <v>66.5</v>
      </c>
      <c r="AT17">
        <f>SUM(AT4:AT16)</f>
        <v>600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3"/>
        <v>1</v>
      </c>
      <c r="BF17" s="79">
        <f>3042.5+613.75</f>
        <v>3656.25</v>
      </c>
      <c r="BG17" s="7">
        <f t="shared" si="16"/>
        <v>2</v>
      </c>
      <c r="BH17" s="28">
        <f t="shared" si="17"/>
        <v>47923.75</v>
      </c>
      <c r="BI17" s="29">
        <f t="shared" si="18"/>
        <v>8.1294616772095623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2025</v>
      </c>
      <c r="B18" s="13">
        <v>45754</v>
      </c>
      <c r="C18" s="116"/>
      <c r="D18" s="7">
        <v>15</v>
      </c>
      <c r="F18" s="33">
        <v>2</v>
      </c>
      <c r="G18" s="33">
        <v>0.82</v>
      </c>
      <c r="H18" s="33">
        <v>1.1100000000000001</v>
      </c>
      <c r="I18" s="33">
        <v>1.17</v>
      </c>
      <c r="J18" s="34">
        <v>0.85</v>
      </c>
      <c r="L18" s="8">
        <f t="shared" si="14"/>
        <v>0.9425</v>
      </c>
      <c r="M18" s="8">
        <f t="shared" si="15"/>
        <v>0.92375000000000007</v>
      </c>
      <c r="N18" s="9">
        <v>0.83</v>
      </c>
      <c r="O18" s="9">
        <v>0.88</v>
      </c>
      <c r="Q18" s="36"/>
      <c r="R18" s="36"/>
      <c r="S18" s="36"/>
      <c r="T18" s="36"/>
      <c r="U18" s="99"/>
      <c r="AA18" s="2">
        <v>116.5</v>
      </c>
      <c r="AB18" s="2">
        <v>374.5</v>
      </c>
      <c r="AC18">
        <f t="shared" si="6"/>
        <v>491</v>
      </c>
      <c r="AD18" s="36">
        <f t="shared" si="0"/>
        <v>0.7627291242362525</v>
      </c>
      <c r="AF18">
        <f t="shared" si="12"/>
        <v>3437.25</v>
      </c>
      <c r="AG18">
        <f t="shared" si="12"/>
        <v>6015.75</v>
      </c>
      <c r="AH18">
        <f t="shared" si="12"/>
        <v>9453</v>
      </c>
      <c r="AI18" s="36">
        <f t="shared" si="1"/>
        <v>0.63638527451602667</v>
      </c>
      <c r="AK18" s="110">
        <f>'QC Data 2026'!N18</f>
        <v>0</v>
      </c>
      <c r="AL18" s="134">
        <f t="shared" si="7"/>
        <v>0</v>
      </c>
      <c r="AM18">
        <f t="shared" si="8"/>
        <v>66.5</v>
      </c>
      <c r="AN18" s="135">
        <f t="shared" si="2"/>
        <v>1.9346861589933814E-2</v>
      </c>
      <c r="AO18" s="134">
        <v>1.2500000000000001E-2</v>
      </c>
      <c r="AP18" s="134">
        <v>1.9E-2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3"/>
        <v>1</v>
      </c>
      <c r="BF18" s="79">
        <f>3452.5+791.25</f>
        <v>4243.75</v>
      </c>
      <c r="BG18" s="7">
        <f t="shared" si="16"/>
        <v>2</v>
      </c>
      <c r="BH18" s="28">
        <f t="shared" si="17"/>
        <v>49039.5</v>
      </c>
      <c r="BI18" s="29">
        <f t="shared" si="18"/>
        <v>7.9492045827164421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2025</v>
      </c>
      <c r="B19" s="13">
        <v>45761</v>
      </c>
      <c r="C19" s="116" t="s">
        <v>11</v>
      </c>
      <c r="D19" s="7">
        <v>16</v>
      </c>
      <c r="F19" s="33">
        <v>1.07</v>
      </c>
      <c r="G19" s="33">
        <v>0.93</v>
      </c>
      <c r="H19" s="33">
        <v>0.84</v>
      </c>
      <c r="I19" s="33">
        <v>1</v>
      </c>
      <c r="J19" s="34">
        <v>0.9</v>
      </c>
      <c r="L19" s="8">
        <f t="shared" si="14"/>
        <v>0.92999999999999994</v>
      </c>
      <c r="M19" s="8">
        <f t="shared" si="15"/>
        <v>0.92625000000000002</v>
      </c>
      <c r="N19" s="9">
        <v>0.83</v>
      </c>
      <c r="O19" s="9">
        <v>0.88</v>
      </c>
      <c r="Q19" s="36"/>
      <c r="R19" s="36"/>
      <c r="S19" s="36"/>
      <c r="T19" s="36"/>
      <c r="U19" s="99"/>
      <c r="AA19" s="2">
        <v>117</v>
      </c>
      <c r="AB19" s="2">
        <v>452.5</v>
      </c>
      <c r="AC19">
        <f t="shared" si="6"/>
        <v>569.5</v>
      </c>
      <c r="AD19" s="36">
        <f t="shared" si="0"/>
        <v>0.79455662862159793</v>
      </c>
      <c r="AF19">
        <f t="shared" si="12"/>
        <v>3554.25</v>
      </c>
      <c r="AG19">
        <f t="shared" si="12"/>
        <v>6468.25</v>
      </c>
      <c r="AH19">
        <f t="shared" si="12"/>
        <v>10022.5</v>
      </c>
      <c r="AI19" s="36">
        <f t="shared" si="1"/>
        <v>0.64537291095036164</v>
      </c>
      <c r="AK19" s="110">
        <f>'QC Data 2026'!N19</f>
        <v>0</v>
      </c>
      <c r="AL19" s="134">
        <f t="shared" si="7"/>
        <v>0</v>
      </c>
      <c r="AM19">
        <f t="shared" si="8"/>
        <v>66.5</v>
      </c>
      <c r="AN19" s="135">
        <f t="shared" si="2"/>
        <v>1.8709995076317085E-2</v>
      </c>
      <c r="AO19" s="134">
        <v>1.2500000000000001E-2</v>
      </c>
      <c r="AP19" s="134">
        <v>1.9E-2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3"/>
        <v>2</v>
      </c>
      <c r="BF19" s="79">
        <f>3935.5+777</f>
        <v>4712.5</v>
      </c>
      <c r="BG19" s="7">
        <f t="shared" si="16"/>
        <v>2</v>
      </c>
      <c r="BH19" s="28">
        <f t="shared" si="17"/>
        <v>49970.75</v>
      </c>
      <c r="BI19" s="29">
        <f t="shared" si="18"/>
        <v>7.8047638327243991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2025</v>
      </c>
      <c r="B20" s="13">
        <v>45768</v>
      </c>
      <c r="C20" s="116"/>
      <c r="D20" s="7">
        <v>17</v>
      </c>
      <c r="F20" s="33">
        <v>1.5</v>
      </c>
      <c r="G20" s="33">
        <v>0.96</v>
      </c>
      <c r="H20" s="33">
        <v>1</v>
      </c>
      <c r="I20" s="33">
        <v>1</v>
      </c>
      <c r="J20" s="34">
        <v>1.19</v>
      </c>
      <c r="L20" s="8">
        <f t="shared" si="14"/>
        <v>0.98249999999999993</v>
      </c>
      <c r="M20" s="8">
        <f t="shared" si="15"/>
        <v>0.94625000000000004</v>
      </c>
      <c r="N20" s="9">
        <v>0.83</v>
      </c>
      <c r="O20" s="9">
        <v>0.88</v>
      </c>
      <c r="Q20" s="36"/>
      <c r="R20" s="36"/>
      <c r="S20" s="36"/>
      <c r="T20" s="36"/>
      <c r="U20" s="99"/>
      <c r="AA20" s="2">
        <v>97</v>
      </c>
      <c r="AB20" s="140">
        <v>402.75</v>
      </c>
      <c r="AC20">
        <f t="shared" si="6"/>
        <v>499.75</v>
      </c>
      <c r="AD20" s="36">
        <f t="shared" si="0"/>
        <v>0.80590295147573787</v>
      </c>
      <c r="AF20">
        <f t="shared" si="12"/>
        <v>3651.25</v>
      </c>
      <c r="AG20">
        <f t="shared" si="12"/>
        <v>6871</v>
      </c>
      <c r="AH20">
        <f t="shared" si="12"/>
        <v>10522.25</v>
      </c>
      <c r="AI20" s="36">
        <f t="shared" si="1"/>
        <v>0.65299722017629314</v>
      </c>
      <c r="AK20" s="110">
        <f>'QC Data 2026'!N20</f>
        <v>0</v>
      </c>
      <c r="AL20" s="134">
        <f t="shared" si="7"/>
        <v>0</v>
      </c>
      <c r="AM20">
        <f t="shared" si="8"/>
        <v>66.5</v>
      </c>
      <c r="AN20" s="135">
        <f t="shared" si="2"/>
        <v>1.8212940773707633E-2</v>
      </c>
      <c r="AO20" s="134">
        <v>1.2500000000000001E-2</v>
      </c>
      <c r="AP20" s="134">
        <v>1.9E-2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3"/>
        <v>0</v>
      </c>
      <c r="BF20" s="79">
        <f>3541+676</f>
        <v>4217</v>
      </c>
      <c r="BG20" s="7">
        <f t="shared" si="16"/>
        <v>2</v>
      </c>
      <c r="BH20" s="28">
        <f t="shared" si="17"/>
        <v>50305.5</v>
      </c>
      <c r="BI20" s="29">
        <f t="shared" si="18"/>
        <v>7.7541169514689203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2025</v>
      </c>
      <c r="B21" s="13">
        <v>45775</v>
      </c>
      <c r="C21" s="117"/>
      <c r="D21" s="7">
        <v>18</v>
      </c>
      <c r="F21" s="33">
        <v>0.5</v>
      </c>
      <c r="G21" s="33">
        <v>0.92</v>
      </c>
      <c r="H21" s="33">
        <v>1.06</v>
      </c>
      <c r="I21" s="33">
        <v>1</v>
      </c>
      <c r="J21" s="34">
        <v>0.98</v>
      </c>
      <c r="L21" s="8">
        <f t="shared" si="14"/>
        <v>0.98</v>
      </c>
      <c r="M21" s="8">
        <f t="shared" si="15"/>
        <v>0.96</v>
      </c>
      <c r="N21" s="9">
        <v>0.83</v>
      </c>
      <c r="O21" s="9">
        <v>0.88</v>
      </c>
      <c r="Q21" s="36"/>
      <c r="R21" s="36"/>
      <c r="S21" s="36"/>
      <c r="T21" s="36"/>
      <c r="U21" s="99"/>
      <c r="AA21" s="140">
        <v>131.75</v>
      </c>
      <c r="AB21" s="2">
        <v>469</v>
      </c>
      <c r="AC21">
        <f t="shared" si="6"/>
        <v>600.75</v>
      </c>
      <c r="AD21" s="36">
        <f t="shared" si="0"/>
        <v>0.78069080316271322</v>
      </c>
      <c r="AF21">
        <f t="shared" si="12"/>
        <v>3783</v>
      </c>
      <c r="AG21">
        <f t="shared" si="12"/>
        <v>7340</v>
      </c>
      <c r="AH21">
        <f t="shared" si="12"/>
        <v>11123</v>
      </c>
      <c r="AI21" s="36">
        <f t="shared" si="1"/>
        <v>0.65989391351254156</v>
      </c>
      <c r="AK21" s="110">
        <f>'QC Data 2026'!N21</f>
        <v>0</v>
      </c>
      <c r="AL21" s="134">
        <f t="shared" si="7"/>
        <v>0</v>
      </c>
      <c r="AM21">
        <f t="shared" si="8"/>
        <v>66.5</v>
      </c>
      <c r="AN21" s="135">
        <f t="shared" si="2"/>
        <v>1.7578641289981496E-2</v>
      </c>
      <c r="AO21" s="134">
        <v>1.2500000000000001E-2</v>
      </c>
      <c r="AP21" s="134">
        <v>1.9E-2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3"/>
        <v>4</v>
      </c>
      <c r="BF21" s="79">
        <v>4153</v>
      </c>
      <c r="BG21" s="7">
        <f t="shared" si="16"/>
        <v>1</v>
      </c>
      <c r="BH21" s="28">
        <f t="shared" si="17"/>
        <v>50629</v>
      </c>
      <c r="BI21" s="29">
        <f t="shared" si="18"/>
        <v>3.8528964148798859</v>
      </c>
      <c r="BJ21" s="7">
        <v>4</v>
      </c>
      <c r="BL21" s="72">
        <v>2021</v>
      </c>
      <c r="BM21" s="7" t="s">
        <v>13</v>
      </c>
      <c r="BR21" s="100">
        <v>0.95</v>
      </c>
    </row>
    <row r="22" spans="1:75" x14ac:dyDescent="0.25">
      <c r="A22" s="7">
        <v>2025</v>
      </c>
      <c r="B22" s="13">
        <v>45782</v>
      </c>
      <c r="C22" s="115"/>
      <c r="D22" s="7">
        <v>19</v>
      </c>
      <c r="F22" s="33">
        <v>0.6</v>
      </c>
      <c r="G22" s="33">
        <v>0.63</v>
      </c>
      <c r="H22" s="33">
        <v>1.19</v>
      </c>
      <c r="I22" s="33">
        <v>1</v>
      </c>
      <c r="J22" s="34">
        <v>1.03</v>
      </c>
      <c r="L22" s="8">
        <f t="shared" si="14"/>
        <v>1.0249999999999999</v>
      </c>
      <c r="M22" s="8">
        <f t="shared" si="15"/>
        <v>0.98375000000000001</v>
      </c>
      <c r="N22" s="9">
        <v>0.83</v>
      </c>
      <c r="O22" s="9">
        <v>0.88</v>
      </c>
      <c r="Q22" s="36"/>
      <c r="R22" s="36"/>
      <c r="S22" s="36"/>
      <c r="T22" s="36"/>
      <c r="U22" s="99"/>
      <c r="AA22" s="2">
        <v>227</v>
      </c>
      <c r="AB22" s="2">
        <v>338</v>
      </c>
      <c r="AC22">
        <f t="shared" si="6"/>
        <v>565</v>
      </c>
      <c r="AD22" s="36">
        <f t="shared" si="0"/>
        <v>0.59823008849557524</v>
      </c>
      <c r="AF22">
        <f t="shared" ref="AF22:AH37" si="19">AF21+AA22</f>
        <v>4010</v>
      </c>
      <c r="AG22">
        <f t="shared" si="19"/>
        <v>7678</v>
      </c>
      <c r="AH22">
        <f t="shared" si="19"/>
        <v>11688</v>
      </c>
      <c r="AI22" s="36">
        <f t="shared" si="1"/>
        <v>0.65691307323750858</v>
      </c>
      <c r="AK22" s="110">
        <f>'QC Data 2026'!N22</f>
        <v>0</v>
      </c>
      <c r="AL22" s="134">
        <f t="shared" si="7"/>
        <v>0</v>
      </c>
      <c r="AM22">
        <f t="shared" si="8"/>
        <v>66.5</v>
      </c>
      <c r="AN22" s="135">
        <f t="shared" si="2"/>
        <v>1.6583541147132171E-2</v>
      </c>
      <c r="AO22" s="134">
        <v>1.2500000000000001E-2</v>
      </c>
      <c r="AP22" s="134">
        <v>1.9E-2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3"/>
        <v>4</v>
      </c>
      <c r="BF22" s="79">
        <v>3759.75</v>
      </c>
      <c r="BG22" s="7">
        <f t="shared" si="16"/>
        <v>1</v>
      </c>
      <c r="BH22" s="28">
        <f t="shared" si="17"/>
        <v>50113.25</v>
      </c>
      <c r="BI22" s="29">
        <f t="shared" si="18"/>
        <v>3.8915616350396212</v>
      </c>
      <c r="BJ22" s="7">
        <v>4</v>
      </c>
      <c r="BL22" s="72">
        <v>2021</v>
      </c>
      <c r="BM22" s="7" t="s">
        <v>14</v>
      </c>
      <c r="BR22" s="100">
        <v>0.95</v>
      </c>
      <c r="BW22" s="7"/>
    </row>
    <row r="23" spans="1:75" x14ac:dyDescent="0.25">
      <c r="A23" s="7">
        <v>2025</v>
      </c>
      <c r="B23" s="13">
        <v>45789</v>
      </c>
      <c r="C23" s="116" t="s">
        <v>12</v>
      </c>
      <c r="D23" s="7">
        <v>20</v>
      </c>
      <c r="F23" s="33">
        <v>0.84</v>
      </c>
      <c r="G23" s="33">
        <v>1.07</v>
      </c>
      <c r="H23" s="33">
        <v>1.19</v>
      </c>
      <c r="I23" s="33">
        <v>1</v>
      </c>
      <c r="J23" s="34">
        <v>1.1499999999999999</v>
      </c>
      <c r="L23" s="8">
        <f t="shared" si="14"/>
        <v>1.0874999999999999</v>
      </c>
      <c r="M23" s="8">
        <f t="shared" si="15"/>
        <v>1.00875</v>
      </c>
      <c r="N23" s="9">
        <v>0.83</v>
      </c>
      <c r="O23" s="9">
        <v>0.88</v>
      </c>
      <c r="Q23" s="36"/>
      <c r="R23" s="36"/>
      <c r="S23" s="36"/>
      <c r="T23" s="36"/>
      <c r="U23" s="99"/>
      <c r="AA23" s="110">
        <v>372.5</v>
      </c>
      <c r="AB23" s="140">
        <v>255.25</v>
      </c>
      <c r="AC23">
        <f t="shared" si="6"/>
        <v>627.75</v>
      </c>
      <c r="AD23" s="36">
        <f t="shared" si="0"/>
        <v>0.40661091198725607</v>
      </c>
      <c r="AF23">
        <f t="shared" si="19"/>
        <v>4382.5</v>
      </c>
      <c r="AG23">
        <f t="shared" si="19"/>
        <v>7933.25</v>
      </c>
      <c r="AH23">
        <f t="shared" si="19"/>
        <v>12315.75</v>
      </c>
      <c r="AI23" s="36">
        <f t="shared" si="1"/>
        <v>0.64415484237663156</v>
      </c>
      <c r="AK23" s="110">
        <f>'QC Data 2026'!N23</f>
        <v>0</v>
      </c>
      <c r="AL23" s="134">
        <f t="shared" si="7"/>
        <v>0</v>
      </c>
      <c r="AM23">
        <f t="shared" si="8"/>
        <v>66.5</v>
      </c>
      <c r="AN23" s="135">
        <f t="shared" si="2"/>
        <v>1.5173987450085568E-2</v>
      </c>
      <c r="AO23" s="134">
        <v>1.2500000000000001E-2</v>
      </c>
      <c r="AP23" s="134">
        <v>1.9E-2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3"/>
        <v>2</v>
      </c>
      <c r="BF23" s="79">
        <v>4286</v>
      </c>
      <c r="BG23" s="7">
        <f t="shared" si="16"/>
        <v>1</v>
      </c>
      <c r="BH23" s="28">
        <f t="shared" si="17"/>
        <v>49842.5</v>
      </c>
      <c r="BI23" s="29">
        <f t="shared" si="18"/>
        <v>3.9121717443395765</v>
      </c>
      <c r="BJ23" s="7">
        <v>4</v>
      </c>
      <c r="BL23" s="72">
        <v>2021</v>
      </c>
      <c r="BM23" s="7" t="s">
        <v>15</v>
      </c>
      <c r="BR23" s="100">
        <v>0.95</v>
      </c>
      <c r="BW23" s="7"/>
    </row>
    <row r="24" spans="1:75" x14ac:dyDescent="0.25">
      <c r="A24" s="7">
        <v>2025</v>
      </c>
      <c r="B24" s="13">
        <v>45796</v>
      </c>
      <c r="C24" s="116"/>
      <c r="D24" s="7">
        <v>21</v>
      </c>
      <c r="F24" s="33">
        <v>1.65</v>
      </c>
      <c r="G24" s="33">
        <v>1.1499999999999999</v>
      </c>
      <c r="H24" s="33">
        <v>1.2</v>
      </c>
      <c r="I24" s="33">
        <v>0.8</v>
      </c>
      <c r="J24" s="34">
        <v>1.2</v>
      </c>
      <c r="L24" s="8">
        <f t="shared" si="14"/>
        <v>1.0899999999999999</v>
      </c>
      <c r="M24" s="8">
        <f t="shared" si="15"/>
        <v>1.0362499999999999</v>
      </c>
      <c r="N24" s="9">
        <v>0.83</v>
      </c>
      <c r="O24" s="9">
        <v>0.88</v>
      </c>
      <c r="Q24" s="36"/>
      <c r="R24" s="36"/>
      <c r="S24" s="36"/>
      <c r="T24" s="36"/>
      <c r="U24" s="99"/>
      <c r="AA24" s="110">
        <v>464.5</v>
      </c>
      <c r="AB24" s="140">
        <v>242.75</v>
      </c>
      <c r="AC24">
        <f t="shared" si="6"/>
        <v>707.25</v>
      </c>
      <c r="AD24" s="36">
        <f t="shared" si="0"/>
        <v>0.34323082361258395</v>
      </c>
      <c r="AF24">
        <f t="shared" si="19"/>
        <v>4847</v>
      </c>
      <c r="AG24">
        <f t="shared" si="19"/>
        <v>8176</v>
      </c>
      <c r="AH24">
        <f t="shared" si="19"/>
        <v>13023</v>
      </c>
      <c r="AI24" s="36">
        <f t="shared" si="1"/>
        <v>0.6278123320279505</v>
      </c>
      <c r="AK24" s="110">
        <f>'QC Data 2026'!N24</f>
        <v>0</v>
      </c>
      <c r="AL24" s="134">
        <f t="shared" si="7"/>
        <v>0</v>
      </c>
      <c r="AM24">
        <f t="shared" si="8"/>
        <v>66.5</v>
      </c>
      <c r="AN24" s="135">
        <f t="shared" si="2"/>
        <v>1.3719826696925933E-2</v>
      </c>
      <c r="AO24" s="134">
        <v>1.2500000000000001E-2</v>
      </c>
      <c r="AP24" s="134">
        <v>1.9E-2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3"/>
        <v>2</v>
      </c>
      <c r="BF24" s="79">
        <v>4497</v>
      </c>
      <c r="BG24" s="7">
        <f t="shared" si="16"/>
        <v>1</v>
      </c>
      <c r="BH24" s="28">
        <f t="shared" si="17"/>
        <v>50126</v>
      </c>
      <c r="BI24" s="29">
        <f t="shared" si="18"/>
        <v>3.8905964284324788</v>
      </c>
      <c r="BJ24" s="7">
        <v>4</v>
      </c>
      <c r="BL24" s="72">
        <v>2021</v>
      </c>
      <c r="BM24" s="7" t="s">
        <v>16</v>
      </c>
      <c r="BR24" s="100">
        <v>0.95</v>
      </c>
      <c r="BW24" s="7"/>
    </row>
    <row r="25" spans="1:75" x14ac:dyDescent="0.25">
      <c r="A25" s="7">
        <v>2025</v>
      </c>
      <c r="B25" s="13">
        <v>45803</v>
      </c>
      <c r="C25" s="117"/>
      <c r="D25" s="7">
        <v>22</v>
      </c>
      <c r="F25" s="33">
        <v>1</v>
      </c>
      <c r="G25" s="33">
        <v>1.07</v>
      </c>
      <c r="H25" s="33">
        <v>1.35</v>
      </c>
      <c r="I25" s="33">
        <v>1.33</v>
      </c>
      <c r="J25" s="34">
        <v>1.25</v>
      </c>
      <c r="L25" s="8">
        <f t="shared" si="14"/>
        <v>1.1575</v>
      </c>
      <c r="M25" s="8">
        <f t="shared" si="15"/>
        <v>1.0687500000000001</v>
      </c>
      <c r="N25" s="9">
        <v>0.83</v>
      </c>
      <c r="O25" s="9">
        <v>0.88</v>
      </c>
      <c r="Q25" s="36"/>
      <c r="R25" s="36"/>
      <c r="S25" s="36"/>
      <c r="T25" s="36"/>
      <c r="U25" s="99"/>
      <c r="AA25" s="140">
        <v>346.25</v>
      </c>
      <c r="AB25" s="140">
        <v>180.75</v>
      </c>
      <c r="AC25" s="2">
        <f t="shared" si="6"/>
        <v>527</v>
      </c>
      <c r="AD25" s="36">
        <f t="shared" si="0"/>
        <v>0.34297912713472484</v>
      </c>
      <c r="AF25">
        <f t="shared" si="19"/>
        <v>5193.25</v>
      </c>
      <c r="AG25">
        <f t="shared" si="19"/>
        <v>8356.75</v>
      </c>
      <c r="AH25">
        <f t="shared" si="19"/>
        <v>13550</v>
      </c>
      <c r="AI25" s="36">
        <f t="shared" si="1"/>
        <v>0.61673431734317341</v>
      </c>
      <c r="AK25" s="110">
        <f>'QC Data 2026'!N25</f>
        <v>0</v>
      </c>
      <c r="AL25" s="134">
        <f t="shared" si="7"/>
        <v>0</v>
      </c>
      <c r="AM25">
        <f t="shared" si="8"/>
        <v>66.5</v>
      </c>
      <c r="AN25" s="135">
        <f t="shared" si="2"/>
        <v>1.2805083521879363E-2</v>
      </c>
      <c r="AO25" s="134">
        <v>1.2500000000000001E-2</v>
      </c>
      <c r="AP25" s="134">
        <v>1.9E-2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3"/>
        <v>1</v>
      </c>
      <c r="BF25" s="79">
        <v>4461.75</v>
      </c>
      <c r="BG25" s="7">
        <f t="shared" si="16"/>
        <v>0</v>
      </c>
      <c r="BH25" s="28">
        <f t="shared" si="17"/>
        <v>48874.75</v>
      </c>
      <c r="BI25" s="29">
        <f t="shared" si="18"/>
        <v>0</v>
      </c>
      <c r="BJ25" s="7">
        <v>4</v>
      </c>
      <c r="BL25" s="72">
        <v>2021</v>
      </c>
      <c r="BM25" s="7" t="s">
        <v>17</v>
      </c>
      <c r="BR25" s="100">
        <v>0.95</v>
      </c>
      <c r="BW25" s="7"/>
    </row>
    <row r="26" spans="1:75" ht="15.75" customHeight="1" x14ac:dyDescent="0.25">
      <c r="A26" s="7">
        <v>2025</v>
      </c>
      <c r="B26" s="13">
        <v>45810</v>
      </c>
      <c r="C26" s="115"/>
      <c r="D26" s="7">
        <v>23</v>
      </c>
      <c r="F26" s="5">
        <v>1</v>
      </c>
      <c r="G26" s="5">
        <v>1.08</v>
      </c>
      <c r="H26" s="5">
        <v>1.34</v>
      </c>
      <c r="I26" s="5">
        <v>0.75</v>
      </c>
      <c r="J26" s="6">
        <v>1.24</v>
      </c>
      <c r="L26" s="8">
        <f t="shared" si="14"/>
        <v>1.21</v>
      </c>
      <c r="M26" s="8">
        <f t="shared" si="15"/>
        <v>1.1174999999999999</v>
      </c>
      <c r="N26" s="9">
        <v>0.83</v>
      </c>
      <c r="O26" s="9">
        <v>0.88</v>
      </c>
      <c r="Q26" s="1"/>
      <c r="R26" s="1"/>
      <c r="S26" s="1"/>
      <c r="T26" s="1"/>
      <c r="U26" s="4"/>
      <c r="AA26" s="2">
        <v>449</v>
      </c>
      <c r="AB26" s="110">
        <v>294.5</v>
      </c>
      <c r="AC26">
        <f t="shared" si="6"/>
        <v>743.5</v>
      </c>
      <c r="AD26" s="1">
        <f t="shared" si="0"/>
        <v>0.39609952925353059</v>
      </c>
      <c r="AF26">
        <f t="shared" si="19"/>
        <v>5642.25</v>
      </c>
      <c r="AG26">
        <f t="shared" si="19"/>
        <v>8651.25</v>
      </c>
      <c r="AH26">
        <f t="shared" si="19"/>
        <v>14293.5</v>
      </c>
      <c r="AI26" s="1">
        <f t="shared" si="1"/>
        <v>0.60525763458914894</v>
      </c>
      <c r="AK26" s="110">
        <f>'QC Data 2026'!N26</f>
        <v>0</v>
      </c>
      <c r="AL26" s="134">
        <f t="shared" si="7"/>
        <v>0</v>
      </c>
      <c r="AM26">
        <f t="shared" si="8"/>
        <v>66.5</v>
      </c>
      <c r="AN26" s="134">
        <f t="shared" si="2"/>
        <v>1.1786078248925518E-2</v>
      </c>
      <c r="AO26" s="134">
        <v>1.2500000000000001E-2</v>
      </c>
      <c r="AP26" s="134">
        <v>1.9E-2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3"/>
        <v>2</v>
      </c>
      <c r="BF26" s="73">
        <v>3802.25</v>
      </c>
      <c r="BG26" s="7">
        <f t="shared" si="16"/>
        <v>0</v>
      </c>
      <c r="BH26" s="28">
        <f t="shared" si="17"/>
        <v>48936.25</v>
      </c>
      <c r="BI26" s="29">
        <f t="shared" si="18"/>
        <v>0</v>
      </c>
      <c r="BJ26" s="7">
        <v>4</v>
      </c>
      <c r="BL26" s="72">
        <v>2021</v>
      </c>
      <c r="BM26" s="7" t="s">
        <v>18</v>
      </c>
      <c r="BR26" s="85">
        <v>0.95</v>
      </c>
      <c r="BW26" s="7"/>
    </row>
    <row r="27" spans="1:75" ht="15.75" customHeight="1" x14ac:dyDescent="0.25">
      <c r="A27" s="7">
        <v>2025</v>
      </c>
      <c r="B27" s="13">
        <v>45817</v>
      </c>
      <c r="C27" s="116" t="s">
        <v>13</v>
      </c>
      <c r="D27" s="7">
        <v>24</v>
      </c>
      <c r="F27" s="5">
        <v>1</v>
      </c>
      <c r="G27" s="5">
        <v>0.79</v>
      </c>
      <c r="H27" s="5">
        <v>1.06</v>
      </c>
      <c r="I27" s="5">
        <v>1</v>
      </c>
      <c r="J27" s="6">
        <v>0.92</v>
      </c>
      <c r="L27" s="8">
        <f t="shared" si="14"/>
        <v>1.1525000000000001</v>
      </c>
      <c r="M27" s="8">
        <f t="shared" si="15"/>
        <v>1.1199999999999999</v>
      </c>
      <c r="N27" s="9">
        <v>0.83</v>
      </c>
      <c r="O27" s="9">
        <v>0.88</v>
      </c>
      <c r="Q27" s="1"/>
      <c r="R27" s="1"/>
      <c r="S27" s="1"/>
      <c r="T27" s="1"/>
      <c r="U27" s="4"/>
      <c r="AA27" s="2">
        <v>323</v>
      </c>
      <c r="AB27" s="2">
        <v>327</v>
      </c>
      <c r="AC27">
        <f t="shared" si="6"/>
        <v>650</v>
      </c>
      <c r="AD27" s="1">
        <f t="shared" si="0"/>
        <v>0.50307692307692309</v>
      </c>
      <c r="AF27">
        <f t="shared" si="19"/>
        <v>5965.25</v>
      </c>
      <c r="AG27">
        <f t="shared" si="19"/>
        <v>8978.25</v>
      </c>
      <c r="AH27">
        <f t="shared" si="19"/>
        <v>14943.5</v>
      </c>
      <c r="AI27" s="1">
        <f t="shared" si="1"/>
        <v>0.60081306253555056</v>
      </c>
      <c r="AK27" s="110">
        <f>'QC Data 2026'!N27</f>
        <v>0</v>
      </c>
      <c r="AL27" s="134">
        <f t="shared" si="7"/>
        <v>0</v>
      </c>
      <c r="AM27">
        <f t="shared" si="8"/>
        <v>66.5</v>
      </c>
      <c r="AN27" s="134">
        <f t="shared" si="2"/>
        <v>1.1147898243996479E-2</v>
      </c>
      <c r="AO27" s="134">
        <v>1.2500000000000001E-2</v>
      </c>
      <c r="AP27" s="134">
        <v>1.9E-2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3"/>
        <v>1</v>
      </c>
      <c r="BF27" s="80">
        <v>3848.25</v>
      </c>
      <c r="BG27" s="7">
        <f t="shared" si="16"/>
        <v>0</v>
      </c>
      <c r="BH27" s="28">
        <f t="shared" si="17"/>
        <v>49483.25</v>
      </c>
      <c r="BI27" s="29">
        <f t="shared" si="18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W27" s="7"/>
    </row>
    <row r="28" spans="1:75" x14ac:dyDescent="0.25">
      <c r="A28" s="7">
        <v>2025</v>
      </c>
      <c r="B28" s="13">
        <v>45824</v>
      </c>
      <c r="C28" s="118"/>
      <c r="D28" s="7">
        <v>25</v>
      </c>
      <c r="F28" s="33">
        <v>1.55</v>
      </c>
      <c r="G28" s="33">
        <v>0.84</v>
      </c>
      <c r="H28" s="33">
        <v>1.1200000000000001</v>
      </c>
      <c r="I28" s="33">
        <v>1</v>
      </c>
      <c r="J28" s="34">
        <v>1.04</v>
      </c>
      <c r="L28" s="8">
        <f>AVERAGE(J25:J28)</f>
        <v>1.1125</v>
      </c>
      <c r="M28" s="8">
        <f t="shared" si="15"/>
        <v>1.1012499999999998</v>
      </c>
      <c r="N28" s="9">
        <v>0.83</v>
      </c>
      <c r="O28" s="9">
        <v>0.88</v>
      </c>
      <c r="Q28" s="1"/>
      <c r="R28" s="1"/>
      <c r="S28" s="1"/>
      <c r="T28" s="1"/>
      <c r="U28" s="4"/>
      <c r="AA28" s="110">
        <v>585.5</v>
      </c>
      <c r="AB28" s="110">
        <v>201.5</v>
      </c>
      <c r="AC28">
        <f t="shared" si="6"/>
        <v>787</v>
      </c>
      <c r="AD28" s="1">
        <f t="shared" si="0"/>
        <v>0.25603557814485389</v>
      </c>
      <c r="AF28">
        <f t="shared" si="19"/>
        <v>6550.75</v>
      </c>
      <c r="AG28">
        <f t="shared" si="19"/>
        <v>9179.75</v>
      </c>
      <c r="AH28">
        <f t="shared" si="19"/>
        <v>15730.5</v>
      </c>
      <c r="AI28" s="1">
        <f t="shared" si="1"/>
        <v>0.58356377737516285</v>
      </c>
      <c r="AK28" s="110">
        <f>'QC Data 2026'!N28</f>
        <v>0</v>
      </c>
      <c r="AL28" s="134">
        <f t="shared" si="7"/>
        <v>0</v>
      </c>
      <c r="AM28">
        <f>AM27+AK28</f>
        <v>66.5</v>
      </c>
      <c r="AN28" s="134">
        <f t="shared" si="2"/>
        <v>1.0151509369156203E-2</v>
      </c>
      <c r="AO28" s="134">
        <v>1.2500000000000001E-2</v>
      </c>
      <c r="AP28" s="134">
        <v>1.9E-2</v>
      </c>
      <c r="AZ28" s="69">
        <v>2021</v>
      </c>
      <c r="BA28" s="70" t="s">
        <v>8</v>
      </c>
      <c r="BB28" s="70">
        <v>0</v>
      </c>
      <c r="BC28" s="70">
        <v>0</v>
      </c>
      <c r="BD28" s="70">
        <v>1</v>
      </c>
      <c r="BE28" s="70">
        <f>SUM(BB28:BD28)</f>
        <v>1</v>
      </c>
      <c r="BF28" s="78">
        <v>2984.25</v>
      </c>
      <c r="BG28" s="7">
        <f t="shared" si="16"/>
        <v>0</v>
      </c>
      <c r="BH28" s="28">
        <f t="shared" si="17"/>
        <v>48621.75</v>
      </c>
      <c r="BI28" s="29">
        <f t="shared" si="18"/>
        <v>0</v>
      </c>
      <c r="BJ28" s="7">
        <v>2</v>
      </c>
      <c r="BL28" s="7">
        <v>2022</v>
      </c>
      <c r="BM28" s="7" t="s">
        <v>8</v>
      </c>
      <c r="BO28" s="102">
        <v>3</v>
      </c>
      <c r="BR28" s="1"/>
      <c r="BU28" s="7"/>
      <c r="BW28" s="7"/>
    </row>
    <row r="29" spans="1:75" x14ac:dyDescent="0.25">
      <c r="A29" s="7">
        <v>2025</v>
      </c>
      <c r="B29" s="13">
        <v>45831</v>
      </c>
      <c r="C29" s="117"/>
      <c r="D29" s="7">
        <v>26</v>
      </c>
      <c r="F29" s="33">
        <v>0.87</v>
      </c>
      <c r="G29" s="33">
        <v>1.02</v>
      </c>
      <c r="H29" s="33">
        <v>1.03</v>
      </c>
      <c r="I29" s="33">
        <v>1.03</v>
      </c>
      <c r="J29" s="34">
        <v>1</v>
      </c>
      <c r="L29" s="8">
        <f>AVERAGE(J26:J29)</f>
        <v>1.05</v>
      </c>
      <c r="M29" s="8">
        <f t="shared" si="15"/>
        <v>1.10375</v>
      </c>
      <c r="N29" s="9">
        <v>0.83</v>
      </c>
      <c r="O29" s="9">
        <v>0.88</v>
      </c>
      <c r="Q29" s="1"/>
      <c r="R29" s="1"/>
      <c r="S29" s="1"/>
      <c r="T29" s="1"/>
      <c r="U29" s="4"/>
      <c r="AA29" s="2">
        <v>548</v>
      </c>
      <c r="AB29" s="140">
        <v>229.25</v>
      </c>
      <c r="AC29">
        <f t="shared" si="6"/>
        <v>777.25</v>
      </c>
      <c r="AD29" s="1">
        <f t="shared" si="0"/>
        <v>0.29495014474107428</v>
      </c>
      <c r="AF29">
        <f t="shared" si="19"/>
        <v>7098.75</v>
      </c>
      <c r="AG29">
        <f t="shared" si="19"/>
        <v>9409</v>
      </c>
      <c r="AH29">
        <f t="shared" si="19"/>
        <v>16507.75</v>
      </c>
      <c r="AI29" s="1">
        <f t="shared" si="1"/>
        <v>0.56997470884887402</v>
      </c>
      <c r="AK29" s="110">
        <f>'QC Data 2026'!N29</f>
        <v>0</v>
      </c>
      <c r="AL29" s="134">
        <f t="shared" si="7"/>
        <v>0</v>
      </c>
      <c r="AM29">
        <f>AM28+AK29</f>
        <v>66.5</v>
      </c>
      <c r="AN29" s="134">
        <f t="shared" si="2"/>
        <v>9.3678464518401131E-3</v>
      </c>
      <c r="AO29" s="134">
        <v>1.2500000000000001E-2</v>
      </c>
      <c r="AP29" s="134">
        <v>1.9E-2</v>
      </c>
      <c r="AZ29" s="72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>SUM(BB29:BD29)</f>
        <v>0</v>
      </c>
      <c r="BF29" s="79">
        <v>3347.5</v>
      </c>
      <c r="BG29" s="7">
        <f t="shared" si="16"/>
        <v>0</v>
      </c>
      <c r="BH29" s="28">
        <f t="shared" si="17"/>
        <v>48313</v>
      </c>
      <c r="BI29" s="29">
        <f t="shared" si="18"/>
        <v>0</v>
      </c>
      <c r="BJ29" s="7">
        <v>2</v>
      </c>
      <c r="BL29" s="7">
        <v>2022</v>
      </c>
      <c r="BM29" s="7" t="s">
        <v>9</v>
      </c>
      <c r="BR29" s="1"/>
      <c r="BU29" s="7"/>
      <c r="BW29" s="7"/>
    </row>
    <row r="30" spans="1:75" x14ac:dyDescent="0.25">
      <c r="A30" s="7">
        <v>2025</v>
      </c>
      <c r="B30" s="13">
        <v>45838</v>
      </c>
      <c r="C30" s="115"/>
      <c r="D30" s="7">
        <v>27</v>
      </c>
      <c r="F30" s="33">
        <v>1.36</v>
      </c>
      <c r="G30" s="33">
        <v>0.99</v>
      </c>
      <c r="H30" s="33">
        <v>0.9</v>
      </c>
      <c r="I30" s="33">
        <v>1</v>
      </c>
      <c r="J30" s="34">
        <v>0.94</v>
      </c>
      <c r="L30" s="8">
        <f>AVERAGE(J27:J30)</f>
        <v>0.97499999999999998</v>
      </c>
      <c r="M30" s="8">
        <f t="shared" si="15"/>
        <v>1.0925</v>
      </c>
      <c r="N30" s="9">
        <v>0.83</v>
      </c>
      <c r="O30" s="9">
        <v>0.88</v>
      </c>
      <c r="Q30" s="1"/>
      <c r="R30" s="1"/>
      <c r="S30" s="1"/>
      <c r="T30" s="1"/>
      <c r="U30" s="4"/>
      <c r="AA30" s="140">
        <v>473.75</v>
      </c>
      <c r="AB30" s="2">
        <v>232</v>
      </c>
      <c r="AC30">
        <f t="shared" si="6"/>
        <v>705.75</v>
      </c>
      <c r="AD30" s="1">
        <f t="shared" si="0"/>
        <v>0.32872830322352109</v>
      </c>
      <c r="AF30">
        <f t="shared" si="19"/>
        <v>7572.5</v>
      </c>
      <c r="AG30">
        <f t="shared" si="19"/>
        <v>9641</v>
      </c>
      <c r="AH30">
        <f t="shared" si="19"/>
        <v>17213.5</v>
      </c>
      <c r="AI30" s="1">
        <f t="shared" si="1"/>
        <v>0.56008365527057247</v>
      </c>
      <c r="AK30" s="110">
        <f>'QC Data 2026'!N30</f>
        <v>0</v>
      </c>
      <c r="AL30" s="134">
        <f t="shared" si="7"/>
        <v>0</v>
      </c>
      <c r="AM30">
        <f>AM29+AK30</f>
        <v>66.5</v>
      </c>
      <c r="AN30" s="134">
        <f t="shared" si="2"/>
        <v>8.7817761637504124E-3</v>
      </c>
      <c r="AO30" s="134">
        <v>1.2500000000000001E-2</v>
      </c>
      <c r="AP30" s="134">
        <v>1.9E-2</v>
      </c>
      <c r="AZ30" s="72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ref="BE30:BE51" si="20">SUM(BB30:BD30)</f>
        <v>3</v>
      </c>
      <c r="BF30" s="79">
        <v>3695.25</v>
      </c>
      <c r="BG30" s="7">
        <f t="shared" si="16"/>
        <v>0</v>
      </c>
      <c r="BH30" s="28">
        <f t="shared" si="17"/>
        <v>47764.5</v>
      </c>
      <c r="BI30" s="29">
        <f t="shared" si="18"/>
        <v>0</v>
      </c>
      <c r="BJ30" s="7">
        <v>2</v>
      </c>
      <c r="BL30" s="7">
        <v>2022</v>
      </c>
      <c r="BM30" s="7" t="s">
        <v>10</v>
      </c>
      <c r="BR30" s="1"/>
      <c r="BU30" s="7"/>
      <c r="BW30" s="7"/>
    </row>
    <row r="31" spans="1:75" x14ac:dyDescent="0.25">
      <c r="A31" s="7">
        <v>2025</v>
      </c>
      <c r="B31" s="13">
        <v>45845</v>
      </c>
      <c r="C31" s="116"/>
      <c r="D31" s="7">
        <v>28</v>
      </c>
      <c r="F31" s="33">
        <v>0.91</v>
      </c>
      <c r="G31" s="33">
        <v>1.01</v>
      </c>
      <c r="H31" s="33">
        <v>0.98</v>
      </c>
      <c r="I31" s="33">
        <v>1</v>
      </c>
      <c r="J31" s="34">
        <v>0.99</v>
      </c>
      <c r="L31" s="8">
        <f>AVERAGE(J28:J31)</f>
        <v>0.99249999999999994</v>
      </c>
      <c r="M31" s="8">
        <f t="shared" si="15"/>
        <v>1.0725</v>
      </c>
      <c r="N31" s="9">
        <v>0.83</v>
      </c>
      <c r="O31" s="9">
        <v>0.88</v>
      </c>
      <c r="Q31" s="1"/>
      <c r="R31" s="1"/>
      <c r="S31" s="1"/>
      <c r="T31" s="1"/>
      <c r="U31" s="4"/>
      <c r="AA31" s="2">
        <v>590</v>
      </c>
      <c r="AB31" s="140">
        <v>314.75</v>
      </c>
      <c r="AC31">
        <f t="shared" si="6"/>
        <v>904.75</v>
      </c>
      <c r="AD31" s="1">
        <f t="shared" si="0"/>
        <v>0.34788615639679471</v>
      </c>
      <c r="AF31">
        <f t="shared" si="19"/>
        <v>8162.5</v>
      </c>
      <c r="AG31">
        <f t="shared" si="19"/>
        <v>9955.75</v>
      </c>
      <c r="AH31">
        <f t="shared" si="19"/>
        <v>18118.25</v>
      </c>
      <c r="AI31" s="1">
        <f t="shared" si="1"/>
        <v>0.54948739530583801</v>
      </c>
      <c r="AK31" s="110">
        <f>'QC Data 2026'!N31</f>
        <v>0</v>
      </c>
      <c r="AL31" s="134">
        <f t="shared" si="7"/>
        <v>0</v>
      </c>
      <c r="AM31">
        <f t="shared" ref="AM31:AM55" si="21">AM30+AK31</f>
        <v>66.5</v>
      </c>
      <c r="AN31" s="134">
        <f t="shared" si="2"/>
        <v>8.1470137825421125E-3</v>
      </c>
      <c r="AO31" s="134">
        <v>1.2500000000000001E-2</v>
      </c>
      <c r="AP31" s="134">
        <v>1.9E-2</v>
      </c>
      <c r="AZ31" s="72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0"/>
        <v>1</v>
      </c>
      <c r="BF31" s="79">
        <v>2841.5</v>
      </c>
      <c r="BG31" s="7">
        <f t="shared" si="16"/>
        <v>0</v>
      </c>
      <c r="BH31" s="28">
        <f t="shared" si="17"/>
        <v>45893.5</v>
      </c>
      <c r="BI31" s="29">
        <f t="shared" si="18"/>
        <v>0</v>
      </c>
      <c r="BJ31" s="7">
        <v>2</v>
      </c>
      <c r="BL31" s="7">
        <v>2022</v>
      </c>
      <c r="BM31" s="7" t="s">
        <v>11</v>
      </c>
      <c r="BR31" s="1"/>
      <c r="BU31" s="7"/>
      <c r="BW31" s="7"/>
    </row>
    <row r="32" spans="1:75" x14ac:dyDescent="0.25">
      <c r="A32" s="7">
        <v>2025</v>
      </c>
      <c r="B32" s="13">
        <v>45852</v>
      </c>
      <c r="C32" s="116" t="s">
        <v>14</v>
      </c>
      <c r="D32" s="7">
        <v>29</v>
      </c>
      <c r="F32" s="33">
        <v>0.85</v>
      </c>
      <c r="G32" s="33">
        <v>0.81</v>
      </c>
      <c r="H32" s="33">
        <v>0.9</v>
      </c>
      <c r="I32" s="33">
        <v>1</v>
      </c>
      <c r="J32" s="34">
        <v>0.85</v>
      </c>
      <c r="L32" s="8">
        <f>AVERAGE(J29:J32)</f>
        <v>0.94499999999999995</v>
      </c>
      <c r="M32" s="8">
        <f t="shared" si="15"/>
        <v>1.0287500000000001</v>
      </c>
      <c r="N32" s="9">
        <v>0.83</v>
      </c>
      <c r="O32" s="9">
        <v>0.88</v>
      </c>
      <c r="Q32" s="1"/>
      <c r="R32" s="1"/>
      <c r="S32" s="1"/>
      <c r="T32" s="1"/>
      <c r="U32" s="4"/>
      <c r="AA32" s="110">
        <v>614.5</v>
      </c>
      <c r="AB32" s="2">
        <v>342</v>
      </c>
      <c r="AC32">
        <f t="shared" si="6"/>
        <v>956.5</v>
      </c>
      <c r="AD32" s="1">
        <f t="shared" si="0"/>
        <v>0.35755358076319915</v>
      </c>
      <c r="AF32">
        <f t="shared" si="19"/>
        <v>8777</v>
      </c>
      <c r="AG32">
        <f t="shared" si="19"/>
        <v>10297.75</v>
      </c>
      <c r="AH32">
        <f t="shared" si="19"/>
        <v>19074.75</v>
      </c>
      <c r="AI32" s="1">
        <f t="shared" si="1"/>
        <v>0.53986290777074408</v>
      </c>
      <c r="AK32" s="110">
        <f>'QC Data 2026'!N32</f>
        <v>0</v>
      </c>
      <c r="AL32" s="134">
        <f t="shared" si="7"/>
        <v>0</v>
      </c>
      <c r="AM32">
        <f t="shared" si="21"/>
        <v>66.5</v>
      </c>
      <c r="AN32" s="134">
        <f t="shared" si="2"/>
        <v>7.5766207132277547E-3</v>
      </c>
      <c r="AO32" s="134">
        <v>1.2500000000000001E-2</v>
      </c>
      <c r="AP32" s="134">
        <v>1.9E-2</v>
      </c>
      <c r="AZ32" s="72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0"/>
        <v>0</v>
      </c>
      <c r="BF32" s="79">
        <v>2637.75</v>
      </c>
      <c r="BG32" s="7">
        <f t="shared" si="16"/>
        <v>0</v>
      </c>
      <c r="BH32" s="28">
        <f t="shared" si="17"/>
        <v>44314.25</v>
      </c>
      <c r="BI32" s="29">
        <f t="shared" si="18"/>
        <v>0</v>
      </c>
      <c r="BJ32" s="7">
        <v>2</v>
      </c>
      <c r="BL32" s="7">
        <v>2022</v>
      </c>
      <c r="BM32" s="7" t="s">
        <v>12</v>
      </c>
      <c r="BR32" s="1"/>
      <c r="BU32" s="7"/>
      <c r="BW32" s="7"/>
    </row>
    <row r="33" spans="1:75" x14ac:dyDescent="0.25">
      <c r="A33" s="7">
        <v>2025</v>
      </c>
      <c r="B33" s="13">
        <v>45859</v>
      </c>
      <c r="C33" s="116"/>
      <c r="D33" s="7">
        <v>30</v>
      </c>
      <c r="F33" s="5">
        <v>0.72</v>
      </c>
      <c r="G33" s="5">
        <v>0.85</v>
      </c>
      <c r="H33" s="5">
        <v>0.9</v>
      </c>
      <c r="I33" s="5">
        <v>1</v>
      </c>
      <c r="J33" s="6">
        <v>0.85</v>
      </c>
      <c r="L33" s="8">
        <f t="shared" ref="L33:L56" si="22">AVERAGE(J30:J33)</f>
        <v>0.90749999999999997</v>
      </c>
      <c r="M33" s="8">
        <f t="shared" si="15"/>
        <v>0.97875000000000001</v>
      </c>
      <c r="N33" s="9">
        <v>0.83</v>
      </c>
      <c r="O33" s="9">
        <v>0.88</v>
      </c>
      <c r="Q33" s="1"/>
      <c r="R33" s="1"/>
      <c r="S33" s="1"/>
      <c r="T33" s="1"/>
      <c r="U33" s="4"/>
      <c r="AA33" s="2">
        <v>627</v>
      </c>
      <c r="AB33" s="110">
        <v>275.5</v>
      </c>
      <c r="AC33">
        <f t="shared" si="6"/>
        <v>902.5</v>
      </c>
      <c r="AD33" s="1">
        <f t="shared" si="0"/>
        <v>0.30526315789473685</v>
      </c>
      <c r="AF33">
        <f t="shared" ref="AF33:AG48" si="23">AF32+AA47</f>
        <v>9604.25</v>
      </c>
      <c r="AG33">
        <f t="shared" si="23"/>
        <v>10573</v>
      </c>
      <c r="AH33">
        <f t="shared" si="19"/>
        <v>19977.25</v>
      </c>
      <c r="AI33" s="1">
        <f t="shared" si="1"/>
        <v>0.52925202417750195</v>
      </c>
      <c r="AK33" s="110">
        <f>'QC Data 2026'!N33</f>
        <v>0</v>
      </c>
      <c r="AL33" s="134">
        <f t="shared" si="7"/>
        <v>0</v>
      </c>
      <c r="AM33">
        <f t="shared" si="21"/>
        <v>66.5</v>
      </c>
      <c r="AN33" s="134">
        <f t="shared" si="2"/>
        <v>6.9240180128588907E-3</v>
      </c>
      <c r="AO33" s="134">
        <v>1.2500000000000001E-2</v>
      </c>
      <c r="AP33" s="134">
        <v>1.9E-2</v>
      </c>
      <c r="AZ33" s="72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0"/>
        <v>2</v>
      </c>
      <c r="BF33" s="79">
        <v>4042.75</v>
      </c>
      <c r="BG33" s="7">
        <f t="shared" si="16"/>
        <v>0</v>
      </c>
      <c r="BH33" s="28">
        <f t="shared" si="17"/>
        <v>44204</v>
      </c>
      <c r="BI33" s="29">
        <f t="shared" si="18"/>
        <v>0</v>
      </c>
      <c r="BJ33" s="7">
        <v>2</v>
      </c>
      <c r="BL33" s="7">
        <v>2022</v>
      </c>
      <c r="BM33" s="7" t="s">
        <v>13</v>
      </c>
      <c r="BR33" s="1"/>
      <c r="BU33" s="7"/>
      <c r="BW33" s="7"/>
    </row>
    <row r="34" spans="1:75" x14ac:dyDescent="0.25">
      <c r="A34" s="7">
        <v>2025</v>
      </c>
      <c r="B34" s="13">
        <v>45866</v>
      </c>
      <c r="C34" s="117"/>
      <c r="D34" s="7">
        <v>31</v>
      </c>
      <c r="F34" s="5">
        <v>0.78</v>
      </c>
      <c r="G34" s="5">
        <v>1.1299999999999999</v>
      </c>
      <c r="H34" s="5">
        <v>1.08</v>
      </c>
      <c r="I34" s="5">
        <v>1</v>
      </c>
      <c r="J34" s="6">
        <v>1.04</v>
      </c>
      <c r="L34" s="8">
        <f t="shared" si="22"/>
        <v>0.9325</v>
      </c>
      <c r="M34" s="8">
        <f t="shared" si="15"/>
        <v>0.95374999999999988</v>
      </c>
      <c r="N34" s="9">
        <v>0.83</v>
      </c>
      <c r="O34" s="9">
        <v>0.88</v>
      </c>
      <c r="Q34" s="1"/>
      <c r="R34" s="1"/>
      <c r="S34" s="1"/>
      <c r="T34" s="1"/>
      <c r="U34" s="4"/>
      <c r="AA34" s="2">
        <v>603</v>
      </c>
      <c r="AB34" s="140">
        <v>226.75</v>
      </c>
      <c r="AC34">
        <f t="shared" si="6"/>
        <v>829.75</v>
      </c>
      <c r="AD34" s="1">
        <f t="shared" si="0"/>
        <v>0.27327508285628199</v>
      </c>
      <c r="AF34">
        <f t="shared" si="23"/>
        <v>10337.5</v>
      </c>
      <c r="AG34">
        <f t="shared" si="23"/>
        <v>10903.5</v>
      </c>
      <c r="AH34">
        <f t="shared" si="19"/>
        <v>20807</v>
      </c>
      <c r="AI34" s="1">
        <f t="shared" si="1"/>
        <v>0.52403037439323308</v>
      </c>
      <c r="AK34" s="110">
        <f>'QC Data 2026'!N34</f>
        <v>0</v>
      </c>
      <c r="AL34" s="134">
        <f t="shared" si="7"/>
        <v>0</v>
      </c>
      <c r="AM34">
        <f t="shared" si="21"/>
        <v>66.5</v>
      </c>
      <c r="AN34" s="134">
        <f t="shared" si="2"/>
        <v>6.432889963724305E-3</v>
      </c>
      <c r="AO34" s="134">
        <v>1.2500000000000001E-2</v>
      </c>
      <c r="AP34" s="134">
        <v>1.9E-2</v>
      </c>
      <c r="AZ34" s="72">
        <v>2021</v>
      </c>
      <c r="BA34" s="7" t="s">
        <v>14</v>
      </c>
      <c r="BB34" s="7">
        <v>0</v>
      </c>
      <c r="BC34" s="7">
        <v>1</v>
      </c>
      <c r="BD34" s="7">
        <v>0</v>
      </c>
      <c r="BE34" s="7">
        <f t="shared" si="20"/>
        <v>1</v>
      </c>
      <c r="BF34" s="79">
        <v>3331</v>
      </c>
      <c r="BG34" s="7">
        <f t="shared" ref="BG34:BG51" si="24">SUM(BB23:BB34)</f>
        <v>0</v>
      </c>
      <c r="BH34" s="28">
        <f t="shared" si="17"/>
        <v>43775.25</v>
      </c>
      <c r="BI34" s="29">
        <f t="shared" si="18"/>
        <v>0</v>
      </c>
      <c r="BJ34" s="7">
        <v>2</v>
      </c>
      <c r="BL34" s="7">
        <v>2022</v>
      </c>
      <c r="BM34" s="7" t="s">
        <v>14</v>
      </c>
      <c r="BR34" s="1"/>
      <c r="BU34" s="7"/>
      <c r="BW34" s="7"/>
    </row>
    <row r="35" spans="1:75" x14ac:dyDescent="0.25">
      <c r="A35" s="7">
        <v>2025</v>
      </c>
      <c r="B35" s="13">
        <v>45873</v>
      </c>
      <c r="C35" s="115"/>
      <c r="D35" s="7">
        <v>32</v>
      </c>
      <c r="F35" s="5">
        <v>0.9</v>
      </c>
      <c r="G35" s="5">
        <v>0.81</v>
      </c>
      <c r="H35" s="5">
        <v>1.17</v>
      </c>
      <c r="I35" s="5">
        <v>0.33</v>
      </c>
      <c r="J35" s="6">
        <v>0.97</v>
      </c>
      <c r="L35" s="8">
        <f t="shared" si="22"/>
        <v>0.92749999999999999</v>
      </c>
      <c r="M35" s="8">
        <f t="shared" si="15"/>
        <v>0.95999999999999985</v>
      </c>
      <c r="N35" s="9">
        <v>0.83</v>
      </c>
      <c r="O35" s="9">
        <v>0.88</v>
      </c>
      <c r="Q35" s="1"/>
      <c r="R35" s="1"/>
      <c r="S35" s="1"/>
      <c r="T35" s="1"/>
      <c r="U35" s="4"/>
      <c r="AA35" s="2">
        <v>639</v>
      </c>
      <c r="AB35" s="110">
        <v>214.5</v>
      </c>
      <c r="AC35">
        <f t="shared" si="6"/>
        <v>853.5</v>
      </c>
      <c r="AD35" s="1">
        <f t="shared" si="0"/>
        <v>0.25131810193321619</v>
      </c>
      <c r="AF35">
        <f t="shared" si="23"/>
        <v>11162.75</v>
      </c>
      <c r="AG35">
        <f t="shared" si="23"/>
        <v>11239</v>
      </c>
      <c r="AH35">
        <f t="shared" si="19"/>
        <v>21660.5</v>
      </c>
      <c r="AI35" s="1">
        <f t="shared" si="1"/>
        <v>0.51887075552272566</v>
      </c>
      <c r="AK35" s="110">
        <f>'QC Data 2026'!N35</f>
        <v>0</v>
      </c>
      <c r="AL35" s="134">
        <f t="shared" si="7"/>
        <v>0</v>
      </c>
      <c r="AM35">
        <f t="shared" si="21"/>
        <v>66.5</v>
      </c>
      <c r="AN35" s="134">
        <f t="shared" si="2"/>
        <v>5.9573133860383867E-3</v>
      </c>
      <c r="AO35" s="134">
        <v>1.2500000000000001E-2</v>
      </c>
      <c r="AP35" s="134">
        <v>1.9E-2</v>
      </c>
      <c r="AZ35" s="72">
        <v>2021</v>
      </c>
      <c r="BA35" s="7" t="s">
        <v>15</v>
      </c>
      <c r="BB35" s="7">
        <v>0</v>
      </c>
      <c r="BC35" s="108">
        <v>1</v>
      </c>
      <c r="BD35" s="108">
        <v>0</v>
      </c>
      <c r="BE35" s="7">
        <f t="shared" si="20"/>
        <v>1</v>
      </c>
      <c r="BF35" s="79">
        <v>3369</v>
      </c>
      <c r="BG35" s="7">
        <f t="shared" si="24"/>
        <v>0</v>
      </c>
      <c r="BH35" s="28">
        <f t="shared" si="17"/>
        <v>42858.25</v>
      </c>
      <c r="BI35" s="29">
        <f t="shared" si="18"/>
        <v>0</v>
      </c>
      <c r="BJ35" s="7">
        <v>2</v>
      </c>
      <c r="BL35" s="7">
        <v>2022</v>
      </c>
      <c r="BM35" s="7" t="s">
        <v>15</v>
      </c>
      <c r="BR35" s="1"/>
      <c r="BU35" t="s">
        <v>155</v>
      </c>
      <c r="BV35" t="s">
        <v>156</v>
      </c>
      <c r="BW35" s="7"/>
    </row>
    <row r="36" spans="1:75" x14ac:dyDescent="0.25">
      <c r="A36" s="7">
        <v>2025</v>
      </c>
      <c r="B36" s="13">
        <v>45880</v>
      </c>
      <c r="C36" s="116" t="s">
        <v>15</v>
      </c>
      <c r="D36" s="7">
        <v>33</v>
      </c>
      <c r="F36" s="5">
        <v>0.77</v>
      </c>
      <c r="G36" s="5">
        <v>0.87</v>
      </c>
      <c r="H36" s="5">
        <v>1.1499999999999999</v>
      </c>
      <c r="I36" s="5">
        <v>0.5</v>
      </c>
      <c r="J36" s="6">
        <v>0.99</v>
      </c>
      <c r="L36" s="8">
        <f>AVERAGE(J33:J38)</f>
        <v>0.96499999999999997</v>
      </c>
      <c r="M36" s="8">
        <f>AVERAGE(J29:J38)</f>
        <v>0.95700000000000007</v>
      </c>
      <c r="N36" s="9">
        <v>0.83</v>
      </c>
      <c r="O36" s="9">
        <v>0.88</v>
      </c>
      <c r="Q36" s="1"/>
      <c r="R36" s="1"/>
      <c r="S36" s="1"/>
      <c r="T36" s="1"/>
      <c r="U36" s="4"/>
      <c r="AA36" s="2">
        <v>662.75</v>
      </c>
      <c r="AB36" s="110">
        <v>259.5</v>
      </c>
      <c r="AC36">
        <f t="shared" si="6"/>
        <v>922.25</v>
      </c>
      <c r="AD36" s="1">
        <f t="shared" si="0"/>
        <v>0.2813770669558146</v>
      </c>
      <c r="AF36">
        <f t="shared" si="23"/>
        <v>11858.75</v>
      </c>
      <c r="AG36">
        <f t="shared" si="23"/>
        <v>11587.5</v>
      </c>
      <c r="AH36">
        <f t="shared" si="19"/>
        <v>22582.75</v>
      </c>
      <c r="AI36" s="1">
        <f t="shared" si="1"/>
        <v>0.51311288483466366</v>
      </c>
      <c r="AK36" s="110">
        <f>'QC Data 2026'!N36</f>
        <v>0</v>
      </c>
      <c r="AL36" s="134">
        <f t="shared" si="7"/>
        <v>0</v>
      </c>
      <c r="AM36">
        <f t="shared" si="21"/>
        <v>66.5</v>
      </c>
      <c r="AN36" s="134">
        <f t="shared" si="2"/>
        <v>5.6076736586908402E-3</v>
      </c>
      <c r="AO36" s="134">
        <v>1.2500000000000001E-2</v>
      </c>
      <c r="AP36" s="134">
        <v>1.9E-2</v>
      </c>
      <c r="AZ36" s="72">
        <v>2021</v>
      </c>
      <c r="BA36" s="7" t="s">
        <v>16</v>
      </c>
      <c r="BB36" s="7">
        <v>0</v>
      </c>
      <c r="BC36" s="108">
        <v>1</v>
      </c>
      <c r="BD36" s="108">
        <v>0</v>
      </c>
      <c r="BE36" s="7">
        <f t="shared" si="20"/>
        <v>1</v>
      </c>
      <c r="BF36" s="79">
        <v>3255</v>
      </c>
      <c r="BG36" s="7">
        <f t="shared" si="24"/>
        <v>0</v>
      </c>
      <c r="BH36" s="28">
        <f t="shared" si="17"/>
        <v>41616.25</v>
      </c>
      <c r="BI36" s="29">
        <f t="shared" si="18"/>
        <v>0</v>
      </c>
      <c r="BJ36" s="7">
        <v>2</v>
      </c>
      <c r="BL36" s="7">
        <v>2022</v>
      </c>
      <c r="BM36" s="7" t="s">
        <v>16</v>
      </c>
      <c r="BR36" s="1"/>
      <c r="BU36" s="7">
        <v>100</v>
      </c>
      <c r="BV36" t="s">
        <v>157</v>
      </c>
      <c r="BW36" s="7"/>
    </row>
    <row r="37" spans="1:75" x14ac:dyDescent="0.25">
      <c r="A37" s="7">
        <v>2025</v>
      </c>
      <c r="B37" s="13">
        <v>45887</v>
      </c>
      <c r="C37" s="116"/>
      <c r="D37" s="7">
        <v>34</v>
      </c>
      <c r="F37" s="5">
        <v>0.7</v>
      </c>
      <c r="G37" s="5">
        <v>1.08</v>
      </c>
      <c r="H37" s="5">
        <v>1.01</v>
      </c>
      <c r="I37" s="5">
        <v>1</v>
      </c>
      <c r="J37" s="6">
        <v>0.98</v>
      </c>
      <c r="L37" s="8">
        <f t="shared" si="22"/>
        <v>0.995</v>
      </c>
      <c r="M37" s="8">
        <f t="shared" si="15"/>
        <v>0.95124999999999993</v>
      </c>
      <c r="N37" s="9">
        <v>0.83</v>
      </c>
      <c r="O37" s="9">
        <v>0.88</v>
      </c>
      <c r="Q37" s="1"/>
      <c r="R37" s="1"/>
      <c r="S37" s="1"/>
      <c r="T37" s="1"/>
      <c r="U37" s="4"/>
      <c r="AA37" s="110">
        <v>624.5</v>
      </c>
      <c r="AB37" s="110">
        <v>226.5</v>
      </c>
      <c r="AC37" s="2">
        <f t="shared" si="6"/>
        <v>851</v>
      </c>
      <c r="AD37" s="1">
        <f t="shared" si="0"/>
        <v>0.26615746180963573</v>
      </c>
      <c r="AF37">
        <f t="shared" si="23"/>
        <v>12214.5</v>
      </c>
      <c r="AG37">
        <f t="shared" si="23"/>
        <v>11723.75</v>
      </c>
      <c r="AH37">
        <f t="shared" si="19"/>
        <v>23433.75</v>
      </c>
      <c r="AI37" s="1">
        <f t="shared" si="1"/>
        <v>0.50029338027417725</v>
      </c>
      <c r="AK37" s="110">
        <f>'QC Data 2026'!N37</f>
        <v>0</v>
      </c>
      <c r="AL37" s="134">
        <f t="shared" si="7"/>
        <v>0</v>
      </c>
      <c r="AM37">
        <f t="shared" si="21"/>
        <v>66.5</v>
      </c>
      <c r="AN37" s="134">
        <f t="shared" si="2"/>
        <v>5.4443489295509439E-3</v>
      </c>
      <c r="AO37" s="134">
        <v>1.2500000000000001E-2</v>
      </c>
      <c r="AP37" s="134">
        <v>1.9E-2</v>
      </c>
      <c r="AZ37" s="72">
        <v>2021</v>
      </c>
      <c r="BA37" s="7" t="s">
        <v>17</v>
      </c>
      <c r="BB37" s="7">
        <v>0</v>
      </c>
      <c r="BC37" s="114">
        <v>1</v>
      </c>
      <c r="BD37" s="108">
        <v>2</v>
      </c>
      <c r="BE37" s="7">
        <f t="shared" si="20"/>
        <v>3</v>
      </c>
      <c r="BF37" s="79">
        <v>5129</v>
      </c>
      <c r="BG37" s="7">
        <f t="shared" si="24"/>
        <v>0</v>
      </c>
      <c r="BH37" s="28">
        <f t="shared" si="17"/>
        <v>42283.5</v>
      </c>
      <c r="BI37" s="29">
        <f t="shared" si="18"/>
        <v>0</v>
      </c>
      <c r="BJ37" s="7">
        <v>2</v>
      </c>
      <c r="BL37" s="7">
        <v>2022</v>
      </c>
      <c r="BM37" s="7" t="s">
        <v>17</v>
      </c>
      <c r="BR37" s="1"/>
      <c r="BU37" s="7">
        <v>105</v>
      </c>
      <c r="BV37" t="s">
        <v>158</v>
      </c>
      <c r="BW37" s="7"/>
    </row>
    <row r="38" spans="1:75" x14ac:dyDescent="0.25">
      <c r="A38" s="7">
        <v>2025</v>
      </c>
      <c r="B38" s="13">
        <v>45894</v>
      </c>
      <c r="C38" s="117"/>
      <c r="D38" s="7">
        <v>35</v>
      </c>
      <c r="F38" s="5">
        <v>0.91</v>
      </c>
      <c r="G38" s="5">
        <v>0.86</v>
      </c>
      <c r="H38" s="5">
        <v>1.1100000000000001</v>
      </c>
      <c r="I38" s="5">
        <v>0.75</v>
      </c>
      <c r="J38" s="6">
        <v>0.96</v>
      </c>
      <c r="L38" s="8">
        <f>AVERAGE(J35:J38)</f>
        <v>0.97499999999999998</v>
      </c>
      <c r="M38" s="8">
        <f>AVERAGE(J31:J38)</f>
        <v>0.95374999999999999</v>
      </c>
      <c r="N38" s="9">
        <v>0.83</v>
      </c>
      <c r="O38" s="9">
        <v>0.88</v>
      </c>
      <c r="Q38" s="1"/>
      <c r="R38" s="1"/>
      <c r="S38" s="1"/>
      <c r="T38" s="1"/>
      <c r="U38" s="4"/>
      <c r="AA38" s="140">
        <v>534.75</v>
      </c>
      <c r="AB38" s="140">
        <v>212.25</v>
      </c>
      <c r="AC38">
        <f t="shared" si="6"/>
        <v>747</v>
      </c>
      <c r="AD38" s="1">
        <f t="shared" si="0"/>
        <v>0.28413654618473894</v>
      </c>
      <c r="AF38">
        <f t="shared" si="23"/>
        <v>12895.5</v>
      </c>
      <c r="AG38">
        <f t="shared" si="23"/>
        <v>12030</v>
      </c>
      <c r="AH38">
        <f t="shared" ref="AH38:AH56" si="25">AH37+AC38</f>
        <v>24180.75</v>
      </c>
      <c r="AI38" s="1">
        <f t="shared" si="1"/>
        <v>0.49750317918178716</v>
      </c>
      <c r="AK38" s="110">
        <f>'QC Data 2026'!N38</f>
        <v>0</v>
      </c>
      <c r="AL38" s="134">
        <f t="shared" si="7"/>
        <v>0</v>
      </c>
      <c r="AM38">
        <f t="shared" si="21"/>
        <v>66.5</v>
      </c>
      <c r="AN38" s="134">
        <f t="shared" si="2"/>
        <v>5.1568376565468577E-3</v>
      </c>
      <c r="AO38" s="134">
        <v>1.2500000000000001E-2</v>
      </c>
      <c r="AP38" s="134">
        <v>1.9E-2</v>
      </c>
      <c r="AZ38" s="72">
        <v>2021</v>
      </c>
      <c r="BA38" s="7" t="s">
        <v>18</v>
      </c>
      <c r="BB38" s="7">
        <v>0</v>
      </c>
      <c r="BC38" s="108">
        <v>1</v>
      </c>
      <c r="BD38" s="108">
        <v>2</v>
      </c>
      <c r="BE38" s="7">
        <f t="shared" si="20"/>
        <v>3</v>
      </c>
      <c r="BF38" s="79">
        <v>5102</v>
      </c>
      <c r="BG38" s="7">
        <f t="shared" si="24"/>
        <v>0</v>
      </c>
      <c r="BH38" s="28">
        <f t="shared" si="17"/>
        <v>43583.25</v>
      </c>
      <c r="BI38" s="29">
        <f t="shared" si="18"/>
        <v>0</v>
      </c>
      <c r="BJ38" s="7">
        <v>2</v>
      </c>
      <c r="BL38" s="7">
        <v>2022</v>
      </c>
      <c r="BM38" s="7" t="s">
        <v>18</v>
      </c>
      <c r="BR38" s="1"/>
      <c r="BU38" s="7">
        <v>107</v>
      </c>
      <c r="BV38" t="s">
        <v>159</v>
      </c>
      <c r="BW38" s="7"/>
    </row>
    <row r="39" spans="1:75" x14ac:dyDescent="0.25">
      <c r="A39" s="7">
        <v>2025</v>
      </c>
      <c r="B39" s="13">
        <v>45901</v>
      </c>
      <c r="C39" s="115"/>
      <c r="D39" s="7">
        <v>36</v>
      </c>
      <c r="F39" s="5">
        <v>0.96</v>
      </c>
      <c r="G39" s="5">
        <v>0.84</v>
      </c>
      <c r="H39" s="5">
        <v>1.1499999999999999</v>
      </c>
      <c r="I39" s="5">
        <v>0.77</v>
      </c>
      <c r="J39" s="6">
        <v>0.98</v>
      </c>
      <c r="L39" s="8">
        <f>AVERAGE(J37:J39)</f>
        <v>0.97333333333333327</v>
      </c>
      <c r="M39" s="8">
        <f t="shared" si="15"/>
        <v>0.9524999999999999</v>
      </c>
      <c r="N39" s="9">
        <v>0.83</v>
      </c>
      <c r="O39" s="9">
        <v>0.88</v>
      </c>
      <c r="Q39" s="1"/>
      <c r="R39" s="1"/>
      <c r="S39" s="1"/>
      <c r="T39" s="1"/>
      <c r="U39" s="4"/>
      <c r="AA39" s="140">
        <v>525.25</v>
      </c>
      <c r="AB39" s="110">
        <v>191.5</v>
      </c>
      <c r="AC39">
        <f t="shared" si="6"/>
        <v>716.75</v>
      </c>
      <c r="AD39" s="1">
        <f t="shared" si="0"/>
        <v>0.26717823508894317</v>
      </c>
      <c r="AF39">
        <f t="shared" si="23"/>
        <v>13618.75</v>
      </c>
      <c r="AG39">
        <f t="shared" si="23"/>
        <v>12287.75</v>
      </c>
      <c r="AH39">
        <f t="shared" si="25"/>
        <v>24897.5</v>
      </c>
      <c r="AI39" s="1">
        <f t="shared" si="1"/>
        <v>0.49353348729792146</v>
      </c>
      <c r="AK39" s="110">
        <f>'QC Data 2026'!N39</f>
        <v>0</v>
      </c>
      <c r="AL39" s="134">
        <f t="shared" si="7"/>
        <v>0</v>
      </c>
      <c r="AM39">
        <f t="shared" si="21"/>
        <v>66.5</v>
      </c>
      <c r="AN39" s="134">
        <f t="shared" si="2"/>
        <v>4.8829738412115653E-3</v>
      </c>
      <c r="AO39" s="134">
        <v>1.2500000000000001E-2</v>
      </c>
      <c r="AP39" s="134">
        <v>1.9E-2</v>
      </c>
      <c r="AZ39" s="75">
        <v>2021</v>
      </c>
      <c r="BA39" s="76" t="s">
        <v>19</v>
      </c>
      <c r="BB39" s="76">
        <v>0</v>
      </c>
      <c r="BC39" s="109">
        <v>1</v>
      </c>
      <c r="BD39" s="109">
        <v>0</v>
      </c>
      <c r="BE39" s="76">
        <f t="shared" si="20"/>
        <v>1</v>
      </c>
      <c r="BF39" s="80">
        <v>5019</v>
      </c>
      <c r="BG39" s="7">
        <f t="shared" si="24"/>
        <v>0</v>
      </c>
      <c r="BH39" s="28">
        <f t="shared" si="17"/>
        <v>44754</v>
      </c>
      <c r="BI39" s="29">
        <f t="shared" si="18"/>
        <v>0</v>
      </c>
      <c r="BJ39" s="7">
        <v>2</v>
      </c>
      <c r="BL39" s="7">
        <v>2022</v>
      </c>
      <c r="BM39" s="7" t="s">
        <v>19</v>
      </c>
      <c r="BR39" s="1"/>
      <c r="BU39" s="7">
        <v>110</v>
      </c>
      <c r="BV39" t="s">
        <v>160</v>
      </c>
      <c r="BW39" s="7"/>
    </row>
    <row r="40" spans="1:75" x14ac:dyDescent="0.25">
      <c r="A40" s="7">
        <v>2025</v>
      </c>
      <c r="B40" s="13">
        <v>45908</v>
      </c>
      <c r="C40" s="116" t="s">
        <v>16</v>
      </c>
      <c r="D40" s="7">
        <v>37</v>
      </c>
      <c r="F40" s="5">
        <v>0.9</v>
      </c>
      <c r="G40" s="5">
        <v>0.95</v>
      </c>
      <c r="H40" s="5">
        <v>1.1399999999999999</v>
      </c>
      <c r="I40" s="5">
        <v>1</v>
      </c>
      <c r="J40" s="6">
        <v>1.01</v>
      </c>
      <c r="L40" s="8">
        <f t="shared" si="22"/>
        <v>0.98249999999999993</v>
      </c>
      <c r="M40" s="8">
        <f t="shared" si="15"/>
        <v>0.97249999999999992</v>
      </c>
      <c r="N40" s="9">
        <v>0.83</v>
      </c>
      <c r="O40" s="9">
        <v>0.88</v>
      </c>
      <c r="Q40" s="1"/>
      <c r="R40" s="1"/>
      <c r="S40" s="1"/>
      <c r="T40" s="1"/>
      <c r="U40" s="4"/>
      <c r="AA40" s="140">
        <v>730.25</v>
      </c>
      <c r="AB40" s="110">
        <v>323.5</v>
      </c>
      <c r="AC40">
        <f t="shared" si="6"/>
        <v>1053.75</v>
      </c>
      <c r="AD40" s="1">
        <f t="shared" si="0"/>
        <v>0.30699881376037957</v>
      </c>
      <c r="AF40">
        <f t="shared" si="23"/>
        <v>14157.75</v>
      </c>
      <c r="AG40">
        <f t="shared" si="23"/>
        <v>12535.25</v>
      </c>
      <c r="AH40">
        <f t="shared" si="25"/>
        <v>25951.25</v>
      </c>
      <c r="AI40" s="1">
        <f t="shared" si="1"/>
        <v>0.48303068252974329</v>
      </c>
      <c r="AK40" s="110">
        <f>'QC Data 2026'!N40</f>
        <v>0</v>
      </c>
      <c r="AL40" s="134">
        <f t="shared" si="7"/>
        <v>0</v>
      </c>
      <c r="AM40">
        <f t="shared" si="21"/>
        <v>66.5</v>
      </c>
      <c r="AN40" s="134">
        <f t="shared" si="2"/>
        <v>4.6970740407197469E-3</v>
      </c>
      <c r="AO40" s="134">
        <v>1.2500000000000001E-2</v>
      </c>
      <c r="AP40" s="134">
        <v>1.9E-2</v>
      </c>
      <c r="AZ40" s="69">
        <v>2022</v>
      </c>
      <c r="BA40" s="70" t="s">
        <v>8</v>
      </c>
      <c r="BB40" s="70">
        <v>0</v>
      </c>
      <c r="BC40" s="70">
        <v>1</v>
      </c>
      <c r="BD40" s="70">
        <v>1</v>
      </c>
      <c r="BE40" s="70">
        <f t="shared" si="20"/>
        <v>2</v>
      </c>
      <c r="BF40" s="78">
        <v>4683</v>
      </c>
      <c r="BG40" s="7">
        <f t="shared" si="24"/>
        <v>0</v>
      </c>
      <c r="BH40" s="28">
        <f t="shared" si="17"/>
        <v>46452.75</v>
      </c>
      <c r="BI40" s="29">
        <f t="shared" si="18"/>
        <v>0</v>
      </c>
      <c r="BJ40" s="7">
        <v>2</v>
      </c>
      <c r="BL40" s="7">
        <v>2022</v>
      </c>
      <c r="BM40" s="7" t="s">
        <v>49</v>
      </c>
      <c r="BN40">
        <f>SUM(BN16:BN27)</f>
        <v>15</v>
      </c>
      <c r="BO40" s="102">
        <f>SUM(BO16:BO27)</f>
        <v>11</v>
      </c>
      <c r="BP40">
        <f>BN40+BO40</f>
        <v>26</v>
      </c>
      <c r="BQ40" s="1">
        <f>BN40/BP40</f>
        <v>0.57692307692307687</v>
      </c>
      <c r="BR40" s="1">
        <v>0.95</v>
      </c>
      <c r="BU40" s="7">
        <v>115</v>
      </c>
      <c r="BV40" t="s">
        <v>161</v>
      </c>
      <c r="BW40" s="7"/>
    </row>
    <row r="41" spans="1:75" x14ac:dyDescent="0.25">
      <c r="A41" s="7">
        <v>2025</v>
      </c>
      <c r="B41" s="13">
        <v>45915</v>
      </c>
      <c r="C41" s="118"/>
      <c r="D41" s="7">
        <v>38</v>
      </c>
      <c r="F41" s="5">
        <v>0.63</v>
      </c>
      <c r="G41" s="5">
        <v>0.96</v>
      </c>
      <c r="H41" s="5">
        <v>1.07</v>
      </c>
      <c r="I41" s="5">
        <v>1</v>
      </c>
      <c r="J41" s="6">
        <v>0.96</v>
      </c>
      <c r="L41" s="8">
        <f>AVERAGE(J38:J41)</f>
        <v>0.97750000000000004</v>
      </c>
      <c r="M41" s="8">
        <f>AVERAGE(J34:J41)</f>
        <v>0.98624999999999996</v>
      </c>
      <c r="N41" s="9">
        <v>0.83</v>
      </c>
      <c r="O41" s="9">
        <v>0.88</v>
      </c>
      <c r="Q41" s="1"/>
      <c r="R41" s="1"/>
      <c r="S41" s="1"/>
      <c r="T41" s="1"/>
      <c r="U41" s="4"/>
      <c r="AA41" s="140">
        <v>694.75</v>
      </c>
      <c r="AB41" s="140">
        <v>225.75</v>
      </c>
      <c r="AC41">
        <f t="shared" si="6"/>
        <v>920.5</v>
      </c>
      <c r="AD41" s="1">
        <f t="shared" si="0"/>
        <v>0.24524714828897337</v>
      </c>
      <c r="AF41">
        <f t="shared" si="23"/>
        <v>14302</v>
      </c>
      <c r="AG41">
        <f t="shared" si="23"/>
        <v>12621.5</v>
      </c>
      <c r="AH41">
        <f t="shared" si="25"/>
        <v>26871.75</v>
      </c>
      <c r="AI41" s="1">
        <f t="shared" si="1"/>
        <v>0.46969400950812656</v>
      </c>
      <c r="AK41" s="110">
        <f>'QC Data 2026'!N41</f>
        <v>0</v>
      </c>
      <c r="AL41" s="134">
        <f t="shared" si="7"/>
        <v>0</v>
      </c>
      <c r="AM41">
        <f t="shared" si="21"/>
        <v>66.5</v>
      </c>
      <c r="AN41" s="134">
        <f t="shared" si="2"/>
        <v>4.6496993427492658E-3</v>
      </c>
      <c r="AO41" s="134">
        <v>1.2500000000000001E-2</v>
      </c>
      <c r="AP41" s="134">
        <v>1.9E-2</v>
      </c>
      <c r="AZ41" s="72">
        <v>2022</v>
      </c>
      <c r="BA41" s="7" t="s">
        <v>9</v>
      </c>
      <c r="BB41" s="7">
        <v>0</v>
      </c>
      <c r="BC41" s="7">
        <v>0</v>
      </c>
      <c r="BD41" s="7">
        <v>1</v>
      </c>
      <c r="BE41" s="7">
        <f t="shared" si="20"/>
        <v>1</v>
      </c>
      <c r="BF41" s="79">
        <v>5033</v>
      </c>
      <c r="BG41" s="7">
        <f t="shared" si="24"/>
        <v>0</v>
      </c>
      <c r="BH41" s="28">
        <f t="shared" si="17"/>
        <v>48138.25</v>
      </c>
      <c r="BI41" s="29">
        <f t="shared" si="18"/>
        <v>0</v>
      </c>
      <c r="BJ41" s="7">
        <v>2</v>
      </c>
      <c r="BL41" t="s">
        <v>78</v>
      </c>
      <c r="BN41">
        <f>SUM(BN5:BN16)</f>
        <v>110</v>
      </c>
      <c r="BO41" s="102">
        <f>SUM(BO5:BO16)</f>
        <v>25</v>
      </c>
      <c r="BP41">
        <f>BN41+BO41</f>
        <v>135</v>
      </c>
      <c r="BQ41" s="1">
        <f>BN41/BP41</f>
        <v>0.81481481481481477</v>
      </c>
      <c r="BR41" s="1">
        <v>0.95</v>
      </c>
      <c r="BU41" s="7">
        <v>120</v>
      </c>
      <c r="BV41" t="s">
        <v>162</v>
      </c>
      <c r="BW41" s="7"/>
    </row>
    <row r="42" spans="1:75" x14ac:dyDescent="0.25">
      <c r="A42" s="7">
        <v>2025</v>
      </c>
      <c r="B42" s="13">
        <v>45922</v>
      </c>
      <c r="C42" s="117"/>
      <c r="D42" s="7">
        <v>39</v>
      </c>
      <c r="F42" s="5">
        <v>0.86</v>
      </c>
      <c r="G42" s="5">
        <v>0.99</v>
      </c>
      <c r="H42" s="5">
        <v>1.1100000000000001</v>
      </c>
      <c r="I42" s="5">
        <v>0.64</v>
      </c>
      <c r="J42" s="6">
        <v>1</v>
      </c>
      <c r="L42" s="8">
        <f t="shared" si="22"/>
        <v>0.98750000000000004</v>
      </c>
      <c r="M42" s="8">
        <f t="shared" si="15"/>
        <v>0.98124999999999996</v>
      </c>
      <c r="N42" s="9">
        <v>0.83</v>
      </c>
      <c r="O42" s="9">
        <v>0.88</v>
      </c>
      <c r="Q42" s="1"/>
      <c r="R42" s="1"/>
      <c r="S42" s="1"/>
      <c r="T42" s="1"/>
      <c r="U42" s="4"/>
      <c r="AA42" s="2">
        <v>756</v>
      </c>
      <c r="AB42" s="140">
        <v>412.75</v>
      </c>
      <c r="AC42">
        <f t="shared" si="6"/>
        <v>1168.75</v>
      </c>
      <c r="AD42" s="1">
        <f t="shared" si="0"/>
        <v>0.35315508021390374</v>
      </c>
      <c r="AF42">
        <f t="shared" si="23"/>
        <v>14552.75</v>
      </c>
      <c r="AG42">
        <f t="shared" si="23"/>
        <v>12752</v>
      </c>
      <c r="AH42">
        <f t="shared" si="25"/>
        <v>28040.5</v>
      </c>
      <c r="AI42" s="1">
        <f t="shared" si="1"/>
        <v>0.45477077798184767</v>
      </c>
      <c r="AK42" s="110">
        <f>'QC Data 2026'!N42</f>
        <v>0</v>
      </c>
      <c r="AL42" s="134">
        <f t="shared" si="7"/>
        <v>0</v>
      </c>
      <c r="AM42">
        <f t="shared" si="21"/>
        <v>66.5</v>
      </c>
      <c r="AN42" s="134">
        <f t="shared" si="2"/>
        <v>4.5695830684922096E-3</v>
      </c>
      <c r="AO42" s="134">
        <v>1.2500000000000001E-2</v>
      </c>
      <c r="AP42" s="134">
        <v>1.9E-2</v>
      </c>
      <c r="AZ42" s="72">
        <v>2022</v>
      </c>
      <c r="BA42" s="7" t="s">
        <v>10</v>
      </c>
      <c r="BB42" s="7">
        <v>0</v>
      </c>
      <c r="BC42" s="7">
        <v>1</v>
      </c>
      <c r="BD42" s="7">
        <v>1</v>
      </c>
      <c r="BE42" s="7">
        <f t="shared" si="20"/>
        <v>2</v>
      </c>
      <c r="BF42" s="79">
        <v>4646</v>
      </c>
      <c r="BG42" s="7">
        <f t="shared" si="24"/>
        <v>0</v>
      </c>
      <c r="BH42" s="28">
        <f t="shared" si="17"/>
        <v>49089</v>
      </c>
      <c r="BI42" s="29">
        <f t="shared" si="18"/>
        <v>0</v>
      </c>
      <c r="BJ42" s="7">
        <v>2</v>
      </c>
      <c r="BU42" s="7">
        <v>125</v>
      </c>
      <c r="BV42" t="s">
        <v>163</v>
      </c>
      <c r="BW42" s="7"/>
    </row>
    <row r="43" spans="1:75" x14ac:dyDescent="0.25">
      <c r="A43" s="7">
        <v>2025</v>
      </c>
      <c r="B43" s="13">
        <v>45929</v>
      </c>
      <c r="C43" s="115"/>
      <c r="D43" s="7">
        <v>40</v>
      </c>
      <c r="F43" s="5">
        <v>0.93</v>
      </c>
      <c r="G43" s="5">
        <v>0.9</v>
      </c>
      <c r="H43" s="5">
        <v>1.1299999999999999</v>
      </c>
      <c r="I43" s="5">
        <v>0.47</v>
      </c>
      <c r="J43" s="6">
        <v>0.98</v>
      </c>
      <c r="L43" s="8">
        <f t="shared" si="22"/>
        <v>0.98749999999999993</v>
      </c>
      <c r="M43" s="8">
        <f>AVERAGE(J37:J43)</f>
        <v>0.98142857142857132</v>
      </c>
      <c r="N43" s="9">
        <v>0.83</v>
      </c>
      <c r="O43" s="9">
        <v>0.88</v>
      </c>
      <c r="Q43" s="1"/>
      <c r="R43" s="1"/>
      <c r="S43" s="1"/>
      <c r="T43" s="1"/>
      <c r="U43" s="4"/>
      <c r="AA43" s="2">
        <v>737</v>
      </c>
      <c r="AB43" s="140">
        <v>357.75</v>
      </c>
      <c r="AC43">
        <f t="shared" si="6"/>
        <v>1094.75</v>
      </c>
      <c r="AD43" s="1">
        <f t="shared" si="0"/>
        <v>0.32678693765699929</v>
      </c>
      <c r="AF43">
        <f t="shared" si="23"/>
        <v>38595</v>
      </c>
      <c r="AG43">
        <f t="shared" si="23"/>
        <v>29465.25</v>
      </c>
      <c r="AH43">
        <f t="shared" si="25"/>
        <v>29135.25</v>
      </c>
      <c r="AI43" s="1">
        <f t="shared" si="1"/>
        <v>1.0113264859577316</v>
      </c>
      <c r="AK43" s="110">
        <f>'QC Data 2026'!N43</f>
        <v>0</v>
      </c>
      <c r="AL43" s="134">
        <f t="shared" si="7"/>
        <v>0</v>
      </c>
      <c r="AM43">
        <f t="shared" si="21"/>
        <v>66.5</v>
      </c>
      <c r="AN43" s="134">
        <f t="shared" si="2"/>
        <v>1.7230211167249645E-3</v>
      </c>
      <c r="AO43" s="134">
        <v>1.2500000000000001E-2</v>
      </c>
      <c r="AP43" s="134">
        <v>1.9E-2</v>
      </c>
      <c r="AZ43" s="72">
        <v>2022</v>
      </c>
      <c r="BA43" s="7" t="s">
        <v>11</v>
      </c>
      <c r="BB43" s="7">
        <v>0</v>
      </c>
      <c r="BC43" s="7">
        <v>0</v>
      </c>
      <c r="BD43" s="7">
        <v>0</v>
      </c>
      <c r="BE43" s="7">
        <f t="shared" si="20"/>
        <v>0</v>
      </c>
      <c r="BF43" s="79">
        <v>3362</v>
      </c>
      <c r="BG43" s="7">
        <f t="shared" si="24"/>
        <v>0</v>
      </c>
      <c r="BH43" s="28">
        <f t="shared" si="17"/>
        <v>49609.5</v>
      </c>
      <c r="BI43" s="29">
        <f t="shared" si="18"/>
        <v>0</v>
      </c>
      <c r="BJ43" s="7">
        <v>2</v>
      </c>
      <c r="BM43" s="7" t="s">
        <v>25</v>
      </c>
      <c r="BN43">
        <v>80</v>
      </c>
      <c r="BU43" s="7">
        <v>130</v>
      </c>
      <c r="BV43" t="s">
        <v>164</v>
      </c>
      <c r="BW43" s="7"/>
    </row>
    <row r="44" spans="1:75" x14ac:dyDescent="0.25">
      <c r="A44" s="7">
        <v>2025</v>
      </c>
      <c r="B44" s="13">
        <v>45936</v>
      </c>
      <c r="C44" s="116"/>
      <c r="D44" s="7">
        <v>41</v>
      </c>
      <c r="F44" s="5">
        <v>1.06</v>
      </c>
      <c r="G44" s="5">
        <v>1.1000000000000001</v>
      </c>
      <c r="H44" s="5">
        <v>1.07</v>
      </c>
      <c r="I44" s="5">
        <v>1</v>
      </c>
      <c r="J44" s="6">
        <v>1.04</v>
      </c>
      <c r="L44" s="8">
        <f t="shared" si="22"/>
        <v>0.995</v>
      </c>
      <c r="M44" s="8">
        <f t="shared" si="15"/>
        <v>0.98874999999999991</v>
      </c>
      <c r="N44" s="9">
        <v>0.83</v>
      </c>
      <c r="O44" s="9">
        <v>0.88</v>
      </c>
      <c r="Q44" s="1"/>
      <c r="R44" s="1"/>
      <c r="S44" s="1"/>
      <c r="T44" s="1"/>
      <c r="U44" s="4"/>
      <c r="AA44" s="110">
        <v>817.5</v>
      </c>
      <c r="AB44" s="140">
        <v>327.25</v>
      </c>
      <c r="AC44">
        <f t="shared" si="6"/>
        <v>1144.75</v>
      </c>
      <c r="AD44" s="1">
        <f t="shared" si="0"/>
        <v>0.28587027735313386</v>
      </c>
      <c r="AF44">
        <f t="shared" si="23"/>
        <v>38595</v>
      </c>
      <c r="AG44">
        <f t="shared" si="23"/>
        <v>29465.25</v>
      </c>
      <c r="AH44">
        <f t="shared" si="25"/>
        <v>30280</v>
      </c>
      <c r="AI44" s="1">
        <f t="shared" si="1"/>
        <v>0.97309280052840164</v>
      </c>
      <c r="AK44" s="110">
        <f>'QC Data 2026'!N44</f>
        <v>0</v>
      </c>
      <c r="AL44" s="134">
        <f t="shared" si="7"/>
        <v>0</v>
      </c>
      <c r="AM44">
        <f t="shared" si="21"/>
        <v>66.5</v>
      </c>
      <c r="AN44" s="134">
        <f t="shared" si="2"/>
        <v>1.7230211167249645E-3</v>
      </c>
      <c r="AO44" s="134">
        <v>1.2500000000000001E-2</v>
      </c>
      <c r="AP44" s="134">
        <v>1.9E-2</v>
      </c>
      <c r="AZ44" s="72">
        <v>2022</v>
      </c>
      <c r="BA44" s="7" t="s">
        <v>12</v>
      </c>
      <c r="BB44" s="7">
        <v>0</v>
      </c>
      <c r="BC44" s="7">
        <v>2</v>
      </c>
      <c r="BD44" s="7">
        <v>0</v>
      </c>
      <c r="BE44" s="7">
        <f t="shared" si="20"/>
        <v>2</v>
      </c>
      <c r="BF44" s="79">
        <v>3525</v>
      </c>
      <c r="BG44" s="7">
        <f t="shared" si="24"/>
        <v>0</v>
      </c>
      <c r="BH44" s="28">
        <f t="shared" si="17"/>
        <v>50496.75</v>
      </c>
      <c r="BI44" s="29">
        <f t="shared" si="18"/>
        <v>0</v>
      </c>
      <c r="BJ44" s="7">
        <v>2</v>
      </c>
      <c r="BM44" s="7" t="s">
        <v>105</v>
      </c>
      <c r="BN44">
        <v>15</v>
      </c>
      <c r="BU44" s="7">
        <v>135</v>
      </c>
      <c r="BV44" t="s">
        <v>165</v>
      </c>
      <c r="BW44" s="7"/>
    </row>
    <row r="45" spans="1:75" x14ac:dyDescent="0.25">
      <c r="A45" s="7">
        <v>2025</v>
      </c>
      <c r="B45" s="13">
        <v>45943</v>
      </c>
      <c r="C45" s="116" t="s">
        <v>17</v>
      </c>
      <c r="D45" s="7">
        <v>42</v>
      </c>
      <c r="F45" s="5">
        <v>0.52</v>
      </c>
      <c r="G45" s="5">
        <v>0.85</v>
      </c>
      <c r="H45" s="5">
        <v>1.1599999999999999</v>
      </c>
      <c r="I45" s="5">
        <v>0.51</v>
      </c>
      <c r="J45" s="6">
        <v>0.88</v>
      </c>
      <c r="L45" s="8">
        <f t="shared" si="22"/>
        <v>0.97499999999999998</v>
      </c>
      <c r="M45" s="8">
        <f>AVERAGE(J38:J45)</f>
        <v>0.97625000000000006</v>
      </c>
      <c r="N45" s="9">
        <v>0.83</v>
      </c>
      <c r="O45" s="9">
        <v>0.88</v>
      </c>
      <c r="Q45" s="1"/>
      <c r="R45" s="1"/>
      <c r="S45" s="1"/>
      <c r="T45" s="1"/>
      <c r="U45" s="4"/>
      <c r="AA45" s="140">
        <v>813.25</v>
      </c>
      <c r="AB45" s="2">
        <v>352</v>
      </c>
      <c r="AC45">
        <f t="shared" si="6"/>
        <v>1165.25</v>
      </c>
      <c r="AD45" s="1">
        <f t="shared" si="0"/>
        <v>0.30208109847672171</v>
      </c>
      <c r="AF45">
        <f t="shared" si="23"/>
        <v>38595</v>
      </c>
      <c r="AG45">
        <f t="shared" si="23"/>
        <v>29465.25</v>
      </c>
      <c r="AH45">
        <f t="shared" si="25"/>
        <v>31445.25</v>
      </c>
      <c r="AI45" s="1">
        <f t="shared" si="1"/>
        <v>0.93703341522169481</v>
      </c>
      <c r="AK45" s="110">
        <f>'QC Data 2026'!N45</f>
        <v>0</v>
      </c>
      <c r="AL45" s="134">
        <f t="shared" si="7"/>
        <v>0</v>
      </c>
      <c r="AM45">
        <f t="shared" si="21"/>
        <v>66.5</v>
      </c>
      <c r="AN45" s="134">
        <f t="shared" si="2"/>
        <v>1.7230211167249645E-3</v>
      </c>
      <c r="AO45" s="134">
        <v>1.2500000000000001E-2</v>
      </c>
      <c r="AP45" s="134">
        <v>1.9E-2</v>
      </c>
      <c r="AZ45" s="72">
        <v>2022</v>
      </c>
      <c r="BA45" s="7" t="s">
        <v>13</v>
      </c>
      <c r="BB45" s="7">
        <v>0</v>
      </c>
      <c r="BC45" s="7">
        <v>2</v>
      </c>
      <c r="BD45" s="7">
        <v>1</v>
      </c>
      <c r="BE45" s="7">
        <f t="shared" si="20"/>
        <v>3</v>
      </c>
      <c r="BF45" s="79">
        <v>3898</v>
      </c>
      <c r="BG45" s="7">
        <f t="shared" si="24"/>
        <v>0</v>
      </c>
      <c r="BH45" s="28">
        <f t="shared" si="17"/>
        <v>50352</v>
      </c>
      <c r="BI45" s="29">
        <f t="shared" si="18"/>
        <v>0</v>
      </c>
      <c r="BJ45" s="7">
        <v>2</v>
      </c>
      <c r="BM45" s="7" t="s">
        <v>104</v>
      </c>
      <c r="BN45">
        <v>5</v>
      </c>
      <c r="BU45" s="7">
        <v>140</v>
      </c>
      <c r="BV45" t="s">
        <v>166</v>
      </c>
      <c r="BW45" s="7"/>
    </row>
    <row r="46" spans="1:75" x14ac:dyDescent="0.25">
      <c r="A46" s="7">
        <v>2025</v>
      </c>
      <c r="B46" s="13">
        <v>45950</v>
      </c>
      <c r="C46" s="116"/>
      <c r="D46" s="7">
        <v>43</v>
      </c>
      <c r="F46" s="5">
        <v>0.86</v>
      </c>
      <c r="G46" s="5">
        <v>0.97</v>
      </c>
      <c r="H46" s="5">
        <v>1.1000000000000001</v>
      </c>
      <c r="I46" s="5">
        <v>0.47</v>
      </c>
      <c r="J46" s="6">
        <v>0.99</v>
      </c>
      <c r="L46" s="8">
        <f t="shared" si="22"/>
        <v>0.97249999999999992</v>
      </c>
      <c r="M46" s="8">
        <f t="shared" si="15"/>
        <v>0.98</v>
      </c>
      <c r="N46" s="9">
        <v>0.83</v>
      </c>
      <c r="O46" s="9">
        <v>0.88</v>
      </c>
      <c r="Q46" s="1"/>
      <c r="R46" s="1"/>
      <c r="S46" s="1"/>
      <c r="T46" s="1"/>
      <c r="U46" s="4"/>
      <c r="AA46" s="110">
        <v>724.5</v>
      </c>
      <c r="AB46" s="140">
        <v>355.75</v>
      </c>
      <c r="AC46">
        <f t="shared" si="6"/>
        <v>1080.25</v>
      </c>
      <c r="AD46" s="1">
        <f t="shared" si="0"/>
        <v>0.32932191622309648</v>
      </c>
      <c r="AF46">
        <f t="shared" si="23"/>
        <v>38595</v>
      </c>
      <c r="AG46">
        <f t="shared" si="23"/>
        <v>29465.25</v>
      </c>
      <c r="AH46">
        <f t="shared" si="25"/>
        <v>32525.5</v>
      </c>
      <c r="AI46" s="1">
        <f t="shared" si="1"/>
        <v>0.90591228420777548</v>
      </c>
      <c r="AK46" s="110">
        <f>'QC Data 2026'!N46</f>
        <v>0</v>
      </c>
      <c r="AL46" s="134">
        <f t="shared" si="7"/>
        <v>0</v>
      </c>
      <c r="AM46">
        <f t="shared" si="21"/>
        <v>66.5</v>
      </c>
      <c r="AN46" s="134">
        <f t="shared" si="2"/>
        <v>1.7230211167249645E-3</v>
      </c>
      <c r="AO46" s="134">
        <v>1.2500000000000001E-2</v>
      </c>
      <c r="AP46" s="134">
        <v>1.9E-2</v>
      </c>
      <c r="AZ46" s="72">
        <v>2022</v>
      </c>
      <c r="BA46" s="7" t="s">
        <v>14</v>
      </c>
      <c r="BB46" s="7">
        <v>0</v>
      </c>
      <c r="BC46" s="7">
        <v>0</v>
      </c>
      <c r="BD46" s="7">
        <v>0</v>
      </c>
      <c r="BE46" s="7">
        <f t="shared" si="20"/>
        <v>0</v>
      </c>
      <c r="BF46" s="79">
        <v>4030</v>
      </c>
      <c r="BG46" s="7">
        <f t="shared" si="24"/>
        <v>0</v>
      </c>
      <c r="BH46" s="28">
        <f t="shared" si="17"/>
        <v>51051</v>
      </c>
      <c r="BI46" s="29">
        <f t="shared" si="18"/>
        <v>0</v>
      </c>
      <c r="BJ46" s="7">
        <v>2</v>
      </c>
      <c r="BM46" s="7" t="s">
        <v>26</v>
      </c>
      <c r="BN46">
        <v>100</v>
      </c>
      <c r="BU46" s="7">
        <v>145</v>
      </c>
      <c r="BV46" t="s">
        <v>167</v>
      </c>
      <c r="BW46" s="7"/>
    </row>
    <row r="47" spans="1:75" x14ac:dyDescent="0.25">
      <c r="A47" s="7">
        <v>2025</v>
      </c>
      <c r="B47" s="13">
        <v>45957</v>
      </c>
      <c r="C47" s="117"/>
      <c r="D47" s="7">
        <v>44</v>
      </c>
      <c r="F47" s="5">
        <v>0.57999999999999996</v>
      </c>
      <c r="G47" s="5">
        <v>1.18</v>
      </c>
      <c r="H47" s="5">
        <v>1.07</v>
      </c>
      <c r="I47" s="5">
        <v>0.67</v>
      </c>
      <c r="J47" s="6">
        <v>1.02</v>
      </c>
      <c r="L47" s="8">
        <f t="shared" si="22"/>
        <v>0.98250000000000004</v>
      </c>
      <c r="M47" s="8">
        <f t="shared" si="15"/>
        <v>0.9850000000000001</v>
      </c>
      <c r="N47" s="9">
        <v>0.83</v>
      </c>
      <c r="O47" s="9">
        <v>0.88</v>
      </c>
      <c r="Q47" s="1"/>
      <c r="R47" s="1"/>
      <c r="S47" s="1"/>
      <c r="T47" s="1"/>
      <c r="U47" s="4"/>
      <c r="AA47" s="140">
        <v>827.25</v>
      </c>
      <c r="AB47" s="140">
        <v>275.25</v>
      </c>
      <c r="AC47">
        <f t="shared" si="6"/>
        <v>1102.5</v>
      </c>
      <c r="AD47" s="1">
        <f t="shared" si="0"/>
        <v>0.24965986394557824</v>
      </c>
      <c r="AF47">
        <f t="shared" si="23"/>
        <v>38595</v>
      </c>
      <c r="AG47">
        <f t="shared" si="23"/>
        <v>29465.25</v>
      </c>
      <c r="AH47">
        <f t="shared" si="25"/>
        <v>33628</v>
      </c>
      <c r="AI47" s="1">
        <f t="shared" si="1"/>
        <v>0.87621178779588438</v>
      </c>
      <c r="AK47" s="110">
        <f>'QC Data 2026'!N47</f>
        <v>0</v>
      </c>
      <c r="AL47" s="134">
        <f t="shared" si="7"/>
        <v>0</v>
      </c>
      <c r="AM47">
        <f t="shared" si="21"/>
        <v>66.5</v>
      </c>
      <c r="AN47" s="134">
        <f t="shared" si="2"/>
        <v>1.7230211167249645E-3</v>
      </c>
      <c r="AO47" s="134">
        <v>1.2500000000000001E-2</v>
      </c>
      <c r="AP47" s="134">
        <v>1.9E-2</v>
      </c>
      <c r="AZ47" s="72">
        <v>2022</v>
      </c>
      <c r="BA47" s="7" t="s">
        <v>15</v>
      </c>
      <c r="BB47" s="7">
        <v>0</v>
      </c>
      <c r="BC47" s="7">
        <v>1</v>
      </c>
      <c r="BD47" s="7">
        <v>3</v>
      </c>
      <c r="BE47" s="7">
        <f t="shared" si="20"/>
        <v>4</v>
      </c>
      <c r="BF47" s="79">
        <v>5039.5</v>
      </c>
      <c r="BG47" s="7">
        <f t="shared" si="24"/>
        <v>0</v>
      </c>
      <c r="BH47" s="28">
        <f t="shared" si="17"/>
        <v>52721.5</v>
      </c>
      <c r="BI47" s="29">
        <f t="shared" si="18"/>
        <v>0</v>
      </c>
      <c r="BJ47" s="7">
        <v>2</v>
      </c>
      <c r="BU47" s="7">
        <v>147</v>
      </c>
      <c r="BV47" t="s">
        <v>168</v>
      </c>
      <c r="BW47" s="7"/>
    </row>
    <row r="48" spans="1:75" x14ac:dyDescent="0.25">
      <c r="A48" s="7">
        <v>2025</v>
      </c>
      <c r="B48" s="13">
        <v>45964</v>
      </c>
      <c r="C48" s="115"/>
      <c r="D48" s="7">
        <v>45</v>
      </c>
      <c r="F48" s="5">
        <v>0.36</v>
      </c>
      <c r="G48" s="5">
        <v>0.92</v>
      </c>
      <c r="H48" s="5">
        <v>0.94</v>
      </c>
      <c r="I48" s="5">
        <v>1.1399999999999999</v>
      </c>
      <c r="J48" s="6">
        <v>0.88</v>
      </c>
      <c r="L48" s="8">
        <f t="shared" si="22"/>
        <v>0.9425</v>
      </c>
      <c r="M48" s="8">
        <f t="shared" si="15"/>
        <v>0.96875000000000011</v>
      </c>
      <c r="N48" s="9">
        <v>0.83</v>
      </c>
      <c r="O48" s="9">
        <v>0.88</v>
      </c>
      <c r="Q48" s="1"/>
      <c r="R48" s="1"/>
      <c r="S48" s="1"/>
      <c r="T48" s="1"/>
      <c r="U48" s="4"/>
      <c r="AA48" s="140">
        <v>733.25</v>
      </c>
      <c r="AB48" s="110">
        <v>330.5</v>
      </c>
      <c r="AC48">
        <f t="shared" si="6"/>
        <v>1063.75</v>
      </c>
      <c r="AD48" s="1">
        <f t="shared" si="0"/>
        <v>0.31069330199764983</v>
      </c>
      <c r="AF48">
        <f t="shared" si="23"/>
        <v>38595</v>
      </c>
      <c r="AG48">
        <f t="shared" si="23"/>
        <v>29465.25</v>
      </c>
      <c r="AH48">
        <f t="shared" si="25"/>
        <v>34691.75</v>
      </c>
      <c r="AI48" s="1">
        <f t="shared" si="1"/>
        <v>0.8493445848076272</v>
      </c>
      <c r="AK48" s="110">
        <f>'QC Data 2026'!N48</f>
        <v>0</v>
      </c>
      <c r="AL48" s="134">
        <f t="shared" si="7"/>
        <v>0</v>
      </c>
      <c r="AM48">
        <f t="shared" si="21"/>
        <v>66.5</v>
      </c>
      <c r="AN48" s="134">
        <f t="shared" si="2"/>
        <v>1.7230211167249645E-3</v>
      </c>
      <c r="AO48" s="134">
        <v>1.2500000000000001E-2</v>
      </c>
      <c r="AP48" s="134">
        <v>1.9E-2</v>
      </c>
      <c r="AZ48" s="72">
        <v>2022</v>
      </c>
      <c r="BA48" s="7" t="s">
        <v>16</v>
      </c>
      <c r="BB48" s="7">
        <v>0</v>
      </c>
      <c r="BC48" s="7">
        <v>0</v>
      </c>
      <c r="BD48" s="7">
        <v>0</v>
      </c>
      <c r="BE48" s="7">
        <f t="shared" si="20"/>
        <v>0</v>
      </c>
      <c r="BF48" s="79">
        <v>4765</v>
      </c>
      <c r="BG48" s="7">
        <f t="shared" si="24"/>
        <v>0</v>
      </c>
      <c r="BH48" s="28">
        <f t="shared" si="17"/>
        <v>54231.5</v>
      </c>
      <c r="BI48" s="29">
        <f t="shared" si="18"/>
        <v>0</v>
      </c>
      <c r="BJ48" s="7">
        <v>2</v>
      </c>
      <c r="BM48" s="7" t="s">
        <v>49</v>
      </c>
      <c r="BN48" s="45">
        <f>BQ40</f>
        <v>0.57692307692307687</v>
      </c>
      <c r="BU48" s="7">
        <v>150</v>
      </c>
      <c r="BV48" t="s">
        <v>169</v>
      </c>
      <c r="BW48" s="7"/>
    </row>
    <row r="49" spans="1:75" x14ac:dyDescent="0.25">
      <c r="A49" s="7">
        <v>2025</v>
      </c>
      <c r="B49" s="13">
        <v>45971</v>
      </c>
      <c r="C49" s="116" t="s">
        <v>18</v>
      </c>
      <c r="D49" s="7">
        <v>46</v>
      </c>
      <c r="F49" s="5">
        <v>0.49</v>
      </c>
      <c r="G49" s="5">
        <v>0.93</v>
      </c>
      <c r="H49" s="5">
        <v>1.02</v>
      </c>
      <c r="I49" s="5">
        <v>0.72</v>
      </c>
      <c r="J49" s="6">
        <v>0.88</v>
      </c>
      <c r="L49" s="8">
        <f t="shared" si="22"/>
        <v>0.94249999999999989</v>
      </c>
      <c r="M49" s="8">
        <f t="shared" si="15"/>
        <v>0.95874999999999999</v>
      </c>
      <c r="N49" s="9">
        <v>0.83</v>
      </c>
      <c r="O49" s="9">
        <v>0.88</v>
      </c>
      <c r="Q49" s="1"/>
      <c r="R49" s="1"/>
      <c r="S49" s="1"/>
      <c r="T49" s="1"/>
      <c r="U49" s="4"/>
      <c r="AA49" s="140">
        <v>825.25</v>
      </c>
      <c r="AB49" s="110">
        <v>335.5</v>
      </c>
      <c r="AC49">
        <f t="shared" si="6"/>
        <v>1160.75</v>
      </c>
      <c r="AD49" s="1">
        <f t="shared" si="0"/>
        <v>0.28903726039198796</v>
      </c>
      <c r="AF49">
        <f t="shared" ref="AF49:AG56" si="26">AF48+AA63</f>
        <v>38595</v>
      </c>
      <c r="AG49">
        <f t="shared" si="26"/>
        <v>29465.25</v>
      </c>
      <c r="AH49">
        <f t="shared" si="25"/>
        <v>35852.5</v>
      </c>
      <c r="AI49" s="1">
        <f t="shared" si="1"/>
        <v>0.82184645422216029</v>
      </c>
      <c r="AK49" s="110">
        <f>'QC Data 2026'!N49</f>
        <v>0</v>
      </c>
      <c r="AL49" s="134">
        <f t="shared" si="7"/>
        <v>0</v>
      </c>
      <c r="AM49">
        <f t="shared" si="21"/>
        <v>66.5</v>
      </c>
      <c r="AN49" s="134">
        <f t="shared" si="2"/>
        <v>1.7230211167249645E-3</v>
      </c>
      <c r="AO49" s="134">
        <v>1.2500000000000001E-2</v>
      </c>
      <c r="AP49" s="134">
        <v>1.9E-2</v>
      </c>
      <c r="AZ49" s="72">
        <v>2022</v>
      </c>
      <c r="BA49" s="7" t="s">
        <v>17</v>
      </c>
      <c r="BB49" s="7">
        <v>1</v>
      </c>
      <c r="BC49" s="7">
        <v>0</v>
      </c>
      <c r="BD49" s="7">
        <v>1</v>
      </c>
      <c r="BE49" s="7">
        <f t="shared" si="20"/>
        <v>2</v>
      </c>
      <c r="BF49" s="79">
        <v>4974</v>
      </c>
      <c r="BG49" s="7">
        <f t="shared" si="24"/>
        <v>1</v>
      </c>
      <c r="BH49" s="28">
        <f t="shared" si="17"/>
        <v>54076.5</v>
      </c>
      <c r="BI49" s="29">
        <f t="shared" si="18"/>
        <v>3.6129451825892174</v>
      </c>
      <c r="BJ49" s="7">
        <v>2</v>
      </c>
      <c r="BM49" s="7" t="s">
        <v>106</v>
      </c>
      <c r="BN49" s="45">
        <v>0.02</v>
      </c>
      <c r="BU49" s="7">
        <v>155</v>
      </c>
      <c r="BV49" t="s">
        <v>170</v>
      </c>
      <c r="BW49" s="7"/>
    </row>
    <row r="50" spans="1:75" x14ac:dyDescent="0.25">
      <c r="A50" s="7">
        <v>2025</v>
      </c>
      <c r="B50" s="13">
        <v>45978</v>
      </c>
      <c r="C50" s="116"/>
      <c r="D50" s="7">
        <v>47</v>
      </c>
      <c r="F50" s="5">
        <v>0.74</v>
      </c>
      <c r="G50" s="5">
        <v>1.1100000000000001</v>
      </c>
      <c r="H50" s="5">
        <v>1.0900000000000001</v>
      </c>
      <c r="I50" s="5">
        <v>0.5</v>
      </c>
      <c r="J50" s="6">
        <v>1.04</v>
      </c>
      <c r="L50" s="8">
        <f t="shared" si="22"/>
        <v>0.95499999999999996</v>
      </c>
      <c r="M50" s="8">
        <f t="shared" si="15"/>
        <v>0.96375</v>
      </c>
      <c r="N50" s="9">
        <v>0.83</v>
      </c>
      <c r="O50" s="9">
        <v>0.88</v>
      </c>
      <c r="Q50" s="1"/>
      <c r="R50" s="1"/>
      <c r="S50" s="1"/>
      <c r="T50" s="1"/>
      <c r="U50" s="4"/>
      <c r="AA50" s="2">
        <v>696</v>
      </c>
      <c r="AB50" s="110">
        <v>348.5</v>
      </c>
      <c r="AC50">
        <f t="shared" si="6"/>
        <v>1044.5</v>
      </c>
      <c r="AD50" s="1">
        <f t="shared" si="0"/>
        <v>0.33365246529439924</v>
      </c>
      <c r="AF50">
        <f t="shared" si="26"/>
        <v>38595</v>
      </c>
      <c r="AG50">
        <f t="shared" si="26"/>
        <v>29465.25</v>
      </c>
      <c r="AH50">
        <f t="shared" si="25"/>
        <v>36897</v>
      </c>
      <c r="AI50" s="1">
        <f t="shared" si="1"/>
        <v>0.79858118546223267</v>
      </c>
      <c r="AK50" s="110">
        <f>'QC Data 2026'!N50</f>
        <v>0</v>
      </c>
      <c r="AL50" s="134">
        <f t="shared" si="7"/>
        <v>0</v>
      </c>
      <c r="AM50">
        <f t="shared" si="21"/>
        <v>66.5</v>
      </c>
      <c r="AN50" s="134">
        <f t="shared" si="2"/>
        <v>1.7230211167249645E-3</v>
      </c>
      <c r="AO50" s="134">
        <v>1.2500000000000001E-2</v>
      </c>
      <c r="AP50" s="134">
        <v>1.9E-2</v>
      </c>
      <c r="AZ50" s="72">
        <v>2022</v>
      </c>
      <c r="BA50" s="7" t="s">
        <v>18</v>
      </c>
      <c r="BB50" s="7">
        <v>0</v>
      </c>
      <c r="BC50" s="7">
        <v>1</v>
      </c>
      <c r="BD50" s="7">
        <v>0</v>
      </c>
      <c r="BE50" s="7">
        <f t="shared" si="20"/>
        <v>1</v>
      </c>
      <c r="BF50" s="79">
        <v>4607</v>
      </c>
      <c r="BG50" s="7">
        <f t="shared" si="24"/>
        <v>1</v>
      </c>
      <c r="BH50" s="28">
        <f t="shared" si="17"/>
        <v>53581.5</v>
      </c>
      <c r="BI50" s="29">
        <f t="shared" si="18"/>
        <v>3.6455437784238494</v>
      </c>
      <c r="BJ50" s="7">
        <v>2</v>
      </c>
      <c r="BM50" s="7" t="s">
        <v>107</v>
      </c>
      <c r="BN50" s="45">
        <f>2-BN48-BN49</f>
        <v>1.4030769230769231</v>
      </c>
      <c r="BU50" s="7">
        <v>160</v>
      </c>
      <c r="BV50" t="s">
        <v>171</v>
      </c>
      <c r="BW50" s="7"/>
    </row>
    <row r="51" spans="1:75" x14ac:dyDescent="0.25">
      <c r="A51" s="7">
        <v>2025</v>
      </c>
      <c r="B51" s="13">
        <v>45985</v>
      </c>
      <c r="C51" s="117"/>
      <c r="D51" s="7">
        <v>48</v>
      </c>
      <c r="F51" s="5">
        <v>0.68</v>
      </c>
      <c r="G51" s="5">
        <v>1.1000000000000001</v>
      </c>
      <c r="H51" s="5">
        <v>1.32</v>
      </c>
      <c r="I51" s="5">
        <v>0.28999999999999998</v>
      </c>
      <c r="J51" s="6">
        <v>1.04</v>
      </c>
      <c r="L51" s="8">
        <f t="shared" si="22"/>
        <v>0.96</v>
      </c>
      <c r="M51" s="8">
        <f t="shared" si="15"/>
        <v>0.97125000000000006</v>
      </c>
      <c r="N51" s="9">
        <v>0.83</v>
      </c>
      <c r="O51" s="9">
        <v>0.88</v>
      </c>
      <c r="Q51" s="1"/>
      <c r="R51" s="1"/>
      <c r="S51" s="1"/>
      <c r="T51" s="1"/>
      <c r="U51" s="4"/>
      <c r="AA51" s="140">
        <v>355.75</v>
      </c>
      <c r="AB51" s="140">
        <v>136.25</v>
      </c>
      <c r="AC51" s="2">
        <f t="shared" si="6"/>
        <v>492</v>
      </c>
      <c r="AD51" s="1">
        <f t="shared" si="0"/>
        <v>0.27693089430894308</v>
      </c>
      <c r="AF51">
        <f t="shared" si="26"/>
        <v>38595</v>
      </c>
      <c r="AG51">
        <f t="shared" si="26"/>
        <v>29465.25</v>
      </c>
      <c r="AH51">
        <f t="shared" si="25"/>
        <v>37389</v>
      </c>
      <c r="AI51" s="1">
        <f t="shared" si="1"/>
        <v>0.78807269517772605</v>
      </c>
      <c r="AK51" s="110">
        <f>'QC Data 2026'!N51</f>
        <v>0</v>
      </c>
      <c r="AL51" s="134">
        <f t="shared" si="7"/>
        <v>0</v>
      </c>
      <c r="AM51">
        <f t="shared" si="21"/>
        <v>66.5</v>
      </c>
      <c r="AN51" s="134">
        <f t="shared" si="2"/>
        <v>1.7230211167249645E-3</v>
      </c>
      <c r="AO51" s="134">
        <v>1.2500000000000001E-2</v>
      </c>
      <c r="AP51" s="134">
        <v>1.9E-2</v>
      </c>
      <c r="AZ51" s="75">
        <v>2022</v>
      </c>
      <c r="BA51" s="76" t="s">
        <v>19</v>
      </c>
      <c r="BB51" s="76">
        <v>0</v>
      </c>
      <c r="BC51" s="76">
        <v>1</v>
      </c>
      <c r="BD51" s="76">
        <v>0</v>
      </c>
      <c r="BE51" s="76">
        <f t="shared" si="20"/>
        <v>1</v>
      </c>
      <c r="BF51" s="80">
        <v>4314</v>
      </c>
      <c r="BG51" s="7">
        <f t="shared" si="24"/>
        <v>1</v>
      </c>
      <c r="BH51" s="28">
        <f t="shared" si="17"/>
        <v>52876.5</v>
      </c>
      <c r="BI51" s="29">
        <f t="shared" si="18"/>
        <v>3.693000840157691</v>
      </c>
      <c r="BJ51" s="7">
        <v>2</v>
      </c>
      <c r="BU51" s="7">
        <v>165</v>
      </c>
      <c r="BV51" t="s">
        <v>172</v>
      </c>
      <c r="BW51" s="7"/>
    </row>
    <row r="52" spans="1:75" x14ac:dyDescent="0.25">
      <c r="A52" s="7">
        <v>2025</v>
      </c>
      <c r="B52" s="13">
        <v>45992</v>
      </c>
      <c r="C52" s="115"/>
      <c r="D52" s="7">
        <v>49</v>
      </c>
      <c r="F52" s="5">
        <v>0.65</v>
      </c>
      <c r="G52" s="5">
        <v>0.87</v>
      </c>
      <c r="H52" s="5">
        <v>1.18</v>
      </c>
      <c r="I52" s="5">
        <v>0.28000000000000003</v>
      </c>
      <c r="J52" s="6">
        <v>0.94</v>
      </c>
      <c r="L52" s="8">
        <f t="shared" si="22"/>
        <v>0.97499999999999998</v>
      </c>
      <c r="M52" s="8">
        <f t="shared" si="15"/>
        <v>0.95874999999999999</v>
      </c>
      <c r="N52" s="9">
        <v>0.83</v>
      </c>
      <c r="O52" s="9">
        <v>0.88</v>
      </c>
      <c r="Q52" s="1"/>
      <c r="R52" s="1"/>
      <c r="S52" s="1"/>
      <c r="T52" s="1"/>
      <c r="U52" s="4"/>
      <c r="AA52" s="2">
        <v>681</v>
      </c>
      <c r="AB52" s="140">
        <v>306.25</v>
      </c>
      <c r="AC52">
        <f t="shared" si="6"/>
        <v>987.25</v>
      </c>
      <c r="AD52" s="1">
        <f t="shared" si="0"/>
        <v>0.31020511521904282</v>
      </c>
      <c r="AF52">
        <f t="shared" si="26"/>
        <v>38595</v>
      </c>
      <c r="AG52">
        <f t="shared" si="26"/>
        <v>29465.25</v>
      </c>
      <c r="AH52">
        <f t="shared" si="25"/>
        <v>38376.25</v>
      </c>
      <c r="AI52" s="1">
        <f t="shared" si="1"/>
        <v>0.76779909449203609</v>
      </c>
      <c r="AK52" s="110">
        <f>'QC Data 2026'!N52</f>
        <v>0</v>
      </c>
      <c r="AL52" s="134">
        <f t="shared" si="7"/>
        <v>0</v>
      </c>
      <c r="AM52">
        <f t="shared" si="21"/>
        <v>66.5</v>
      </c>
      <c r="AN52" s="134">
        <f t="shared" si="2"/>
        <v>1.7230211167249645E-3</v>
      </c>
      <c r="AO52" s="134">
        <v>1.2500000000000001E-2</v>
      </c>
      <c r="AP52" s="134">
        <v>1.9E-2</v>
      </c>
      <c r="AZ52" s="69">
        <v>2023</v>
      </c>
      <c r="BA52" s="70" t="s">
        <v>8</v>
      </c>
      <c r="BB52" s="70">
        <v>0</v>
      </c>
      <c r="BC52" s="70">
        <v>1</v>
      </c>
      <c r="BD52" s="70">
        <v>1</v>
      </c>
      <c r="BE52" s="70">
        <f t="shared" ref="BE52:BE63" si="27">SUM(BB52:BD52)</f>
        <v>2</v>
      </c>
      <c r="BF52" s="78">
        <v>5390</v>
      </c>
      <c r="BG52" s="7">
        <f>SUM(BB41:BB52)</f>
        <v>1</v>
      </c>
      <c r="BH52" s="28">
        <f>SUM(BF41:BF52)</f>
        <v>53583.5</v>
      </c>
      <c r="BI52" s="29">
        <f t="shared" si="18"/>
        <v>3.6454108833741925</v>
      </c>
      <c r="BJ52" s="7">
        <v>1</v>
      </c>
      <c r="BU52" s="7">
        <v>170</v>
      </c>
      <c r="BV52" t="s">
        <v>173</v>
      </c>
      <c r="BW52" s="7"/>
    </row>
    <row r="53" spans="1:75" x14ac:dyDescent="0.25">
      <c r="A53" s="7">
        <v>2025</v>
      </c>
      <c r="B53" s="13">
        <v>45999</v>
      </c>
      <c r="C53" s="116" t="s">
        <v>19</v>
      </c>
      <c r="D53" s="7">
        <v>50</v>
      </c>
      <c r="F53" s="5">
        <v>0.52</v>
      </c>
      <c r="G53" s="5">
        <v>1.08</v>
      </c>
      <c r="H53" s="5">
        <v>1.1100000000000001</v>
      </c>
      <c r="I53" s="5">
        <v>0.41</v>
      </c>
      <c r="J53" s="6">
        <v>1.01</v>
      </c>
      <c r="L53" s="8">
        <f t="shared" si="22"/>
        <v>1.0075000000000001</v>
      </c>
      <c r="M53" s="8">
        <f t="shared" si="15"/>
        <v>0.97499999999999987</v>
      </c>
      <c r="N53" s="9">
        <v>0.83</v>
      </c>
      <c r="O53" s="9">
        <v>0.88</v>
      </c>
      <c r="Q53" s="1"/>
      <c r="R53" s="1"/>
      <c r="S53" s="1"/>
      <c r="T53" s="1"/>
      <c r="U53" s="4"/>
      <c r="AA53" s="140">
        <v>723.25</v>
      </c>
      <c r="AB53" s="140">
        <v>257.75</v>
      </c>
      <c r="AC53">
        <f t="shared" si="6"/>
        <v>981</v>
      </c>
      <c r="AD53" s="1">
        <f t="shared" si="0"/>
        <v>0.26274209989806319</v>
      </c>
      <c r="AF53">
        <f t="shared" si="26"/>
        <v>38595</v>
      </c>
      <c r="AG53">
        <f t="shared" si="26"/>
        <v>29465.25</v>
      </c>
      <c r="AH53">
        <f t="shared" si="25"/>
        <v>39357.25</v>
      </c>
      <c r="AI53" s="1">
        <f t="shared" si="1"/>
        <v>0.74866130128502373</v>
      </c>
      <c r="AK53" s="110">
        <f>'QC Data 2026'!N53</f>
        <v>0</v>
      </c>
      <c r="AL53" s="134">
        <f t="shared" si="7"/>
        <v>0</v>
      </c>
      <c r="AM53">
        <f t="shared" si="21"/>
        <v>66.5</v>
      </c>
      <c r="AN53" s="134">
        <f t="shared" si="2"/>
        <v>1.7230211167249645E-3</v>
      </c>
      <c r="AO53" s="134">
        <v>1.2500000000000001E-2</v>
      </c>
      <c r="AP53" s="134">
        <v>1.9E-2</v>
      </c>
      <c r="AZ53" s="72">
        <v>2023</v>
      </c>
      <c r="BA53" s="7" t="s">
        <v>9</v>
      </c>
      <c r="BB53" s="7">
        <v>1</v>
      </c>
      <c r="BC53" s="7">
        <v>3</v>
      </c>
      <c r="BD53" s="7">
        <v>0</v>
      </c>
      <c r="BE53" s="7">
        <f t="shared" si="27"/>
        <v>4</v>
      </c>
      <c r="BF53" s="79">
        <v>5469.25</v>
      </c>
      <c r="BG53" s="7">
        <f>SUM(BB42:BB53)</f>
        <v>2</v>
      </c>
      <c r="BH53" s="28">
        <f>SUM(BF42:BF53)</f>
        <v>54019.75</v>
      </c>
      <c r="BI53" s="29">
        <f t="shared" si="18"/>
        <v>7.2333057563551373</v>
      </c>
      <c r="BJ53" s="7">
        <v>1</v>
      </c>
      <c r="BU53" s="7">
        <v>175</v>
      </c>
      <c r="BV53" t="s">
        <v>174</v>
      </c>
      <c r="BW53" s="7"/>
    </row>
    <row r="54" spans="1:75" x14ac:dyDescent="0.25">
      <c r="A54" s="7">
        <v>2025</v>
      </c>
      <c r="B54" s="13">
        <v>46006</v>
      </c>
      <c r="C54" s="118"/>
      <c r="D54" s="7">
        <v>51</v>
      </c>
      <c r="F54" s="5"/>
      <c r="G54" s="5"/>
      <c r="H54" s="5"/>
      <c r="I54" s="5"/>
      <c r="J54" s="6"/>
      <c r="L54" s="8">
        <f t="shared" si="22"/>
        <v>0.9966666666666667</v>
      </c>
      <c r="M54" s="8">
        <f t="shared" si="15"/>
        <v>0.97285714285714264</v>
      </c>
      <c r="N54" s="9">
        <v>0.83</v>
      </c>
      <c r="O54" s="9">
        <v>0.88</v>
      </c>
      <c r="Q54" s="1"/>
      <c r="R54" s="1"/>
      <c r="S54" s="1"/>
      <c r="T54" s="1"/>
      <c r="U54" s="4"/>
      <c r="AA54" s="2">
        <v>539</v>
      </c>
      <c r="AB54" s="110">
        <v>247.5</v>
      </c>
      <c r="AC54">
        <f t="shared" si="6"/>
        <v>786.5</v>
      </c>
      <c r="AD54" s="1">
        <f t="shared" si="0"/>
        <v>0.31468531468531469</v>
      </c>
      <c r="AF54">
        <f t="shared" si="26"/>
        <v>38595</v>
      </c>
      <c r="AG54">
        <f t="shared" si="26"/>
        <v>29465.25</v>
      </c>
      <c r="AH54">
        <f t="shared" si="25"/>
        <v>40143.75</v>
      </c>
      <c r="AI54" s="1">
        <f t="shared" si="1"/>
        <v>0.73399346099953289</v>
      </c>
      <c r="AK54" s="110">
        <f>'QC Data 2026'!N54</f>
        <v>0</v>
      </c>
      <c r="AL54" s="134">
        <f t="shared" si="7"/>
        <v>0</v>
      </c>
      <c r="AM54">
        <f t="shared" si="21"/>
        <v>66.5</v>
      </c>
      <c r="AN54" s="134">
        <f t="shared" si="2"/>
        <v>1.7230211167249645E-3</v>
      </c>
      <c r="AO54" s="134">
        <v>1.2500000000000001E-2</v>
      </c>
      <c r="AP54" s="134">
        <v>1.9E-2</v>
      </c>
      <c r="AZ54" s="72">
        <v>2023</v>
      </c>
      <c r="BA54" s="7" t="s">
        <v>10</v>
      </c>
      <c r="BB54" s="7">
        <v>0</v>
      </c>
      <c r="BC54" s="7">
        <v>0</v>
      </c>
      <c r="BD54" s="7">
        <v>1</v>
      </c>
      <c r="BE54" s="7">
        <f t="shared" si="27"/>
        <v>1</v>
      </c>
      <c r="BF54" s="79">
        <v>6230.75</v>
      </c>
      <c r="BG54" s="7">
        <f t="shared" ref="BG54:BG63" si="28">SUM(BB43:BB54)</f>
        <v>2</v>
      </c>
      <c r="BH54" s="28">
        <f t="shared" ref="BH54:BH63" si="29">SUM(BF43:BF54)</f>
        <v>55604.5</v>
      </c>
      <c r="BI54" s="29">
        <f t="shared" si="18"/>
        <v>7.031792491803567</v>
      </c>
      <c r="BJ54" s="7">
        <v>1</v>
      </c>
      <c r="BU54" s="7">
        <v>180</v>
      </c>
      <c r="BV54" t="s">
        <v>175</v>
      </c>
      <c r="BW54" s="7"/>
    </row>
    <row r="55" spans="1:75" x14ac:dyDescent="0.25">
      <c r="A55" s="7">
        <v>2025</v>
      </c>
      <c r="B55" s="13">
        <v>46013</v>
      </c>
      <c r="C55" s="117"/>
      <c r="D55" s="7">
        <v>52</v>
      </c>
      <c r="F55" s="5"/>
      <c r="G55" s="5"/>
      <c r="H55" s="5"/>
      <c r="I55" s="5"/>
      <c r="J55" s="6"/>
      <c r="L55" s="8">
        <f t="shared" si="22"/>
        <v>0.97499999999999998</v>
      </c>
      <c r="M55" s="8">
        <f t="shared" si="15"/>
        <v>0.96499999999999986</v>
      </c>
      <c r="N55" s="9">
        <v>0.83</v>
      </c>
      <c r="O55" s="9">
        <v>0.88</v>
      </c>
      <c r="Q55" s="1"/>
      <c r="R55" s="1"/>
      <c r="S55" s="1"/>
      <c r="T55" s="1"/>
      <c r="U55" s="4"/>
      <c r="AA55" s="140">
        <v>144.25</v>
      </c>
      <c r="AB55" s="140">
        <v>86.25</v>
      </c>
      <c r="AC55">
        <f t="shared" si="6"/>
        <v>230.5</v>
      </c>
      <c r="AD55" s="1">
        <f t="shared" si="0"/>
        <v>0.37418655097613884</v>
      </c>
      <c r="AF55">
        <f t="shared" si="26"/>
        <v>38595</v>
      </c>
      <c r="AG55">
        <f t="shared" si="26"/>
        <v>29465.25</v>
      </c>
      <c r="AH55">
        <f t="shared" si="25"/>
        <v>40374.25</v>
      </c>
      <c r="AI55" s="1">
        <f t="shared" si="1"/>
        <v>0.72980303039684946</v>
      </c>
      <c r="AK55" s="110">
        <f>'QC Data 2026'!N55</f>
        <v>0</v>
      </c>
      <c r="AL55" s="134">
        <f t="shared" si="7"/>
        <v>0</v>
      </c>
      <c r="AM55">
        <f t="shared" si="21"/>
        <v>66.5</v>
      </c>
      <c r="AN55" s="134">
        <f t="shared" si="2"/>
        <v>1.7230211167249645E-3</v>
      </c>
      <c r="AO55" s="134">
        <v>1.2500000000000001E-2</v>
      </c>
      <c r="AP55" s="134">
        <v>1.9E-2</v>
      </c>
      <c r="AZ55" s="72">
        <v>2023</v>
      </c>
      <c r="BA55" s="7" t="s">
        <v>11</v>
      </c>
      <c r="BB55" s="7">
        <v>0</v>
      </c>
      <c r="BC55" s="7">
        <v>0</v>
      </c>
      <c r="BD55" s="7">
        <v>1</v>
      </c>
      <c r="BE55" s="7">
        <f t="shared" si="27"/>
        <v>1</v>
      </c>
      <c r="BF55" s="79">
        <v>4990.75</v>
      </c>
      <c r="BG55" s="7">
        <f t="shared" si="28"/>
        <v>2</v>
      </c>
      <c r="BH55" s="28">
        <f t="shared" si="29"/>
        <v>57233.25</v>
      </c>
      <c r="BI55" s="29">
        <f t="shared" si="18"/>
        <v>6.8360584995706102</v>
      </c>
      <c r="BJ55" s="7">
        <v>1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E56" t="s">
        <v>335</v>
      </c>
      <c r="F56" s="5"/>
      <c r="G56" s="5"/>
      <c r="H56" s="5"/>
      <c r="I56" s="5"/>
      <c r="J56" s="6"/>
      <c r="L56" s="8">
        <f t="shared" si="22"/>
        <v>1.01</v>
      </c>
      <c r="M56" s="8">
        <f t="shared" si="15"/>
        <v>0.98199999999999998</v>
      </c>
      <c r="N56" s="9">
        <v>0.83</v>
      </c>
      <c r="O56" s="9">
        <v>0.88</v>
      </c>
      <c r="Q56" s="1"/>
      <c r="R56" s="1"/>
      <c r="S56" s="1"/>
      <c r="T56" s="1"/>
      <c r="U56" s="4"/>
      <c r="AA56" s="140">
        <v>250.75</v>
      </c>
      <c r="AB56" s="140">
        <v>130.5</v>
      </c>
      <c r="AC56">
        <f t="shared" si="6"/>
        <v>381.25</v>
      </c>
      <c r="AD56" s="1">
        <f t="shared" si="0"/>
        <v>0.34229508196721309</v>
      </c>
      <c r="AF56">
        <f t="shared" si="26"/>
        <v>38595</v>
      </c>
      <c r="AG56">
        <f t="shared" si="26"/>
        <v>29465.25</v>
      </c>
      <c r="AH56">
        <f t="shared" si="25"/>
        <v>40755.5</v>
      </c>
      <c r="AI56" s="1">
        <f t="shared" si="1"/>
        <v>0.72297604004367511</v>
      </c>
      <c r="AK56" s="110"/>
      <c r="AL56" s="134"/>
      <c r="AM56" s="110"/>
      <c r="AN56" s="134"/>
      <c r="AO56" s="134"/>
      <c r="AP56" s="134"/>
      <c r="AZ56" s="72">
        <v>2023</v>
      </c>
      <c r="BA56" s="7" t="s">
        <v>12</v>
      </c>
      <c r="BB56" s="7">
        <v>0</v>
      </c>
      <c r="BC56" s="7">
        <v>0</v>
      </c>
      <c r="BD56" s="7">
        <v>0</v>
      </c>
      <c r="BE56" s="7">
        <f t="shared" si="27"/>
        <v>0</v>
      </c>
      <c r="BF56" s="79">
        <v>5013.25</v>
      </c>
      <c r="BG56" s="7">
        <f t="shared" si="28"/>
        <v>2</v>
      </c>
      <c r="BH56" s="28">
        <f t="shared" si="29"/>
        <v>58721.5</v>
      </c>
      <c r="BI56" s="29">
        <f t="shared" si="18"/>
        <v>6.6665000041665623</v>
      </c>
      <c r="BJ56" s="7">
        <v>1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Y57" t="s">
        <v>377</v>
      </c>
      <c r="AA57" s="2">
        <f>SUM(AA4:AA56)</f>
        <v>24042.25</v>
      </c>
      <c r="AB57" s="2">
        <f>SUM(AB4:AB56)</f>
        <v>16713.25</v>
      </c>
      <c r="AC57">
        <f t="shared" si="6"/>
        <v>40755.5</v>
      </c>
      <c r="AD57" s="1">
        <f t="shared" si="0"/>
        <v>0.41008575529683111</v>
      </c>
      <c r="AJ57" t="s">
        <v>377</v>
      </c>
      <c r="AK57" s="110">
        <f>SUM(AK4:AK56)</f>
        <v>66.5</v>
      </c>
      <c r="AL57" s="134">
        <f>AK57/AA57</f>
        <v>2.7659640840603521E-3</v>
      </c>
      <c r="AZ57" s="72">
        <v>2023</v>
      </c>
      <c r="BA57" s="7" t="s">
        <v>13</v>
      </c>
      <c r="BB57" s="7">
        <v>0</v>
      </c>
      <c r="BC57" s="7">
        <v>1</v>
      </c>
      <c r="BD57" s="7">
        <v>0</v>
      </c>
      <c r="BE57" s="7">
        <f t="shared" si="27"/>
        <v>1</v>
      </c>
      <c r="BF57" s="79">
        <v>4337.75</v>
      </c>
      <c r="BG57" s="7">
        <f t="shared" si="28"/>
        <v>2</v>
      </c>
      <c r="BH57" s="28">
        <f t="shared" si="29"/>
        <v>59161.25</v>
      </c>
      <c r="BI57" s="29">
        <f t="shared" si="18"/>
        <v>6.6179968150890325</v>
      </c>
      <c r="BJ57" s="7">
        <v>1</v>
      </c>
      <c r="BU57" s="7">
        <v>205</v>
      </c>
      <c r="BV57" t="s">
        <v>178</v>
      </c>
      <c r="BW57" s="7"/>
    </row>
    <row r="58" spans="1:75" x14ac:dyDescent="0.25">
      <c r="F58" s="91">
        <v>4032</v>
      </c>
      <c r="G58" s="91">
        <v>19262</v>
      </c>
      <c r="H58" s="91">
        <v>16570</v>
      </c>
      <c r="I58" s="91">
        <v>565</v>
      </c>
      <c r="J58" s="91">
        <f>SUM(F58:I58)</f>
        <v>40429</v>
      </c>
      <c r="Q58" s="1"/>
      <c r="R58" s="1"/>
      <c r="S58" s="1"/>
      <c r="T58" s="1"/>
      <c r="U58" s="4"/>
      <c r="AA58" s="2"/>
      <c r="AB58" s="2"/>
      <c r="AZ58" s="72">
        <v>2023</v>
      </c>
      <c r="BA58" s="7" t="s">
        <v>14</v>
      </c>
      <c r="BB58" s="7">
        <v>1</v>
      </c>
      <c r="BC58" s="7">
        <v>0</v>
      </c>
      <c r="BD58" s="7">
        <v>0</v>
      </c>
      <c r="BE58" s="7">
        <f t="shared" si="27"/>
        <v>1</v>
      </c>
      <c r="BF58" s="79">
        <v>3849.75</v>
      </c>
      <c r="BG58" s="7">
        <f t="shared" si="28"/>
        <v>3</v>
      </c>
      <c r="BH58" s="28">
        <f t="shared" si="29"/>
        <v>58981</v>
      </c>
      <c r="BI58" s="29">
        <f t="shared" si="18"/>
        <v>9.9566884054363527</v>
      </c>
      <c r="BJ58" s="7">
        <v>1</v>
      </c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AZ59" s="72">
        <v>2023</v>
      </c>
      <c r="BA59" s="7" t="s">
        <v>15</v>
      </c>
      <c r="BB59" s="7">
        <v>1</v>
      </c>
      <c r="BC59" s="7">
        <v>1</v>
      </c>
      <c r="BD59" s="7">
        <v>0</v>
      </c>
      <c r="BE59" s="7">
        <f t="shared" si="27"/>
        <v>2</v>
      </c>
      <c r="BF59" s="79">
        <v>5185.5</v>
      </c>
      <c r="BG59" s="7">
        <f t="shared" si="28"/>
        <v>4</v>
      </c>
      <c r="BH59" s="28">
        <f t="shared" si="29"/>
        <v>59127</v>
      </c>
      <c r="BI59" s="29">
        <f t="shared" si="18"/>
        <v>13.243498270068038</v>
      </c>
      <c r="BJ59" s="7">
        <v>1</v>
      </c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AZ60" s="72">
        <v>2023</v>
      </c>
      <c r="BA60" s="7" t="s">
        <v>16</v>
      </c>
      <c r="BB60" s="7">
        <v>0</v>
      </c>
      <c r="BC60" s="7">
        <v>0</v>
      </c>
      <c r="BD60" s="7">
        <v>0</v>
      </c>
      <c r="BE60" s="7">
        <f t="shared" si="27"/>
        <v>0</v>
      </c>
      <c r="BF60" s="79">
        <v>4122.75</v>
      </c>
      <c r="BG60" s="7">
        <f t="shared" si="28"/>
        <v>4</v>
      </c>
      <c r="BH60" s="28">
        <f t="shared" si="29"/>
        <v>58484.75</v>
      </c>
      <c r="BI60" s="29">
        <f t="shared" si="18"/>
        <v>13.385816890391075</v>
      </c>
      <c r="BJ60" s="7">
        <v>1</v>
      </c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AZ61" s="72">
        <v>2023</v>
      </c>
      <c r="BA61" s="7" t="s">
        <v>17</v>
      </c>
      <c r="BB61" s="7">
        <v>0</v>
      </c>
      <c r="BC61" s="7">
        <v>0</v>
      </c>
      <c r="BD61" s="7">
        <v>0</v>
      </c>
      <c r="BE61" s="7">
        <f t="shared" si="27"/>
        <v>0</v>
      </c>
      <c r="BF61" s="79">
        <v>5403.75</v>
      </c>
      <c r="BG61" s="7">
        <f t="shared" si="28"/>
        <v>3</v>
      </c>
      <c r="BH61" s="28">
        <f t="shared" si="29"/>
        <v>58914.5</v>
      </c>
      <c r="BI61" s="29">
        <f t="shared" si="18"/>
        <v>9.9676880778144188</v>
      </c>
      <c r="BJ61" s="7">
        <v>1</v>
      </c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AZ62" s="72">
        <v>2023</v>
      </c>
      <c r="BA62" s="7" t="s">
        <v>18</v>
      </c>
      <c r="BB62" s="7">
        <v>0</v>
      </c>
      <c r="BC62" s="7">
        <v>0</v>
      </c>
      <c r="BD62" s="7">
        <v>1</v>
      </c>
      <c r="BE62" s="7">
        <f t="shared" si="27"/>
        <v>1</v>
      </c>
      <c r="BF62" s="79">
        <v>5218.25</v>
      </c>
      <c r="BG62" s="7">
        <f t="shared" si="28"/>
        <v>3</v>
      </c>
      <c r="BH62" s="28">
        <f t="shared" si="29"/>
        <v>59525.75</v>
      </c>
      <c r="BI62" s="29">
        <f t="shared" si="18"/>
        <v>9.8674878609342045</v>
      </c>
      <c r="BJ62" s="7">
        <v>1</v>
      </c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AZ63" s="75">
        <v>2023</v>
      </c>
      <c r="BA63" s="76" t="s">
        <v>19</v>
      </c>
      <c r="BB63" s="76">
        <v>0</v>
      </c>
      <c r="BC63" s="76">
        <v>0</v>
      </c>
      <c r="BD63" s="76">
        <v>0</v>
      </c>
      <c r="BE63" s="76">
        <f t="shared" si="27"/>
        <v>0</v>
      </c>
      <c r="BF63" s="80">
        <v>4308.25</v>
      </c>
      <c r="BG63" s="7">
        <f t="shared" si="28"/>
        <v>3</v>
      </c>
      <c r="BH63" s="28">
        <f t="shared" si="29"/>
        <v>59520</v>
      </c>
      <c r="BI63" s="29">
        <f t="shared" si="18"/>
        <v>9.8684210526315788</v>
      </c>
      <c r="BJ63" s="7">
        <v>1</v>
      </c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AZ64" s="69">
        <v>2024</v>
      </c>
      <c r="BA64" s="70" t="s">
        <v>8</v>
      </c>
      <c r="BB64" s="70">
        <v>0</v>
      </c>
      <c r="BC64" s="70">
        <v>0</v>
      </c>
      <c r="BD64" s="70">
        <v>0</v>
      </c>
      <c r="BE64" s="70">
        <f t="shared" ref="BE64:BE87" si="30">SUM(BB64:BD64)</f>
        <v>0</v>
      </c>
      <c r="BF64" s="78">
        <f>3663.5+1909.25</f>
        <v>5572.75</v>
      </c>
      <c r="BG64" s="7">
        <f t="shared" ref="BG64:BG65" si="31">SUM(BB53:BB64)</f>
        <v>3</v>
      </c>
      <c r="BH64" s="28">
        <f t="shared" ref="BH64:BH71" si="32">SUM(BF53:BF64)</f>
        <v>59702.75</v>
      </c>
      <c r="BI64" s="29">
        <f t="shared" si="18"/>
        <v>9.8388478709143161</v>
      </c>
      <c r="BJ64" s="7">
        <v>1</v>
      </c>
      <c r="BU64" s="7">
        <v>240</v>
      </c>
      <c r="BV64" t="s">
        <v>185</v>
      </c>
      <c r="BW64" s="7"/>
    </row>
    <row r="65" spans="5:75" x14ac:dyDescent="0.25">
      <c r="Q65" s="1"/>
      <c r="R65" s="1"/>
      <c r="S65" s="1"/>
      <c r="T65" s="1"/>
      <c r="U65" s="4"/>
      <c r="AA65" s="2"/>
      <c r="AB65" s="2"/>
      <c r="AZ65" s="72">
        <v>2024</v>
      </c>
      <c r="BA65" s="7" t="s">
        <v>9</v>
      </c>
      <c r="BB65" s="7">
        <v>0</v>
      </c>
      <c r="BC65" s="7">
        <v>0</v>
      </c>
      <c r="BD65" s="7">
        <v>1</v>
      </c>
      <c r="BE65" s="7">
        <f t="shared" si="30"/>
        <v>1</v>
      </c>
      <c r="BF65" s="79">
        <f>3704.75+1733.75</f>
        <v>5438.5</v>
      </c>
      <c r="BG65" s="7">
        <f t="shared" si="31"/>
        <v>2</v>
      </c>
      <c r="BH65" s="28">
        <f t="shared" si="32"/>
        <v>59672</v>
      </c>
      <c r="BI65" s="29">
        <f t="shared" si="18"/>
        <v>6.5625410158813491</v>
      </c>
      <c r="BJ65" s="7">
        <v>1</v>
      </c>
      <c r="BU65" s="7">
        <v>245</v>
      </c>
      <c r="BV65" t="s">
        <v>186</v>
      </c>
      <c r="BW65" s="7"/>
    </row>
    <row r="66" spans="5:75" x14ac:dyDescent="0.25">
      <c r="Q66" s="1"/>
      <c r="R66" s="1"/>
      <c r="S66" s="1"/>
      <c r="T66" s="1"/>
      <c r="U66" s="4"/>
      <c r="AA66" s="2"/>
      <c r="AB66" s="2"/>
      <c r="AZ66" s="72">
        <v>2024</v>
      </c>
      <c r="BA66" s="7" t="s">
        <v>10</v>
      </c>
      <c r="BB66" s="7">
        <v>0</v>
      </c>
      <c r="BC66" s="7">
        <v>0</v>
      </c>
      <c r="BD66" s="7">
        <v>0</v>
      </c>
      <c r="BE66" s="7">
        <f t="shared" si="30"/>
        <v>0</v>
      </c>
      <c r="BF66" s="79">
        <f>4107+1452.5</f>
        <v>5559.5</v>
      </c>
      <c r="BG66" s="7">
        <f>SUM(BB55:BB66)</f>
        <v>2</v>
      </c>
      <c r="BH66" s="28">
        <f t="shared" si="32"/>
        <v>59000.75</v>
      </c>
      <c r="BI66" s="29">
        <f t="shared" si="18"/>
        <v>6.6356175064178862</v>
      </c>
      <c r="BJ66" s="7">
        <v>1</v>
      </c>
      <c r="BM66" s="46" t="s">
        <v>108</v>
      </c>
      <c r="BU66" s="7">
        <v>250</v>
      </c>
      <c r="BV66" t="s">
        <v>187</v>
      </c>
      <c r="BW66" s="7"/>
    </row>
    <row r="67" spans="5:75" x14ac:dyDescent="0.25">
      <c r="Q67" s="1"/>
      <c r="R67" s="1"/>
      <c r="S67" s="1"/>
      <c r="T67" s="1"/>
      <c r="U67" s="4"/>
      <c r="AA67" s="2"/>
      <c r="AB67" s="2"/>
      <c r="AZ67" s="72">
        <v>2024</v>
      </c>
      <c r="BA67" s="7" t="s">
        <v>11</v>
      </c>
      <c r="BB67" s="7">
        <v>0</v>
      </c>
      <c r="BC67" s="7">
        <v>0</v>
      </c>
      <c r="BD67" s="7">
        <v>1</v>
      </c>
      <c r="BE67" s="7">
        <f t="shared" si="30"/>
        <v>1</v>
      </c>
      <c r="BF67" s="79">
        <f>4273.25+1237.75</f>
        <v>5511</v>
      </c>
      <c r="BG67" s="7">
        <f>SUM(BB56:BB67)</f>
        <v>2</v>
      </c>
      <c r="BH67" s="28">
        <f t="shared" si="32"/>
        <v>59521</v>
      </c>
      <c r="BI67" s="29">
        <f>BG67*200000/(BH67+1280)</f>
        <v>6.5788391638295423</v>
      </c>
      <c r="BJ67" s="7">
        <v>1</v>
      </c>
      <c r="BU67" s="7">
        <v>252</v>
      </c>
      <c r="BV67" t="s">
        <v>188</v>
      </c>
      <c r="BW67" s="7"/>
    </row>
    <row r="68" spans="5:75" x14ac:dyDescent="0.25">
      <c r="AA68" s="2"/>
      <c r="AB68" s="2"/>
      <c r="AZ68" s="72">
        <v>2024</v>
      </c>
      <c r="BA68" s="7" t="s">
        <v>12</v>
      </c>
      <c r="BB68" s="7">
        <v>0</v>
      </c>
      <c r="BC68" s="7">
        <v>0</v>
      </c>
      <c r="BD68" s="7">
        <v>1</v>
      </c>
      <c r="BE68" s="7">
        <f t="shared" si="30"/>
        <v>1</v>
      </c>
      <c r="BF68" s="79">
        <f>3747+993</f>
        <v>4740</v>
      </c>
      <c r="BG68" s="7">
        <f>SUM(BB57:BB68)</f>
        <v>2</v>
      </c>
      <c r="BH68" s="28">
        <f t="shared" si="32"/>
        <v>59247.75</v>
      </c>
      <c r="BI68" s="29">
        <f>BG68*200000/(BH68+1280)</f>
        <v>6.6085390585310044</v>
      </c>
      <c r="BJ68" s="7">
        <v>1</v>
      </c>
      <c r="BM68" s="47" t="s">
        <v>4</v>
      </c>
      <c r="BN68" s="47" t="s">
        <v>100</v>
      </c>
      <c r="BO68" s="105" t="s">
        <v>101</v>
      </c>
      <c r="BP68" s="47" t="s">
        <v>109</v>
      </c>
      <c r="BU68" s="7">
        <v>255</v>
      </c>
      <c r="BV68" t="s">
        <v>189</v>
      </c>
      <c r="BW68" s="7"/>
    </row>
    <row r="69" spans="5:75" x14ac:dyDescent="0.25">
      <c r="AA69" s="2"/>
      <c r="AB69" s="2"/>
      <c r="AZ69" s="72">
        <v>2024</v>
      </c>
      <c r="BA69" s="7" t="s">
        <v>13</v>
      </c>
      <c r="BB69" s="7">
        <v>0</v>
      </c>
      <c r="BC69" s="7">
        <v>0</v>
      </c>
      <c r="BD69" s="7">
        <v>0</v>
      </c>
      <c r="BE69" s="7">
        <f t="shared" si="30"/>
        <v>0</v>
      </c>
      <c r="BF69" s="79">
        <f>3713.25+1098</f>
        <v>4811.25</v>
      </c>
      <c r="BG69" s="7">
        <f>SUM(BB58:BB69)</f>
        <v>2</v>
      </c>
      <c r="BH69" s="28">
        <f t="shared" si="32"/>
        <v>59721.25</v>
      </c>
      <c r="BI69" s="29">
        <f>BG69*200000/(BH69+1280)</f>
        <v>6.5572426794532896</v>
      </c>
      <c r="BJ69" s="7">
        <v>1</v>
      </c>
      <c r="BM69" s="47">
        <f>BP40</f>
        <v>26</v>
      </c>
      <c r="BN69" s="47">
        <f>BN40</f>
        <v>15</v>
      </c>
      <c r="BO69" s="105">
        <f>BO40</f>
        <v>11</v>
      </c>
      <c r="BP69" s="48">
        <f>BQ40</f>
        <v>0.57692307692307687</v>
      </c>
      <c r="BU69" s="7">
        <v>257</v>
      </c>
      <c r="BV69" t="s">
        <v>190</v>
      </c>
      <c r="BW69" s="7"/>
    </row>
    <row r="70" spans="5:75" x14ac:dyDescent="0.25">
      <c r="AA70" s="2"/>
      <c r="AB70" s="2"/>
      <c r="AZ70" s="72">
        <v>2024</v>
      </c>
      <c r="BA70" s="7" t="s">
        <v>14</v>
      </c>
      <c r="BB70" s="7">
        <v>0</v>
      </c>
      <c r="BC70" s="7">
        <v>0</v>
      </c>
      <c r="BD70" s="7">
        <v>1</v>
      </c>
      <c r="BE70" s="7">
        <f t="shared" si="30"/>
        <v>1</v>
      </c>
      <c r="BF70" s="79">
        <f>3319.75+1250.75</f>
        <v>4570.5</v>
      </c>
      <c r="BG70" s="7">
        <f t="shared" ref="BG70" si="33">SUM(BB59:BB70)</f>
        <v>1</v>
      </c>
      <c r="BH70" s="28">
        <f t="shared" si="32"/>
        <v>60442</v>
      </c>
      <c r="BI70" s="29">
        <f t="shared" ref="BI70" si="34">BG70*200000/(BH70+1280)</f>
        <v>3.2403356987783933</v>
      </c>
      <c r="BJ70" s="7">
        <v>1</v>
      </c>
      <c r="BU70" s="7">
        <v>260</v>
      </c>
      <c r="BV70" t="s">
        <v>191</v>
      </c>
      <c r="BW70" s="7"/>
    </row>
    <row r="71" spans="5:75" x14ac:dyDescent="0.25">
      <c r="AZ71" s="72">
        <v>2024</v>
      </c>
      <c r="BA71" s="7" t="s">
        <v>15</v>
      </c>
      <c r="BB71" s="7">
        <v>0</v>
      </c>
      <c r="BC71" s="7">
        <v>0</v>
      </c>
      <c r="BD71" s="7">
        <v>0</v>
      </c>
      <c r="BE71" s="7">
        <f t="shared" si="30"/>
        <v>0</v>
      </c>
      <c r="BF71" s="79">
        <f>2316.75+1070.5</f>
        <v>3387.25</v>
      </c>
      <c r="BG71" s="7">
        <f>SUM(BB60:BB71)+0.005</f>
        <v>5.0000000000000001E-3</v>
      </c>
      <c r="BH71" s="28">
        <f t="shared" si="32"/>
        <v>58643.75</v>
      </c>
      <c r="BI71" s="29">
        <f t="shared" ref="BI71:BI74" si="35">BG71*200000/(BH71+1280)+0.075</f>
        <v>9.1687874173428732E-2</v>
      </c>
      <c r="BJ71" s="7">
        <v>1</v>
      </c>
      <c r="BU71" s="7">
        <v>261</v>
      </c>
      <c r="BV71" t="s">
        <v>192</v>
      </c>
      <c r="BW71" s="7"/>
    </row>
    <row r="72" spans="5:75" x14ac:dyDescent="0.25">
      <c r="AZ72" s="72">
        <v>2024</v>
      </c>
      <c r="BA72" s="7" t="s">
        <v>16</v>
      </c>
      <c r="BB72" s="7">
        <v>0</v>
      </c>
      <c r="BC72" s="7">
        <v>1</v>
      </c>
      <c r="BD72" s="7">
        <v>0</v>
      </c>
      <c r="BE72" s="7">
        <f t="shared" si="30"/>
        <v>1</v>
      </c>
      <c r="BF72" s="79">
        <f>1908.75+1084.5</f>
        <v>2993.25</v>
      </c>
      <c r="BG72" s="7">
        <f>SUM(BB61:BB72)+0.005</f>
        <v>5.0000000000000001E-3</v>
      </c>
      <c r="BH72" s="28">
        <f t="shared" ref="BH72:BH73" si="36">SUM(BF61:BF72)</f>
        <v>57514.25</v>
      </c>
      <c r="BI72" s="29">
        <f t="shared" si="35"/>
        <v>9.2008465963933542E-2</v>
      </c>
      <c r="BJ72" s="7">
        <v>1</v>
      </c>
      <c r="BU72" s="7">
        <v>262</v>
      </c>
      <c r="BV72" t="s">
        <v>193</v>
      </c>
      <c r="BW72" s="7"/>
    </row>
    <row r="73" spans="5:75" x14ac:dyDescent="0.25">
      <c r="AZ73" s="72">
        <v>2024</v>
      </c>
      <c r="BA73" s="7" t="s">
        <v>17</v>
      </c>
      <c r="BB73" s="7">
        <v>0</v>
      </c>
      <c r="BC73" s="7">
        <v>1</v>
      </c>
      <c r="BD73" s="7">
        <v>0</v>
      </c>
      <c r="BE73" s="7">
        <f t="shared" si="30"/>
        <v>1</v>
      </c>
      <c r="BF73" s="79">
        <f>2727.75+1453.75</f>
        <v>4181.5</v>
      </c>
      <c r="BG73" s="7">
        <f t="shared" ref="BG73:BG80" si="37">SUM(BB62:BB73)+0.005</f>
        <v>5.0000000000000001E-3</v>
      </c>
      <c r="BH73" s="28">
        <f t="shared" si="36"/>
        <v>56292</v>
      </c>
      <c r="BI73" s="29">
        <f t="shared" si="35"/>
        <v>9.2369554644618906E-2</v>
      </c>
      <c r="BJ73" s="7">
        <v>1</v>
      </c>
      <c r="BU73" s="7">
        <v>265</v>
      </c>
      <c r="BV73" t="s">
        <v>194</v>
      </c>
      <c r="BW73" s="7"/>
    </row>
    <row r="74" spans="5:75" x14ac:dyDescent="0.25">
      <c r="AZ74" s="72">
        <v>2024</v>
      </c>
      <c r="BA74" s="7" t="s">
        <v>18</v>
      </c>
      <c r="BB74" s="7">
        <v>0</v>
      </c>
      <c r="BC74" s="7">
        <v>0</v>
      </c>
      <c r="BD74" s="7">
        <v>1</v>
      </c>
      <c r="BE74" s="7">
        <f t="shared" si="30"/>
        <v>1</v>
      </c>
      <c r="BF74" s="79">
        <f>2000+845.75</f>
        <v>2845.75</v>
      </c>
      <c r="BG74" s="7">
        <f t="shared" si="37"/>
        <v>5.0000000000000001E-3</v>
      </c>
      <c r="BH74" s="28">
        <f t="shared" ref="BH74:BH78" si="38">SUM(BF63:BF74)</f>
        <v>53919.5</v>
      </c>
      <c r="BI74" s="29">
        <f t="shared" si="35"/>
        <v>9.3116106124149667E-2</v>
      </c>
      <c r="BJ74" s="7">
        <v>1</v>
      </c>
      <c r="BU74" s="7">
        <v>270</v>
      </c>
      <c r="BV74" t="s">
        <v>195</v>
      </c>
      <c r="BW74" s="7"/>
    </row>
    <row r="75" spans="5:75" x14ac:dyDescent="0.25">
      <c r="AZ75" s="75">
        <v>2024</v>
      </c>
      <c r="BA75" s="76" t="s">
        <v>19</v>
      </c>
      <c r="BB75" s="76">
        <v>0</v>
      </c>
      <c r="BC75" s="76">
        <v>0</v>
      </c>
      <c r="BD75" s="76">
        <v>1</v>
      </c>
      <c r="BE75" s="76">
        <f t="shared" si="30"/>
        <v>1</v>
      </c>
      <c r="BF75" s="80">
        <f>1461.5+1096</f>
        <v>2557.5</v>
      </c>
      <c r="BG75" s="7">
        <f t="shared" si="37"/>
        <v>5.0000000000000001E-3</v>
      </c>
      <c r="BH75" s="28">
        <f t="shared" si="38"/>
        <v>52168.75</v>
      </c>
      <c r="BI75" s="29">
        <f>BG75*200000/(BH75+1280)+0.07</f>
        <v>8.8709511447882319E-2</v>
      </c>
      <c r="BJ75" s="7">
        <v>1</v>
      </c>
      <c r="BU75" s="7">
        <v>272</v>
      </c>
      <c r="BV75" t="s">
        <v>196</v>
      </c>
      <c r="BW75" s="7"/>
    </row>
    <row r="76" spans="5:75" x14ac:dyDescent="0.25">
      <c r="AZ76" s="69">
        <v>2025</v>
      </c>
      <c r="BA76" s="70" t="s">
        <v>8</v>
      </c>
      <c r="BB76" s="70">
        <v>0</v>
      </c>
      <c r="BC76" s="70">
        <v>0</v>
      </c>
      <c r="BD76" s="70">
        <v>0</v>
      </c>
      <c r="BE76" s="70">
        <f t="shared" si="30"/>
        <v>0</v>
      </c>
      <c r="BF76" s="78">
        <f>1469.25+1451.5</f>
        <v>2920.75</v>
      </c>
      <c r="BG76" s="7">
        <f t="shared" si="37"/>
        <v>5.0000000000000001E-3</v>
      </c>
      <c r="BH76" s="28">
        <f t="shared" si="38"/>
        <v>49516.75</v>
      </c>
      <c r="BI76" s="29">
        <f>BG76*200000/(BH76+1280)+0.07</f>
        <v>8.9686298828173069E-2</v>
      </c>
      <c r="BJ76" s="7">
        <v>1</v>
      </c>
      <c r="BU76" s="7">
        <v>275</v>
      </c>
      <c r="BV76" t="s">
        <v>197</v>
      </c>
      <c r="BW76" s="7"/>
    </row>
    <row r="77" spans="5:75" x14ac:dyDescent="0.25">
      <c r="E77" t="s">
        <v>341</v>
      </c>
      <c r="I77" s="91">
        <v>42677</v>
      </c>
      <c r="AZ77" s="72">
        <v>2025</v>
      </c>
      <c r="BA77" s="7" t="s">
        <v>9</v>
      </c>
      <c r="BB77" s="7">
        <v>0</v>
      </c>
      <c r="BC77" s="7">
        <v>0</v>
      </c>
      <c r="BD77" s="7">
        <v>0</v>
      </c>
      <c r="BE77" s="7">
        <f t="shared" si="30"/>
        <v>0</v>
      </c>
      <c r="BF77" s="79">
        <f>834.5+1860.75</f>
        <v>2695.25</v>
      </c>
      <c r="BG77" s="7">
        <f t="shared" si="37"/>
        <v>5.0000000000000001E-3</v>
      </c>
      <c r="BH77" s="28">
        <f t="shared" si="38"/>
        <v>46773.5</v>
      </c>
      <c r="BI77" s="29">
        <f t="shared" ref="BI77" si="39">BG77*200000/(BH77+1280)+0.07</f>
        <v>9.0810138699574439E-2</v>
      </c>
      <c r="BJ77" s="7">
        <v>1</v>
      </c>
      <c r="BU77" s="7">
        <v>280</v>
      </c>
      <c r="BV77" t="s">
        <v>198</v>
      </c>
      <c r="BW77" s="7"/>
    </row>
    <row r="78" spans="5:75" x14ac:dyDescent="0.25">
      <c r="E78" t="s">
        <v>342</v>
      </c>
      <c r="I78" s="1">
        <v>0.73</v>
      </c>
      <c r="AZ78" s="72">
        <v>2025</v>
      </c>
      <c r="BA78" s="7" t="s">
        <v>10</v>
      </c>
      <c r="BB78" s="7">
        <v>0</v>
      </c>
      <c r="BC78" s="7">
        <v>0</v>
      </c>
      <c r="BD78" s="7">
        <v>0</v>
      </c>
      <c r="BE78" s="7">
        <f t="shared" si="30"/>
        <v>0</v>
      </c>
      <c r="BF78" s="79">
        <f>718.5+1881</f>
        <v>2599.5</v>
      </c>
      <c r="BG78" s="7">
        <f t="shared" si="37"/>
        <v>5.0000000000000001E-3</v>
      </c>
      <c r="BH78" s="28">
        <f t="shared" si="38"/>
        <v>43813.5</v>
      </c>
      <c r="BI78" s="29">
        <f>BG78*200000/(BH78+1280)+0.07</f>
        <v>9.2176145120693678E-2</v>
      </c>
      <c r="BJ78" s="7">
        <v>1</v>
      </c>
      <c r="BU78" s="7">
        <v>282</v>
      </c>
      <c r="BV78" t="s">
        <v>199</v>
      </c>
      <c r="BW78" s="7"/>
    </row>
    <row r="79" spans="5:75" x14ac:dyDescent="0.25">
      <c r="E79" t="s">
        <v>343</v>
      </c>
      <c r="I79" s="91">
        <f>I77*I78</f>
        <v>31154.21</v>
      </c>
      <c r="AZ79" s="72">
        <v>2025</v>
      </c>
      <c r="BA79" s="7" t="s">
        <v>11</v>
      </c>
      <c r="BB79" s="7">
        <v>0</v>
      </c>
      <c r="BC79" s="7">
        <v>0</v>
      </c>
      <c r="BD79" s="7">
        <v>0</v>
      </c>
      <c r="BE79" s="7">
        <f t="shared" si="30"/>
        <v>0</v>
      </c>
      <c r="BF79" s="79">
        <f>518.75+1919.25</f>
        <v>2438</v>
      </c>
      <c r="BG79" s="7">
        <f t="shared" si="37"/>
        <v>5.0000000000000001E-3</v>
      </c>
      <c r="BH79" s="28">
        <f t="shared" ref="BH79:BH80" si="40">SUM(BF68:BF79)</f>
        <v>40740.5</v>
      </c>
      <c r="BI79" s="29">
        <f t="shared" ref="BI79:BI80" si="41">BG79*200000/(BH79+1280)+0.05</f>
        <v>7.3797908163872397E-2</v>
      </c>
      <c r="BJ79" s="7">
        <v>1</v>
      </c>
      <c r="BU79" s="7">
        <v>285</v>
      </c>
      <c r="BV79" t="s">
        <v>200</v>
      </c>
      <c r="BW79" s="7"/>
    </row>
    <row r="80" spans="5:75" x14ac:dyDescent="0.25">
      <c r="AZ80" s="72">
        <v>2025</v>
      </c>
      <c r="BA80" s="7" t="s">
        <v>12</v>
      </c>
      <c r="BB80" s="7">
        <v>0</v>
      </c>
      <c r="BC80" s="7">
        <v>0</v>
      </c>
      <c r="BD80" s="7">
        <v>0</v>
      </c>
      <c r="BE80" s="7">
        <f t="shared" si="30"/>
        <v>0</v>
      </c>
      <c r="BF80" s="79">
        <f>1451.25+1154.25</f>
        <v>2605.5</v>
      </c>
      <c r="BG80" s="7">
        <f t="shared" si="37"/>
        <v>5.0000000000000001E-3</v>
      </c>
      <c r="BH80" s="28">
        <f t="shared" si="40"/>
        <v>38606</v>
      </c>
      <c r="BI80" s="29">
        <f t="shared" si="41"/>
        <v>7.5071453642882216E-2</v>
      </c>
      <c r="BJ80" s="7">
        <v>1</v>
      </c>
      <c r="BU80" s="7">
        <v>290</v>
      </c>
      <c r="BV80" t="s">
        <v>201</v>
      </c>
      <c r="BW80" s="7"/>
    </row>
    <row r="81" spans="5:75" x14ac:dyDescent="0.25">
      <c r="E81" t="s">
        <v>344</v>
      </c>
      <c r="I81" s="1">
        <v>0.85</v>
      </c>
      <c r="AZ81" s="72">
        <v>2025</v>
      </c>
      <c r="BA81" s="7" t="s">
        <v>13</v>
      </c>
      <c r="BB81" s="7">
        <v>0</v>
      </c>
      <c r="BC81" s="7">
        <v>0</v>
      </c>
      <c r="BD81" s="7">
        <v>0</v>
      </c>
      <c r="BE81" s="7">
        <f t="shared" si="30"/>
        <v>0</v>
      </c>
      <c r="BF81" s="79"/>
      <c r="BU81" s="7">
        <v>292</v>
      </c>
      <c r="BV81" t="s">
        <v>202</v>
      </c>
      <c r="BW81" s="7"/>
    </row>
    <row r="82" spans="5:75" x14ac:dyDescent="0.25">
      <c r="E82" t="s">
        <v>345</v>
      </c>
      <c r="I82" s="91">
        <f>I79/I81</f>
        <v>36652.01176470588</v>
      </c>
      <c r="AZ82" s="72">
        <v>2025</v>
      </c>
      <c r="BA82" s="7" t="s">
        <v>14</v>
      </c>
      <c r="BB82" s="7">
        <v>0</v>
      </c>
      <c r="BC82" s="7">
        <v>0</v>
      </c>
      <c r="BD82" s="7">
        <v>0</v>
      </c>
      <c r="BE82" s="7">
        <f t="shared" si="30"/>
        <v>0</v>
      </c>
      <c r="BF82" s="79"/>
      <c r="BU82" s="7">
        <v>295</v>
      </c>
      <c r="BV82" t="s">
        <v>203</v>
      </c>
      <c r="BW82" s="7"/>
    </row>
    <row r="83" spans="5:75" x14ac:dyDescent="0.25">
      <c r="I83" s="91"/>
      <c r="AZ83" s="72">
        <v>2025</v>
      </c>
      <c r="BA83" s="7" t="s">
        <v>15</v>
      </c>
      <c r="BB83" s="7">
        <v>0</v>
      </c>
      <c r="BC83" s="7">
        <v>0</v>
      </c>
      <c r="BD83" s="7">
        <v>0</v>
      </c>
      <c r="BE83" s="7">
        <f t="shared" si="30"/>
        <v>0</v>
      </c>
      <c r="BF83" s="79"/>
      <c r="BU83" s="7">
        <v>300</v>
      </c>
      <c r="BV83" t="s">
        <v>204</v>
      </c>
      <c r="BW83" s="7"/>
    </row>
    <row r="84" spans="5:75" x14ac:dyDescent="0.25">
      <c r="E84" t="s">
        <v>346</v>
      </c>
      <c r="I84" s="91">
        <f>I77-I82</f>
        <v>6024.9882352941204</v>
      </c>
      <c r="AZ84" s="72">
        <v>2025</v>
      </c>
      <c r="BA84" s="7" t="s">
        <v>16</v>
      </c>
      <c r="BB84" s="7">
        <v>0</v>
      </c>
      <c r="BC84" s="7">
        <v>0</v>
      </c>
      <c r="BD84" s="7">
        <v>0</v>
      </c>
      <c r="BE84" s="7">
        <f t="shared" si="30"/>
        <v>0</v>
      </c>
      <c r="BF84" s="79"/>
      <c r="BU84" s="7">
        <v>305</v>
      </c>
      <c r="BV84" t="s">
        <v>205</v>
      </c>
      <c r="BW84" s="7"/>
    </row>
    <row r="85" spans="5:75" x14ac:dyDescent="0.25">
      <c r="AZ85" s="72">
        <v>2025</v>
      </c>
      <c r="BA85" s="7" t="s">
        <v>17</v>
      </c>
      <c r="BB85" s="7">
        <v>0</v>
      </c>
      <c r="BC85" s="7">
        <v>0</v>
      </c>
      <c r="BD85" s="7">
        <v>0</v>
      </c>
      <c r="BE85" s="7">
        <f t="shared" si="30"/>
        <v>0</v>
      </c>
      <c r="BF85" s="79"/>
      <c r="BU85" s="7">
        <v>310</v>
      </c>
      <c r="BV85" t="s">
        <v>206</v>
      </c>
      <c r="BW85" s="7"/>
    </row>
    <row r="86" spans="5:75" x14ac:dyDescent="0.25">
      <c r="E86" t="s">
        <v>347</v>
      </c>
      <c r="I86" s="120">
        <f>I84*30</f>
        <v>180749.64705882361</v>
      </c>
      <c r="AZ86" s="72">
        <v>2025</v>
      </c>
      <c r="BA86" s="7" t="s">
        <v>18</v>
      </c>
      <c r="BB86" s="7">
        <v>0</v>
      </c>
      <c r="BC86" s="7">
        <v>0</v>
      </c>
      <c r="BD86" s="7">
        <v>0</v>
      </c>
      <c r="BE86" s="7">
        <f t="shared" si="30"/>
        <v>0</v>
      </c>
      <c r="BF86" s="79"/>
      <c r="BU86" s="7">
        <v>315</v>
      </c>
      <c r="BV86" t="s">
        <v>207</v>
      </c>
      <c r="BW86" s="7"/>
    </row>
    <row r="87" spans="5:75" x14ac:dyDescent="0.25">
      <c r="AZ87" s="75">
        <v>2025</v>
      </c>
      <c r="BA87" s="76" t="s">
        <v>19</v>
      </c>
      <c r="BB87" s="76">
        <v>0</v>
      </c>
      <c r="BC87" s="76">
        <v>0</v>
      </c>
      <c r="BD87" s="76">
        <v>0</v>
      </c>
      <c r="BE87" s="76">
        <f t="shared" si="30"/>
        <v>0</v>
      </c>
      <c r="BF87" s="80"/>
      <c r="BU87" s="7">
        <v>320</v>
      </c>
      <c r="BV87" t="s">
        <v>208</v>
      </c>
      <c r="BW87" s="7"/>
    </row>
    <row r="88" spans="5:75" x14ac:dyDescent="0.25">
      <c r="BU88" s="7">
        <v>325</v>
      </c>
      <c r="BV88" t="s">
        <v>209</v>
      </c>
      <c r="BW88" s="7"/>
    </row>
    <row r="89" spans="5:75" x14ac:dyDescent="0.25">
      <c r="BU89" s="7">
        <v>326</v>
      </c>
      <c r="BV89" t="s">
        <v>210</v>
      </c>
      <c r="BW89" s="7"/>
    </row>
    <row r="90" spans="5:75" x14ac:dyDescent="0.25">
      <c r="BU90" s="7">
        <v>350</v>
      </c>
      <c r="BV90" t="s">
        <v>211</v>
      </c>
      <c r="BW90" s="7"/>
    </row>
    <row r="91" spans="5:75" x14ac:dyDescent="0.25">
      <c r="BU91" s="7">
        <v>355</v>
      </c>
      <c r="BV91" t="s">
        <v>212</v>
      </c>
      <c r="BW91" s="7"/>
    </row>
    <row r="92" spans="5:75" x14ac:dyDescent="0.25">
      <c r="BU92" s="7">
        <v>360</v>
      </c>
      <c r="BV92" t="s">
        <v>213</v>
      </c>
      <c r="BW92" s="7"/>
    </row>
    <row r="93" spans="5:75" x14ac:dyDescent="0.25">
      <c r="BU93" s="7">
        <v>365</v>
      </c>
      <c r="BV93" t="s">
        <v>214</v>
      </c>
      <c r="BW93" s="7"/>
    </row>
    <row r="94" spans="5:75" x14ac:dyDescent="0.25">
      <c r="BU94" s="7">
        <v>366</v>
      </c>
      <c r="BV94" t="s">
        <v>215</v>
      </c>
      <c r="BW94" s="7"/>
    </row>
    <row r="95" spans="5:75" x14ac:dyDescent="0.25">
      <c r="BU95" s="7">
        <v>370</v>
      </c>
      <c r="BV95" t="s">
        <v>216</v>
      </c>
      <c r="BW95" s="7"/>
    </row>
    <row r="96" spans="5:75" x14ac:dyDescent="0.25">
      <c r="AZ96" s="7">
        <v>2025</v>
      </c>
      <c r="BA96" s="7" t="s">
        <v>49</v>
      </c>
      <c r="BB96" s="7">
        <f>SUM(BB76:BB87)+0.05</f>
        <v>0.05</v>
      </c>
      <c r="BC96" s="7">
        <f>SUM(BC76:BC87)+0.05</f>
        <v>0.05</v>
      </c>
      <c r="BD96" s="7">
        <f>SUM(BD76:BD87)+0.05</f>
        <v>0.05</v>
      </c>
      <c r="BE96" s="7">
        <f>SUM(BE76:BE87)+0.05</f>
        <v>0.05</v>
      </c>
      <c r="BF96" s="119">
        <f t="shared" ref="BF96" si="42">SUM(BF76:BF87)</f>
        <v>13259</v>
      </c>
      <c r="BU96" s="7">
        <v>375</v>
      </c>
      <c r="BV96" t="s">
        <v>217</v>
      </c>
      <c r="BW96" s="7"/>
    </row>
    <row r="97" spans="52:75" x14ac:dyDescent="0.25">
      <c r="AZ97" s="7">
        <v>2024</v>
      </c>
      <c r="BA97" s="7" t="s">
        <v>49</v>
      </c>
      <c r="BB97" s="108">
        <f>SUM(BB64:BB69)+0.05</f>
        <v>0.05</v>
      </c>
      <c r="BC97" s="108">
        <f>SUM(BC64:BC69)+0.05</f>
        <v>0.05</v>
      </c>
      <c r="BD97" s="108">
        <f>SUM(BD64:BD69)</f>
        <v>3</v>
      </c>
      <c r="BE97" s="108">
        <f>SUM(BE64:BE69)</f>
        <v>3</v>
      </c>
      <c r="BF97" s="141">
        <f>SUM(BF64:BF66)</f>
        <v>16570.75</v>
      </c>
      <c r="BG97" t="s">
        <v>379</v>
      </c>
      <c r="BU97" s="7">
        <v>380</v>
      </c>
      <c r="BV97" t="s">
        <v>218</v>
      </c>
      <c r="BW97" s="7"/>
    </row>
    <row r="98" spans="52:75" x14ac:dyDescent="0.25">
      <c r="AZ98" s="7">
        <v>2023</v>
      </c>
      <c r="BA98" s="7" t="s">
        <v>49</v>
      </c>
      <c r="BB98" s="7">
        <f>SUM(BB52:BB56)</f>
        <v>1</v>
      </c>
      <c r="BC98" s="7">
        <f t="shared" ref="BC98:BE98" si="43">SUM(BC52:BC56)</f>
        <v>4</v>
      </c>
      <c r="BD98" s="7">
        <f t="shared" si="43"/>
        <v>3</v>
      </c>
      <c r="BE98" s="7">
        <f t="shared" si="43"/>
        <v>8</v>
      </c>
      <c r="BF98" s="119">
        <f>SUM(BF52:BF56)</f>
        <v>27094</v>
      </c>
      <c r="BU98" s="7">
        <v>382</v>
      </c>
      <c r="BV98" t="s">
        <v>219</v>
      </c>
      <c r="BW98" s="7"/>
    </row>
    <row r="99" spans="52:75" x14ac:dyDescent="0.25">
      <c r="AZ99" s="7">
        <v>2022</v>
      </c>
      <c r="BA99" s="7" t="s">
        <v>49</v>
      </c>
      <c r="BB99" s="7">
        <f>SUM(BB40:BB41)</f>
        <v>0</v>
      </c>
      <c r="BC99" s="7">
        <f>SUM(BC40:BC41)</f>
        <v>1</v>
      </c>
      <c r="BD99" s="7">
        <f>SUM(BD40:BD41)</f>
        <v>2</v>
      </c>
      <c r="BE99" s="7">
        <f>SUM(BE40:BE41)</f>
        <v>3</v>
      </c>
      <c r="BF99" s="119">
        <f>SUM(BF40:BF41)</f>
        <v>9716</v>
      </c>
      <c r="BU99" s="7">
        <v>383</v>
      </c>
      <c r="BV99" t="s">
        <v>220</v>
      </c>
      <c r="BW99" s="7"/>
    </row>
    <row r="100" spans="52:75" x14ac:dyDescent="0.25">
      <c r="AZ100" s="7">
        <v>2021</v>
      </c>
      <c r="BA100" s="7" t="s">
        <v>49</v>
      </c>
      <c r="BB100" s="7">
        <f>SUM(BB28:BB29)</f>
        <v>0</v>
      </c>
      <c r="BC100" s="7">
        <f>SUM(BC28:BC29)</f>
        <v>0</v>
      </c>
      <c r="BD100" s="7">
        <f>SUM(BD28:BD29)</f>
        <v>1</v>
      </c>
      <c r="BE100" s="7">
        <f>SUM(BE28:BE29)</f>
        <v>1</v>
      </c>
      <c r="BF100" s="119">
        <f>SUM(BF28:BF29)</f>
        <v>6331.75</v>
      </c>
      <c r="BU100" s="7">
        <v>385</v>
      </c>
      <c r="BV100" t="s">
        <v>221</v>
      </c>
      <c r="BW100" s="7"/>
    </row>
    <row r="101" spans="52:75" x14ac:dyDescent="0.25">
      <c r="AZ101" s="7">
        <v>2020</v>
      </c>
      <c r="BA101" s="7" t="s">
        <v>49</v>
      </c>
      <c r="BB101" s="7">
        <f>SUM(BB16:BB17)</f>
        <v>0</v>
      </c>
      <c r="BC101" s="7">
        <f>SUM(BC16:BC17)</f>
        <v>1</v>
      </c>
      <c r="BD101" s="7">
        <f>SUM(BD16:BD17)</f>
        <v>1</v>
      </c>
      <c r="BE101" s="7">
        <f>SUM(BE16:BE17)</f>
        <v>2</v>
      </c>
      <c r="BF101" s="119">
        <f>SUM(BF16:BF17)</f>
        <v>7502</v>
      </c>
      <c r="BU101" s="7">
        <v>390</v>
      </c>
      <c r="BV101" t="s">
        <v>222</v>
      </c>
      <c r="BW101" s="7"/>
    </row>
    <row r="102" spans="52:75" x14ac:dyDescent="0.25">
      <c r="AZ102" s="7"/>
      <c r="BA102" s="7"/>
      <c r="BB102" s="7"/>
      <c r="BC102" s="7"/>
      <c r="BD102" s="7"/>
      <c r="BE102" s="7"/>
      <c r="BF102" s="119"/>
      <c r="BU102" s="7">
        <v>395</v>
      </c>
      <c r="BV102" t="s">
        <v>223</v>
      </c>
      <c r="BW102" s="7"/>
    </row>
    <row r="103" spans="52:75" x14ac:dyDescent="0.25">
      <c r="BF103" s="119"/>
      <c r="BU103" s="7">
        <v>450</v>
      </c>
      <c r="BV103" t="s">
        <v>224</v>
      </c>
      <c r="BW103" s="7"/>
    </row>
    <row r="104" spans="52:75" x14ac:dyDescent="0.25">
      <c r="AZ104" t="s">
        <v>78</v>
      </c>
      <c r="BB104" s="7">
        <f>SUM(BB34:BB45)</f>
        <v>0</v>
      </c>
      <c r="BC104" s="7">
        <f>SUM(BC34:BC45)</f>
        <v>12</v>
      </c>
      <c r="BD104" s="7">
        <f>SUM(BD34:BD45)</f>
        <v>8</v>
      </c>
      <c r="BE104" s="7">
        <f>SUM(BE34:BE45)</f>
        <v>20</v>
      </c>
      <c r="BF104" s="119">
        <f>SUM(BF34:BF45)</f>
        <v>50352</v>
      </c>
      <c r="BU104" s="7">
        <v>455</v>
      </c>
      <c r="BV104" t="s">
        <v>225</v>
      </c>
      <c r="BW104" s="7"/>
    </row>
    <row r="105" spans="52:75" x14ac:dyDescent="0.25">
      <c r="BU105" s="7">
        <v>460</v>
      </c>
      <c r="BV105" t="s">
        <v>226</v>
      </c>
      <c r="BW105" s="7"/>
    </row>
    <row r="106" spans="52:75" x14ac:dyDescent="0.25">
      <c r="BU106" s="7">
        <v>465</v>
      </c>
      <c r="BV106" t="s">
        <v>227</v>
      </c>
      <c r="BW106" s="7"/>
    </row>
    <row r="107" spans="52:75" x14ac:dyDescent="0.25">
      <c r="BU107" s="7">
        <v>470</v>
      </c>
      <c r="BV107" t="s">
        <v>228</v>
      </c>
      <c r="BW107" s="7"/>
    </row>
    <row r="108" spans="52:75" x14ac:dyDescent="0.25">
      <c r="BU108" s="7">
        <v>475</v>
      </c>
      <c r="BV108" t="s">
        <v>229</v>
      </c>
      <c r="BW108" s="7"/>
    </row>
    <row r="109" spans="52:75" x14ac:dyDescent="0.25">
      <c r="BU109" s="7">
        <v>477</v>
      </c>
      <c r="BV109" t="s">
        <v>230</v>
      </c>
      <c r="BW109" s="7"/>
    </row>
    <row r="110" spans="52:75" x14ac:dyDescent="0.25">
      <c r="BU110" s="7">
        <v>478</v>
      </c>
      <c r="BV110" t="s">
        <v>231</v>
      </c>
      <c r="BW110" s="7"/>
    </row>
    <row r="111" spans="52:75" x14ac:dyDescent="0.25">
      <c r="BU111" s="7">
        <v>479</v>
      </c>
      <c r="BV111" t="s">
        <v>232</v>
      </c>
      <c r="BW111" s="7"/>
    </row>
    <row r="112" spans="52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1">
    <mergeCell ref="BG2:BJ2"/>
    <mergeCell ref="BL2:BR2"/>
    <mergeCell ref="BU2:BZ2"/>
    <mergeCell ref="AZ1:BF1"/>
    <mergeCell ref="F2:J2"/>
    <mergeCell ref="L2:O2"/>
    <mergeCell ref="Q2:U2"/>
    <mergeCell ref="W2:Y2"/>
    <mergeCell ref="AA2:AD2"/>
    <mergeCell ref="AF2:AI2"/>
    <mergeCell ref="AK2:AP2"/>
  </mergeCells>
  <phoneticPr fontId="1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53"/>
  <sheetViews>
    <sheetView showGridLines="0" zoomScale="60" zoomScaleNormal="60" workbookViewId="0">
      <selection activeCell="AI24" sqref="AI24"/>
    </sheetView>
  </sheetViews>
  <sheetFormatPr defaultRowHeight="15" x14ac:dyDescent="0.25"/>
  <cols>
    <col min="1" max="1" width="2.5703125" customWidth="1"/>
    <col min="5" max="5" width="9.7109375" bestFit="1" customWidth="1"/>
    <col min="16" max="16" width="3.42578125" customWidth="1"/>
  </cols>
  <sheetData>
    <row r="1" spans="2:30" ht="31.5" x14ac:dyDescent="0.25">
      <c r="B1" s="10"/>
      <c r="C1" s="10"/>
      <c r="D1" s="172" t="s">
        <v>82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</f>
        <v>46098</v>
      </c>
      <c r="U1" s="173"/>
      <c r="V1" s="173"/>
      <c r="W1" s="173"/>
      <c r="X1" s="173"/>
      <c r="Y1" s="173"/>
      <c r="Z1" s="12"/>
      <c r="AA1" s="12"/>
      <c r="AB1" s="10"/>
      <c r="AC1" s="10"/>
      <c r="AD1" s="10"/>
    </row>
    <row r="2" spans="2:30" ht="14.25" customHeight="1" x14ac:dyDescent="0.25"/>
    <row r="3" spans="2:30" ht="27" customHeight="1" x14ac:dyDescent="0.25">
      <c r="B3" s="174" t="s">
        <v>84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86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29" spans="2:30" ht="40.5" customHeight="1" x14ac:dyDescent="0.25"/>
    <row r="30" spans="2:30" ht="27" customHeight="1" x14ac:dyDescent="0.25">
      <c r="B30" s="174" t="s">
        <v>380</v>
      </c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6"/>
      <c r="Q30" s="174" t="s">
        <v>87</v>
      </c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6"/>
    </row>
    <row r="32" spans="2:30" x14ac:dyDescent="0.25">
      <c r="Q32" s="166" t="s">
        <v>88</v>
      </c>
      <c r="R32" s="167"/>
      <c r="S32" s="167"/>
      <c r="T32" s="167"/>
      <c r="U32" s="167"/>
      <c r="V32" s="167"/>
      <c r="W32" s="167"/>
      <c r="X32" s="167"/>
      <c r="Y32" s="167"/>
      <c r="Z32" s="168"/>
      <c r="AA32" s="166" t="s">
        <v>89</v>
      </c>
      <c r="AB32" s="168"/>
      <c r="AC32" s="166" t="s">
        <v>90</v>
      </c>
      <c r="AD32" s="168"/>
    </row>
    <row r="33" spans="17:30" x14ac:dyDescent="0.25">
      <c r="Q33" s="169"/>
      <c r="R33" s="170"/>
      <c r="S33" s="170"/>
      <c r="T33" s="170"/>
      <c r="U33" s="170"/>
      <c r="V33" s="170"/>
      <c r="W33" s="170"/>
      <c r="X33" s="170"/>
      <c r="Y33" s="170"/>
      <c r="Z33" s="171"/>
      <c r="AA33" s="169"/>
      <c r="AB33" s="171"/>
      <c r="AC33" s="169"/>
      <c r="AD33" s="171"/>
    </row>
    <row r="34" spans="17:30" ht="15" customHeight="1" x14ac:dyDescent="0.25">
      <c r="Q34" s="198" t="s">
        <v>371</v>
      </c>
      <c r="R34" s="184"/>
      <c r="S34" s="184"/>
      <c r="T34" s="184"/>
      <c r="U34" s="184"/>
      <c r="V34" s="184"/>
      <c r="W34" s="184"/>
      <c r="X34" s="184"/>
      <c r="Y34" s="184"/>
      <c r="Z34" s="185"/>
      <c r="AA34" s="192" t="s">
        <v>361</v>
      </c>
      <c r="AB34" s="193"/>
      <c r="AC34" s="160" t="s">
        <v>372</v>
      </c>
      <c r="AD34" s="161"/>
    </row>
    <row r="35" spans="17:30" ht="15" customHeight="1" x14ac:dyDescent="0.25">
      <c r="Q35" s="186"/>
      <c r="R35" s="187"/>
      <c r="S35" s="187"/>
      <c r="T35" s="187"/>
      <c r="U35" s="187"/>
      <c r="V35" s="187"/>
      <c r="W35" s="187"/>
      <c r="X35" s="187"/>
      <c r="Y35" s="187"/>
      <c r="Z35" s="188"/>
      <c r="AA35" s="194"/>
      <c r="AB35" s="195"/>
      <c r="AC35" s="162"/>
      <c r="AD35" s="163"/>
    </row>
    <row r="36" spans="17:30" ht="15" customHeight="1" x14ac:dyDescent="0.25">
      <c r="Q36" s="186"/>
      <c r="R36" s="187"/>
      <c r="S36" s="187"/>
      <c r="T36" s="187"/>
      <c r="U36" s="187"/>
      <c r="V36" s="187"/>
      <c r="W36" s="187"/>
      <c r="X36" s="187"/>
      <c r="Y36" s="187"/>
      <c r="Z36" s="188"/>
      <c r="AA36" s="194"/>
      <c r="AB36" s="195"/>
      <c r="AC36" s="162"/>
      <c r="AD36" s="163"/>
    </row>
    <row r="37" spans="17:30" ht="15" customHeight="1" x14ac:dyDescent="0.25">
      <c r="Q37" s="189"/>
      <c r="R37" s="190"/>
      <c r="S37" s="190"/>
      <c r="T37" s="190"/>
      <c r="U37" s="190"/>
      <c r="V37" s="190"/>
      <c r="W37" s="190"/>
      <c r="X37" s="190"/>
      <c r="Y37" s="190"/>
      <c r="Z37" s="191"/>
      <c r="AA37" s="196"/>
      <c r="AB37" s="197"/>
      <c r="AC37" s="164"/>
      <c r="AD37" s="165"/>
    </row>
    <row r="38" spans="17:30" ht="15" customHeight="1" x14ac:dyDescent="0.25">
      <c r="Q38" s="145" t="s">
        <v>365</v>
      </c>
      <c r="R38" s="146"/>
      <c r="S38" s="146"/>
      <c r="T38" s="146"/>
      <c r="U38" s="146"/>
      <c r="V38" s="146"/>
      <c r="W38" s="146"/>
      <c r="X38" s="146"/>
      <c r="Y38" s="146"/>
      <c r="Z38" s="147"/>
      <c r="AA38" s="192" t="s">
        <v>330</v>
      </c>
      <c r="AB38" s="193"/>
      <c r="AC38" s="199">
        <v>45397</v>
      </c>
      <c r="AD38" s="200"/>
    </row>
    <row r="39" spans="17:30" ht="15" customHeight="1" x14ac:dyDescent="0.25">
      <c r="Q39" s="148"/>
      <c r="R39" s="149"/>
      <c r="S39" s="149"/>
      <c r="T39" s="149"/>
      <c r="U39" s="149"/>
      <c r="V39" s="149"/>
      <c r="W39" s="149"/>
      <c r="X39" s="149"/>
      <c r="Y39" s="149"/>
      <c r="Z39" s="150"/>
      <c r="AA39" s="194"/>
      <c r="AB39" s="195"/>
      <c r="AC39" s="201"/>
      <c r="AD39" s="202"/>
    </row>
    <row r="40" spans="17:30" ht="15" customHeight="1" x14ac:dyDescent="0.25">
      <c r="Q40" s="148"/>
      <c r="R40" s="149"/>
      <c r="S40" s="149"/>
      <c r="T40" s="149"/>
      <c r="U40" s="149"/>
      <c r="V40" s="149"/>
      <c r="W40" s="149"/>
      <c r="X40" s="149"/>
      <c r="Y40" s="149"/>
      <c r="Z40" s="150"/>
      <c r="AA40" s="194"/>
      <c r="AB40" s="195"/>
      <c r="AC40" s="201"/>
      <c r="AD40" s="202"/>
    </row>
    <row r="41" spans="17:30" ht="15" customHeight="1" x14ac:dyDescent="0.25">
      <c r="Q41" s="151"/>
      <c r="R41" s="152"/>
      <c r="S41" s="152"/>
      <c r="T41" s="152"/>
      <c r="U41" s="152"/>
      <c r="V41" s="152"/>
      <c r="W41" s="152"/>
      <c r="X41" s="152"/>
      <c r="Y41" s="152"/>
      <c r="Z41" s="153"/>
      <c r="AA41" s="196"/>
      <c r="AB41" s="197"/>
      <c r="AC41" s="203"/>
      <c r="AD41" s="204"/>
    </row>
    <row r="42" spans="17:30" ht="14.45" customHeight="1" x14ac:dyDescent="0.25">
      <c r="Q42" s="145" t="s">
        <v>387</v>
      </c>
      <c r="R42" s="146"/>
      <c r="S42" s="146"/>
      <c r="T42" s="146"/>
      <c r="U42" s="146"/>
      <c r="V42" s="146"/>
      <c r="W42" s="146"/>
      <c r="X42" s="146"/>
      <c r="Y42" s="146"/>
      <c r="Z42" s="147"/>
      <c r="AA42" s="192" t="s">
        <v>361</v>
      </c>
      <c r="AB42" s="193"/>
      <c r="AC42" s="160" t="s">
        <v>372</v>
      </c>
      <c r="AD42" s="161"/>
    </row>
    <row r="43" spans="17:30" ht="14.45" customHeight="1" x14ac:dyDescent="0.25">
      <c r="Q43" s="148"/>
      <c r="R43" s="149"/>
      <c r="S43" s="149"/>
      <c r="T43" s="149"/>
      <c r="U43" s="149"/>
      <c r="V43" s="149"/>
      <c r="W43" s="149"/>
      <c r="X43" s="149"/>
      <c r="Y43" s="149"/>
      <c r="Z43" s="150"/>
      <c r="AA43" s="194"/>
      <c r="AB43" s="195"/>
      <c r="AC43" s="162"/>
      <c r="AD43" s="163"/>
    </row>
    <row r="44" spans="17:30" ht="14.45" customHeight="1" x14ac:dyDescent="0.25">
      <c r="Q44" s="148"/>
      <c r="R44" s="149"/>
      <c r="S44" s="149"/>
      <c r="T44" s="149"/>
      <c r="U44" s="149"/>
      <c r="V44" s="149"/>
      <c r="W44" s="149"/>
      <c r="X44" s="149"/>
      <c r="Y44" s="149"/>
      <c r="Z44" s="150"/>
      <c r="AA44" s="194"/>
      <c r="AB44" s="195"/>
      <c r="AC44" s="162"/>
      <c r="AD44" s="163"/>
    </row>
    <row r="45" spans="17:30" ht="14.45" customHeight="1" x14ac:dyDescent="0.25">
      <c r="Q45" s="151"/>
      <c r="R45" s="152"/>
      <c r="S45" s="152"/>
      <c r="T45" s="152"/>
      <c r="U45" s="152"/>
      <c r="V45" s="152"/>
      <c r="W45" s="152"/>
      <c r="X45" s="152"/>
      <c r="Y45" s="152"/>
      <c r="Z45" s="153"/>
      <c r="AA45" s="196"/>
      <c r="AB45" s="197"/>
      <c r="AC45" s="164"/>
      <c r="AD45" s="165"/>
    </row>
    <row r="46" spans="17:30" ht="15" customHeight="1" x14ac:dyDescent="0.25">
      <c r="Q46" s="145" t="s">
        <v>367</v>
      </c>
      <c r="R46" s="146"/>
      <c r="S46" s="146"/>
      <c r="T46" s="146"/>
      <c r="U46" s="146"/>
      <c r="V46" s="146"/>
      <c r="W46" s="146"/>
      <c r="X46" s="146"/>
      <c r="Y46" s="146"/>
      <c r="Z46" s="147"/>
      <c r="AA46" s="192" t="s">
        <v>366</v>
      </c>
      <c r="AB46" s="193"/>
      <c r="AC46" s="160" t="s">
        <v>372</v>
      </c>
      <c r="AD46" s="161"/>
    </row>
    <row r="47" spans="17:30" ht="15" customHeight="1" x14ac:dyDescent="0.25">
      <c r="Q47" s="148"/>
      <c r="R47" s="149"/>
      <c r="S47" s="149"/>
      <c r="T47" s="149"/>
      <c r="U47" s="149"/>
      <c r="V47" s="149"/>
      <c r="W47" s="149"/>
      <c r="X47" s="149"/>
      <c r="Y47" s="149"/>
      <c r="Z47" s="150"/>
      <c r="AA47" s="194"/>
      <c r="AB47" s="195"/>
      <c r="AC47" s="162"/>
      <c r="AD47" s="163"/>
    </row>
    <row r="48" spans="17:30" ht="15" customHeight="1" x14ac:dyDescent="0.25">
      <c r="Q48" s="148"/>
      <c r="R48" s="149"/>
      <c r="S48" s="149"/>
      <c r="T48" s="149"/>
      <c r="U48" s="149"/>
      <c r="V48" s="149"/>
      <c r="W48" s="149"/>
      <c r="X48" s="149"/>
      <c r="Y48" s="149"/>
      <c r="Z48" s="150"/>
      <c r="AA48" s="194"/>
      <c r="AB48" s="195"/>
      <c r="AC48" s="162"/>
      <c r="AD48" s="163"/>
    </row>
    <row r="49" spans="17:30" ht="15" customHeight="1" x14ac:dyDescent="0.25">
      <c r="Q49" s="151"/>
      <c r="R49" s="152"/>
      <c r="S49" s="152"/>
      <c r="T49" s="152"/>
      <c r="U49" s="152"/>
      <c r="V49" s="152"/>
      <c r="W49" s="152"/>
      <c r="X49" s="152"/>
      <c r="Y49" s="152"/>
      <c r="Z49" s="153"/>
      <c r="AA49" s="196"/>
      <c r="AB49" s="197"/>
      <c r="AC49" s="164"/>
      <c r="AD49" s="165"/>
    </row>
    <row r="50" spans="17:30" ht="15" customHeight="1" x14ac:dyDescent="0.25">
      <c r="Q50" s="145"/>
      <c r="R50" s="184"/>
      <c r="S50" s="184"/>
      <c r="T50" s="184"/>
      <c r="U50" s="184"/>
      <c r="V50" s="184"/>
      <c r="W50" s="184"/>
      <c r="X50" s="184"/>
      <c r="Y50" s="184"/>
      <c r="Z50" s="185"/>
      <c r="AA50" s="192"/>
      <c r="AB50" s="193"/>
      <c r="AC50" s="160"/>
      <c r="AD50" s="161"/>
    </row>
    <row r="51" spans="17:30" ht="15" customHeight="1" x14ac:dyDescent="0.25">
      <c r="Q51" s="186"/>
      <c r="R51" s="187"/>
      <c r="S51" s="187"/>
      <c r="T51" s="187"/>
      <c r="U51" s="187"/>
      <c r="V51" s="187"/>
      <c r="W51" s="187"/>
      <c r="X51" s="187"/>
      <c r="Y51" s="187"/>
      <c r="Z51" s="188"/>
      <c r="AA51" s="194"/>
      <c r="AB51" s="195"/>
      <c r="AC51" s="162"/>
      <c r="AD51" s="163"/>
    </row>
    <row r="52" spans="17:30" ht="15" customHeight="1" x14ac:dyDescent="0.25">
      <c r="Q52" s="186"/>
      <c r="R52" s="187"/>
      <c r="S52" s="187"/>
      <c r="T52" s="187"/>
      <c r="U52" s="187"/>
      <c r="V52" s="187"/>
      <c r="W52" s="187"/>
      <c r="X52" s="187"/>
      <c r="Y52" s="187"/>
      <c r="Z52" s="188"/>
      <c r="AA52" s="194"/>
      <c r="AB52" s="195"/>
      <c r="AC52" s="162"/>
      <c r="AD52" s="163"/>
    </row>
    <row r="53" spans="17:30" ht="15" customHeight="1" x14ac:dyDescent="0.25">
      <c r="Q53" s="189"/>
      <c r="R53" s="190"/>
      <c r="S53" s="190"/>
      <c r="T53" s="190"/>
      <c r="U53" s="190"/>
      <c r="V53" s="190"/>
      <c r="W53" s="190"/>
      <c r="X53" s="190"/>
      <c r="Y53" s="190"/>
      <c r="Z53" s="191"/>
      <c r="AA53" s="196"/>
      <c r="AB53" s="197"/>
      <c r="AC53" s="164"/>
      <c r="AD53" s="165"/>
    </row>
  </sheetData>
  <mergeCells count="24">
    <mergeCell ref="AA42:AB45"/>
    <mergeCell ref="AA46:AB49"/>
    <mergeCell ref="AA50:AB53"/>
    <mergeCell ref="AC34:AD37"/>
    <mergeCell ref="AC38:AD41"/>
    <mergeCell ref="AC42:AD45"/>
    <mergeCell ref="AC46:AD49"/>
    <mergeCell ref="AC50:AD53"/>
    <mergeCell ref="Q42:Z45"/>
    <mergeCell ref="Q46:Z49"/>
    <mergeCell ref="Q50:Z53"/>
    <mergeCell ref="AA34:AB37"/>
    <mergeCell ref="D1:R1"/>
    <mergeCell ref="T1:Y1"/>
    <mergeCell ref="B3:O3"/>
    <mergeCell ref="Q3:AD3"/>
    <mergeCell ref="B30:O30"/>
    <mergeCell ref="Q30:AD30"/>
    <mergeCell ref="Q32:Z33"/>
    <mergeCell ref="AA32:AB33"/>
    <mergeCell ref="AC32:AD33"/>
    <mergeCell ref="Q34:Z37"/>
    <mergeCell ref="Q38:Z41"/>
    <mergeCell ref="AA38:AB41"/>
  </mergeCells>
  <printOptions horizontalCentered="1"/>
  <pageMargins left="0.25" right="0.25" top="0.5" bottom="0.5" header="0.3" footer="0.3"/>
  <pageSetup paperSize="3" scale="7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9743-0F74-409A-A05F-A68ECB78F978}">
  <dimension ref="A2:AF68"/>
  <sheetViews>
    <sheetView topLeftCell="B1" workbookViewId="0">
      <selection activeCell="AF23" sqref="AF23"/>
    </sheetView>
  </sheetViews>
  <sheetFormatPr defaultRowHeight="15" x14ac:dyDescent="0.25"/>
  <cols>
    <col min="2" max="2" width="10.7109375" bestFit="1" customWidth="1"/>
    <col min="7" max="7" width="9.42578125" customWidth="1"/>
    <col min="10" max="10" width="3.85546875" customWidth="1"/>
    <col min="14" max="14" width="9.5703125" bestFit="1" customWidth="1"/>
    <col min="15" max="15" width="2.7109375" customWidth="1"/>
    <col min="18" max="18" width="11.140625" customWidth="1"/>
    <col min="19" max="19" width="9.5703125" bestFit="1" customWidth="1"/>
    <col min="20" max="20" width="2.140625" customWidth="1"/>
    <col min="24" max="24" width="10" bestFit="1" customWidth="1"/>
    <col min="25" max="25" width="11.7109375" customWidth="1"/>
    <col min="26" max="26" width="2.42578125" customWidth="1"/>
  </cols>
  <sheetData>
    <row r="2" spans="1:32" x14ac:dyDescent="0.25">
      <c r="F2" s="181" t="s">
        <v>307</v>
      </c>
      <c r="G2" s="182"/>
      <c r="H2" s="182"/>
      <c r="I2" s="183"/>
      <c r="K2" s="181" t="s">
        <v>320</v>
      </c>
      <c r="L2" s="182"/>
      <c r="M2" s="182"/>
      <c r="N2" s="183"/>
      <c r="P2" s="181" t="s">
        <v>321</v>
      </c>
      <c r="Q2" s="182"/>
      <c r="R2" s="182"/>
      <c r="S2" s="183"/>
      <c r="U2" s="181" t="s">
        <v>318</v>
      </c>
      <c r="V2" s="182"/>
      <c r="W2" s="182"/>
      <c r="X2" s="182"/>
      <c r="Y2" s="183"/>
    </row>
    <row r="3" spans="1:32" x14ac:dyDescent="0.25">
      <c r="A3" s="7" t="s">
        <v>32</v>
      </c>
      <c r="B3" s="7" t="s">
        <v>33</v>
      </c>
      <c r="C3" s="7" t="s">
        <v>31</v>
      </c>
      <c r="D3" s="7" t="s">
        <v>34</v>
      </c>
      <c r="F3" s="7" t="s">
        <v>309</v>
      </c>
      <c r="G3" s="7" t="s">
        <v>308</v>
      </c>
      <c r="H3" s="7" t="s">
        <v>310</v>
      </c>
      <c r="I3" s="47" t="s">
        <v>4</v>
      </c>
      <c r="K3" s="7" t="s">
        <v>315</v>
      </c>
      <c r="L3" s="7" t="s">
        <v>316</v>
      </c>
      <c r="M3" s="7" t="s">
        <v>317</v>
      </c>
      <c r="N3" s="7" t="s">
        <v>4</v>
      </c>
      <c r="P3" s="7" t="s">
        <v>315</v>
      </c>
      <c r="Q3" s="7" t="s">
        <v>316</v>
      </c>
      <c r="R3" s="7" t="s">
        <v>317</v>
      </c>
      <c r="S3" s="7" t="s">
        <v>4</v>
      </c>
      <c r="T3" s="7"/>
      <c r="U3" s="7" t="s">
        <v>315</v>
      </c>
      <c r="V3" s="7" t="s">
        <v>316</v>
      </c>
      <c r="W3" s="7" t="s">
        <v>317</v>
      </c>
      <c r="X3" s="7" t="s">
        <v>4</v>
      </c>
      <c r="Y3" s="7" t="s">
        <v>4</v>
      </c>
      <c r="AB3" s="7" t="s">
        <v>315</v>
      </c>
      <c r="AC3" s="7" t="s">
        <v>316</v>
      </c>
      <c r="AD3" s="7" t="s">
        <v>317</v>
      </c>
      <c r="AE3" s="7" t="s">
        <v>4</v>
      </c>
      <c r="AF3" s="7" t="s">
        <v>7</v>
      </c>
    </row>
    <row r="4" spans="1:32" x14ac:dyDescent="0.25">
      <c r="A4" s="7">
        <v>2026</v>
      </c>
      <c r="B4" s="13">
        <v>46020</v>
      </c>
      <c r="C4" s="115"/>
      <c r="D4" s="7">
        <v>1</v>
      </c>
      <c r="F4" s="88">
        <v>0</v>
      </c>
      <c r="G4" s="88">
        <v>0</v>
      </c>
      <c r="H4" s="88">
        <v>0</v>
      </c>
      <c r="I4" s="89">
        <f>F4+G4+H4</f>
        <v>0</v>
      </c>
      <c r="K4" s="88">
        <v>0</v>
      </c>
      <c r="L4" s="88">
        <v>0</v>
      </c>
      <c r="M4" s="88">
        <v>0</v>
      </c>
      <c r="N4" s="7">
        <f>SUM(K4:M4)</f>
        <v>0</v>
      </c>
      <c r="P4" s="92">
        <v>0</v>
      </c>
      <c r="Q4" s="92">
        <v>0</v>
      </c>
      <c r="R4" s="92">
        <v>0</v>
      </c>
      <c r="S4" s="92">
        <f>SUM(P4:R4)</f>
        <v>0</v>
      </c>
      <c r="U4" s="92">
        <f>(K4*80)+P4</f>
        <v>0</v>
      </c>
      <c r="V4" s="92">
        <f>(L4*80)+Q4</f>
        <v>0</v>
      </c>
      <c r="W4" s="92">
        <f>(M4*80)+R4</f>
        <v>0</v>
      </c>
      <c r="X4" s="92">
        <f>SUM(U4:W4)</f>
        <v>0</v>
      </c>
      <c r="Y4" s="92">
        <v>1500</v>
      </c>
      <c r="AA4" s="7" t="s">
        <v>8</v>
      </c>
      <c r="AB4" s="93">
        <f>U4+U5+U6+U7+U8</f>
        <v>4106</v>
      </c>
      <c r="AC4" s="93">
        <f>V4+V5+V6+V7+V8</f>
        <v>0</v>
      </c>
      <c r="AD4" s="93">
        <f>W4+W5+W6+W7+W8</f>
        <v>0</v>
      </c>
      <c r="AE4" s="93">
        <f>SUM(AB4:AD4)</f>
        <v>4106</v>
      </c>
      <c r="AF4" s="93">
        <v>6500</v>
      </c>
    </row>
    <row r="5" spans="1:32" x14ac:dyDescent="0.25">
      <c r="A5" s="7">
        <v>2026</v>
      </c>
      <c r="B5" s="13">
        <v>46027</v>
      </c>
      <c r="C5" s="116"/>
      <c r="D5" s="7">
        <v>2</v>
      </c>
      <c r="F5" s="88">
        <v>0</v>
      </c>
      <c r="G5" s="88">
        <v>0</v>
      </c>
      <c r="H5" s="88">
        <v>4</v>
      </c>
      <c r="I5" s="89">
        <f t="shared" ref="I5:I56" si="0">F5+G5+H5</f>
        <v>4</v>
      </c>
      <c r="K5" s="88">
        <v>14</v>
      </c>
      <c r="L5" s="88">
        <v>0</v>
      </c>
      <c r="M5" s="88">
        <v>0</v>
      </c>
      <c r="N5" s="7">
        <f t="shared" ref="N5:N56" si="1">SUM(K5:M5)</f>
        <v>14</v>
      </c>
      <c r="P5" s="92">
        <v>0</v>
      </c>
      <c r="Q5" s="92">
        <v>0</v>
      </c>
      <c r="R5" s="92">
        <v>0</v>
      </c>
      <c r="S5" s="92">
        <f t="shared" ref="S5:S56" si="2">SUM(P5:R5)</f>
        <v>0</v>
      </c>
      <c r="U5" s="92">
        <f t="shared" ref="U5:W14" si="3">(K5*80)+P5</f>
        <v>1120</v>
      </c>
      <c r="V5" s="92">
        <f t="shared" si="3"/>
        <v>0</v>
      </c>
      <c r="W5" s="92">
        <f t="shared" si="3"/>
        <v>0</v>
      </c>
      <c r="X5" s="92">
        <f t="shared" ref="X5:X14" si="4">SUM(U5:W5)</f>
        <v>1120</v>
      </c>
      <c r="Y5" s="92">
        <v>1500</v>
      </c>
      <c r="AA5" s="7" t="s">
        <v>9</v>
      </c>
      <c r="AB5" s="93">
        <f>U9+U10+U11+U12</f>
        <v>1520</v>
      </c>
      <c r="AC5" s="93">
        <f>V9+V10+V11+V12</f>
        <v>0</v>
      </c>
      <c r="AD5" s="93">
        <f>W9+W10+W11+W12</f>
        <v>0</v>
      </c>
      <c r="AE5" s="93">
        <f t="shared" ref="AE5:AE15" si="5">SUM(AB5:AD5)</f>
        <v>1520</v>
      </c>
      <c r="AF5" s="93">
        <v>6500</v>
      </c>
    </row>
    <row r="6" spans="1:32" x14ac:dyDescent="0.25">
      <c r="A6" s="7">
        <v>2026</v>
      </c>
      <c r="B6" s="13">
        <v>46034</v>
      </c>
      <c r="C6" s="116" t="s">
        <v>8</v>
      </c>
      <c r="D6" s="7">
        <v>3</v>
      </c>
      <c r="F6" s="88">
        <v>2</v>
      </c>
      <c r="G6" s="88">
        <v>1</v>
      </c>
      <c r="H6" s="88">
        <v>1</v>
      </c>
      <c r="I6" s="89">
        <f t="shared" si="0"/>
        <v>4</v>
      </c>
      <c r="K6" s="128">
        <v>0</v>
      </c>
      <c r="L6" s="88">
        <v>0</v>
      </c>
      <c r="M6" s="88">
        <v>0</v>
      </c>
      <c r="N6" s="7">
        <f t="shared" si="1"/>
        <v>0</v>
      </c>
      <c r="P6" s="92">
        <v>0</v>
      </c>
      <c r="Q6" s="92">
        <v>0</v>
      </c>
      <c r="R6" s="92">
        <v>0</v>
      </c>
      <c r="S6" s="92">
        <f t="shared" si="2"/>
        <v>0</v>
      </c>
      <c r="U6" s="92">
        <f t="shared" si="3"/>
        <v>0</v>
      </c>
      <c r="V6" s="92">
        <f t="shared" si="3"/>
        <v>0</v>
      </c>
      <c r="W6" s="92">
        <f t="shared" si="3"/>
        <v>0</v>
      </c>
      <c r="X6" s="92">
        <f t="shared" si="4"/>
        <v>0</v>
      </c>
      <c r="Y6" s="92">
        <v>1500</v>
      </c>
      <c r="AA6" s="7" t="s">
        <v>10</v>
      </c>
      <c r="AB6" s="93">
        <f>U13+U14+U15+U16</f>
        <v>240</v>
      </c>
      <c r="AC6" s="93">
        <f>V13+V14+V15+V16</f>
        <v>0</v>
      </c>
      <c r="AD6" s="93">
        <f>W13+W14+W15+W16</f>
        <v>0</v>
      </c>
      <c r="AE6" s="93">
        <f t="shared" si="5"/>
        <v>240</v>
      </c>
      <c r="AF6" s="93">
        <v>6500</v>
      </c>
    </row>
    <row r="7" spans="1:32" x14ac:dyDescent="0.25">
      <c r="A7" s="7">
        <v>2026</v>
      </c>
      <c r="B7" s="13">
        <v>46041</v>
      </c>
      <c r="C7" s="116"/>
      <c r="D7" s="7">
        <v>4</v>
      </c>
      <c r="F7" s="88">
        <v>0</v>
      </c>
      <c r="G7" s="88">
        <v>3</v>
      </c>
      <c r="H7" s="88">
        <v>2</v>
      </c>
      <c r="I7" s="89">
        <f t="shared" si="0"/>
        <v>5</v>
      </c>
      <c r="K7" s="128">
        <v>7.5</v>
      </c>
      <c r="L7" s="88">
        <v>0</v>
      </c>
      <c r="M7" s="88">
        <v>0</v>
      </c>
      <c r="N7" s="7">
        <f t="shared" si="1"/>
        <v>7.5</v>
      </c>
      <c r="P7" s="92">
        <v>1626</v>
      </c>
      <c r="Q7" s="92">
        <v>0</v>
      </c>
      <c r="R7" s="92">
        <v>0</v>
      </c>
      <c r="S7" s="92">
        <f t="shared" si="2"/>
        <v>1626</v>
      </c>
      <c r="U7" s="92">
        <f t="shared" si="3"/>
        <v>2226</v>
      </c>
      <c r="V7" s="92">
        <f t="shared" si="3"/>
        <v>0</v>
      </c>
      <c r="W7" s="92">
        <f t="shared" si="3"/>
        <v>0</v>
      </c>
      <c r="X7" s="92">
        <f t="shared" si="4"/>
        <v>2226</v>
      </c>
      <c r="Y7" s="92">
        <v>1500</v>
      </c>
      <c r="AA7" s="7" t="s">
        <v>11</v>
      </c>
      <c r="AB7" s="93">
        <f>U17+U18+U19+U20</f>
        <v>0</v>
      </c>
      <c r="AC7" s="93">
        <f>V17+V18+V19+V20</f>
        <v>0</v>
      </c>
      <c r="AD7" s="93">
        <f>W17+W18+W19+W20</f>
        <v>0</v>
      </c>
      <c r="AE7" s="93">
        <f t="shared" si="5"/>
        <v>0</v>
      </c>
      <c r="AF7" s="93">
        <v>6500</v>
      </c>
    </row>
    <row r="8" spans="1:32" x14ac:dyDescent="0.25">
      <c r="A8" s="7">
        <v>2026</v>
      </c>
      <c r="B8" s="13">
        <v>46048</v>
      </c>
      <c r="C8" s="117"/>
      <c r="D8" s="7">
        <v>5</v>
      </c>
      <c r="F8" s="88">
        <v>0</v>
      </c>
      <c r="G8" s="88">
        <v>0</v>
      </c>
      <c r="H8" s="88">
        <v>0</v>
      </c>
      <c r="I8" s="89">
        <f t="shared" si="0"/>
        <v>0</v>
      </c>
      <c r="K8" s="128">
        <v>9.5</v>
      </c>
      <c r="L8" s="88">
        <v>0</v>
      </c>
      <c r="M8" s="88">
        <v>0</v>
      </c>
      <c r="N8" s="7">
        <f t="shared" si="1"/>
        <v>9.5</v>
      </c>
      <c r="P8" s="92">
        <v>0</v>
      </c>
      <c r="Q8" s="92">
        <v>0</v>
      </c>
      <c r="R8" s="92">
        <v>0</v>
      </c>
      <c r="S8" s="92">
        <f t="shared" si="2"/>
        <v>0</v>
      </c>
      <c r="U8" s="92">
        <f t="shared" si="3"/>
        <v>760</v>
      </c>
      <c r="V8" s="92">
        <f t="shared" si="3"/>
        <v>0</v>
      </c>
      <c r="W8" s="92">
        <f t="shared" si="3"/>
        <v>0</v>
      </c>
      <c r="X8" s="92">
        <f t="shared" si="4"/>
        <v>760</v>
      </c>
      <c r="Y8" s="92">
        <v>1500</v>
      </c>
      <c r="AA8" s="7" t="s">
        <v>12</v>
      </c>
      <c r="AB8" s="93">
        <f>U21+U22+U23+U24+U25</f>
        <v>0</v>
      </c>
      <c r="AC8" s="93">
        <f>V21+V22+V23+V24+V25</f>
        <v>0</v>
      </c>
      <c r="AD8" s="93">
        <f>W21+W22+W23+W24+W25</f>
        <v>0</v>
      </c>
      <c r="AE8" s="93">
        <f t="shared" si="5"/>
        <v>0</v>
      </c>
      <c r="AF8" s="93">
        <v>6500</v>
      </c>
    </row>
    <row r="9" spans="1:32" x14ac:dyDescent="0.25">
      <c r="A9" s="7">
        <v>2026</v>
      </c>
      <c r="B9" s="13">
        <v>46055</v>
      </c>
      <c r="C9" s="115"/>
      <c r="D9" s="7">
        <v>6</v>
      </c>
      <c r="F9" s="88">
        <v>0</v>
      </c>
      <c r="G9" s="88">
        <v>0</v>
      </c>
      <c r="H9" s="88">
        <v>1</v>
      </c>
      <c r="I9" s="89">
        <f t="shared" si="0"/>
        <v>1</v>
      </c>
      <c r="K9" s="88">
        <v>0</v>
      </c>
      <c r="L9" s="88">
        <v>0</v>
      </c>
      <c r="M9" s="88">
        <v>0</v>
      </c>
      <c r="N9" s="7">
        <f t="shared" si="1"/>
        <v>0</v>
      </c>
      <c r="P9" s="92">
        <v>0</v>
      </c>
      <c r="Q9" s="92">
        <v>0</v>
      </c>
      <c r="R9" s="92">
        <v>0</v>
      </c>
      <c r="S9" s="92">
        <f t="shared" si="2"/>
        <v>0</v>
      </c>
      <c r="U9" s="92">
        <f t="shared" si="3"/>
        <v>0</v>
      </c>
      <c r="V9" s="92">
        <f t="shared" si="3"/>
        <v>0</v>
      </c>
      <c r="W9" s="92">
        <f t="shared" si="3"/>
        <v>0</v>
      </c>
      <c r="X9" s="92">
        <f t="shared" si="4"/>
        <v>0</v>
      </c>
      <c r="Y9" s="92">
        <v>1500</v>
      </c>
      <c r="AA9" s="7" t="s">
        <v>13</v>
      </c>
      <c r="AB9" s="93">
        <f>U26+U27+U28+U29</f>
        <v>0</v>
      </c>
      <c r="AC9" s="93">
        <f>V26+V27+V28+V29</f>
        <v>0</v>
      </c>
      <c r="AD9" s="93">
        <f>W26+W27+W28+W29</f>
        <v>0</v>
      </c>
      <c r="AE9" s="93">
        <f t="shared" si="5"/>
        <v>0</v>
      </c>
      <c r="AF9" s="93">
        <v>6500</v>
      </c>
    </row>
    <row r="10" spans="1:32" x14ac:dyDescent="0.25">
      <c r="A10" s="7">
        <v>2026</v>
      </c>
      <c r="B10" s="13">
        <v>46062</v>
      </c>
      <c r="C10" s="116" t="s">
        <v>9</v>
      </c>
      <c r="D10" s="7">
        <v>7</v>
      </c>
      <c r="F10" s="88">
        <v>0</v>
      </c>
      <c r="G10" s="88">
        <v>0</v>
      </c>
      <c r="H10" s="88">
        <v>0</v>
      </c>
      <c r="I10" s="89">
        <f t="shared" si="0"/>
        <v>0</v>
      </c>
      <c r="K10" s="88">
        <v>9</v>
      </c>
      <c r="L10" s="88">
        <v>0</v>
      </c>
      <c r="M10" s="88">
        <v>0</v>
      </c>
      <c r="N10" s="7">
        <f t="shared" si="1"/>
        <v>9</v>
      </c>
      <c r="P10" s="92">
        <v>0</v>
      </c>
      <c r="Q10" s="92">
        <v>0</v>
      </c>
      <c r="R10" s="92">
        <v>0</v>
      </c>
      <c r="S10" s="92">
        <f t="shared" si="2"/>
        <v>0</v>
      </c>
      <c r="U10" s="92">
        <f t="shared" si="3"/>
        <v>720</v>
      </c>
      <c r="V10" s="92">
        <f t="shared" si="3"/>
        <v>0</v>
      </c>
      <c r="W10" s="92">
        <f t="shared" si="3"/>
        <v>0</v>
      </c>
      <c r="X10" s="92">
        <f t="shared" si="4"/>
        <v>720</v>
      </c>
      <c r="Y10" s="92">
        <v>1500</v>
      </c>
      <c r="AA10" s="7" t="s">
        <v>14</v>
      </c>
      <c r="AB10" s="93">
        <f>U30+U31+U32+U33</f>
        <v>0</v>
      </c>
      <c r="AC10" s="93">
        <f>V30+V31+V32+V33</f>
        <v>0</v>
      </c>
      <c r="AD10" s="93">
        <f>W30+W31+W32+W33</f>
        <v>0</v>
      </c>
      <c r="AE10" s="93">
        <f t="shared" si="5"/>
        <v>0</v>
      </c>
      <c r="AF10" s="93">
        <v>6500</v>
      </c>
    </row>
    <row r="11" spans="1:32" x14ac:dyDescent="0.25">
      <c r="A11" s="7">
        <v>2026</v>
      </c>
      <c r="B11" s="13">
        <v>46069</v>
      </c>
      <c r="C11" s="116"/>
      <c r="D11" s="7">
        <v>8</v>
      </c>
      <c r="F11" s="88">
        <v>0</v>
      </c>
      <c r="G11" s="88">
        <v>0</v>
      </c>
      <c r="H11" s="88">
        <v>3</v>
      </c>
      <c r="I11" s="89">
        <f t="shared" si="0"/>
        <v>3</v>
      </c>
      <c r="K11" s="88">
        <v>0</v>
      </c>
      <c r="L11" s="88">
        <v>0</v>
      </c>
      <c r="M11" s="88">
        <v>0</v>
      </c>
      <c r="N11" s="7">
        <f t="shared" si="1"/>
        <v>0</v>
      </c>
      <c r="P11" s="92">
        <v>0</v>
      </c>
      <c r="Q11" s="92">
        <v>0</v>
      </c>
      <c r="R11" s="92">
        <v>0</v>
      </c>
      <c r="S11" s="92">
        <f t="shared" si="2"/>
        <v>0</v>
      </c>
      <c r="U11" s="92">
        <f t="shared" si="3"/>
        <v>0</v>
      </c>
      <c r="V11" s="92">
        <f t="shared" si="3"/>
        <v>0</v>
      </c>
      <c r="W11" s="92">
        <f t="shared" si="3"/>
        <v>0</v>
      </c>
      <c r="X11" s="92">
        <f t="shared" si="4"/>
        <v>0</v>
      </c>
      <c r="Y11" s="92">
        <v>1500</v>
      </c>
      <c r="AA11" s="7" t="s">
        <v>15</v>
      </c>
      <c r="AB11" s="93">
        <f>U34+U35+U36+U37+U38</f>
        <v>0</v>
      </c>
      <c r="AC11" s="93">
        <f>V34+V35+V36+V37+V38</f>
        <v>0</v>
      </c>
      <c r="AD11" s="93">
        <f>W34+W35+W36+W37+W38</f>
        <v>0</v>
      </c>
      <c r="AE11" s="93">
        <f t="shared" si="5"/>
        <v>0</v>
      </c>
      <c r="AF11" s="93">
        <v>6500</v>
      </c>
    </row>
    <row r="12" spans="1:32" x14ac:dyDescent="0.25">
      <c r="A12" s="7">
        <v>2026</v>
      </c>
      <c r="B12" s="13">
        <v>46076</v>
      </c>
      <c r="C12" s="117"/>
      <c r="D12" s="7">
        <v>9</v>
      </c>
      <c r="F12" s="88">
        <v>0</v>
      </c>
      <c r="G12" s="88">
        <v>0</v>
      </c>
      <c r="H12" s="88">
        <v>1</v>
      </c>
      <c r="I12" s="89">
        <f t="shared" si="0"/>
        <v>1</v>
      </c>
      <c r="K12" s="88">
        <v>10</v>
      </c>
      <c r="L12" s="88">
        <v>0</v>
      </c>
      <c r="M12" s="88">
        <v>0</v>
      </c>
      <c r="N12" s="7">
        <f t="shared" si="1"/>
        <v>10</v>
      </c>
      <c r="P12" s="92">
        <v>0</v>
      </c>
      <c r="Q12" s="92">
        <v>0</v>
      </c>
      <c r="R12" s="92">
        <v>0</v>
      </c>
      <c r="S12" s="92">
        <f t="shared" si="2"/>
        <v>0</v>
      </c>
      <c r="U12" s="92">
        <f t="shared" si="3"/>
        <v>800</v>
      </c>
      <c r="V12" s="92">
        <f t="shared" si="3"/>
        <v>0</v>
      </c>
      <c r="W12" s="92">
        <f t="shared" si="3"/>
        <v>0</v>
      </c>
      <c r="X12" s="92">
        <f t="shared" si="4"/>
        <v>800</v>
      </c>
      <c r="Y12" s="92">
        <v>1500</v>
      </c>
      <c r="AA12" s="7" t="s">
        <v>16</v>
      </c>
      <c r="AB12" s="93">
        <f>U39+U40+U41+U42</f>
        <v>0</v>
      </c>
      <c r="AC12" s="93">
        <f>V39+V40+V41+V42</f>
        <v>0</v>
      </c>
      <c r="AD12" s="93">
        <f>W39+W40+W41+W42</f>
        <v>0</v>
      </c>
      <c r="AE12" s="93">
        <f t="shared" si="5"/>
        <v>0</v>
      </c>
      <c r="AF12" s="93">
        <v>6500</v>
      </c>
    </row>
    <row r="13" spans="1:32" x14ac:dyDescent="0.25">
      <c r="A13" s="7">
        <v>2026</v>
      </c>
      <c r="B13" s="13">
        <v>46083</v>
      </c>
      <c r="C13" s="115"/>
      <c r="D13" s="7">
        <v>10</v>
      </c>
      <c r="F13" s="88">
        <v>0</v>
      </c>
      <c r="G13" s="88">
        <v>0</v>
      </c>
      <c r="H13" s="88">
        <v>0</v>
      </c>
      <c r="I13" s="89">
        <f t="shared" si="0"/>
        <v>0</v>
      </c>
      <c r="K13" s="88">
        <v>0</v>
      </c>
      <c r="L13" s="88">
        <v>0</v>
      </c>
      <c r="M13" s="88">
        <v>0</v>
      </c>
      <c r="N13" s="7">
        <f t="shared" si="1"/>
        <v>0</v>
      </c>
      <c r="P13" s="92">
        <v>0</v>
      </c>
      <c r="Q13" s="92">
        <v>0</v>
      </c>
      <c r="R13" s="92">
        <v>0</v>
      </c>
      <c r="S13" s="92">
        <f t="shared" si="2"/>
        <v>0</v>
      </c>
      <c r="U13" s="92">
        <f t="shared" si="3"/>
        <v>0</v>
      </c>
      <c r="V13" s="92">
        <f t="shared" si="3"/>
        <v>0</v>
      </c>
      <c r="W13" s="92">
        <f t="shared" si="3"/>
        <v>0</v>
      </c>
      <c r="X13" s="92">
        <f t="shared" si="4"/>
        <v>0</v>
      </c>
      <c r="Y13" s="92">
        <v>1500</v>
      </c>
      <c r="AA13" s="7" t="s">
        <v>17</v>
      </c>
      <c r="AB13" s="93">
        <f>U43+U44+U45+U46</f>
        <v>0</v>
      </c>
      <c r="AC13" s="93">
        <f>V43+V44+V45+V46</f>
        <v>0</v>
      </c>
      <c r="AD13" s="93">
        <f>W43+W44+W45+W46</f>
        <v>0</v>
      </c>
      <c r="AE13" s="93">
        <f t="shared" si="5"/>
        <v>0</v>
      </c>
      <c r="AF13" s="93">
        <v>6500</v>
      </c>
    </row>
    <row r="14" spans="1:32" x14ac:dyDescent="0.25">
      <c r="A14" s="7">
        <v>2026</v>
      </c>
      <c r="B14" s="13">
        <v>46090</v>
      </c>
      <c r="C14" s="116" t="s">
        <v>10</v>
      </c>
      <c r="D14" s="7">
        <v>11</v>
      </c>
      <c r="F14" s="88">
        <v>0</v>
      </c>
      <c r="G14" s="88">
        <v>0</v>
      </c>
      <c r="H14" s="88">
        <v>0</v>
      </c>
      <c r="I14" s="89">
        <f t="shared" si="0"/>
        <v>0</v>
      </c>
      <c r="K14" s="88">
        <v>3</v>
      </c>
      <c r="L14" s="88">
        <v>0</v>
      </c>
      <c r="M14" s="88">
        <v>0</v>
      </c>
      <c r="N14" s="7">
        <f t="shared" si="1"/>
        <v>3</v>
      </c>
      <c r="P14" s="92">
        <v>0</v>
      </c>
      <c r="Q14" s="92">
        <v>0</v>
      </c>
      <c r="R14" s="92">
        <v>0</v>
      </c>
      <c r="S14" s="92">
        <f t="shared" si="2"/>
        <v>0</v>
      </c>
      <c r="U14" s="92">
        <f t="shared" si="3"/>
        <v>240</v>
      </c>
      <c r="V14" s="92">
        <f t="shared" si="3"/>
        <v>0</v>
      </c>
      <c r="W14" s="92">
        <f t="shared" si="3"/>
        <v>0</v>
      </c>
      <c r="X14" s="92">
        <f t="shared" si="4"/>
        <v>240</v>
      </c>
      <c r="Y14" s="92">
        <v>1500</v>
      </c>
      <c r="AA14" s="7" t="s">
        <v>18</v>
      </c>
      <c r="AB14" s="93">
        <f>U47+U48+U49+U50+U51</f>
        <v>0</v>
      </c>
      <c r="AC14" s="93">
        <f>V47+V48+V49+V50+V51</f>
        <v>0</v>
      </c>
      <c r="AD14" s="133">
        <f>W47+W48+W49+W50+W51</f>
        <v>0</v>
      </c>
      <c r="AE14" s="93">
        <f t="shared" si="5"/>
        <v>0</v>
      </c>
      <c r="AF14" s="93">
        <v>6500</v>
      </c>
    </row>
    <row r="15" spans="1:32" x14ac:dyDescent="0.25">
      <c r="A15" s="7">
        <v>2026</v>
      </c>
      <c r="B15" s="13">
        <v>46097</v>
      </c>
      <c r="C15" s="118"/>
      <c r="D15" s="7">
        <v>12</v>
      </c>
      <c r="F15" s="88"/>
      <c r="G15" s="88"/>
      <c r="H15" s="88"/>
      <c r="I15" s="89">
        <f t="shared" si="0"/>
        <v>0</v>
      </c>
      <c r="K15" s="88"/>
      <c r="L15" s="88"/>
      <c r="M15" s="88"/>
      <c r="N15" s="7">
        <f t="shared" si="1"/>
        <v>0</v>
      </c>
      <c r="P15" s="92">
        <v>0</v>
      </c>
      <c r="Q15" s="92">
        <v>0</v>
      </c>
      <c r="R15" s="92">
        <v>0</v>
      </c>
      <c r="S15" s="92">
        <f t="shared" si="2"/>
        <v>0</v>
      </c>
      <c r="U15" s="92"/>
      <c r="V15" s="92"/>
      <c r="W15" s="92"/>
      <c r="X15" s="92"/>
      <c r="Y15" s="92">
        <v>1500</v>
      </c>
      <c r="AA15" s="7" t="s">
        <v>19</v>
      </c>
      <c r="AB15" s="93">
        <f>U52+U53+U54+U55</f>
        <v>0</v>
      </c>
      <c r="AC15" s="93">
        <f>V52+V53+V54+V55</f>
        <v>0</v>
      </c>
      <c r="AD15" s="93">
        <f>W52+W53+W54+W55</f>
        <v>0</v>
      </c>
      <c r="AE15" s="93">
        <f t="shared" si="5"/>
        <v>0</v>
      </c>
      <c r="AF15" s="93">
        <v>6500</v>
      </c>
    </row>
    <row r="16" spans="1:32" x14ac:dyDescent="0.25">
      <c r="A16" s="7">
        <v>2026</v>
      </c>
      <c r="B16" s="13">
        <v>46104</v>
      </c>
      <c r="C16" s="117"/>
      <c r="D16" s="7">
        <v>13</v>
      </c>
      <c r="F16" s="88"/>
      <c r="G16" s="88"/>
      <c r="H16" s="88"/>
      <c r="I16" s="89">
        <f t="shared" si="0"/>
        <v>0</v>
      </c>
      <c r="K16" s="88"/>
      <c r="L16" s="88"/>
      <c r="M16" s="88"/>
      <c r="N16" s="7">
        <f t="shared" si="1"/>
        <v>0</v>
      </c>
      <c r="P16" s="92">
        <v>0</v>
      </c>
      <c r="Q16" s="92">
        <v>0</v>
      </c>
      <c r="R16" s="92">
        <v>0</v>
      </c>
      <c r="S16" s="92">
        <f t="shared" si="2"/>
        <v>0</v>
      </c>
      <c r="U16" s="92"/>
      <c r="V16" s="92"/>
      <c r="W16" s="92"/>
      <c r="X16" s="92"/>
      <c r="Y16" s="92">
        <v>1500</v>
      </c>
    </row>
    <row r="17" spans="1:27" x14ac:dyDescent="0.25">
      <c r="A17" s="7">
        <v>2026</v>
      </c>
      <c r="B17" s="13">
        <v>46111</v>
      </c>
      <c r="C17" s="115"/>
      <c r="D17" s="7">
        <v>14</v>
      </c>
      <c r="F17" s="88"/>
      <c r="G17" s="88"/>
      <c r="H17" s="88"/>
      <c r="I17" s="89">
        <f t="shared" si="0"/>
        <v>0</v>
      </c>
      <c r="K17" s="88"/>
      <c r="L17" s="88"/>
      <c r="M17" s="88"/>
      <c r="N17" s="7">
        <f t="shared" si="1"/>
        <v>0</v>
      </c>
      <c r="P17" s="92">
        <v>0</v>
      </c>
      <c r="Q17" s="92">
        <v>0</v>
      </c>
      <c r="R17" s="92">
        <v>0</v>
      </c>
      <c r="S17" s="92">
        <f t="shared" si="2"/>
        <v>0</v>
      </c>
      <c r="U17" s="92"/>
      <c r="V17" s="92"/>
      <c r="W17" s="92"/>
      <c r="X17" s="92"/>
      <c r="Y17" s="92">
        <v>1500</v>
      </c>
    </row>
    <row r="18" spans="1:27" x14ac:dyDescent="0.25">
      <c r="A18" s="7">
        <v>2026</v>
      </c>
      <c r="B18" s="13">
        <v>46118</v>
      </c>
      <c r="C18" s="116"/>
      <c r="D18" s="7">
        <v>15</v>
      </c>
      <c r="F18" s="88"/>
      <c r="G18" s="88"/>
      <c r="H18" s="88"/>
      <c r="I18" s="89">
        <f t="shared" si="0"/>
        <v>0</v>
      </c>
      <c r="K18" s="88"/>
      <c r="L18" s="88"/>
      <c r="M18" s="88"/>
      <c r="N18" s="7">
        <f t="shared" si="1"/>
        <v>0</v>
      </c>
      <c r="P18" s="92">
        <v>0</v>
      </c>
      <c r="Q18" s="92">
        <v>0</v>
      </c>
      <c r="R18" s="92">
        <v>0</v>
      </c>
      <c r="S18" s="92">
        <f t="shared" si="2"/>
        <v>0</v>
      </c>
      <c r="U18" s="92"/>
      <c r="V18" s="92"/>
      <c r="W18" s="92"/>
      <c r="X18" s="92"/>
      <c r="Y18" s="92">
        <v>1500</v>
      </c>
    </row>
    <row r="19" spans="1:27" x14ac:dyDescent="0.25">
      <c r="A19" s="7">
        <v>2026</v>
      </c>
      <c r="B19" s="13">
        <v>46125</v>
      </c>
      <c r="C19" s="116" t="s">
        <v>11</v>
      </c>
      <c r="D19" s="7">
        <v>16</v>
      </c>
      <c r="F19" s="88"/>
      <c r="G19" s="88"/>
      <c r="H19" s="88"/>
      <c r="I19" s="89">
        <f t="shared" si="0"/>
        <v>0</v>
      </c>
      <c r="K19" s="88"/>
      <c r="L19" s="88"/>
      <c r="M19" s="88"/>
      <c r="N19" s="7">
        <f t="shared" si="1"/>
        <v>0</v>
      </c>
      <c r="P19" s="92">
        <v>0</v>
      </c>
      <c r="Q19" s="92">
        <v>0</v>
      </c>
      <c r="R19" s="92">
        <v>0</v>
      </c>
      <c r="S19" s="92">
        <f t="shared" si="2"/>
        <v>0</v>
      </c>
      <c r="U19" s="92"/>
      <c r="V19" s="92"/>
      <c r="W19" s="92"/>
      <c r="X19" s="92"/>
      <c r="Y19" s="92">
        <v>1500</v>
      </c>
    </row>
    <row r="20" spans="1:27" x14ac:dyDescent="0.25">
      <c r="A20" s="7">
        <v>2026</v>
      </c>
      <c r="B20" s="13">
        <v>46132</v>
      </c>
      <c r="C20" s="116"/>
      <c r="D20" s="7">
        <v>17</v>
      </c>
      <c r="F20" s="88"/>
      <c r="G20" s="88"/>
      <c r="H20" s="88"/>
      <c r="I20" s="89">
        <f t="shared" si="0"/>
        <v>0</v>
      </c>
      <c r="K20" s="88"/>
      <c r="L20" s="88"/>
      <c r="M20" s="88"/>
      <c r="N20" s="7">
        <f t="shared" si="1"/>
        <v>0</v>
      </c>
      <c r="P20" s="92">
        <v>0</v>
      </c>
      <c r="Q20" s="92">
        <v>0</v>
      </c>
      <c r="R20" s="92">
        <v>0</v>
      </c>
      <c r="S20" s="92">
        <f t="shared" si="2"/>
        <v>0</v>
      </c>
      <c r="U20" s="92"/>
      <c r="V20" s="92"/>
      <c r="W20" s="92"/>
      <c r="X20" s="92"/>
      <c r="Y20" s="92">
        <v>1500</v>
      </c>
    </row>
    <row r="21" spans="1:27" x14ac:dyDescent="0.25">
      <c r="A21" s="7">
        <v>2026</v>
      </c>
      <c r="B21" s="13">
        <v>46139</v>
      </c>
      <c r="C21" s="117"/>
      <c r="D21" s="7">
        <v>18</v>
      </c>
      <c r="F21" s="88"/>
      <c r="G21" s="88"/>
      <c r="H21" s="88"/>
      <c r="I21" s="89">
        <f t="shared" si="0"/>
        <v>0</v>
      </c>
      <c r="K21" s="88"/>
      <c r="L21" s="88"/>
      <c r="M21" s="88"/>
      <c r="N21" s="7">
        <f t="shared" si="1"/>
        <v>0</v>
      </c>
      <c r="P21" s="92">
        <v>0</v>
      </c>
      <c r="Q21" s="92">
        <v>0</v>
      </c>
      <c r="R21" s="92">
        <v>0</v>
      </c>
      <c r="S21" s="92">
        <f t="shared" si="2"/>
        <v>0</v>
      </c>
      <c r="U21" s="92"/>
      <c r="V21" s="92"/>
      <c r="W21" s="92"/>
      <c r="X21" s="92"/>
      <c r="Y21" s="92">
        <v>1500</v>
      </c>
    </row>
    <row r="22" spans="1:27" x14ac:dyDescent="0.25">
      <c r="A22" s="7">
        <v>2026</v>
      </c>
      <c r="B22" s="13">
        <v>46146</v>
      </c>
      <c r="C22" s="115"/>
      <c r="D22" s="7">
        <v>19</v>
      </c>
      <c r="F22" s="88"/>
      <c r="G22" s="88"/>
      <c r="H22" s="88"/>
      <c r="I22" s="89">
        <f t="shared" si="0"/>
        <v>0</v>
      </c>
      <c r="K22" s="88"/>
      <c r="L22" s="88"/>
      <c r="M22" s="88"/>
      <c r="N22" s="7">
        <f t="shared" si="1"/>
        <v>0</v>
      </c>
      <c r="P22" s="92">
        <v>0</v>
      </c>
      <c r="Q22" s="92">
        <v>0</v>
      </c>
      <c r="R22" s="92">
        <v>0</v>
      </c>
      <c r="S22" s="92">
        <f t="shared" si="2"/>
        <v>0</v>
      </c>
      <c r="U22" s="92"/>
      <c r="V22" s="92"/>
      <c r="W22" s="92"/>
      <c r="X22" s="92"/>
      <c r="Y22" s="92">
        <v>1500</v>
      </c>
    </row>
    <row r="23" spans="1:27" x14ac:dyDescent="0.25">
      <c r="A23" s="7">
        <v>2026</v>
      </c>
      <c r="B23" s="13">
        <v>46153</v>
      </c>
      <c r="C23" s="116" t="s">
        <v>12</v>
      </c>
      <c r="D23" s="7">
        <v>20</v>
      </c>
      <c r="F23" s="88"/>
      <c r="G23" s="88"/>
      <c r="H23" s="88"/>
      <c r="I23" s="89">
        <f t="shared" si="0"/>
        <v>0</v>
      </c>
      <c r="K23" s="88"/>
      <c r="L23" s="88"/>
      <c r="M23" s="88"/>
      <c r="N23" s="7">
        <f t="shared" si="1"/>
        <v>0</v>
      </c>
      <c r="P23" s="92">
        <v>0</v>
      </c>
      <c r="Q23" s="92">
        <v>0</v>
      </c>
      <c r="R23" s="92">
        <v>0</v>
      </c>
      <c r="S23" s="92">
        <f t="shared" si="2"/>
        <v>0</v>
      </c>
      <c r="U23" s="92"/>
      <c r="V23" s="92"/>
      <c r="W23" s="92"/>
      <c r="X23" s="92"/>
      <c r="Y23" s="92">
        <v>1500</v>
      </c>
    </row>
    <row r="24" spans="1:27" x14ac:dyDescent="0.25">
      <c r="A24" s="7">
        <v>2026</v>
      </c>
      <c r="B24" s="13">
        <v>46160</v>
      </c>
      <c r="C24" s="116"/>
      <c r="D24" s="7">
        <v>21</v>
      </c>
      <c r="F24" s="88"/>
      <c r="G24" s="88"/>
      <c r="H24" s="88"/>
      <c r="I24" s="89">
        <f t="shared" si="0"/>
        <v>0</v>
      </c>
      <c r="K24" s="88"/>
      <c r="L24" s="88"/>
      <c r="M24" s="88"/>
      <c r="N24" s="7">
        <f t="shared" si="1"/>
        <v>0</v>
      </c>
      <c r="P24" s="92">
        <v>0</v>
      </c>
      <c r="Q24" s="92">
        <v>0</v>
      </c>
      <c r="R24" s="92">
        <v>0</v>
      </c>
      <c r="S24" s="92">
        <f t="shared" si="2"/>
        <v>0</v>
      </c>
      <c r="U24" s="92"/>
      <c r="V24" s="92"/>
      <c r="W24" s="92"/>
      <c r="X24" s="92"/>
      <c r="Y24" s="92">
        <v>1500</v>
      </c>
    </row>
    <row r="25" spans="1:27" x14ac:dyDescent="0.25">
      <c r="A25" s="7">
        <v>2026</v>
      </c>
      <c r="B25" s="13">
        <v>46169</v>
      </c>
      <c r="C25" s="117"/>
      <c r="D25" s="7">
        <v>22</v>
      </c>
      <c r="F25" s="88"/>
      <c r="G25" s="88"/>
      <c r="H25" s="88"/>
      <c r="I25" s="89">
        <f t="shared" si="0"/>
        <v>0</v>
      </c>
      <c r="K25" s="88"/>
      <c r="L25" s="88"/>
      <c r="M25" s="88"/>
      <c r="N25" s="7">
        <f t="shared" si="1"/>
        <v>0</v>
      </c>
      <c r="P25" s="92">
        <v>0</v>
      </c>
      <c r="Q25" s="92">
        <v>0</v>
      </c>
      <c r="R25" s="92">
        <v>0</v>
      </c>
      <c r="S25" s="92">
        <f t="shared" si="2"/>
        <v>0</v>
      </c>
      <c r="U25" s="92"/>
      <c r="V25" s="92"/>
      <c r="W25" s="92"/>
      <c r="X25" s="92"/>
      <c r="Y25" s="92">
        <v>1500</v>
      </c>
    </row>
    <row r="26" spans="1:27" x14ac:dyDescent="0.25">
      <c r="A26" s="7">
        <v>2026</v>
      </c>
      <c r="B26" s="13">
        <v>46174</v>
      </c>
      <c r="C26" s="115"/>
      <c r="D26" s="7">
        <v>23</v>
      </c>
      <c r="F26" s="88"/>
      <c r="G26" s="88"/>
      <c r="H26" s="88"/>
      <c r="I26" s="89">
        <f t="shared" si="0"/>
        <v>0</v>
      </c>
      <c r="K26" s="88"/>
      <c r="L26" s="88"/>
      <c r="M26" s="88"/>
      <c r="N26" s="7">
        <f t="shared" si="1"/>
        <v>0</v>
      </c>
      <c r="P26" s="92">
        <v>0</v>
      </c>
      <c r="Q26" s="92">
        <v>0</v>
      </c>
      <c r="R26" s="92">
        <v>0</v>
      </c>
      <c r="S26" s="92">
        <f t="shared" si="2"/>
        <v>0</v>
      </c>
      <c r="U26" s="92"/>
      <c r="V26" s="92"/>
      <c r="W26" s="92"/>
      <c r="X26" s="92"/>
      <c r="Y26" s="92">
        <v>1500</v>
      </c>
    </row>
    <row r="27" spans="1:27" x14ac:dyDescent="0.25">
      <c r="A27" s="7">
        <v>2026</v>
      </c>
      <c r="B27" s="13">
        <v>46181</v>
      </c>
      <c r="C27" s="116" t="s">
        <v>13</v>
      </c>
      <c r="D27" s="7">
        <v>24</v>
      </c>
      <c r="F27" s="88"/>
      <c r="G27" s="88"/>
      <c r="H27" s="88"/>
      <c r="I27" s="89">
        <f t="shared" si="0"/>
        <v>0</v>
      </c>
      <c r="K27" s="88"/>
      <c r="L27" s="88"/>
      <c r="M27" s="88"/>
      <c r="N27" s="7">
        <f t="shared" si="1"/>
        <v>0</v>
      </c>
      <c r="P27" s="92">
        <v>0</v>
      </c>
      <c r="Q27" s="92">
        <v>0</v>
      </c>
      <c r="R27" s="92">
        <v>0</v>
      </c>
      <c r="S27" s="92">
        <f t="shared" si="2"/>
        <v>0</v>
      </c>
      <c r="U27" s="92"/>
      <c r="V27" s="92"/>
      <c r="W27" s="92"/>
      <c r="X27" s="92"/>
      <c r="Y27" s="92">
        <v>1500</v>
      </c>
    </row>
    <row r="28" spans="1:27" x14ac:dyDescent="0.25">
      <c r="A28" s="7">
        <v>2026</v>
      </c>
      <c r="B28" s="13">
        <v>46190</v>
      </c>
      <c r="C28" s="118"/>
      <c r="D28" s="7">
        <v>25</v>
      </c>
      <c r="F28" s="88"/>
      <c r="G28" s="88"/>
      <c r="H28" s="88"/>
      <c r="I28" s="89">
        <f t="shared" si="0"/>
        <v>0</v>
      </c>
      <c r="K28" s="88"/>
      <c r="L28" s="88"/>
      <c r="M28" s="88"/>
      <c r="N28" s="7">
        <f t="shared" si="1"/>
        <v>0</v>
      </c>
      <c r="P28" s="92">
        <v>0</v>
      </c>
      <c r="Q28" s="92">
        <v>0</v>
      </c>
      <c r="R28" s="92">
        <v>0</v>
      </c>
      <c r="S28" s="92">
        <f t="shared" si="2"/>
        <v>0</v>
      </c>
      <c r="U28" s="92"/>
      <c r="V28" s="92"/>
      <c r="W28" s="92"/>
      <c r="X28" s="92"/>
      <c r="Y28" s="92">
        <v>1500</v>
      </c>
    </row>
    <row r="29" spans="1:27" x14ac:dyDescent="0.25">
      <c r="A29" s="7">
        <v>2026</v>
      </c>
      <c r="B29" s="13">
        <v>46195</v>
      </c>
      <c r="C29" s="117"/>
      <c r="D29" s="7">
        <v>26</v>
      </c>
      <c r="F29" s="88"/>
      <c r="G29" s="88"/>
      <c r="H29" s="88"/>
      <c r="I29" s="89">
        <f t="shared" si="0"/>
        <v>0</v>
      </c>
      <c r="K29" s="88"/>
      <c r="L29" s="88"/>
      <c r="M29" s="88"/>
      <c r="N29" s="7">
        <f t="shared" si="1"/>
        <v>0</v>
      </c>
      <c r="P29" s="92">
        <v>0</v>
      </c>
      <c r="Q29" s="92">
        <v>0</v>
      </c>
      <c r="R29" s="92">
        <v>0</v>
      </c>
      <c r="S29" s="92">
        <f t="shared" si="2"/>
        <v>0</v>
      </c>
      <c r="U29" s="92"/>
      <c r="V29" s="92"/>
      <c r="W29" s="92"/>
      <c r="X29" s="92"/>
      <c r="Y29" s="92">
        <v>1500</v>
      </c>
    </row>
    <row r="30" spans="1:27" x14ac:dyDescent="0.25">
      <c r="A30" s="7">
        <v>2026</v>
      </c>
      <c r="B30" s="13">
        <v>46202</v>
      </c>
      <c r="C30" s="115"/>
      <c r="D30" s="7">
        <v>27</v>
      </c>
      <c r="F30" s="88"/>
      <c r="G30" s="88"/>
      <c r="H30" s="88"/>
      <c r="I30" s="89">
        <f t="shared" si="0"/>
        <v>0</v>
      </c>
      <c r="K30" s="90"/>
      <c r="L30" s="90"/>
      <c r="M30" s="130"/>
      <c r="N30" s="7">
        <f t="shared" si="1"/>
        <v>0</v>
      </c>
      <c r="P30" s="92">
        <v>0</v>
      </c>
      <c r="Q30" s="92">
        <v>0</v>
      </c>
      <c r="R30" s="92">
        <v>0</v>
      </c>
      <c r="S30" s="92">
        <f t="shared" si="2"/>
        <v>0</v>
      </c>
      <c r="U30" s="92"/>
      <c r="V30" s="92"/>
      <c r="W30" s="92"/>
      <c r="X30" s="92"/>
      <c r="Y30" s="92">
        <v>1500</v>
      </c>
    </row>
    <row r="31" spans="1:27" x14ac:dyDescent="0.25">
      <c r="A31" s="7">
        <v>2026</v>
      </c>
      <c r="B31" s="13">
        <v>46209</v>
      </c>
      <c r="C31" s="116"/>
      <c r="D31" s="7">
        <v>28</v>
      </c>
      <c r="F31" s="88"/>
      <c r="G31" s="88"/>
      <c r="H31" s="88"/>
      <c r="I31" s="89">
        <f t="shared" si="0"/>
        <v>0</v>
      </c>
      <c r="K31" s="88"/>
      <c r="L31" s="88"/>
      <c r="M31" s="88"/>
      <c r="N31" s="7">
        <f t="shared" si="1"/>
        <v>0</v>
      </c>
      <c r="P31" s="92">
        <v>0</v>
      </c>
      <c r="Q31" s="92">
        <v>0</v>
      </c>
      <c r="R31" s="92">
        <v>0</v>
      </c>
      <c r="S31" s="92">
        <f t="shared" si="2"/>
        <v>0</v>
      </c>
      <c r="U31" s="92"/>
      <c r="V31" s="92"/>
      <c r="W31" s="92"/>
      <c r="X31" s="92"/>
      <c r="Y31" s="92">
        <v>1500</v>
      </c>
    </row>
    <row r="32" spans="1:27" x14ac:dyDescent="0.25">
      <c r="A32" s="7">
        <v>2026</v>
      </c>
      <c r="B32" s="13">
        <v>46216</v>
      </c>
      <c r="C32" s="116" t="s">
        <v>14</v>
      </c>
      <c r="D32" s="7">
        <v>29</v>
      </c>
      <c r="F32" s="88"/>
      <c r="G32" s="88"/>
      <c r="H32" s="88"/>
      <c r="I32" s="89">
        <f t="shared" si="0"/>
        <v>0</v>
      </c>
      <c r="K32" s="88"/>
      <c r="L32" s="88"/>
      <c r="M32" s="88"/>
      <c r="N32" s="7">
        <f t="shared" si="1"/>
        <v>0</v>
      </c>
      <c r="P32" s="92">
        <v>0</v>
      </c>
      <c r="Q32" s="92">
        <v>0</v>
      </c>
      <c r="R32" s="92">
        <v>0</v>
      </c>
      <c r="S32" s="92">
        <f t="shared" si="2"/>
        <v>0</v>
      </c>
      <c r="U32" s="92"/>
      <c r="V32" s="92"/>
      <c r="W32" s="92"/>
      <c r="X32" s="92"/>
      <c r="Y32" s="92">
        <v>1500</v>
      </c>
      <c r="AA32" t="s">
        <v>327</v>
      </c>
    </row>
    <row r="33" spans="1:25" x14ac:dyDescent="0.25">
      <c r="A33" s="7">
        <v>2026</v>
      </c>
      <c r="B33" s="13">
        <v>46223</v>
      </c>
      <c r="C33" s="116"/>
      <c r="D33" s="7">
        <v>30</v>
      </c>
      <c r="F33" s="88"/>
      <c r="G33" s="88"/>
      <c r="H33" s="88"/>
      <c r="I33" s="89">
        <f t="shared" si="0"/>
        <v>0</v>
      </c>
      <c r="K33" s="128"/>
      <c r="L33" s="88"/>
      <c r="M33" s="128"/>
      <c r="N33" s="7">
        <f>SUM(K33:M33)</f>
        <v>0</v>
      </c>
      <c r="P33" s="92">
        <v>0</v>
      </c>
      <c r="Q33" s="92">
        <v>0</v>
      </c>
      <c r="R33" s="92">
        <v>0</v>
      </c>
      <c r="S33" s="92">
        <f t="shared" si="2"/>
        <v>0</v>
      </c>
      <c r="U33" s="92"/>
      <c r="V33" s="92"/>
      <c r="W33" s="92"/>
      <c r="X33" s="92"/>
      <c r="Y33" s="92">
        <v>1500</v>
      </c>
    </row>
    <row r="34" spans="1:25" x14ac:dyDescent="0.25">
      <c r="A34" s="7">
        <v>2026</v>
      </c>
      <c r="B34" s="13">
        <v>46230</v>
      </c>
      <c r="C34" s="117"/>
      <c r="D34" s="7">
        <v>31</v>
      </c>
      <c r="F34" s="88"/>
      <c r="G34" s="88"/>
      <c r="H34" s="88"/>
      <c r="I34" s="89">
        <f t="shared" si="0"/>
        <v>0</v>
      </c>
      <c r="K34" s="88"/>
      <c r="L34" s="88"/>
      <c r="M34" s="88"/>
      <c r="N34" s="7">
        <f t="shared" si="1"/>
        <v>0</v>
      </c>
      <c r="P34" s="92">
        <v>0</v>
      </c>
      <c r="Q34" s="92">
        <v>0</v>
      </c>
      <c r="R34" s="92">
        <v>0</v>
      </c>
      <c r="S34" s="92">
        <f t="shared" si="2"/>
        <v>0</v>
      </c>
      <c r="U34" s="92"/>
      <c r="V34" s="92"/>
      <c r="W34" s="92"/>
      <c r="X34" s="92"/>
      <c r="Y34" s="92">
        <v>1500</v>
      </c>
    </row>
    <row r="35" spans="1:25" x14ac:dyDescent="0.25">
      <c r="A35" s="7">
        <v>2026</v>
      </c>
      <c r="B35" s="13">
        <v>46237</v>
      </c>
      <c r="C35" s="115"/>
      <c r="D35" s="7">
        <v>32</v>
      </c>
      <c r="F35" s="88"/>
      <c r="G35" s="88"/>
      <c r="H35" s="88"/>
      <c r="I35" s="89">
        <f t="shared" si="0"/>
        <v>0</v>
      </c>
      <c r="K35" s="88"/>
      <c r="L35" s="88"/>
      <c r="M35" s="88"/>
      <c r="N35" s="7">
        <f t="shared" si="1"/>
        <v>0</v>
      </c>
      <c r="P35" s="92">
        <v>0</v>
      </c>
      <c r="Q35" s="92">
        <v>0</v>
      </c>
      <c r="R35" s="92">
        <v>0</v>
      </c>
      <c r="S35" s="92">
        <f t="shared" si="2"/>
        <v>0</v>
      </c>
      <c r="U35" s="92"/>
      <c r="V35" s="92"/>
      <c r="W35" s="92"/>
      <c r="X35" s="92"/>
      <c r="Y35" s="92">
        <v>1500</v>
      </c>
    </row>
    <row r="36" spans="1:25" x14ac:dyDescent="0.25">
      <c r="A36" s="7">
        <v>2026</v>
      </c>
      <c r="B36" s="13">
        <v>46244</v>
      </c>
      <c r="C36" s="116" t="s">
        <v>15</v>
      </c>
      <c r="D36" s="7">
        <v>33</v>
      </c>
      <c r="F36" s="88"/>
      <c r="G36" s="88"/>
      <c r="H36" s="88"/>
      <c r="I36" s="89">
        <f t="shared" si="0"/>
        <v>0</v>
      </c>
      <c r="K36" s="88"/>
      <c r="L36" s="88"/>
      <c r="M36" s="88"/>
      <c r="N36" s="7">
        <f t="shared" si="1"/>
        <v>0</v>
      </c>
      <c r="P36" s="92">
        <v>0</v>
      </c>
      <c r="Q36" s="92">
        <v>0</v>
      </c>
      <c r="R36" s="92">
        <v>0</v>
      </c>
      <c r="S36" s="92">
        <f t="shared" si="2"/>
        <v>0</v>
      </c>
      <c r="U36" s="92"/>
      <c r="V36" s="92"/>
      <c r="W36" s="92"/>
      <c r="X36" s="92"/>
      <c r="Y36" s="92">
        <v>1500</v>
      </c>
    </row>
    <row r="37" spans="1:25" x14ac:dyDescent="0.25">
      <c r="A37" s="7">
        <v>2026</v>
      </c>
      <c r="B37" s="13">
        <v>46251</v>
      </c>
      <c r="C37" s="116"/>
      <c r="D37" s="7">
        <v>34</v>
      </c>
      <c r="F37" s="88"/>
      <c r="G37" s="88"/>
      <c r="H37" s="88"/>
      <c r="I37" s="89">
        <f t="shared" si="0"/>
        <v>0</v>
      </c>
      <c r="K37" s="88"/>
      <c r="L37" s="88"/>
      <c r="M37" s="88"/>
      <c r="N37" s="7">
        <f t="shared" si="1"/>
        <v>0</v>
      </c>
      <c r="P37" s="92">
        <v>0</v>
      </c>
      <c r="Q37" s="92">
        <v>0</v>
      </c>
      <c r="R37" s="92">
        <v>0</v>
      </c>
      <c r="S37" s="92">
        <f t="shared" si="2"/>
        <v>0</v>
      </c>
      <c r="U37" s="92"/>
      <c r="V37" s="92"/>
      <c r="W37" s="92"/>
      <c r="X37" s="92"/>
      <c r="Y37" s="92">
        <v>1500</v>
      </c>
    </row>
    <row r="38" spans="1:25" x14ac:dyDescent="0.25">
      <c r="A38" s="7">
        <v>2026</v>
      </c>
      <c r="B38" s="13">
        <v>46258</v>
      </c>
      <c r="C38" s="117"/>
      <c r="D38" s="7">
        <v>35</v>
      </c>
      <c r="F38" s="88"/>
      <c r="G38" s="88"/>
      <c r="H38" s="88"/>
      <c r="I38" s="89">
        <f t="shared" si="0"/>
        <v>0</v>
      </c>
      <c r="K38" s="88"/>
      <c r="L38" s="88"/>
      <c r="M38" s="88"/>
      <c r="N38" s="7">
        <f t="shared" si="1"/>
        <v>0</v>
      </c>
      <c r="P38" s="92">
        <v>0</v>
      </c>
      <c r="Q38" s="92">
        <v>0</v>
      </c>
      <c r="R38" s="92">
        <v>0</v>
      </c>
      <c r="S38" s="92">
        <f t="shared" si="2"/>
        <v>0</v>
      </c>
      <c r="U38" s="92"/>
      <c r="V38" s="92"/>
      <c r="W38" s="92"/>
      <c r="X38" s="92"/>
      <c r="Y38" s="92">
        <v>1500</v>
      </c>
    </row>
    <row r="39" spans="1:25" x14ac:dyDescent="0.25">
      <c r="A39" s="7">
        <v>2026</v>
      </c>
      <c r="B39" s="13">
        <v>46265</v>
      </c>
      <c r="C39" s="115"/>
      <c r="D39" s="7">
        <v>36</v>
      </c>
      <c r="F39" s="88"/>
      <c r="G39" s="88"/>
      <c r="H39" s="88"/>
      <c r="I39" s="89">
        <f t="shared" si="0"/>
        <v>0</v>
      </c>
      <c r="K39" s="88"/>
      <c r="L39" s="88"/>
      <c r="M39" s="88"/>
      <c r="N39" s="7">
        <f t="shared" si="1"/>
        <v>0</v>
      </c>
      <c r="P39" s="92">
        <v>0</v>
      </c>
      <c r="Q39" s="92">
        <v>0</v>
      </c>
      <c r="R39" s="92">
        <v>0</v>
      </c>
      <c r="S39" s="92">
        <f t="shared" si="2"/>
        <v>0</v>
      </c>
      <c r="U39" s="92"/>
      <c r="V39" s="92"/>
      <c r="W39" s="92"/>
      <c r="X39" s="92"/>
      <c r="Y39" s="92">
        <v>1500</v>
      </c>
    </row>
    <row r="40" spans="1:25" x14ac:dyDescent="0.25">
      <c r="A40" s="7">
        <v>2026</v>
      </c>
      <c r="B40" s="13">
        <v>46272</v>
      </c>
      <c r="C40" s="116" t="s">
        <v>16</v>
      </c>
      <c r="D40" s="7">
        <v>37</v>
      </c>
      <c r="F40" s="88"/>
      <c r="G40" s="88"/>
      <c r="H40" s="88"/>
      <c r="I40" s="89">
        <f t="shared" si="0"/>
        <v>0</v>
      </c>
      <c r="K40" s="88"/>
      <c r="L40" s="88"/>
      <c r="M40" s="88"/>
      <c r="N40" s="7">
        <f>SUM(K40:M40)</f>
        <v>0</v>
      </c>
      <c r="P40" s="92">
        <v>0</v>
      </c>
      <c r="Q40" s="92">
        <v>0</v>
      </c>
      <c r="R40" s="92">
        <v>0</v>
      </c>
      <c r="S40" s="92">
        <f t="shared" si="2"/>
        <v>0</v>
      </c>
      <c r="U40" s="92"/>
      <c r="V40" s="92"/>
      <c r="W40" s="92"/>
      <c r="X40" s="92"/>
      <c r="Y40" s="92">
        <v>1500</v>
      </c>
    </row>
    <row r="41" spans="1:25" x14ac:dyDescent="0.25">
      <c r="A41" s="7">
        <v>2026</v>
      </c>
      <c r="B41" s="13">
        <v>46279</v>
      </c>
      <c r="C41" s="118"/>
      <c r="D41" s="7">
        <v>38</v>
      </c>
      <c r="F41" s="88"/>
      <c r="G41" s="88"/>
      <c r="H41" s="88"/>
      <c r="I41" s="89">
        <f t="shared" si="0"/>
        <v>0</v>
      </c>
      <c r="K41" s="88"/>
      <c r="L41" s="88"/>
      <c r="M41" s="88"/>
      <c r="N41" s="7">
        <f t="shared" si="1"/>
        <v>0</v>
      </c>
      <c r="P41" s="92">
        <v>0</v>
      </c>
      <c r="Q41" s="92">
        <v>0</v>
      </c>
      <c r="R41" s="92">
        <v>0</v>
      </c>
      <c r="S41" s="92">
        <f t="shared" si="2"/>
        <v>0</v>
      </c>
      <c r="U41" s="92"/>
      <c r="V41" s="92"/>
      <c r="W41" s="92"/>
      <c r="X41" s="92"/>
      <c r="Y41" s="92">
        <v>1500</v>
      </c>
    </row>
    <row r="42" spans="1:25" x14ac:dyDescent="0.25">
      <c r="A42" s="7">
        <v>2026</v>
      </c>
      <c r="B42" s="13">
        <v>46286</v>
      </c>
      <c r="C42" s="117"/>
      <c r="D42" s="7">
        <v>39</v>
      </c>
      <c r="F42" s="88"/>
      <c r="G42" s="88"/>
      <c r="H42" s="88"/>
      <c r="I42" s="89">
        <f t="shared" si="0"/>
        <v>0</v>
      </c>
      <c r="K42" s="88"/>
      <c r="L42" s="88"/>
      <c r="M42" s="88"/>
      <c r="N42" s="7">
        <f t="shared" si="1"/>
        <v>0</v>
      </c>
      <c r="P42" s="92">
        <v>0</v>
      </c>
      <c r="Q42" s="92">
        <v>0</v>
      </c>
      <c r="R42" s="92">
        <v>0</v>
      </c>
      <c r="S42" s="92">
        <f t="shared" si="2"/>
        <v>0</v>
      </c>
      <c r="U42" s="92"/>
      <c r="V42" s="92"/>
      <c r="W42" s="92"/>
      <c r="X42" s="92"/>
      <c r="Y42" s="92">
        <v>1500</v>
      </c>
    </row>
    <row r="43" spans="1:25" x14ac:dyDescent="0.25">
      <c r="A43" s="7">
        <v>2026</v>
      </c>
      <c r="B43" s="13">
        <v>46293</v>
      </c>
      <c r="C43" s="115"/>
      <c r="D43" s="7">
        <v>40</v>
      </c>
      <c r="F43" s="88"/>
      <c r="G43" s="88"/>
      <c r="H43" s="88"/>
      <c r="I43" s="89">
        <f t="shared" si="0"/>
        <v>0</v>
      </c>
      <c r="K43" s="88"/>
      <c r="L43" s="88"/>
      <c r="M43" s="88"/>
      <c r="N43" s="7">
        <f t="shared" si="1"/>
        <v>0</v>
      </c>
      <c r="P43" s="92">
        <v>0</v>
      </c>
      <c r="Q43" s="92">
        <v>0</v>
      </c>
      <c r="R43" s="92">
        <v>0</v>
      </c>
      <c r="S43" s="92">
        <f t="shared" si="2"/>
        <v>0</v>
      </c>
      <c r="U43" s="92"/>
      <c r="V43" s="92"/>
      <c r="W43" s="92"/>
      <c r="X43" s="92"/>
      <c r="Y43" s="92">
        <v>1500</v>
      </c>
    </row>
    <row r="44" spans="1:25" x14ac:dyDescent="0.25">
      <c r="A44" s="7">
        <v>2026</v>
      </c>
      <c r="B44" s="13">
        <v>46300</v>
      </c>
      <c r="C44" s="116"/>
      <c r="D44" s="7">
        <v>41</v>
      </c>
      <c r="F44" s="88"/>
      <c r="G44" s="88"/>
      <c r="H44" s="88"/>
      <c r="I44" s="89">
        <f t="shared" si="0"/>
        <v>0</v>
      </c>
      <c r="K44" s="88"/>
      <c r="L44" s="128"/>
      <c r="M44" s="88"/>
      <c r="N44" s="7">
        <f t="shared" si="1"/>
        <v>0</v>
      </c>
      <c r="P44" s="92">
        <v>0</v>
      </c>
      <c r="Q44" s="92">
        <v>0</v>
      </c>
      <c r="R44" s="92">
        <v>0</v>
      </c>
      <c r="S44" s="92">
        <f t="shared" si="2"/>
        <v>0</v>
      </c>
      <c r="U44" s="92"/>
      <c r="V44" s="92"/>
      <c r="W44" s="92"/>
      <c r="X44" s="92"/>
      <c r="Y44" s="92">
        <v>1500</v>
      </c>
    </row>
    <row r="45" spans="1:25" x14ac:dyDescent="0.25">
      <c r="A45" s="7">
        <v>2026</v>
      </c>
      <c r="B45" s="13">
        <v>46307</v>
      </c>
      <c r="C45" s="116" t="s">
        <v>17</v>
      </c>
      <c r="D45" s="7">
        <v>42</v>
      </c>
      <c r="F45" s="88"/>
      <c r="G45" s="88"/>
      <c r="H45" s="88"/>
      <c r="I45" s="89">
        <f>F45+G45+H45</f>
        <v>0</v>
      </c>
      <c r="K45" s="88"/>
      <c r="L45" s="88"/>
      <c r="M45" s="88"/>
      <c r="N45" s="7">
        <f t="shared" si="1"/>
        <v>0</v>
      </c>
      <c r="P45" s="92">
        <v>0</v>
      </c>
      <c r="Q45" s="92">
        <v>0</v>
      </c>
      <c r="R45" s="92">
        <v>0</v>
      </c>
      <c r="S45" s="92">
        <f t="shared" si="2"/>
        <v>0</v>
      </c>
      <c r="U45" s="92"/>
      <c r="V45" s="92"/>
      <c r="W45" s="92"/>
      <c r="X45" s="92"/>
      <c r="Y45" s="92">
        <v>1500</v>
      </c>
    </row>
    <row r="46" spans="1:25" x14ac:dyDescent="0.25">
      <c r="A46" s="7">
        <v>2026</v>
      </c>
      <c r="B46" s="13">
        <v>46314</v>
      </c>
      <c r="C46" s="116"/>
      <c r="D46" s="7">
        <v>43</v>
      </c>
      <c r="F46" s="88"/>
      <c r="G46" s="88"/>
      <c r="H46" s="88"/>
      <c r="I46" s="89">
        <f t="shared" si="0"/>
        <v>0</v>
      </c>
      <c r="K46" s="88"/>
      <c r="L46" s="88"/>
      <c r="M46" s="88"/>
      <c r="N46" s="7">
        <f t="shared" si="1"/>
        <v>0</v>
      </c>
      <c r="P46" s="92">
        <v>0</v>
      </c>
      <c r="Q46" s="92">
        <v>0</v>
      </c>
      <c r="R46" s="92">
        <v>0</v>
      </c>
      <c r="S46" s="92">
        <f t="shared" si="2"/>
        <v>0</v>
      </c>
      <c r="U46" s="92"/>
      <c r="V46" s="92"/>
      <c r="W46" s="92"/>
      <c r="X46" s="92"/>
      <c r="Y46" s="92">
        <v>1500</v>
      </c>
    </row>
    <row r="47" spans="1:25" x14ac:dyDescent="0.25">
      <c r="A47" s="7">
        <v>2026</v>
      </c>
      <c r="B47" s="13">
        <v>46321</v>
      </c>
      <c r="C47" s="117"/>
      <c r="D47" s="7">
        <v>44</v>
      </c>
      <c r="F47" s="88"/>
      <c r="G47" s="88"/>
      <c r="H47" s="88"/>
      <c r="I47" s="89">
        <f t="shared" si="0"/>
        <v>0</v>
      </c>
      <c r="K47" s="88"/>
      <c r="L47" s="88"/>
      <c r="M47" s="88"/>
      <c r="N47" s="7">
        <f t="shared" si="1"/>
        <v>0</v>
      </c>
      <c r="P47" s="92">
        <v>0</v>
      </c>
      <c r="Q47" s="92">
        <v>0</v>
      </c>
      <c r="R47" s="92">
        <v>0</v>
      </c>
      <c r="S47" s="92">
        <f t="shared" si="2"/>
        <v>0</v>
      </c>
      <c r="U47" s="92"/>
      <c r="V47" s="92"/>
      <c r="W47" s="92"/>
      <c r="X47" s="92"/>
      <c r="Y47" s="92">
        <v>1500</v>
      </c>
    </row>
    <row r="48" spans="1:25" x14ac:dyDescent="0.25">
      <c r="A48" s="7">
        <v>2026</v>
      </c>
      <c r="B48" s="13">
        <v>46328</v>
      </c>
      <c r="C48" s="115"/>
      <c r="D48" s="7">
        <v>45</v>
      </c>
      <c r="F48" s="88"/>
      <c r="G48" s="88"/>
      <c r="H48" s="88"/>
      <c r="I48" s="89">
        <f t="shared" si="0"/>
        <v>0</v>
      </c>
      <c r="K48" s="88"/>
      <c r="L48" s="88"/>
      <c r="M48" s="88"/>
      <c r="N48" s="7">
        <f t="shared" si="1"/>
        <v>0</v>
      </c>
      <c r="P48" s="92">
        <v>0</v>
      </c>
      <c r="Q48" s="92">
        <v>0</v>
      </c>
      <c r="R48" s="92">
        <v>0</v>
      </c>
      <c r="S48" s="92">
        <f t="shared" si="2"/>
        <v>0</v>
      </c>
      <c r="U48" s="92"/>
      <c r="V48" s="92"/>
      <c r="W48" s="92"/>
      <c r="X48" s="92"/>
      <c r="Y48" s="92">
        <v>1500</v>
      </c>
    </row>
    <row r="49" spans="1:25" x14ac:dyDescent="0.25">
      <c r="A49" s="7">
        <v>2026</v>
      </c>
      <c r="B49" s="13">
        <v>46335</v>
      </c>
      <c r="C49" s="116" t="s">
        <v>18</v>
      </c>
      <c r="D49" s="7">
        <v>46</v>
      </c>
      <c r="F49" s="88"/>
      <c r="G49" s="88"/>
      <c r="H49" s="88"/>
      <c r="I49" s="89">
        <f t="shared" si="0"/>
        <v>0</v>
      </c>
      <c r="K49" s="88"/>
      <c r="L49" s="88"/>
      <c r="M49" s="88"/>
      <c r="N49" s="7">
        <f t="shared" si="1"/>
        <v>0</v>
      </c>
      <c r="P49" s="92">
        <v>0</v>
      </c>
      <c r="Q49" s="92">
        <v>0</v>
      </c>
      <c r="R49" s="92">
        <v>0</v>
      </c>
      <c r="S49" s="92">
        <f t="shared" si="2"/>
        <v>0</v>
      </c>
      <c r="U49" s="92"/>
      <c r="V49" s="92"/>
      <c r="W49" s="92"/>
      <c r="X49" s="92"/>
      <c r="Y49" s="92">
        <v>1500</v>
      </c>
    </row>
    <row r="50" spans="1:25" x14ac:dyDescent="0.25">
      <c r="A50" s="7">
        <v>2026</v>
      </c>
      <c r="B50" s="13">
        <v>46342</v>
      </c>
      <c r="C50" s="116"/>
      <c r="D50" s="7">
        <v>47</v>
      </c>
      <c r="F50" s="88"/>
      <c r="G50" s="88"/>
      <c r="H50" s="88"/>
      <c r="I50" s="89">
        <f t="shared" si="0"/>
        <v>0</v>
      </c>
      <c r="K50" s="128"/>
      <c r="L50" s="88"/>
      <c r="M50" s="88"/>
      <c r="N50" s="7">
        <f t="shared" si="1"/>
        <v>0</v>
      </c>
      <c r="P50" s="92">
        <v>0</v>
      </c>
      <c r="Q50" s="92">
        <v>0</v>
      </c>
      <c r="R50" s="92">
        <v>0</v>
      </c>
      <c r="S50" s="92">
        <f t="shared" si="2"/>
        <v>0</v>
      </c>
      <c r="U50" s="92"/>
      <c r="V50" s="92"/>
      <c r="W50" s="92"/>
      <c r="X50" s="92"/>
      <c r="Y50" s="92">
        <v>1500</v>
      </c>
    </row>
    <row r="51" spans="1:25" x14ac:dyDescent="0.25">
      <c r="A51" s="7">
        <v>2026</v>
      </c>
      <c r="B51" s="13">
        <v>46349</v>
      </c>
      <c r="C51" s="116"/>
      <c r="D51" s="7">
        <v>48</v>
      </c>
      <c r="F51" s="88"/>
      <c r="G51" s="88"/>
      <c r="H51" s="88"/>
      <c r="I51" s="89">
        <f t="shared" si="0"/>
        <v>0</v>
      </c>
      <c r="K51" s="88"/>
      <c r="L51" s="88"/>
      <c r="M51" s="88"/>
      <c r="N51" s="7">
        <f t="shared" si="1"/>
        <v>0</v>
      </c>
      <c r="P51" s="92">
        <v>0</v>
      </c>
      <c r="Q51" s="92">
        <v>0</v>
      </c>
      <c r="R51" s="92">
        <v>0</v>
      </c>
      <c r="S51" s="92">
        <f t="shared" si="2"/>
        <v>0</v>
      </c>
      <c r="U51" s="92"/>
      <c r="V51" s="92"/>
      <c r="W51" s="92"/>
      <c r="X51" s="92"/>
      <c r="Y51" s="92">
        <v>1500</v>
      </c>
    </row>
    <row r="52" spans="1:25" x14ac:dyDescent="0.25">
      <c r="A52" s="7">
        <v>2026</v>
      </c>
      <c r="B52" s="13">
        <v>46356</v>
      </c>
      <c r="C52" s="115"/>
      <c r="D52" s="7">
        <v>49</v>
      </c>
      <c r="F52" s="88"/>
      <c r="G52" s="88"/>
      <c r="H52" s="88"/>
      <c r="I52" s="89">
        <f t="shared" si="0"/>
        <v>0</v>
      </c>
      <c r="K52" s="128"/>
      <c r="L52" s="88"/>
      <c r="M52" s="88"/>
      <c r="N52" s="7">
        <f t="shared" si="1"/>
        <v>0</v>
      </c>
      <c r="P52" s="92">
        <v>0</v>
      </c>
      <c r="Q52" s="92">
        <v>0</v>
      </c>
      <c r="R52" s="92">
        <v>0</v>
      </c>
      <c r="S52" s="92">
        <f t="shared" si="2"/>
        <v>0</v>
      </c>
      <c r="U52" s="92"/>
      <c r="V52" s="92"/>
      <c r="W52" s="92"/>
      <c r="X52" s="92"/>
      <c r="Y52" s="92">
        <v>1500</v>
      </c>
    </row>
    <row r="53" spans="1:25" x14ac:dyDescent="0.25">
      <c r="A53" s="7">
        <v>2026</v>
      </c>
      <c r="B53" s="13">
        <v>46363</v>
      </c>
      <c r="C53" s="116" t="s">
        <v>19</v>
      </c>
      <c r="D53" s="7">
        <v>50</v>
      </c>
      <c r="F53" s="88"/>
      <c r="G53" s="88"/>
      <c r="H53" s="88"/>
      <c r="I53" s="89">
        <f t="shared" si="0"/>
        <v>0</v>
      </c>
      <c r="K53" s="128"/>
      <c r="L53" s="88"/>
      <c r="M53" s="88"/>
      <c r="N53" s="7">
        <f t="shared" si="1"/>
        <v>0</v>
      </c>
      <c r="P53" s="92">
        <v>0</v>
      </c>
      <c r="Q53" s="92">
        <v>0</v>
      </c>
      <c r="R53" s="92">
        <v>0</v>
      </c>
      <c r="S53" s="92">
        <f t="shared" si="2"/>
        <v>0</v>
      </c>
      <c r="U53" s="92"/>
      <c r="V53" s="92"/>
      <c r="W53" s="92"/>
      <c r="X53" s="92"/>
      <c r="Y53" s="92">
        <v>1500</v>
      </c>
    </row>
    <row r="54" spans="1:25" x14ac:dyDescent="0.25">
      <c r="A54" s="7">
        <v>2026</v>
      </c>
      <c r="B54" s="13">
        <v>46370</v>
      </c>
      <c r="C54" s="118"/>
      <c r="D54" s="7">
        <v>51</v>
      </c>
      <c r="F54" s="88"/>
      <c r="G54" s="88"/>
      <c r="H54" s="88"/>
      <c r="I54" s="89">
        <f t="shared" si="0"/>
        <v>0</v>
      </c>
      <c r="K54" s="128"/>
      <c r="L54" s="88"/>
      <c r="M54" s="88"/>
      <c r="N54" s="7">
        <f t="shared" si="1"/>
        <v>0</v>
      </c>
      <c r="P54" s="92">
        <v>0</v>
      </c>
      <c r="Q54" s="92">
        <v>0</v>
      </c>
      <c r="R54" s="92">
        <v>0</v>
      </c>
      <c r="S54" s="92">
        <f t="shared" si="2"/>
        <v>0</v>
      </c>
      <c r="U54" s="92"/>
      <c r="V54" s="92"/>
      <c r="W54" s="92"/>
      <c r="X54" s="92"/>
      <c r="Y54" s="92">
        <v>1500</v>
      </c>
    </row>
    <row r="55" spans="1:25" x14ac:dyDescent="0.25">
      <c r="A55" s="7">
        <v>2026</v>
      </c>
      <c r="B55" s="13">
        <v>46377</v>
      </c>
      <c r="C55" s="116"/>
      <c r="D55" s="7">
        <v>52</v>
      </c>
      <c r="F55" s="88"/>
      <c r="G55" s="88"/>
      <c r="H55" s="88"/>
      <c r="I55" s="89">
        <f t="shared" si="0"/>
        <v>0</v>
      </c>
      <c r="K55" s="88"/>
      <c r="L55" s="88"/>
      <c r="M55" s="88"/>
      <c r="N55" s="7">
        <f t="shared" si="1"/>
        <v>0</v>
      </c>
      <c r="P55" s="92">
        <v>0</v>
      </c>
      <c r="Q55" s="92">
        <v>0</v>
      </c>
      <c r="R55" s="92">
        <v>0</v>
      </c>
      <c r="S55" s="92">
        <f t="shared" si="2"/>
        <v>0</v>
      </c>
      <c r="U55" s="92"/>
      <c r="V55" s="92"/>
      <c r="W55" s="92"/>
      <c r="X55" s="92"/>
      <c r="Y55" s="92">
        <v>1500</v>
      </c>
    </row>
    <row r="56" spans="1:25" x14ac:dyDescent="0.25">
      <c r="A56" s="7">
        <v>2026</v>
      </c>
      <c r="B56" s="13">
        <v>46384</v>
      </c>
      <c r="C56" s="117"/>
      <c r="D56" s="7"/>
      <c r="F56" s="88"/>
      <c r="G56" s="88"/>
      <c r="H56" s="88"/>
      <c r="I56" s="89">
        <f t="shared" si="0"/>
        <v>0</v>
      </c>
      <c r="K56" s="88"/>
      <c r="L56" s="88"/>
      <c r="M56" s="88"/>
      <c r="N56" s="7">
        <f t="shared" si="1"/>
        <v>0</v>
      </c>
      <c r="P56" s="92">
        <v>0</v>
      </c>
      <c r="Q56" s="92">
        <v>0</v>
      </c>
      <c r="R56" s="92">
        <v>0</v>
      </c>
      <c r="S56" s="92">
        <f t="shared" si="2"/>
        <v>0</v>
      </c>
      <c r="U56" s="92"/>
      <c r="V56" s="92"/>
      <c r="W56" s="92"/>
      <c r="X56" s="92"/>
      <c r="Y56" s="92">
        <v>1500</v>
      </c>
    </row>
    <row r="57" spans="1:25" x14ac:dyDescent="0.25">
      <c r="A57" s="7"/>
      <c r="B57" s="13"/>
      <c r="D57" s="7"/>
      <c r="E57" t="s">
        <v>4</v>
      </c>
      <c r="F57" s="88">
        <f>SUM(F4:F55)</f>
        <v>2</v>
      </c>
      <c r="G57" s="88">
        <f>SUM(G4:G55)</f>
        <v>4</v>
      </c>
      <c r="H57" s="88">
        <f>SUM(H4:H55)</f>
        <v>12</v>
      </c>
      <c r="I57" s="89">
        <f>SUM(I4:I55)</f>
        <v>18</v>
      </c>
      <c r="K57" s="139">
        <f>SUM(K4:K55)</f>
        <v>53</v>
      </c>
      <c r="L57" s="139">
        <f>SUM(L4:L55)</f>
        <v>0</v>
      </c>
      <c r="M57" s="139">
        <f>SUM(M4:M55)</f>
        <v>0</v>
      </c>
      <c r="N57" s="138">
        <f>SUM(N4:N55)</f>
        <v>53</v>
      </c>
      <c r="P57" s="92"/>
      <c r="Q57" s="92"/>
      <c r="R57" s="92"/>
      <c r="S57" s="92"/>
      <c r="U57" s="92">
        <f>SUM(U4:U55)</f>
        <v>5866</v>
      </c>
      <c r="V57" s="92">
        <f>SUM(V4:V55)</f>
        <v>0</v>
      </c>
      <c r="W57" s="92">
        <f>SUM(W4:W55)</f>
        <v>0</v>
      </c>
      <c r="X57" s="92">
        <f>SUM(X4:X55)</f>
        <v>5866</v>
      </c>
      <c r="Y57" s="92">
        <f>SUM(Y4:Y55)</f>
        <v>78000</v>
      </c>
    </row>
    <row r="58" spans="1:25" x14ac:dyDescent="0.25">
      <c r="F58" s="91"/>
      <c r="G58" s="91"/>
      <c r="H58" s="91"/>
      <c r="I58" s="91"/>
    </row>
    <row r="60" spans="1:25" x14ac:dyDescent="0.25">
      <c r="U60" t="s">
        <v>23</v>
      </c>
      <c r="V60" s="133">
        <v>1.4</v>
      </c>
      <c r="X60" t="s">
        <v>314</v>
      </c>
      <c r="Y60" s="133">
        <f>X57/'2025 Data'!AA57</f>
        <v>0.24398714762553422</v>
      </c>
    </row>
    <row r="61" spans="1:25" x14ac:dyDescent="0.25">
      <c r="U61" t="s">
        <v>24</v>
      </c>
      <c r="V61" s="133">
        <v>0.35</v>
      </c>
      <c r="X61" t="s">
        <v>106</v>
      </c>
      <c r="Y61" s="133">
        <v>0.1</v>
      </c>
    </row>
    <row r="62" spans="1:25" x14ac:dyDescent="0.25">
      <c r="U62" t="s">
        <v>25</v>
      </c>
      <c r="V62" s="133">
        <v>2.25</v>
      </c>
      <c r="X62" t="s">
        <v>107</v>
      </c>
      <c r="Y62" s="93">
        <f>(V63*2)-Y60</f>
        <v>7.7560128523744654</v>
      </c>
    </row>
    <row r="63" spans="1:25" x14ac:dyDescent="0.25">
      <c r="U63" t="s">
        <v>26</v>
      </c>
      <c r="V63" s="133">
        <v>4</v>
      </c>
      <c r="Y63" s="133"/>
    </row>
    <row r="65" spans="19:24" x14ac:dyDescent="0.25">
      <c r="S65" s="140"/>
      <c r="X65" s="133"/>
    </row>
    <row r="66" spans="19:24" x14ac:dyDescent="0.25">
      <c r="S66" s="140"/>
    </row>
    <row r="67" spans="19:24" x14ac:dyDescent="0.25">
      <c r="S67" s="140"/>
    </row>
    <row r="68" spans="19:24" x14ac:dyDescent="0.25">
      <c r="S68" s="93"/>
    </row>
  </sheetData>
  <mergeCells count="4">
    <mergeCell ref="F2:I2"/>
    <mergeCell ref="K2:N2"/>
    <mergeCell ref="P2:S2"/>
    <mergeCell ref="U2:Y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39DA-72E2-4676-A761-04967749227E}">
  <sheetPr>
    <pageSetUpPr fitToPage="1"/>
  </sheetPr>
  <dimension ref="B1:X41"/>
  <sheetViews>
    <sheetView zoomScale="90" zoomScaleNormal="90" workbookViewId="0">
      <selection activeCell="Z22" sqref="Z22"/>
    </sheetView>
  </sheetViews>
  <sheetFormatPr defaultRowHeight="15" x14ac:dyDescent="0.25"/>
  <cols>
    <col min="1" max="1" width="1.7109375" customWidth="1"/>
    <col min="13" max="13" width="2.42578125" customWidth="1"/>
  </cols>
  <sheetData>
    <row r="1" spans="2:24" ht="26.25" x14ac:dyDescent="0.25">
      <c r="B1" s="94"/>
      <c r="C1" s="94"/>
      <c r="D1" s="94"/>
      <c r="E1" s="94"/>
      <c r="F1" s="211" t="s">
        <v>313</v>
      </c>
      <c r="G1" s="211"/>
      <c r="H1" s="211"/>
      <c r="I1" s="211"/>
      <c r="J1" s="211"/>
      <c r="K1" s="211"/>
      <c r="L1" s="211"/>
      <c r="M1" s="96" t="s">
        <v>27</v>
      </c>
      <c r="N1" s="212">
        <f ca="1">TODAY()</f>
        <v>46098</v>
      </c>
      <c r="O1" s="212"/>
      <c r="P1" s="212"/>
      <c r="Q1" s="212"/>
      <c r="R1" s="95"/>
      <c r="S1" s="95"/>
      <c r="T1" s="95"/>
      <c r="U1" s="95"/>
      <c r="V1" s="95"/>
      <c r="W1" s="95"/>
      <c r="X1" s="95"/>
    </row>
    <row r="2" spans="2:24" ht="9.75" customHeight="1" x14ac:dyDescent="0.25"/>
    <row r="3" spans="2:24" ht="18.75" x14ac:dyDescent="0.25">
      <c r="B3" s="213" t="s">
        <v>382</v>
      </c>
      <c r="C3" s="214"/>
      <c r="D3" s="214"/>
      <c r="E3" s="214"/>
      <c r="F3" s="214"/>
      <c r="G3" s="214"/>
      <c r="H3" s="214"/>
      <c r="I3" s="214"/>
      <c r="J3" s="214"/>
      <c r="K3" s="214"/>
      <c r="L3" s="215"/>
      <c r="N3" s="213" t="s">
        <v>322</v>
      </c>
      <c r="O3" s="214"/>
      <c r="P3" s="214"/>
      <c r="Q3" s="214"/>
      <c r="R3" s="214"/>
      <c r="S3" s="214"/>
      <c r="T3" s="214"/>
      <c r="U3" s="214"/>
      <c r="V3" s="214"/>
      <c r="W3" s="214"/>
      <c r="X3" s="215"/>
    </row>
    <row r="21" spans="2:24" x14ac:dyDescent="0.25">
      <c r="N21" s="216" t="s">
        <v>325</v>
      </c>
      <c r="O21" s="178"/>
      <c r="P21" s="178"/>
      <c r="Q21" s="178"/>
      <c r="R21" s="178"/>
      <c r="S21" s="178"/>
      <c r="T21" s="178"/>
      <c r="U21" s="178"/>
      <c r="V21" s="178"/>
      <c r="W21" s="178"/>
      <c r="X21" s="179"/>
    </row>
    <row r="23" spans="2:24" ht="18.75" x14ac:dyDescent="0.25">
      <c r="B23" s="213" t="s">
        <v>312</v>
      </c>
      <c r="C23" s="214"/>
      <c r="D23" s="214"/>
      <c r="E23" s="214"/>
      <c r="F23" s="214"/>
      <c r="G23" s="214"/>
      <c r="H23" s="214"/>
      <c r="I23" s="214"/>
      <c r="J23" s="214"/>
      <c r="K23" s="214"/>
      <c r="L23" s="215"/>
      <c r="N23" s="213" t="s">
        <v>311</v>
      </c>
      <c r="O23" s="214"/>
      <c r="P23" s="214"/>
      <c r="Q23" s="214"/>
      <c r="R23" s="214"/>
      <c r="S23" s="214"/>
      <c r="T23" s="214"/>
      <c r="U23" s="214"/>
      <c r="V23" s="214"/>
      <c r="W23" s="214"/>
      <c r="X23" s="215"/>
    </row>
    <row r="41" spans="2:24" x14ac:dyDescent="0.25">
      <c r="B41" s="205" t="s">
        <v>323</v>
      </c>
      <c r="C41" s="206"/>
      <c r="D41" s="206"/>
      <c r="E41" s="206"/>
      <c r="F41" s="206"/>
      <c r="G41" s="206"/>
      <c r="H41" s="206"/>
      <c r="I41" s="206"/>
      <c r="J41" s="206"/>
      <c r="K41" s="206"/>
      <c r="L41" s="207"/>
      <c r="N41" s="208" t="s">
        <v>324</v>
      </c>
      <c r="O41" s="209"/>
      <c r="P41" s="209"/>
      <c r="Q41" s="209"/>
      <c r="R41" s="209"/>
      <c r="S41" s="209"/>
      <c r="T41" s="209"/>
      <c r="U41" s="209"/>
      <c r="V41" s="209"/>
      <c r="W41" s="209"/>
      <c r="X41" s="210"/>
    </row>
  </sheetData>
  <mergeCells count="9">
    <mergeCell ref="B41:L41"/>
    <mergeCell ref="N41:X41"/>
    <mergeCell ref="F1:L1"/>
    <mergeCell ref="N1:Q1"/>
    <mergeCell ref="B3:L3"/>
    <mergeCell ref="N3:X3"/>
    <mergeCell ref="N21:X21"/>
    <mergeCell ref="B23:L23"/>
    <mergeCell ref="N23:X23"/>
  </mergeCells>
  <printOptions horizontalCentered="1"/>
  <pageMargins left="0.2" right="0.2" top="0.75" bottom="0.75" header="0.3" footer="0.3"/>
  <pageSetup paperSize="12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BBA1-AE96-4D21-8DE0-4C7F05EFC751}">
  <sheetPr>
    <pageSetUpPr fitToPage="1"/>
  </sheetPr>
  <dimension ref="B1:X40"/>
  <sheetViews>
    <sheetView tabSelected="1" zoomScale="90" zoomScaleNormal="90" workbookViewId="0">
      <selection activeCell="AA26" sqref="AA26"/>
    </sheetView>
  </sheetViews>
  <sheetFormatPr defaultRowHeight="15" x14ac:dyDescent="0.25"/>
  <cols>
    <col min="1" max="1" width="2.7109375" customWidth="1"/>
    <col min="12" max="12" width="9.140625" customWidth="1"/>
    <col min="13" max="13" width="2" customWidth="1"/>
    <col min="15" max="15" width="9.140625" customWidth="1"/>
  </cols>
  <sheetData>
    <row r="1" spans="2:24" ht="26.25" x14ac:dyDescent="0.25">
      <c r="B1" s="94"/>
      <c r="C1" s="94"/>
      <c r="D1" s="94"/>
      <c r="E1" s="94"/>
      <c r="F1" s="211" t="s">
        <v>313</v>
      </c>
      <c r="G1" s="211"/>
      <c r="H1" s="211"/>
      <c r="I1" s="211"/>
      <c r="J1" s="211"/>
      <c r="K1" s="211"/>
      <c r="L1" s="211"/>
      <c r="M1" s="96" t="s">
        <v>27</v>
      </c>
      <c r="N1" s="212">
        <f ca="1">TODAY()</f>
        <v>46098</v>
      </c>
      <c r="O1" s="212"/>
      <c r="P1" s="212"/>
      <c r="Q1" s="212"/>
      <c r="R1" s="95"/>
      <c r="S1" s="95"/>
      <c r="T1" s="95"/>
      <c r="U1" s="95"/>
      <c r="V1" s="95"/>
      <c r="W1" s="95"/>
      <c r="X1" s="95"/>
    </row>
    <row r="2" spans="2:24" ht="9.75" customHeight="1" x14ac:dyDescent="0.25"/>
    <row r="3" spans="2:24" ht="15.75" x14ac:dyDescent="0.25">
      <c r="B3" s="221" t="s">
        <v>402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N3" s="222" t="s">
        <v>403</v>
      </c>
      <c r="O3" s="223"/>
      <c r="P3" s="223"/>
      <c r="Q3" s="223"/>
      <c r="R3" s="223"/>
      <c r="S3" s="223"/>
      <c r="T3" s="223"/>
      <c r="U3" s="223"/>
      <c r="V3" s="223"/>
      <c r="W3" s="223"/>
      <c r="X3" s="224"/>
    </row>
    <row r="21" spans="2:24" ht="10.5" customHeight="1" x14ac:dyDescent="0.25"/>
    <row r="22" spans="2:24" ht="6" customHeight="1" x14ac:dyDescent="0.25"/>
    <row r="23" spans="2:24" ht="15.75" x14ac:dyDescent="0.25">
      <c r="B23" s="222" t="s">
        <v>404</v>
      </c>
      <c r="C23" s="223"/>
      <c r="D23" s="223"/>
      <c r="E23" s="223"/>
      <c r="F23" s="224"/>
      <c r="G23" s="227" t="s">
        <v>383</v>
      </c>
      <c r="H23" s="227"/>
      <c r="I23" s="227"/>
      <c r="J23" s="225">
        <f>'QC Data 2026'!$X$57</f>
        <v>5866</v>
      </c>
      <c r="K23" s="225"/>
      <c r="L23" s="226"/>
      <c r="N23" s="222" t="s">
        <v>326</v>
      </c>
      <c r="O23" s="223"/>
      <c r="P23" s="223"/>
      <c r="Q23" s="223"/>
      <c r="R23" s="223"/>
      <c r="S23" s="223"/>
      <c r="T23" s="223"/>
      <c r="U23" s="223"/>
      <c r="V23" s="223"/>
      <c r="W23" s="223"/>
      <c r="X23" s="224"/>
    </row>
    <row r="24" spans="2:24" ht="6" customHeight="1" x14ac:dyDescent="0.25"/>
    <row r="25" spans="2:24" ht="19.5" customHeight="1" x14ac:dyDescent="0.25">
      <c r="N25" s="220" t="s">
        <v>88</v>
      </c>
      <c r="O25" s="220"/>
      <c r="P25" s="220"/>
      <c r="Q25" s="220"/>
      <c r="R25" s="220"/>
      <c r="S25" s="220"/>
      <c r="T25" s="220"/>
      <c r="U25" s="220" t="s">
        <v>319</v>
      </c>
      <c r="V25" s="220"/>
      <c r="W25" s="220" t="s">
        <v>90</v>
      </c>
      <c r="X25" s="220"/>
    </row>
    <row r="26" spans="2:24" ht="15" customHeight="1" x14ac:dyDescent="0.25">
      <c r="N26" s="217" t="s">
        <v>384</v>
      </c>
      <c r="O26" s="217"/>
      <c r="P26" s="217"/>
      <c r="Q26" s="217"/>
      <c r="R26" s="217"/>
      <c r="S26" s="217"/>
      <c r="T26" s="217"/>
      <c r="U26" s="218" t="s">
        <v>355</v>
      </c>
      <c r="V26" s="218"/>
      <c r="W26" s="219">
        <v>45689</v>
      </c>
      <c r="X26" s="218"/>
    </row>
    <row r="27" spans="2:24" ht="15" customHeight="1" x14ac:dyDescent="0.25">
      <c r="N27" s="217"/>
      <c r="O27" s="217"/>
      <c r="P27" s="217"/>
      <c r="Q27" s="217"/>
      <c r="R27" s="217"/>
      <c r="S27" s="217"/>
      <c r="T27" s="217"/>
      <c r="U27" s="218"/>
      <c r="V27" s="218"/>
      <c r="W27" s="218"/>
      <c r="X27" s="218"/>
    </row>
    <row r="28" spans="2:24" ht="15" customHeight="1" x14ac:dyDescent="0.25">
      <c r="N28" s="217"/>
      <c r="O28" s="217"/>
      <c r="P28" s="217"/>
      <c r="Q28" s="217"/>
      <c r="R28" s="217"/>
      <c r="S28" s="217"/>
      <c r="T28" s="217"/>
      <c r="U28" s="218"/>
      <c r="V28" s="218"/>
      <c r="W28" s="218"/>
      <c r="X28" s="218"/>
    </row>
    <row r="29" spans="2:24" ht="15" customHeight="1" x14ac:dyDescent="0.25">
      <c r="N29" s="217" t="s">
        <v>386</v>
      </c>
      <c r="O29" s="217"/>
      <c r="P29" s="217"/>
      <c r="Q29" s="217"/>
      <c r="R29" s="217"/>
      <c r="S29" s="217"/>
      <c r="T29" s="217"/>
      <c r="U29" s="218" t="s">
        <v>385</v>
      </c>
      <c r="V29" s="218"/>
      <c r="W29" s="219">
        <v>45735</v>
      </c>
      <c r="X29" s="218"/>
    </row>
    <row r="30" spans="2:24" ht="15" customHeight="1" x14ac:dyDescent="0.25">
      <c r="N30" s="217"/>
      <c r="O30" s="217"/>
      <c r="P30" s="217"/>
      <c r="Q30" s="217"/>
      <c r="R30" s="217"/>
      <c r="S30" s="217"/>
      <c r="T30" s="217"/>
      <c r="U30" s="218"/>
      <c r="V30" s="218"/>
      <c r="W30" s="218"/>
      <c r="X30" s="218"/>
    </row>
    <row r="31" spans="2:24" ht="15" customHeight="1" x14ac:dyDescent="0.25">
      <c r="N31" s="217"/>
      <c r="O31" s="217"/>
      <c r="P31" s="217"/>
      <c r="Q31" s="217"/>
      <c r="R31" s="217"/>
      <c r="S31" s="217"/>
      <c r="T31" s="217"/>
      <c r="U31" s="218"/>
      <c r="V31" s="218"/>
      <c r="W31" s="218"/>
      <c r="X31" s="218"/>
    </row>
    <row r="32" spans="2:24" ht="15" customHeight="1" x14ac:dyDescent="0.25">
      <c r="N32" s="217"/>
      <c r="O32" s="217"/>
      <c r="P32" s="217"/>
      <c r="Q32" s="217"/>
      <c r="R32" s="217"/>
      <c r="S32" s="217"/>
      <c r="T32" s="217"/>
      <c r="U32" s="218"/>
      <c r="V32" s="218"/>
      <c r="W32" s="219"/>
      <c r="X32" s="218"/>
    </row>
    <row r="33" spans="14:24" ht="15" customHeight="1" x14ac:dyDescent="0.25">
      <c r="N33" s="217"/>
      <c r="O33" s="217"/>
      <c r="P33" s="217"/>
      <c r="Q33" s="217"/>
      <c r="R33" s="217"/>
      <c r="S33" s="217"/>
      <c r="T33" s="217"/>
      <c r="U33" s="218"/>
      <c r="V33" s="218"/>
      <c r="W33" s="218"/>
      <c r="X33" s="218"/>
    </row>
    <row r="34" spans="14:24" ht="15" customHeight="1" x14ac:dyDescent="0.25">
      <c r="N34" s="217"/>
      <c r="O34" s="217"/>
      <c r="P34" s="217"/>
      <c r="Q34" s="217"/>
      <c r="R34" s="217"/>
      <c r="S34" s="217"/>
      <c r="T34" s="217"/>
      <c r="U34" s="218"/>
      <c r="V34" s="218"/>
      <c r="W34" s="218"/>
      <c r="X34" s="218"/>
    </row>
    <row r="35" spans="14:24" ht="15" customHeight="1" x14ac:dyDescent="0.25">
      <c r="N35" s="217"/>
      <c r="O35" s="217"/>
      <c r="P35" s="217"/>
      <c r="Q35" s="217"/>
      <c r="R35" s="217"/>
      <c r="S35" s="217"/>
      <c r="T35" s="217"/>
      <c r="U35" s="218"/>
      <c r="V35" s="218"/>
      <c r="W35" s="218"/>
      <c r="X35" s="218"/>
    </row>
    <row r="36" spans="14:24" ht="15" customHeight="1" x14ac:dyDescent="0.25">
      <c r="N36" s="217"/>
      <c r="O36" s="217"/>
      <c r="P36" s="217"/>
      <c r="Q36" s="217"/>
      <c r="R36" s="217"/>
      <c r="S36" s="217"/>
      <c r="T36" s="217"/>
      <c r="U36" s="218"/>
      <c r="V36" s="218"/>
      <c r="W36" s="218"/>
      <c r="X36" s="218"/>
    </row>
    <row r="37" spans="14:24" x14ac:dyDescent="0.25">
      <c r="N37" s="217"/>
      <c r="O37" s="217"/>
      <c r="P37" s="217"/>
      <c r="Q37" s="217"/>
      <c r="R37" s="217"/>
      <c r="S37" s="217"/>
      <c r="T37" s="217"/>
      <c r="U37" s="218"/>
      <c r="V37" s="218"/>
      <c r="W37" s="218"/>
      <c r="X37" s="218"/>
    </row>
    <row r="38" spans="14:24" x14ac:dyDescent="0.25">
      <c r="N38" s="217"/>
      <c r="O38" s="217"/>
      <c r="P38" s="217"/>
      <c r="Q38" s="217"/>
      <c r="R38" s="217"/>
      <c r="S38" s="217"/>
      <c r="T38" s="217"/>
      <c r="U38" s="218"/>
      <c r="V38" s="218"/>
      <c r="W38" s="218"/>
      <c r="X38" s="218"/>
    </row>
    <row r="39" spans="14:24" x14ac:dyDescent="0.25">
      <c r="N39" s="217"/>
      <c r="O39" s="217"/>
      <c r="P39" s="217"/>
      <c r="Q39" s="217"/>
      <c r="R39" s="217"/>
      <c r="S39" s="217"/>
      <c r="T39" s="217"/>
      <c r="U39" s="218"/>
      <c r="V39" s="218"/>
      <c r="W39" s="218"/>
      <c r="X39" s="218"/>
    </row>
    <row r="40" spans="14:24" x14ac:dyDescent="0.25">
      <c r="N40" s="217"/>
      <c r="O40" s="217"/>
      <c r="P40" s="217"/>
      <c r="Q40" s="217"/>
      <c r="R40" s="217"/>
      <c r="S40" s="217"/>
      <c r="T40" s="217"/>
      <c r="U40" s="218"/>
      <c r="V40" s="218"/>
      <c r="W40" s="218"/>
      <c r="X40" s="218"/>
    </row>
  </sheetData>
  <mergeCells count="26">
    <mergeCell ref="F1:L1"/>
    <mergeCell ref="N1:Q1"/>
    <mergeCell ref="B3:L3"/>
    <mergeCell ref="N3:X3"/>
    <mergeCell ref="N23:X23"/>
    <mergeCell ref="J23:L23"/>
    <mergeCell ref="G23:I23"/>
    <mergeCell ref="B23:F23"/>
    <mergeCell ref="N25:T25"/>
    <mergeCell ref="U25:V25"/>
    <mergeCell ref="W25:X25"/>
    <mergeCell ref="N26:T28"/>
    <mergeCell ref="U26:V28"/>
    <mergeCell ref="W26:X28"/>
    <mergeCell ref="N29:T31"/>
    <mergeCell ref="U29:V31"/>
    <mergeCell ref="W29:X31"/>
    <mergeCell ref="N32:T34"/>
    <mergeCell ref="U32:V34"/>
    <mergeCell ref="W32:X34"/>
    <mergeCell ref="N35:T37"/>
    <mergeCell ref="U35:V37"/>
    <mergeCell ref="W35:X37"/>
    <mergeCell ref="N38:T40"/>
    <mergeCell ref="U38:V40"/>
    <mergeCell ref="W38:X40"/>
  </mergeCells>
  <printOptions horizontalCentered="1"/>
  <pageMargins left="0.2" right="0.2" top="0.75" bottom="0.75" header="0.3" footer="0.3"/>
  <pageSetup paperSize="122" scale="9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468C-97D5-49A5-8046-83394E298C0A}">
  <sheetPr>
    <pageSetUpPr fitToPage="1"/>
  </sheetPr>
  <dimension ref="B1:AQ58"/>
  <sheetViews>
    <sheetView showGridLines="0" topLeftCell="D1" zoomScale="62" zoomScaleNormal="62" workbookViewId="0">
      <selection activeCell="AQ35" sqref="AQ35"/>
    </sheetView>
  </sheetViews>
  <sheetFormatPr defaultRowHeight="15" x14ac:dyDescent="0.25"/>
  <cols>
    <col min="1" max="1" width="2.5703125" customWidth="1"/>
    <col min="14" max="14" width="11" bestFit="1" customWidth="1"/>
    <col min="16" max="16" width="3.42578125" customWidth="1"/>
  </cols>
  <sheetData>
    <row r="1" spans="2:33" ht="31.5" x14ac:dyDescent="0.25">
      <c r="B1" s="10"/>
      <c r="C1" s="10"/>
      <c r="D1" s="172" t="s">
        <v>50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</f>
        <v>46098</v>
      </c>
      <c r="U1" s="173"/>
      <c r="V1" s="173"/>
      <c r="W1" s="173"/>
      <c r="X1" s="173"/>
      <c r="Y1" s="173"/>
      <c r="Z1" s="12"/>
      <c r="AA1" s="12"/>
      <c r="AB1" s="10"/>
      <c r="AC1" s="10"/>
      <c r="AD1" s="10"/>
      <c r="AE1" s="10"/>
      <c r="AF1" s="10"/>
      <c r="AG1" s="10"/>
    </row>
    <row r="2" spans="2:33" ht="14.25" customHeight="1" x14ac:dyDescent="0.25"/>
    <row r="3" spans="2:33" ht="27" customHeight="1" x14ac:dyDescent="0.25">
      <c r="B3" s="174" t="s">
        <v>348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349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30" spans="2:43" ht="27" customHeight="1" x14ac:dyDescent="0.25">
      <c r="B30" s="14"/>
      <c r="C30" s="19" t="s">
        <v>55</v>
      </c>
      <c r="D30" s="19"/>
      <c r="E30" s="23">
        <f>'2024 Data'!J55</f>
        <v>0.93</v>
      </c>
      <c r="F30" s="19"/>
      <c r="G30" s="19" t="s">
        <v>56</v>
      </c>
      <c r="H30" s="15"/>
      <c r="I30" s="15"/>
      <c r="J30" s="24">
        <f>'2024 Data'!L55</f>
        <v>0.82500000000000007</v>
      </c>
      <c r="K30" s="15"/>
      <c r="L30" s="19" t="s">
        <v>57</v>
      </c>
      <c r="M30" s="15"/>
      <c r="N30" s="24">
        <f>'2024 Data'!M55</f>
        <v>0.9225000000000001</v>
      </c>
      <c r="O30" s="16"/>
      <c r="Q30" s="18"/>
      <c r="R30" s="19" t="s">
        <v>51</v>
      </c>
      <c r="S30" s="20"/>
      <c r="T30" s="21">
        <f>'2024 Data'!AS17</f>
        <v>694.26</v>
      </c>
      <c r="U30" s="20"/>
      <c r="V30" s="19" t="s">
        <v>53</v>
      </c>
      <c r="W30" s="20"/>
      <c r="X30" s="20"/>
      <c r="Y30" s="21">
        <f>'2024 Data'!AV15</f>
        <v>600</v>
      </c>
      <c r="Z30" s="20"/>
      <c r="AA30" s="19" t="s">
        <v>52</v>
      </c>
      <c r="AB30" s="20"/>
      <c r="AC30" s="21">
        <f>T30-Y30</f>
        <v>94.259999999999991</v>
      </c>
      <c r="AD30" s="22"/>
    </row>
    <row r="31" spans="2:43" x14ac:dyDescent="0.25">
      <c r="AM31" s="121" t="s">
        <v>352</v>
      </c>
      <c r="AN31" s="81"/>
      <c r="AO31" s="81"/>
      <c r="AP31" s="81"/>
      <c r="AQ31" s="122"/>
    </row>
    <row r="32" spans="2:43" hidden="1" x14ac:dyDescent="0.25">
      <c r="AM32" s="123"/>
      <c r="AQ32" s="124"/>
    </row>
    <row r="33" spans="2:43" hidden="1" x14ac:dyDescent="0.25">
      <c r="AM33" s="123"/>
      <c r="AQ33" s="124"/>
    </row>
    <row r="34" spans="2:43" x14ac:dyDescent="0.25">
      <c r="AM34" s="123" t="s">
        <v>353</v>
      </c>
      <c r="AQ34" s="124"/>
    </row>
    <row r="35" spans="2:43" ht="21" x14ac:dyDescent="0.25">
      <c r="B35" s="174" t="s">
        <v>91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AM35" s="123" t="s">
        <v>23</v>
      </c>
      <c r="AN35">
        <v>20</v>
      </c>
      <c r="AP35" t="s">
        <v>20</v>
      </c>
      <c r="AQ35" s="125">
        <v>0.28000000000000003</v>
      </c>
    </row>
    <row r="36" spans="2:43" x14ac:dyDescent="0.25">
      <c r="AM36" s="123" t="s">
        <v>24</v>
      </c>
      <c r="AN36">
        <v>5</v>
      </c>
      <c r="AP36" t="s">
        <v>21</v>
      </c>
      <c r="AQ36" s="85">
        <v>0.01</v>
      </c>
    </row>
    <row r="37" spans="2:43" x14ac:dyDescent="0.25">
      <c r="B37" s="166" t="s">
        <v>88</v>
      </c>
      <c r="C37" s="167"/>
      <c r="D37" s="167"/>
      <c r="E37" s="167"/>
      <c r="F37" s="167"/>
      <c r="G37" s="167"/>
      <c r="H37" s="167"/>
      <c r="I37" s="167"/>
      <c r="J37" s="167"/>
      <c r="K37" s="168"/>
      <c r="L37" s="166" t="s">
        <v>89</v>
      </c>
      <c r="M37" s="168"/>
      <c r="N37" s="166" t="s">
        <v>90</v>
      </c>
      <c r="O37" s="168"/>
      <c r="AM37" s="123" t="s">
        <v>25</v>
      </c>
      <c r="AN37">
        <v>20</v>
      </c>
      <c r="AP37" t="s">
        <v>22</v>
      </c>
      <c r="AQ37" s="85">
        <f>0.99-AQ35-AQ36</f>
        <v>0.7</v>
      </c>
    </row>
    <row r="38" spans="2:43" x14ac:dyDescent="0.25">
      <c r="B38" s="169"/>
      <c r="C38" s="170"/>
      <c r="D38" s="170"/>
      <c r="E38" s="170"/>
      <c r="F38" s="170"/>
      <c r="G38" s="170"/>
      <c r="H38" s="170"/>
      <c r="I38" s="170"/>
      <c r="J38" s="170"/>
      <c r="K38" s="171"/>
      <c r="L38" s="169"/>
      <c r="M38" s="171"/>
      <c r="N38" s="169"/>
      <c r="O38" s="171"/>
      <c r="AM38" s="123" t="s">
        <v>26</v>
      </c>
      <c r="AN38">
        <v>45</v>
      </c>
      <c r="AQ38" s="124"/>
    </row>
    <row r="39" spans="2:43" ht="15" customHeight="1" x14ac:dyDescent="0.25">
      <c r="B39" s="145" t="s">
        <v>362</v>
      </c>
      <c r="C39" s="146"/>
      <c r="D39" s="146"/>
      <c r="E39" s="146"/>
      <c r="F39" s="146"/>
      <c r="G39" s="146"/>
      <c r="H39" s="146"/>
      <c r="I39" s="146"/>
      <c r="J39" s="146"/>
      <c r="K39" s="147"/>
      <c r="L39" s="154" t="s">
        <v>361</v>
      </c>
      <c r="M39" s="155"/>
      <c r="N39" s="160" t="s">
        <v>372</v>
      </c>
      <c r="O39" s="161"/>
      <c r="AM39" s="123"/>
      <c r="AQ39" s="124"/>
    </row>
    <row r="40" spans="2:43" ht="15" customHeight="1" x14ac:dyDescent="0.25">
      <c r="B40" s="148"/>
      <c r="C40" s="149"/>
      <c r="D40" s="149"/>
      <c r="E40" s="149"/>
      <c r="F40" s="149"/>
      <c r="G40" s="149"/>
      <c r="H40" s="149"/>
      <c r="I40" s="149"/>
      <c r="J40" s="149"/>
      <c r="K40" s="150"/>
      <c r="L40" s="156"/>
      <c r="M40" s="157"/>
      <c r="N40" s="162"/>
      <c r="O40" s="163"/>
      <c r="AM40" s="123"/>
      <c r="AQ40" s="124"/>
    </row>
    <row r="41" spans="2:43" ht="15" customHeight="1" x14ac:dyDescent="0.25">
      <c r="B41" s="148"/>
      <c r="C41" s="149"/>
      <c r="D41" s="149"/>
      <c r="E41" s="149"/>
      <c r="F41" s="149"/>
      <c r="G41" s="149"/>
      <c r="H41" s="149"/>
      <c r="I41" s="149"/>
      <c r="J41" s="149"/>
      <c r="K41" s="150"/>
      <c r="L41" s="156"/>
      <c r="M41" s="157"/>
      <c r="N41" s="162"/>
      <c r="O41" s="163"/>
      <c r="AM41" s="123"/>
      <c r="AQ41" s="124"/>
    </row>
    <row r="42" spans="2:43" ht="15" customHeight="1" x14ac:dyDescent="0.25">
      <c r="B42" s="151"/>
      <c r="C42" s="152"/>
      <c r="D42" s="152"/>
      <c r="E42" s="152"/>
      <c r="F42" s="152"/>
      <c r="G42" s="152"/>
      <c r="H42" s="152"/>
      <c r="I42" s="152"/>
      <c r="J42" s="152"/>
      <c r="K42" s="153"/>
      <c r="L42" s="158"/>
      <c r="M42" s="159"/>
      <c r="N42" s="164"/>
      <c r="O42" s="165"/>
      <c r="AM42" s="123"/>
      <c r="AQ42" s="124"/>
    </row>
    <row r="43" spans="2:43" ht="15" customHeight="1" x14ac:dyDescent="0.25">
      <c r="B43" s="145" t="s">
        <v>369</v>
      </c>
      <c r="C43" s="146"/>
      <c r="D43" s="146"/>
      <c r="E43" s="146"/>
      <c r="F43" s="146"/>
      <c r="G43" s="146"/>
      <c r="H43" s="146"/>
      <c r="I43" s="146"/>
      <c r="J43" s="146"/>
      <c r="K43" s="147"/>
      <c r="L43" s="154" t="s">
        <v>361</v>
      </c>
      <c r="M43" s="155"/>
      <c r="N43" s="160">
        <v>45471</v>
      </c>
      <c r="O43" s="161"/>
      <c r="AM43" s="123" t="s">
        <v>40</v>
      </c>
      <c r="AN43" s="91">
        <v>42699</v>
      </c>
      <c r="AO43" s="84">
        <f>AN43/AN45</f>
        <v>0.71709995969367191</v>
      </c>
      <c r="AQ43" s="124"/>
    </row>
    <row r="44" spans="2:43" ht="15" customHeight="1" x14ac:dyDescent="0.25">
      <c r="B44" s="148"/>
      <c r="C44" s="149"/>
      <c r="D44" s="149"/>
      <c r="E44" s="149"/>
      <c r="F44" s="149"/>
      <c r="G44" s="149"/>
      <c r="H44" s="149"/>
      <c r="I44" s="149"/>
      <c r="J44" s="149"/>
      <c r="K44" s="150"/>
      <c r="L44" s="156"/>
      <c r="M44" s="157"/>
      <c r="N44" s="162"/>
      <c r="O44" s="163"/>
      <c r="AM44" s="123" t="s">
        <v>337</v>
      </c>
      <c r="AN44" s="91">
        <v>16845</v>
      </c>
      <c r="AO44" s="84">
        <f>AN44/AN45</f>
        <v>0.28290004030632809</v>
      </c>
      <c r="AQ44" s="124"/>
    </row>
    <row r="45" spans="2:43" ht="15" customHeight="1" x14ac:dyDescent="0.25">
      <c r="B45" s="148"/>
      <c r="C45" s="149"/>
      <c r="D45" s="149"/>
      <c r="E45" s="149"/>
      <c r="F45" s="149"/>
      <c r="G45" s="149"/>
      <c r="H45" s="149"/>
      <c r="I45" s="149"/>
      <c r="J45" s="149"/>
      <c r="K45" s="150"/>
      <c r="L45" s="156"/>
      <c r="M45" s="157"/>
      <c r="N45" s="162"/>
      <c r="O45" s="163"/>
      <c r="AM45" s="123" t="s">
        <v>4</v>
      </c>
      <c r="AN45" s="91">
        <f>SUM(AN43:AN44)</f>
        <v>59544</v>
      </c>
      <c r="AQ45" s="124"/>
    </row>
    <row r="46" spans="2:43" ht="15" customHeight="1" x14ac:dyDescent="0.25">
      <c r="B46" s="151"/>
      <c r="C46" s="152"/>
      <c r="D46" s="152"/>
      <c r="E46" s="152"/>
      <c r="F46" s="152"/>
      <c r="G46" s="152"/>
      <c r="H46" s="152"/>
      <c r="I46" s="152"/>
      <c r="J46" s="152"/>
      <c r="K46" s="153"/>
      <c r="L46" s="158"/>
      <c r="M46" s="159"/>
      <c r="N46" s="164"/>
      <c r="O46" s="165"/>
      <c r="AM46" s="126"/>
      <c r="AN46" s="54"/>
      <c r="AO46" s="54"/>
      <c r="AP46" s="54"/>
      <c r="AQ46" s="127"/>
    </row>
    <row r="47" spans="2:43" ht="15" customHeight="1" x14ac:dyDescent="0.25">
      <c r="B47" s="145" t="s">
        <v>368</v>
      </c>
      <c r="C47" s="146"/>
      <c r="D47" s="146"/>
      <c r="E47" s="146"/>
      <c r="F47" s="146"/>
      <c r="G47" s="146"/>
      <c r="H47" s="146"/>
      <c r="I47" s="146"/>
      <c r="J47" s="146"/>
      <c r="K47" s="147"/>
      <c r="L47" s="154" t="s">
        <v>361</v>
      </c>
      <c r="M47" s="155"/>
      <c r="N47" s="160">
        <v>45471</v>
      </c>
      <c r="O47" s="161"/>
    </row>
    <row r="48" spans="2:43" ht="15" customHeight="1" x14ac:dyDescent="0.25">
      <c r="B48" s="148"/>
      <c r="C48" s="149"/>
      <c r="D48" s="149"/>
      <c r="E48" s="149"/>
      <c r="F48" s="149"/>
      <c r="G48" s="149"/>
      <c r="H48" s="149"/>
      <c r="I48" s="149"/>
      <c r="J48" s="149"/>
      <c r="K48" s="150"/>
      <c r="L48" s="156"/>
      <c r="M48" s="157"/>
      <c r="N48" s="162"/>
      <c r="O48" s="163"/>
    </row>
    <row r="49" spans="2:15" ht="15" customHeight="1" x14ac:dyDescent="0.25">
      <c r="B49" s="148"/>
      <c r="C49" s="149"/>
      <c r="D49" s="149"/>
      <c r="E49" s="149"/>
      <c r="F49" s="149"/>
      <c r="G49" s="149"/>
      <c r="H49" s="149"/>
      <c r="I49" s="149"/>
      <c r="J49" s="149"/>
      <c r="K49" s="150"/>
      <c r="L49" s="156"/>
      <c r="M49" s="157"/>
      <c r="N49" s="162"/>
      <c r="O49" s="163"/>
    </row>
    <row r="50" spans="2:15" ht="15" customHeight="1" x14ac:dyDescent="0.25">
      <c r="B50" s="151"/>
      <c r="C50" s="152"/>
      <c r="D50" s="152"/>
      <c r="E50" s="152"/>
      <c r="F50" s="152"/>
      <c r="G50" s="152"/>
      <c r="H50" s="152"/>
      <c r="I50" s="152"/>
      <c r="J50" s="152"/>
      <c r="K50" s="153"/>
      <c r="L50" s="158"/>
      <c r="M50" s="159"/>
      <c r="N50" s="164"/>
      <c r="O50" s="165"/>
    </row>
    <row r="51" spans="2:15" ht="15" customHeight="1" x14ac:dyDescent="0.25">
      <c r="B51" s="145" t="s">
        <v>363</v>
      </c>
      <c r="C51" s="146"/>
      <c r="D51" s="146"/>
      <c r="E51" s="146"/>
      <c r="F51" s="146"/>
      <c r="G51" s="146"/>
      <c r="H51" s="146"/>
      <c r="I51" s="146"/>
      <c r="J51" s="146"/>
      <c r="K51" s="147"/>
      <c r="L51" s="154" t="s">
        <v>364</v>
      </c>
      <c r="M51" s="155"/>
      <c r="N51" s="160">
        <v>45504</v>
      </c>
      <c r="O51" s="161"/>
    </row>
    <row r="52" spans="2:15" ht="15" customHeight="1" x14ac:dyDescent="0.25">
      <c r="B52" s="148"/>
      <c r="C52" s="149"/>
      <c r="D52" s="149"/>
      <c r="E52" s="149"/>
      <c r="F52" s="149"/>
      <c r="G52" s="149"/>
      <c r="H52" s="149"/>
      <c r="I52" s="149"/>
      <c r="J52" s="149"/>
      <c r="K52" s="150"/>
      <c r="L52" s="156"/>
      <c r="M52" s="157"/>
      <c r="N52" s="162"/>
      <c r="O52" s="163"/>
    </row>
    <row r="53" spans="2:15" ht="15" customHeight="1" x14ac:dyDescent="0.25">
      <c r="B53" s="148"/>
      <c r="C53" s="149"/>
      <c r="D53" s="149"/>
      <c r="E53" s="149"/>
      <c r="F53" s="149"/>
      <c r="G53" s="149"/>
      <c r="H53" s="149"/>
      <c r="I53" s="149"/>
      <c r="J53" s="149"/>
      <c r="K53" s="150"/>
      <c r="L53" s="156"/>
      <c r="M53" s="157"/>
      <c r="N53" s="162"/>
      <c r="O53" s="163"/>
    </row>
    <row r="54" spans="2:15" ht="15" customHeight="1" x14ac:dyDescent="0.25">
      <c r="B54" s="151"/>
      <c r="C54" s="152"/>
      <c r="D54" s="152"/>
      <c r="E54" s="152"/>
      <c r="F54" s="152"/>
      <c r="G54" s="152"/>
      <c r="H54" s="152"/>
      <c r="I54" s="152"/>
      <c r="J54" s="152"/>
      <c r="K54" s="153"/>
      <c r="L54" s="158"/>
      <c r="M54" s="159"/>
      <c r="N54" s="164"/>
      <c r="O54" s="165"/>
    </row>
    <row r="55" spans="2:15" ht="15" customHeight="1" x14ac:dyDescent="0.25">
      <c r="B55" s="145" t="s">
        <v>370</v>
      </c>
      <c r="C55" s="146"/>
      <c r="D55" s="146"/>
      <c r="E55" s="146"/>
      <c r="F55" s="146"/>
      <c r="G55" s="146"/>
      <c r="H55" s="146"/>
      <c r="I55" s="146"/>
      <c r="J55" s="146"/>
      <c r="K55" s="147"/>
      <c r="L55" s="154" t="s">
        <v>361</v>
      </c>
      <c r="M55" s="155"/>
      <c r="N55" s="160">
        <v>45596</v>
      </c>
      <c r="O55" s="161"/>
    </row>
    <row r="56" spans="2:15" ht="15" customHeight="1" x14ac:dyDescent="0.25">
      <c r="B56" s="148"/>
      <c r="C56" s="149"/>
      <c r="D56" s="149"/>
      <c r="E56" s="149"/>
      <c r="F56" s="149"/>
      <c r="G56" s="149"/>
      <c r="H56" s="149"/>
      <c r="I56" s="149"/>
      <c r="J56" s="149"/>
      <c r="K56" s="150"/>
      <c r="L56" s="156"/>
      <c r="M56" s="157"/>
      <c r="N56" s="162"/>
      <c r="O56" s="163"/>
    </row>
    <row r="57" spans="2:15" ht="15" customHeight="1" x14ac:dyDescent="0.25">
      <c r="B57" s="148"/>
      <c r="C57" s="149"/>
      <c r="D57" s="149"/>
      <c r="E57" s="149"/>
      <c r="F57" s="149"/>
      <c r="G57" s="149"/>
      <c r="H57" s="149"/>
      <c r="I57" s="149"/>
      <c r="J57" s="149"/>
      <c r="K57" s="150"/>
      <c r="L57" s="156"/>
      <c r="M57" s="157"/>
      <c r="N57" s="162"/>
      <c r="O57" s="163"/>
    </row>
    <row r="58" spans="2:15" ht="15" customHeight="1" x14ac:dyDescent="0.25">
      <c r="B58" s="151"/>
      <c r="C58" s="152"/>
      <c r="D58" s="152"/>
      <c r="E58" s="152"/>
      <c r="F58" s="152"/>
      <c r="G58" s="152"/>
      <c r="H58" s="152"/>
      <c r="I58" s="152"/>
      <c r="J58" s="152"/>
      <c r="K58" s="153"/>
      <c r="L58" s="158"/>
      <c r="M58" s="159"/>
      <c r="N58" s="164"/>
      <c r="O58" s="165"/>
    </row>
  </sheetData>
  <mergeCells count="23">
    <mergeCell ref="B55:K58"/>
    <mergeCell ref="L55:M58"/>
    <mergeCell ref="N55:O58"/>
    <mergeCell ref="B47:K50"/>
    <mergeCell ref="L47:M50"/>
    <mergeCell ref="N47:O50"/>
    <mergeCell ref="B51:K54"/>
    <mergeCell ref="L51:M54"/>
    <mergeCell ref="N51:O54"/>
    <mergeCell ref="B39:K42"/>
    <mergeCell ref="L39:M42"/>
    <mergeCell ref="N39:O42"/>
    <mergeCell ref="B43:K46"/>
    <mergeCell ref="L43:M46"/>
    <mergeCell ref="N43:O46"/>
    <mergeCell ref="B37:K38"/>
    <mergeCell ref="L37:M38"/>
    <mergeCell ref="N37:O38"/>
    <mergeCell ref="D1:R1"/>
    <mergeCell ref="T1:Y1"/>
    <mergeCell ref="B3:O3"/>
    <mergeCell ref="Q3:AD3"/>
    <mergeCell ref="B35:O35"/>
  </mergeCells>
  <pageMargins left="0.45" right="0.45" top="0.5" bottom="0.5" header="0.3" footer="0.3"/>
  <pageSetup paperSize="3" scale="7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0A4FA690-111B-47FA-9A83-75FD1CE77C2F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ellIs" priority="3" operator="greaterThan" id="{1EDA60D5-98A0-4D88-81AE-11E5DAA44BAE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greaterThan" id="{9F9C04E0-A8A3-4902-9761-6804EC5157AA}">
            <xm:f>'2020 Data'!$N$4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5A8A-1B14-4CCD-B697-D620A5430BD4}">
  <dimension ref="A1:BZ176"/>
  <sheetViews>
    <sheetView topLeftCell="AH42" workbookViewId="0">
      <selection sqref="A1:XFD1048576"/>
    </sheetView>
  </sheetViews>
  <sheetFormatPr defaultRowHeight="15" x14ac:dyDescent="0.25"/>
  <cols>
    <col min="2" max="2" width="12.85546875" customWidth="1"/>
    <col min="11" max="11" width="2.85546875" customWidth="1"/>
    <col min="16" max="16" width="2.5703125" customWidth="1"/>
    <col min="22" max="22" width="2.42578125" customWidth="1"/>
    <col min="26" max="26" width="2.7109375" customWidth="1"/>
    <col min="31" max="31" width="2.8554687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1" spans="1:78" x14ac:dyDescent="0.25">
      <c r="AZ1" s="181" t="s">
        <v>334</v>
      </c>
      <c r="BA1" s="182"/>
      <c r="BB1" s="182"/>
      <c r="BC1" s="182"/>
      <c r="BD1" s="182"/>
      <c r="BE1" s="182"/>
      <c r="BF1" s="183"/>
    </row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41</v>
      </c>
      <c r="AB2" s="178"/>
      <c r="AC2" s="178"/>
      <c r="AD2" s="179"/>
      <c r="AF2" s="177" t="s">
        <v>42</v>
      </c>
      <c r="AG2" s="178"/>
      <c r="AH2" s="178"/>
      <c r="AI2" s="179"/>
      <c r="AK2" s="177" t="s">
        <v>48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351</v>
      </c>
      <c r="O3" t="s">
        <v>7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7" t="s">
        <v>46</v>
      </c>
      <c r="AP3" s="7" t="s">
        <v>47</v>
      </c>
      <c r="AR3" t="s">
        <v>31</v>
      </c>
      <c r="AS3" t="s">
        <v>29</v>
      </c>
      <c r="AT3" t="s">
        <v>30</v>
      </c>
      <c r="AU3" t="s">
        <v>360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2024</v>
      </c>
      <c r="B4" s="13">
        <v>45292</v>
      </c>
      <c r="C4" s="115"/>
      <c r="D4" s="7">
        <v>1</v>
      </c>
      <c r="F4" s="5">
        <v>0.48</v>
      </c>
      <c r="G4" s="5">
        <v>0.69</v>
      </c>
      <c r="H4" s="5">
        <v>0.81</v>
      </c>
      <c r="I4" s="5">
        <v>0.5</v>
      </c>
      <c r="J4" s="6">
        <v>0.68</v>
      </c>
      <c r="K4" s="7"/>
      <c r="L4" s="7"/>
      <c r="M4" s="7"/>
      <c r="N4" s="9">
        <v>0.73</v>
      </c>
      <c r="O4" s="9">
        <v>0.95</v>
      </c>
      <c r="Q4" s="1"/>
      <c r="R4" s="1"/>
      <c r="S4" s="1"/>
      <c r="T4" s="1"/>
      <c r="U4" s="4"/>
      <c r="V4" s="4"/>
      <c r="W4" t="s">
        <v>8</v>
      </c>
      <c r="X4" s="5"/>
      <c r="Y4" s="5">
        <v>0.95</v>
      </c>
      <c r="AA4">
        <v>715.75</v>
      </c>
      <c r="AB4">
        <v>245.5</v>
      </c>
      <c r="AC4">
        <f>AA4+AB4</f>
        <v>961.25</v>
      </c>
      <c r="AD4" s="1">
        <f t="shared" ref="AD4:AD56" si="0">AB4/AC4</f>
        <v>0.25539661898569571</v>
      </c>
      <c r="AF4">
        <f>AA4</f>
        <v>715.75</v>
      </c>
      <c r="AG4">
        <f>AB4</f>
        <v>245.5</v>
      </c>
      <c r="AH4">
        <f>SUM(AF4:AG4)</f>
        <v>961.25</v>
      </c>
      <c r="AI4" s="1">
        <f t="shared" ref="AI4:AI56" si="1">AG4/AH4</f>
        <v>0.25539661898569571</v>
      </c>
      <c r="AK4" s="110">
        <f>'QC Data 2024'!N4</f>
        <v>12</v>
      </c>
      <c r="AL4" s="1">
        <f>AK4/AA4</f>
        <v>1.6765630457561999E-2</v>
      </c>
      <c r="AM4">
        <f>AK4</f>
        <v>12</v>
      </c>
      <c r="AN4" s="134">
        <f t="shared" ref="AN4:AN56" si="2">AM4/AF4</f>
        <v>1.6765630457561999E-2</v>
      </c>
      <c r="AO4">
        <v>15</v>
      </c>
      <c r="AP4">
        <f>AO4</f>
        <v>15</v>
      </c>
      <c r="AR4" t="s">
        <v>8</v>
      </c>
      <c r="AS4" s="110">
        <f>AK4+AK5+AK6+AK7</f>
        <v>118.5</v>
      </c>
      <c r="AT4">
        <v>50</v>
      </c>
      <c r="AU4">
        <f>AS4</f>
        <v>118.5</v>
      </c>
      <c r="AV4">
        <f>AT4</f>
        <v>50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3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4">VLOOKUP(BU4,Operation,2)</f>
        <v>Weld all Outside Seams</v>
      </c>
      <c r="BW4" s="65">
        <v>942.98291999726723</v>
      </c>
      <c r="BX4" s="65">
        <v>1390</v>
      </c>
      <c r="BY4" s="1">
        <f t="shared" ref="BY4:BY13" si="5">BW4/BX4</f>
        <v>0.67840497841530012</v>
      </c>
      <c r="BZ4" s="66">
        <f>BX4-BW4</f>
        <v>447.01708000273277</v>
      </c>
    </row>
    <row r="5" spans="1:78" x14ac:dyDescent="0.25">
      <c r="A5" s="7">
        <v>2024</v>
      </c>
      <c r="B5" s="13">
        <v>45299</v>
      </c>
      <c r="C5" s="116"/>
      <c r="D5" s="7">
        <v>2</v>
      </c>
      <c r="F5" s="5">
        <v>0.57999999999999996</v>
      </c>
      <c r="G5" s="5">
        <v>0.85</v>
      </c>
      <c r="H5" s="5">
        <v>0.77</v>
      </c>
      <c r="I5" s="5">
        <v>1</v>
      </c>
      <c r="J5" s="6">
        <v>0.78</v>
      </c>
      <c r="K5" s="7"/>
      <c r="L5" s="7"/>
      <c r="M5" s="7"/>
      <c r="N5" s="9">
        <v>0.73</v>
      </c>
      <c r="O5" s="9">
        <v>0.95</v>
      </c>
      <c r="Q5" s="1"/>
      <c r="R5" s="1"/>
      <c r="S5" s="1"/>
      <c r="T5" s="1"/>
      <c r="U5" s="4"/>
      <c r="V5" s="4"/>
      <c r="W5" t="s">
        <v>9</v>
      </c>
      <c r="X5" s="5"/>
      <c r="Y5" s="5">
        <v>0.95</v>
      </c>
      <c r="AA5">
        <v>862.5</v>
      </c>
      <c r="AB5">
        <v>395.5</v>
      </c>
      <c r="AC5">
        <f t="shared" ref="AC5:AC57" si="6">AA5+AB5</f>
        <v>1258</v>
      </c>
      <c r="AD5" s="1">
        <f t="shared" si="0"/>
        <v>0.31438791732909382</v>
      </c>
      <c r="AF5">
        <f>AF4+AA5</f>
        <v>1578.25</v>
      </c>
      <c r="AG5">
        <f>AG4+AB5</f>
        <v>641</v>
      </c>
      <c r="AH5">
        <f>AH4+AC5</f>
        <v>2219.25</v>
      </c>
      <c r="AI5" s="1">
        <f t="shared" si="1"/>
        <v>0.28883631857609554</v>
      </c>
      <c r="AK5" s="110">
        <f>'QC Data 2024'!N5</f>
        <v>36.5</v>
      </c>
      <c r="AL5" s="1">
        <f t="shared" ref="AL5:AL33" si="7">AK5/AA5</f>
        <v>4.2318840579710144E-2</v>
      </c>
      <c r="AM5">
        <f t="shared" ref="AM5:AM27" si="8">AM4+AK5</f>
        <v>48.5</v>
      </c>
      <c r="AN5" s="134">
        <f t="shared" si="2"/>
        <v>3.073023918897513E-2</v>
      </c>
      <c r="AO5">
        <v>15</v>
      </c>
      <c r="AP5">
        <f>AP4+AO5</f>
        <v>30</v>
      </c>
      <c r="AR5" t="s">
        <v>9</v>
      </c>
      <c r="AS5" s="110">
        <f>AK8+AK9+AK10+AK11</f>
        <v>92.5</v>
      </c>
      <c r="AT5">
        <v>50</v>
      </c>
      <c r="AU5" s="110">
        <f>AU4+AS5</f>
        <v>211</v>
      </c>
      <c r="AV5">
        <f>AV4+AT5</f>
        <v>100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3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4"/>
        <v>Tack Shell Courses</v>
      </c>
      <c r="BW5" s="65">
        <v>558</v>
      </c>
      <c r="BX5" s="65">
        <v>994.5</v>
      </c>
      <c r="BY5" s="1">
        <f t="shared" si="5"/>
        <v>0.56108597285067874</v>
      </c>
      <c r="BZ5" s="66">
        <f t="shared" ref="BZ5:BZ13" si="11">BX5-BW5</f>
        <v>436.5</v>
      </c>
    </row>
    <row r="6" spans="1:78" x14ac:dyDescent="0.25">
      <c r="A6" s="7">
        <v>2024</v>
      </c>
      <c r="B6" s="13">
        <v>45306</v>
      </c>
      <c r="C6" s="116" t="s">
        <v>8</v>
      </c>
      <c r="D6" s="7">
        <v>3</v>
      </c>
      <c r="F6" s="5">
        <v>0.61</v>
      </c>
      <c r="G6" s="5">
        <v>0.67</v>
      </c>
      <c r="H6" s="5">
        <v>0.81</v>
      </c>
      <c r="I6" s="5">
        <v>1</v>
      </c>
      <c r="J6" s="6">
        <v>0.72</v>
      </c>
      <c r="K6" s="7"/>
      <c r="L6" s="7"/>
      <c r="M6" s="7"/>
      <c r="N6" s="9">
        <v>0.73</v>
      </c>
      <c r="O6" s="9">
        <v>0.95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A6">
        <v>750.75</v>
      </c>
      <c r="AB6">
        <v>438.25</v>
      </c>
      <c r="AC6">
        <f t="shared" si="6"/>
        <v>1189</v>
      </c>
      <c r="AD6" s="1">
        <f t="shared" si="0"/>
        <v>0.36858704793944491</v>
      </c>
      <c r="AF6">
        <f t="shared" ref="AF6:AH21" si="12">AF5+AA6</f>
        <v>2329</v>
      </c>
      <c r="AG6">
        <f t="shared" si="12"/>
        <v>1079.25</v>
      </c>
      <c r="AH6">
        <f t="shared" si="12"/>
        <v>3408.25</v>
      </c>
      <c r="AI6" s="1">
        <f t="shared" si="1"/>
        <v>0.31665810900022007</v>
      </c>
      <c r="AK6" s="110">
        <f>'QC Data 2024'!N6</f>
        <v>21</v>
      </c>
      <c r="AL6" s="1">
        <f t="shared" si="7"/>
        <v>2.7972027972027972E-2</v>
      </c>
      <c r="AM6">
        <f t="shared" si="8"/>
        <v>69.5</v>
      </c>
      <c r="AN6" s="134">
        <f t="shared" si="2"/>
        <v>2.9841133533705454E-2</v>
      </c>
      <c r="AO6">
        <v>15</v>
      </c>
      <c r="AP6">
        <f t="shared" ref="AP6:AP56" si="13">AP5+AO6</f>
        <v>45</v>
      </c>
      <c r="AR6" t="s">
        <v>10</v>
      </c>
      <c r="AS6" s="110">
        <f>AK12+AK13+AK14+AK15+AK16</f>
        <v>42.25</v>
      </c>
      <c r="AT6">
        <v>50</v>
      </c>
      <c r="AU6" s="110">
        <f t="shared" ref="AU6:AU15" si="14">AU5+AS6</f>
        <v>253.25</v>
      </c>
      <c r="AV6">
        <f t="shared" ref="AV6:AV15" si="15">AV5+AT6</f>
        <v>150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3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4"/>
        <v>Install Internal Parts</v>
      </c>
      <c r="BW6" s="65">
        <v>479.33818042422695</v>
      </c>
      <c r="BX6" s="65">
        <v>808</v>
      </c>
      <c r="BY6" s="1">
        <f t="shared" si="5"/>
        <v>0.59324032230721158</v>
      </c>
      <c r="BZ6" s="66">
        <f t="shared" si="11"/>
        <v>328.66181957577305</v>
      </c>
    </row>
    <row r="7" spans="1:78" x14ac:dyDescent="0.25">
      <c r="A7" s="7">
        <v>2024</v>
      </c>
      <c r="B7" s="13">
        <v>45313</v>
      </c>
      <c r="C7" s="116"/>
      <c r="D7" s="7">
        <v>4</v>
      </c>
      <c r="F7" s="5">
        <v>0.56999999999999995</v>
      </c>
      <c r="G7" s="5">
        <v>0.7</v>
      </c>
      <c r="H7" s="5">
        <v>0.92</v>
      </c>
      <c r="I7" s="5">
        <v>1.24</v>
      </c>
      <c r="J7" s="6">
        <v>0.78</v>
      </c>
      <c r="K7" s="7"/>
      <c r="L7" s="8">
        <f t="shared" ref="L7:L27" si="16">AVERAGE(J4:J7)</f>
        <v>0.74</v>
      </c>
      <c r="M7" s="7"/>
      <c r="N7" s="9">
        <v>0.73</v>
      </c>
      <c r="O7" s="9">
        <v>0.95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A7">
        <v>782.5</v>
      </c>
      <c r="AB7">
        <v>444.25</v>
      </c>
      <c r="AC7">
        <f t="shared" si="6"/>
        <v>1226.75</v>
      </c>
      <c r="AD7" s="1">
        <f t="shared" si="0"/>
        <v>0.36213572447523945</v>
      </c>
      <c r="AF7">
        <f t="shared" si="12"/>
        <v>3111.5</v>
      </c>
      <c r="AG7">
        <f t="shared" si="12"/>
        <v>1523.5</v>
      </c>
      <c r="AH7">
        <f t="shared" si="12"/>
        <v>4635</v>
      </c>
      <c r="AI7" s="1">
        <f t="shared" si="1"/>
        <v>0.32869471413160734</v>
      </c>
      <c r="AK7" s="110">
        <f>'QC Data 2024'!N7</f>
        <v>49</v>
      </c>
      <c r="AL7" s="1">
        <f t="shared" si="7"/>
        <v>6.2619808306709268E-2</v>
      </c>
      <c r="AM7">
        <f t="shared" si="8"/>
        <v>118.5</v>
      </c>
      <c r="AN7" s="134">
        <f t="shared" si="2"/>
        <v>3.8084525148642134E-2</v>
      </c>
      <c r="AO7">
        <v>15</v>
      </c>
      <c r="AP7">
        <f t="shared" si="13"/>
        <v>60</v>
      </c>
      <c r="AR7" t="s">
        <v>11</v>
      </c>
      <c r="AS7" s="110">
        <f>AK17+AK18+AK19+AK20</f>
        <v>69.5</v>
      </c>
      <c r="AT7">
        <v>50</v>
      </c>
      <c r="AU7" s="110">
        <f t="shared" si="14"/>
        <v>322.75</v>
      </c>
      <c r="AV7">
        <f t="shared" si="15"/>
        <v>200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3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4"/>
        <v>BI, SQ, T&amp;C Shells</v>
      </c>
      <c r="BW7" s="65">
        <v>971.16692466460245</v>
      </c>
      <c r="BX7" s="65">
        <v>1271</v>
      </c>
      <c r="BY7" s="1">
        <f t="shared" si="5"/>
        <v>0.76409671492100906</v>
      </c>
      <c r="BZ7" s="66">
        <f t="shared" si="11"/>
        <v>299.83307533539755</v>
      </c>
    </row>
    <row r="8" spans="1:78" x14ac:dyDescent="0.25">
      <c r="A8" s="7">
        <v>2024</v>
      </c>
      <c r="B8" s="13">
        <v>45320</v>
      </c>
      <c r="C8" s="117"/>
      <c r="D8" s="7">
        <v>5</v>
      </c>
      <c r="F8" s="5">
        <v>0.63</v>
      </c>
      <c r="G8" s="5">
        <v>0.6</v>
      </c>
      <c r="H8" s="5">
        <v>0.89</v>
      </c>
      <c r="I8" s="5">
        <v>0.66</v>
      </c>
      <c r="J8" s="6">
        <v>0.69</v>
      </c>
      <c r="K8" s="7"/>
      <c r="L8" s="8">
        <f t="shared" si="16"/>
        <v>0.74250000000000005</v>
      </c>
      <c r="M8" s="7"/>
      <c r="N8" s="9">
        <v>0.73</v>
      </c>
      <c r="O8" s="9">
        <v>0.95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2">
        <v>881</v>
      </c>
      <c r="AB8" s="2">
        <v>514</v>
      </c>
      <c r="AC8">
        <f t="shared" si="6"/>
        <v>1395</v>
      </c>
      <c r="AD8" s="1">
        <f t="shared" si="0"/>
        <v>0.36845878136200716</v>
      </c>
      <c r="AF8">
        <f t="shared" si="12"/>
        <v>3992.5</v>
      </c>
      <c r="AG8">
        <f t="shared" si="12"/>
        <v>2037.5</v>
      </c>
      <c r="AH8">
        <f t="shared" si="12"/>
        <v>6030</v>
      </c>
      <c r="AI8" s="1">
        <f t="shared" si="1"/>
        <v>0.33789386401326699</v>
      </c>
      <c r="AK8" s="110">
        <f>'QC Data 2024'!N8</f>
        <v>38.5</v>
      </c>
      <c r="AL8" s="1">
        <f t="shared" si="7"/>
        <v>4.3700340522133937E-2</v>
      </c>
      <c r="AM8">
        <f t="shared" si="8"/>
        <v>157</v>
      </c>
      <c r="AN8" s="134">
        <f t="shared" si="2"/>
        <v>3.9323731997495302E-2</v>
      </c>
      <c r="AO8">
        <v>15</v>
      </c>
      <c r="AP8">
        <f t="shared" si="13"/>
        <v>75</v>
      </c>
      <c r="AR8" t="s">
        <v>12</v>
      </c>
      <c r="AS8" s="110">
        <f>AK21+AK22+AK23+AK24</f>
        <v>19.75</v>
      </c>
      <c r="AT8">
        <v>50</v>
      </c>
      <c r="AU8" s="110">
        <f t="shared" si="14"/>
        <v>342.5</v>
      </c>
      <c r="AV8">
        <f t="shared" si="15"/>
        <v>250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3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4"/>
        <v>Move Tank to Detail Rolls</v>
      </c>
      <c r="BW8" s="65">
        <v>164.14545454545456</v>
      </c>
      <c r="BX8" s="65">
        <v>461.5</v>
      </c>
      <c r="BY8" s="1">
        <f t="shared" si="5"/>
        <v>0.35567812469220922</v>
      </c>
      <c r="BZ8" s="66">
        <f t="shared" si="11"/>
        <v>297.35454545454547</v>
      </c>
    </row>
    <row r="9" spans="1:78" x14ac:dyDescent="0.25">
      <c r="A9" s="7">
        <v>2024</v>
      </c>
      <c r="B9" s="13">
        <v>45327</v>
      </c>
      <c r="C9" s="115"/>
      <c r="D9" s="7">
        <v>6</v>
      </c>
      <c r="F9" s="5">
        <v>0.77</v>
      </c>
      <c r="G9" s="5">
        <v>0.73</v>
      </c>
      <c r="H9" s="5">
        <v>0.87</v>
      </c>
      <c r="I9" s="5">
        <v>1</v>
      </c>
      <c r="J9" s="6">
        <v>0.78</v>
      </c>
      <c r="K9" s="7"/>
      <c r="L9" s="8">
        <f>AVERAGE(J6:J9)</f>
        <v>0.74249999999999994</v>
      </c>
      <c r="M9" s="7"/>
      <c r="N9" s="9">
        <v>0.73</v>
      </c>
      <c r="O9" s="9">
        <v>0.95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2">
        <v>879.25</v>
      </c>
      <c r="AB9" s="2">
        <v>431</v>
      </c>
      <c r="AC9">
        <f t="shared" si="6"/>
        <v>1310.25</v>
      </c>
      <c r="AD9" s="1">
        <f t="shared" si="0"/>
        <v>0.32894485785155503</v>
      </c>
      <c r="AF9">
        <f t="shared" si="12"/>
        <v>4871.75</v>
      </c>
      <c r="AG9">
        <f t="shared" si="12"/>
        <v>2468.5</v>
      </c>
      <c r="AH9">
        <f t="shared" si="12"/>
        <v>7340.25</v>
      </c>
      <c r="AI9" s="1">
        <f t="shared" si="1"/>
        <v>0.33629644766867611</v>
      </c>
      <c r="AK9" s="110">
        <f>'QC Data 2024'!N9</f>
        <v>9</v>
      </c>
      <c r="AL9" s="1">
        <f t="shared" si="7"/>
        <v>1.0235996588001138E-2</v>
      </c>
      <c r="AM9">
        <f t="shared" si="8"/>
        <v>166</v>
      </c>
      <c r="AN9" s="134">
        <f t="shared" si="2"/>
        <v>3.4073998049982041E-2</v>
      </c>
      <c r="AO9">
        <v>15</v>
      </c>
      <c r="AP9">
        <f t="shared" si="13"/>
        <v>90</v>
      </c>
      <c r="AR9" t="s">
        <v>13</v>
      </c>
      <c r="AS9" s="110">
        <f>AK25+AK26+AK27+AK28+AK29</f>
        <v>38.01</v>
      </c>
      <c r="AT9">
        <v>50</v>
      </c>
      <c r="AU9" s="110">
        <f t="shared" si="14"/>
        <v>380.51</v>
      </c>
      <c r="AV9">
        <f t="shared" si="15"/>
        <v>300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3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4"/>
        <v>B&amp;C parts-lugs, supp, etc</v>
      </c>
      <c r="BW9" s="65">
        <v>769.92174030985382</v>
      </c>
      <c r="BX9" s="65">
        <v>1061</v>
      </c>
      <c r="BY9" s="1">
        <f t="shared" si="5"/>
        <v>0.72565668266715722</v>
      </c>
      <c r="BZ9" s="66">
        <f t="shared" si="11"/>
        <v>291.07825969014618</v>
      </c>
    </row>
    <row r="10" spans="1:78" x14ac:dyDescent="0.25">
      <c r="A10" s="7">
        <v>2024</v>
      </c>
      <c r="B10" s="13">
        <v>45334</v>
      </c>
      <c r="C10" s="116" t="s">
        <v>9</v>
      </c>
      <c r="D10" s="7">
        <v>7</v>
      </c>
      <c r="F10" s="5">
        <v>0.91</v>
      </c>
      <c r="G10" s="5">
        <v>0.68</v>
      </c>
      <c r="H10" s="5">
        <v>0.85</v>
      </c>
      <c r="I10" s="5">
        <v>0.82</v>
      </c>
      <c r="J10" s="34">
        <v>0.78</v>
      </c>
      <c r="K10" s="7"/>
      <c r="L10" s="8">
        <f t="shared" si="16"/>
        <v>0.75750000000000006</v>
      </c>
      <c r="M10" s="7"/>
      <c r="N10" s="9">
        <v>0.73</v>
      </c>
      <c r="O10" s="9">
        <v>0.95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>
        <v>918.5</v>
      </c>
      <c r="AB10" s="2">
        <v>353.75</v>
      </c>
      <c r="AC10">
        <f t="shared" si="6"/>
        <v>1272.25</v>
      </c>
      <c r="AD10" s="1">
        <f t="shared" si="0"/>
        <v>0.2780506975830222</v>
      </c>
      <c r="AF10">
        <f t="shared" si="12"/>
        <v>5790.25</v>
      </c>
      <c r="AG10">
        <f t="shared" si="12"/>
        <v>2822.25</v>
      </c>
      <c r="AH10">
        <f t="shared" si="12"/>
        <v>8612.5</v>
      </c>
      <c r="AI10" s="1">
        <f t="shared" si="1"/>
        <v>0.32769230769230767</v>
      </c>
      <c r="AK10" s="110">
        <f>'QC Data 2024'!N10</f>
        <v>21</v>
      </c>
      <c r="AL10" s="1">
        <f t="shared" si="7"/>
        <v>2.2863364180729449E-2</v>
      </c>
      <c r="AM10">
        <f t="shared" si="8"/>
        <v>187</v>
      </c>
      <c r="AN10" s="134">
        <f t="shared" si="2"/>
        <v>3.2295669444324514E-2</v>
      </c>
      <c r="AO10">
        <v>15</v>
      </c>
      <c r="AP10">
        <f t="shared" si="13"/>
        <v>105</v>
      </c>
      <c r="AR10" t="s">
        <v>14</v>
      </c>
      <c r="AS10" s="110">
        <f>AK30+AK31+AK32+AK33</f>
        <v>43.5</v>
      </c>
      <c r="AT10">
        <v>50</v>
      </c>
      <c r="AU10" s="110">
        <f t="shared" si="14"/>
        <v>424.01</v>
      </c>
      <c r="AV10">
        <f t="shared" si="15"/>
        <v>350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3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4"/>
        <v>Fit Bottom Head to Shell</v>
      </c>
      <c r="BW10" s="65">
        <v>732.67698412698417</v>
      </c>
      <c r="BX10" s="65">
        <v>1012</v>
      </c>
      <c r="BY10" s="1">
        <f t="shared" si="5"/>
        <v>0.7239891147499844</v>
      </c>
      <c r="BZ10" s="66">
        <f t="shared" si="11"/>
        <v>279.32301587301583</v>
      </c>
    </row>
    <row r="11" spans="1:78" x14ac:dyDescent="0.25">
      <c r="A11" s="7">
        <v>2024</v>
      </c>
      <c r="B11" s="13">
        <v>45341</v>
      </c>
      <c r="C11" s="116"/>
      <c r="D11" s="7">
        <v>8</v>
      </c>
      <c r="F11" s="5">
        <v>0.94</v>
      </c>
      <c r="G11" s="5">
        <v>0.75</v>
      </c>
      <c r="H11" s="5">
        <v>0.86</v>
      </c>
      <c r="I11" s="5">
        <v>1.38</v>
      </c>
      <c r="J11" s="6">
        <v>0.81</v>
      </c>
      <c r="K11" s="7"/>
      <c r="L11" s="8">
        <f t="shared" si="16"/>
        <v>0.76500000000000001</v>
      </c>
      <c r="M11" s="8">
        <f t="shared" ref="M11:M56" si="17">AVERAGE(J4:J11)</f>
        <v>0.75249999999999995</v>
      </c>
      <c r="N11" s="9">
        <v>0.73</v>
      </c>
      <c r="O11" s="9">
        <v>0.95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2">
        <v>813.5</v>
      </c>
      <c r="AB11" s="2">
        <v>444.5</v>
      </c>
      <c r="AC11">
        <f t="shared" si="6"/>
        <v>1258</v>
      </c>
      <c r="AD11" s="1">
        <f t="shared" si="0"/>
        <v>0.35333863275039745</v>
      </c>
      <c r="AF11">
        <f t="shared" si="12"/>
        <v>6603.75</v>
      </c>
      <c r="AG11">
        <f t="shared" si="12"/>
        <v>3266.75</v>
      </c>
      <c r="AH11">
        <f t="shared" si="12"/>
        <v>9870.5</v>
      </c>
      <c r="AI11" s="1">
        <f t="shared" si="1"/>
        <v>0.33096094422774935</v>
      </c>
      <c r="AK11" s="110">
        <f>'QC Data 2024'!N11</f>
        <v>24</v>
      </c>
      <c r="AL11" s="1">
        <f t="shared" si="7"/>
        <v>2.9502151198524892E-2</v>
      </c>
      <c r="AM11">
        <f t="shared" si="8"/>
        <v>211</v>
      </c>
      <c r="AN11" s="134">
        <f t="shared" si="2"/>
        <v>3.1951542684081014E-2</v>
      </c>
      <c r="AO11">
        <v>15</v>
      </c>
      <c r="AP11">
        <f t="shared" si="13"/>
        <v>120</v>
      </c>
      <c r="AR11" t="s">
        <v>15</v>
      </c>
      <c r="AS11" s="110">
        <f>AK34+AK35+AK36+AK37</f>
        <v>24</v>
      </c>
      <c r="AT11">
        <v>50</v>
      </c>
      <c r="AU11" s="110">
        <f t="shared" si="14"/>
        <v>448.01</v>
      </c>
      <c r="AV11">
        <f t="shared" si="15"/>
        <v>400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3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4"/>
        <v>Weld Shell Nozz &amp; M/Ws</v>
      </c>
      <c r="BW11" s="65">
        <v>974.8</v>
      </c>
      <c r="BX11" s="65">
        <v>1225.25</v>
      </c>
      <c r="BY11" s="1">
        <f t="shared" si="5"/>
        <v>0.79559273617629056</v>
      </c>
      <c r="BZ11" s="66">
        <f t="shared" si="11"/>
        <v>250.45000000000005</v>
      </c>
    </row>
    <row r="12" spans="1:78" x14ac:dyDescent="0.25">
      <c r="A12" s="7">
        <v>2024</v>
      </c>
      <c r="B12" s="13">
        <v>45348</v>
      </c>
      <c r="C12" s="117"/>
      <c r="D12" s="7">
        <v>9</v>
      </c>
      <c r="F12" s="5">
        <v>0.89</v>
      </c>
      <c r="G12" s="5">
        <v>0.83</v>
      </c>
      <c r="H12" s="5">
        <v>0.83</v>
      </c>
      <c r="I12" s="5">
        <v>0.98</v>
      </c>
      <c r="J12" s="6">
        <v>0.84</v>
      </c>
      <c r="K12" s="7"/>
      <c r="L12" s="8">
        <f t="shared" si="16"/>
        <v>0.80249999999999999</v>
      </c>
      <c r="M12" s="8">
        <f t="shared" si="17"/>
        <v>0.77249999999999996</v>
      </c>
      <c r="N12" s="9">
        <v>0.73</v>
      </c>
      <c r="O12" s="9">
        <v>0.95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2">
        <v>947</v>
      </c>
      <c r="AB12" s="2">
        <v>369</v>
      </c>
      <c r="AC12">
        <f t="shared" si="6"/>
        <v>1316</v>
      </c>
      <c r="AD12" s="1">
        <f t="shared" si="0"/>
        <v>0.28039513677811551</v>
      </c>
      <c r="AF12">
        <f t="shared" si="12"/>
        <v>7550.75</v>
      </c>
      <c r="AG12">
        <f t="shared" si="12"/>
        <v>3635.75</v>
      </c>
      <c r="AH12">
        <f t="shared" si="12"/>
        <v>11186.5</v>
      </c>
      <c r="AI12" s="1">
        <f t="shared" si="1"/>
        <v>0.32501229160148393</v>
      </c>
      <c r="AK12" s="110">
        <f>'QC Data 2024'!N12</f>
        <v>5</v>
      </c>
      <c r="AL12" s="1">
        <f t="shared" si="7"/>
        <v>5.279831045406547E-3</v>
      </c>
      <c r="AM12">
        <f t="shared" si="8"/>
        <v>216</v>
      </c>
      <c r="AN12" s="134">
        <f t="shared" si="2"/>
        <v>2.8606429824851835E-2</v>
      </c>
      <c r="AO12">
        <v>15</v>
      </c>
      <c r="AP12">
        <f t="shared" si="13"/>
        <v>135</v>
      </c>
      <c r="AR12" t="s">
        <v>16</v>
      </c>
      <c r="AS12" s="110">
        <f>AK38+AK39+AK40+AK41+AK42</f>
        <v>83</v>
      </c>
      <c r="AT12">
        <v>50</v>
      </c>
      <c r="AU12" s="110">
        <f t="shared" si="14"/>
        <v>531.01</v>
      </c>
      <c r="AV12">
        <f t="shared" si="15"/>
        <v>450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3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4"/>
        <v>Build Nozzles-Weld</v>
      </c>
      <c r="BW12" s="65">
        <v>958.03205989859259</v>
      </c>
      <c r="BX12" s="65">
        <v>1184.75</v>
      </c>
      <c r="BY12" s="1">
        <f t="shared" si="5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2024</v>
      </c>
      <c r="B13" s="13">
        <v>45355</v>
      </c>
      <c r="C13" s="115"/>
      <c r="D13" s="7">
        <v>10</v>
      </c>
      <c r="F13" s="33">
        <v>0.79</v>
      </c>
      <c r="G13" s="33">
        <v>0.95</v>
      </c>
      <c r="H13" s="33">
        <v>0.93</v>
      </c>
      <c r="I13" s="33">
        <v>1.1100000000000001</v>
      </c>
      <c r="J13" s="34">
        <v>0.93</v>
      </c>
      <c r="K13" s="7"/>
      <c r="L13" s="8">
        <f t="shared" si="16"/>
        <v>0.84000000000000008</v>
      </c>
      <c r="M13" s="8">
        <f t="shared" si="17"/>
        <v>0.79125000000000001</v>
      </c>
      <c r="N13" s="9">
        <v>0.73</v>
      </c>
      <c r="O13" s="35">
        <v>0.95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2">
        <v>952</v>
      </c>
      <c r="AB13" s="2">
        <v>423</v>
      </c>
      <c r="AC13">
        <f t="shared" si="6"/>
        <v>1375</v>
      </c>
      <c r="AD13" s="36">
        <f t="shared" si="0"/>
        <v>0.30763636363636365</v>
      </c>
      <c r="AF13">
        <f t="shared" si="12"/>
        <v>8502.75</v>
      </c>
      <c r="AG13">
        <f t="shared" si="12"/>
        <v>4058.75</v>
      </c>
      <c r="AH13">
        <f t="shared" si="12"/>
        <v>12561.5</v>
      </c>
      <c r="AI13" s="36">
        <f>AG13/AH13</f>
        <v>0.32311029733710145</v>
      </c>
      <c r="AK13" s="110">
        <f>'QC Data 2024'!N13</f>
        <v>1.5</v>
      </c>
      <c r="AL13" s="36">
        <f t="shared" si="7"/>
        <v>1.5756302521008404E-3</v>
      </c>
      <c r="AM13">
        <f t="shared" si="8"/>
        <v>217.5</v>
      </c>
      <c r="AN13" s="135">
        <f t="shared" si="2"/>
        <v>2.5579959424891947E-2</v>
      </c>
      <c r="AO13">
        <v>15</v>
      </c>
      <c r="AP13">
        <f t="shared" si="13"/>
        <v>150</v>
      </c>
      <c r="AR13" t="s">
        <v>17</v>
      </c>
      <c r="AS13">
        <f>AK43+AK44+AK45+AK46</f>
        <v>76.5</v>
      </c>
      <c r="AT13">
        <v>50</v>
      </c>
      <c r="AU13" s="110">
        <f t="shared" si="14"/>
        <v>607.51</v>
      </c>
      <c r="AV13">
        <f t="shared" si="15"/>
        <v>500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3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4"/>
        <v>Fit Top to Shell-Weld</v>
      </c>
      <c r="BW13" s="65">
        <v>539.9</v>
      </c>
      <c r="BX13" s="65">
        <v>753.75</v>
      </c>
      <c r="BY13" s="36">
        <f t="shared" si="5"/>
        <v>0.71628524046434494</v>
      </c>
      <c r="BZ13" s="66">
        <f t="shared" si="11"/>
        <v>213.85000000000002</v>
      </c>
    </row>
    <row r="14" spans="1:78" x14ac:dyDescent="0.25">
      <c r="A14" s="7">
        <v>2024</v>
      </c>
      <c r="B14" s="13">
        <v>45362</v>
      </c>
      <c r="C14" s="116" t="s">
        <v>10</v>
      </c>
      <c r="D14" s="7">
        <v>11</v>
      </c>
      <c r="F14" s="5">
        <v>0.92</v>
      </c>
      <c r="G14" s="5">
        <v>0.93</v>
      </c>
      <c r="H14" s="5">
        <v>0.92</v>
      </c>
      <c r="I14" s="5">
        <v>0.52</v>
      </c>
      <c r="J14" s="6">
        <v>0.91</v>
      </c>
      <c r="K14" s="7"/>
      <c r="L14" s="8">
        <f t="shared" si="16"/>
        <v>0.87250000000000005</v>
      </c>
      <c r="M14" s="8">
        <f t="shared" si="17"/>
        <v>0.81500000000000006</v>
      </c>
      <c r="N14" s="9">
        <v>0.73</v>
      </c>
      <c r="O14" s="9">
        <v>0.95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>
        <v>911</v>
      </c>
      <c r="AB14" s="2">
        <v>430.75</v>
      </c>
      <c r="AC14">
        <f t="shared" si="6"/>
        <v>1341.75</v>
      </c>
      <c r="AD14" s="1">
        <f t="shared" si="0"/>
        <v>0.32103596049934785</v>
      </c>
      <c r="AF14">
        <f t="shared" si="12"/>
        <v>9413.75</v>
      </c>
      <c r="AG14">
        <f t="shared" si="12"/>
        <v>4489.5</v>
      </c>
      <c r="AH14">
        <f t="shared" si="12"/>
        <v>13903.25</v>
      </c>
      <c r="AI14" s="1">
        <f t="shared" si="1"/>
        <v>0.3229101109452826</v>
      </c>
      <c r="AK14" s="110">
        <f>'QC Data 2024'!N14</f>
        <v>2.75</v>
      </c>
      <c r="AL14" s="1">
        <f t="shared" si="7"/>
        <v>3.0186608122941823E-3</v>
      </c>
      <c r="AM14">
        <f t="shared" si="8"/>
        <v>220.25</v>
      </c>
      <c r="AN14" s="134">
        <f t="shared" si="2"/>
        <v>2.3396627273934406E-2</v>
      </c>
      <c r="AO14">
        <v>15</v>
      </c>
      <c r="AP14">
        <f t="shared" si="13"/>
        <v>165</v>
      </c>
      <c r="AR14" t="s">
        <v>18</v>
      </c>
      <c r="AS14">
        <f>AK47+AK48+AK49+AK50</f>
        <v>6</v>
      </c>
      <c r="AT14">
        <v>50</v>
      </c>
      <c r="AU14" s="110">
        <f t="shared" si="14"/>
        <v>613.51</v>
      </c>
      <c r="AV14">
        <f t="shared" si="15"/>
        <v>550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3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2024</v>
      </c>
      <c r="B15" s="13">
        <v>45369</v>
      </c>
      <c r="C15" s="118"/>
      <c r="D15" s="7">
        <v>12</v>
      </c>
      <c r="F15" s="5">
        <v>0.83</v>
      </c>
      <c r="G15" s="5">
        <v>1.1499999999999999</v>
      </c>
      <c r="H15" s="5">
        <v>1.06</v>
      </c>
      <c r="I15" s="5">
        <v>0.85</v>
      </c>
      <c r="J15" s="6">
        <v>1.07</v>
      </c>
      <c r="L15" s="8">
        <f t="shared" si="16"/>
        <v>0.9375</v>
      </c>
      <c r="M15" s="8">
        <f t="shared" si="17"/>
        <v>0.85125000000000006</v>
      </c>
      <c r="N15" s="9">
        <v>0.73</v>
      </c>
      <c r="O15" s="9">
        <v>0.95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>
        <v>1041.5</v>
      </c>
      <c r="AB15" s="2">
        <v>269</v>
      </c>
      <c r="AC15">
        <f t="shared" si="6"/>
        <v>1310.5</v>
      </c>
      <c r="AD15" s="1">
        <f t="shared" si="0"/>
        <v>0.20526516596718811</v>
      </c>
      <c r="AF15">
        <f t="shared" si="12"/>
        <v>10455.25</v>
      </c>
      <c r="AG15">
        <f t="shared" si="12"/>
        <v>4758.5</v>
      </c>
      <c r="AH15">
        <f t="shared" si="12"/>
        <v>15213.75</v>
      </c>
      <c r="AI15" s="1">
        <f t="shared" si="1"/>
        <v>0.31277627146495768</v>
      </c>
      <c r="AK15" s="110">
        <f>'QC Data 2024'!N15</f>
        <v>5</v>
      </c>
      <c r="AL15" s="1">
        <f t="shared" si="7"/>
        <v>4.8007681228996639E-3</v>
      </c>
      <c r="AM15">
        <f t="shared" si="8"/>
        <v>225.25</v>
      </c>
      <c r="AN15" s="134">
        <f t="shared" si="2"/>
        <v>2.15442002821549E-2</v>
      </c>
      <c r="AO15">
        <v>15</v>
      </c>
      <c r="AP15">
        <f t="shared" si="13"/>
        <v>180</v>
      </c>
      <c r="AR15" t="s">
        <v>19</v>
      </c>
      <c r="AS15">
        <f>AK51+AK52+AK53+AK54+AK55</f>
        <v>80.75</v>
      </c>
      <c r="AT15">
        <v>50</v>
      </c>
      <c r="AU15" s="110">
        <f t="shared" si="14"/>
        <v>694.26</v>
      </c>
      <c r="AV15">
        <f t="shared" si="15"/>
        <v>600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3"/>
        <v>0</v>
      </c>
      <c r="BF15" s="77">
        <f>3063.25+238</f>
        <v>3301.25</v>
      </c>
      <c r="BG15" s="7">
        <f t="shared" ref="BG15:BG33" si="18">SUM(BB4:BB15)</f>
        <v>2</v>
      </c>
      <c r="BH15" s="28">
        <f t="shared" ref="BH15:BH51" si="19">SUM(BF4:BF15)</f>
        <v>46931.5</v>
      </c>
      <c r="BI15" s="29">
        <f>BG15*200000/(BH15+1280)</f>
        <v>8.2967756655569733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2024</v>
      </c>
      <c r="B16" s="13">
        <v>45376</v>
      </c>
      <c r="C16" s="117"/>
      <c r="D16" s="7">
        <v>13</v>
      </c>
      <c r="F16" s="5">
        <v>0.94</v>
      </c>
      <c r="G16" s="5">
        <v>0.88</v>
      </c>
      <c r="H16" s="5">
        <v>0.92</v>
      </c>
      <c r="I16" s="5">
        <v>1</v>
      </c>
      <c r="J16" s="6">
        <v>0.9</v>
      </c>
      <c r="L16" s="8">
        <f t="shared" si="16"/>
        <v>0.95250000000000001</v>
      </c>
      <c r="M16" s="8">
        <f t="shared" si="17"/>
        <v>0.87750000000000006</v>
      </c>
      <c r="N16" s="9">
        <v>0.73</v>
      </c>
      <c r="O16" s="9">
        <v>0.95</v>
      </c>
      <c r="Q16" s="1"/>
      <c r="R16" s="1"/>
      <c r="S16" s="1"/>
      <c r="T16" s="1"/>
      <c r="U16" s="4"/>
      <c r="V16" s="4"/>
      <c r="W16" s="4"/>
      <c r="X16" s="4"/>
      <c r="Y16" s="4"/>
      <c r="AA16" s="2">
        <v>1020</v>
      </c>
      <c r="AB16" s="2">
        <v>283</v>
      </c>
      <c r="AC16">
        <f t="shared" si="6"/>
        <v>1303</v>
      </c>
      <c r="AD16" s="1">
        <f t="shared" si="0"/>
        <v>0.21719109746738297</v>
      </c>
      <c r="AF16">
        <f t="shared" si="12"/>
        <v>11475.25</v>
      </c>
      <c r="AG16">
        <f t="shared" si="12"/>
        <v>5041.5</v>
      </c>
      <c r="AH16">
        <f t="shared" si="12"/>
        <v>16516.75</v>
      </c>
      <c r="AI16" s="1">
        <f t="shared" si="1"/>
        <v>0.30523559416955515</v>
      </c>
      <c r="AK16" s="110">
        <f>'QC Data 2024'!N16</f>
        <v>28</v>
      </c>
      <c r="AL16" s="1">
        <f t="shared" si="7"/>
        <v>2.7450980392156862E-2</v>
      </c>
      <c r="AM16">
        <f t="shared" si="8"/>
        <v>253.25</v>
      </c>
      <c r="AN16" s="134">
        <f t="shared" si="2"/>
        <v>2.2069235964358076E-2</v>
      </c>
      <c r="AO16">
        <v>15</v>
      </c>
      <c r="AP16">
        <f t="shared" si="13"/>
        <v>195</v>
      </c>
      <c r="AZ16" s="69">
        <v>2020</v>
      </c>
      <c r="BA16" s="70" t="s">
        <v>8</v>
      </c>
      <c r="BB16" s="70">
        <v>0</v>
      </c>
      <c r="BC16" s="70">
        <v>1</v>
      </c>
      <c r="BD16" s="70">
        <v>0</v>
      </c>
      <c r="BE16" s="70">
        <f t="shared" si="3"/>
        <v>1</v>
      </c>
      <c r="BF16" s="78">
        <f>3060.5+785.25</f>
        <v>3845.75</v>
      </c>
      <c r="BG16" s="7">
        <f t="shared" si="18"/>
        <v>2</v>
      </c>
      <c r="BH16" s="28">
        <f t="shared" si="19"/>
        <v>47165</v>
      </c>
      <c r="BI16" s="29">
        <f t="shared" ref="BI16:BI66" si="20">BG16*200000/(BH16+1280)</f>
        <v>8.2567860460315821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2024</v>
      </c>
      <c r="B17" s="13">
        <v>45383</v>
      </c>
      <c r="C17" s="115"/>
      <c r="D17" s="7">
        <v>14</v>
      </c>
      <c r="F17" s="33">
        <v>0.76</v>
      </c>
      <c r="G17" s="33">
        <v>0.92</v>
      </c>
      <c r="H17" s="33">
        <v>0.86</v>
      </c>
      <c r="I17" s="33">
        <v>1</v>
      </c>
      <c r="J17" s="34">
        <v>0.85</v>
      </c>
      <c r="L17" s="8">
        <f t="shared" si="16"/>
        <v>0.9325</v>
      </c>
      <c r="M17" s="8">
        <f t="shared" si="17"/>
        <v>0.88625000000000009</v>
      </c>
      <c r="N17" s="9">
        <v>0.73</v>
      </c>
      <c r="O17" s="35">
        <v>0.95</v>
      </c>
      <c r="Q17" s="36"/>
      <c r="R17" s="36"/>
      <c r="S17" s="36"/>
      <c r="T17" s="36"/>
      <c r="U17" s="99"/>
      <c r="V17" s="99"/>
      <c r="W17" s="99"/>
      <c r="X17" s="99"/>
      <c r="Y17" s="99"/>
      <c r="AA17" s="2">
        <v>942</v>
      </c>
      <c r="AB17" s="2">
        <v>344</v>
      </c>
      <c r="AC17">
        <f t="shared" si="6"/>
        <v>1286</v>
      </c>
      <c r="AD17" s="36">
        <f t="shared" si="0"/>
        <v>0.26749611197511663</v>
      </c>
      <c r="AF17">
        <f t="shared" si="12"/>
        <v>12417.25</v>
      </c>
      <c r="AG17">
        <f t="shared" si="12"/>
        <v>5385.5</v>
      </c>
      <c r="AH17">
        <f t="shared" si="12"/>
        <v>17802.75</v>
      </c>
      <c r="AI17" s="36">
        <f t="shared" si="1"/>
        <v>0.30250944376571037</v>
      </c>
      <c r="AK17" s="110">
        <f>'QC Data 2024'!N17</f>
        <v>10</v>
      </c>
      <c r="AL17" s="36">
        <f t="shared" si="7"/>
        <v>1.0615711252653927E-2</v>
      </c>
      <c r="AM17">
        <f t="shared" si="8"/>
        <v>263.25</v>
      </c>
      <c r="AN17" s="135">
        <f t="shared" si="2"/>
        <v>2.1200346292456058E-2</v>
      </c>
      <c r="AO17">
        <v>15</v>
      </c>
      <c r="AP17">
        <f t="shared" si="13"/>
        <v>210</v>
      </c>
      <c r="AR17" t="s">
        <v>49</v>
      </c>
      <c r="AS17">
        <f>SUM(AS4:AS16)</f>
        <v>694.26</v>
      </c>
      <c r="AT17">
        <f>SUM(AT4:AT16)</f>
        <v>600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3"/>
        <v>1</v>
      </c>
      <c r="BF17" s="79">
        <f>3042.5+613.75</f>
        <v>3656.25</v>
      </c>
      <c r="BG17" s="7">
        <f t="shared" si="18"/>
        <v>2</v>
      </c>
      <c r="BH17" s="28">
        <f t="shared" si="19"/>
        <v>47923.75</v>
      </c>
      <c r="BI17" s="29">
        <f t="shared" si="20"/>
        <v>8.1294616772095623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2024</v>
      </c>
      <c r="B18" s="13">
        <v>45390</v>
      </c>
      <c r="C18" s="116"/>
      <c r="D18" s="7">
        <v>15</v>
      </c>
      <c r="F18" s="33">
        <v>0.7</v>
      </c>
      <c r="G18" s="33">
        <v>0.85</v>
      </c>
      <c r="H18" s="33">
        <v>0.91</v>
      </c>
      <c r="I18" s="33">
        <v>0.52</v>
      </c>
      <c r="J18" s="34">
        <v>0.83</v>
      </c>
      <c r="L18" s="8">
        <f t="shared" si="16"/>
        <v>0.91250000000000009</v>
      </c>
      <c r="M18" s="8">
        <f t="shared" si="17"/>
        <v>0.89250000000000007</v>
      </c>
      <c r="N18" s="9">
        <v>0.73</v>
      </c>
      <c r="O18" s="35">
        <v>0.95</v>
      </c>
      <c r="Q18" s="36"/>
      <c r="R18" s="36"/>
      <c r="S18" s="36"/>
      <c r="T18" s="36"/>
      <c r="U18" s="99"/>
      <c r="AA18" s="2">
        <v>967.25</v>
      </c>
      <c r="AB18" s="2">
        <v>292.75</v>
      </c>
      <c r="AC18">
        <f t="shared" si="6"/>
        <v>1260</v>
      </c>
      <c r="AD18" s="36">
        <f t="shared" si="0"/>
        <v>0.23234126984126985</v>
      </c>
      <c r="AF18">
        <f t="shared" si="12"/>
        <v>13384.5</v>
      </c>
      <c r="AG18">
        <f t="shared" si="12"/>
        <v>5678.25</v>
      </c>
      <c r="AH18">
        <f t="shared" si="12"/>
        <v>19062.75</v>
      </c>
      <c r="AI18" s="36">
        <f t="shared" si="1"/>
        <v>0.29787150332454654</v>
      </c>
      <c r="AK18" s="110">
        <f>'QC Data 2024'!N18</f>
        <v>36.5</v>
      </c>
      <c r="AL18" s="36">
        <f t="shared" si="7"/>
        <v>3.7735849056603772E-2</v>
      </c>
      <c r="AM18">
        <f t="shared" si="8"/>
        <v>299.75</v>
      </c>
      <c r="AN18" s="135">
        <f t="shared" si="2"/>
        <v>2.2395308005528785E-2</v>
      </c>
      <c r="AO18">
        <v>15</v>
      </c>
      <c r="AP18">
        <f t="shared" si="13"/>
        <v>225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3"/>
        <v>1</v>
      </c>
      <c r="BF18" s="79">
        <f>3452.5+791.25</f>
        <v>4243.75</v>
      </c>
      <c r="BG18" s="7">
        <f t="shared" si="18"/>
        <v>2</v>
      </c>
      <c r="BH18" s="28">
        <f t="shared" si="19"/>
        <v>49039.5</v>
      </c>
      <c r="BI18" s="29">
        <f t="shared" si="20"/>
        <v>7.9492045827164421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2024</v>
      </c>
      <c r="B19" s="13">
        <v>45397</v>
      </c>
      <c r="C19" s="116" t="s">
        <v>11</v>
      </c>
      <c r="D19" s="7">
        <v>16</v>
      </c>
      <c r="F19" s="33">
        <v>0.64</v>
      </c>
      <c r="G19" s="33">
        <v>0.7</v>
      </c>
      <c r="H19" s="33">
        <v>0.93</v>
      </c>
      <c r="I19" s="33">
        <v>0.54</v>
      </c>
      <c r="J19" s="34">
        <v>0.8</v>
      </c>
      <c r="L19" s="8">
        <f t="shared" si="16"/>
        <v>0.84499999999999997</v>
      </c>
      <c r="M19" s="8">
        <f t="shared" si="17"/>
        <v>0.89124999999999999</v>
      </c>
      <c r="N19" s="9">
        <v>0.73</v>
      </c>
      <c r="O19" s="35">
        <v>0.95</v>
      </c>
      <c r="Q19" s="36"/>
      <c r="R19" s="36"/>
      <c r="S19" s="36"/>
      <c r="T19" s="36"/>
      <c r="U19" s="99"/>
      <c r="AA19" s="2">
        <v>1019.5</v>
      </c>
      <c r="AB19" s="2">
        <v>271</v>
      </c>
      <c r="AC19">
        <f t="shared" si="6"/>
        <v>1290.5</v>
      </c>
      <c r="AD19" s="36">
        <f t="shared" si="0"/>
        <v>0.20999612553273925</v>
      </c>
      <c r="AF19">
        <f t="shared" si="12"/>
        <v>14404</v>
      </c>
      <c r="AG19">
        <f t="shared" si="12"/>
        <v>5949.25</v>
      </c>
      <c r="AH19">
        <f t="shared" si="12"/>
        <v>20353.25</v>
      </c>
      <c r="AI19" s="36">
        <f t="shared" si="1"/>
        <v>0.29229975556729271</v>
      </c>
      <c r="AK19" s="110">
        <f>'QC Data 2024'!N19</f>
        <v>15</v>
      </c>
      <c r="AL19" s="36">
        <f t="shared" si="7"/>
        <v>1.4713094654242276E-2</v>
      </c>
      <c r="AM19">
        <f t="shared" si="8"/>
        <v>314.75</v>
      </c>
      <c r="AN19" s="135">
        <f t="shared" si="2"/>
        <v>2.1851569008608719E-2</v>
      </c>
      <c r="AO19">
        <v>15</v>
      </c>
      <c r="AP19">
        <f t="shared" si="13"/>
        <v>240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3"/>
        <v>2</v>
      </c>
      <c r="BF19" s="79">
        <f>3935.5+777</f>
        <v>4712.5</v>
      </c>
      <c r="BG19" s="7">
        <f t="shared" si="18"/>
        <v>2</v>
      </c>
      <c r="BH19" s="28">
        <f t="shared" si="19"/>
        <v>49970.75</v>
      </c>
      <c r="BI19" s="29">
        <f t="shared" si="20"/>
        <v>7.8047638327243991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2024</v>
      </c>
      <c r="B20" s="13">
        <v>45404</v>
      </c>
      <c r="C20" s="116"/>
      <c r="D20" s="7">
        <v>17</v>
      </c>
      <c r="F20" s="33">
        <v>0.56999999999999995</v>
      </c>
      <c r="G20" s="33">
        <v>0.89</v>
      </c>
      <c r="H20" s="33">
        <v>0.94</v>
      </c>
      <c r="I20" s="33">
        <v>0.43</v>
      </c>
      <c r="J20" s="34">
        <v>0.86</v>
      </c>
      <c r="L20" s="8">
        <f t="shared" si="16"/>
        <v>0.83499999999999996</v>
      </c>
      <c r="M20" s="8">
        <f t="shared" si="17"/>
        <v>0.89375000000000004</v>
      </c>
      <c r="N20" s="9">
        <v>0.73</v>
      </c>
      <c r="O20" s="35">
        <v>0.95</v>
      </c>
      <c r="Q20" s="36"/>
      <c r="R20" s="36"/>
      <c r="S20" s="36"/>
      <c r="T20" s="36"/>
      <c r="U20" s="99"/>
      <c r="AA20" s="2">
        <v>954</v>
      </c>
      <c r="AB20" s="2">
        <v>207.5</v>
      </c>
      <c r="AC20">
        <f t="shared" si="6"/>
        <v>1161.5</v>
      </c>
      <c r="AD20" s="36">
        <f t="shared" si="0"/>
        <v>0.17864829961256995</v>
      </c>
      <c r="AF20">
        <f t="shared" si="12"/>
        <v>15358</v>
      </c>
      <c r="AG20">
        <f t="shared" si="12"/>
        <v>6156.75</v>
      </c>
      <c r="AH20">
        <f t="shared" si="12"/>
        <v>21514.75</v>
      </c>
      <c r="AI20" s="36">
        <f t="shared" si="1"/>
        <v>0.2861641432040809</v>
      </c>
      <c r="AK20" s="110">
        <f>'QC Data 2024'!N20</f>
        <v>8</v>
      </c>
      <c r="AL20" s="36">
        <f t="shared" si="7"/>
        <v>8.385744234800839E-3</v>
      </c>
      <c r="AM20">
        <f t="shared" si="8"/>
        <v>322.75</v>
      </c>
      <c r="AN20" s="135">
        <f t="shared" si="2"/>
        <v>2.1015106133611149E-2</v>
      </c>
      <c r="AO20">
        <v>15</v>
      </c>
      <c r="AP20">
        <f t="shared" si="13"/>
        <v>255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3"/>
        <v>0</v>
      </c>
      <c r="BF20" s="79">
        <f>3541+676</f>
        <v>4217</v>
      </c>
      <c r="BG20" s="7">
        <f t="shared" si="18"/>
        <v>2</v>
      </c>
      <c r="BH20" s="28">
        <f t="shared" si="19"/>
        <v>50305.5</v>
      </c>
      <c r="BI20" s="29">
        <f t="shared" si="20"/>
        <v>7.7541169514689203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2024</v>
      </c>
      <c r="B21" s="13">
        <v>45411</v>
      </c>
      <c r="C21" s="117"/>
      <c r="D21" s="7">
        <v>18</v>
      </c>
      <c r="F21" s="33">
        <v>1.01</v>
      </c>
      <c r="G21" s="33">
        <v>0.8</v>
      </c>
      <c r="H21" s="33">
        <v>0.94</v>
      </c>
      <c r="I21" s="33">
        <v>0.48</v>
      </c>
      <c r="J21" s="34">
        <v>0.87</v>
      </c>
      <c r="L21" s="8">
        <f t="shared" si="16"/>
        <v>0.84</v>
      </c>
      <c r="M21" s="8">
        <f t="shared" si="17"/>
        <v>0.88624999999999998</v>
      </c>
      <c r="N21" s="9">
        <v>0.73</v>
      </c>
      <c r="O21" s="35">
        <v>0.95</v>
      </c>
      <c r="Q21" s="36"/>
      <c r="R21" s="36"/>
      <c r="S21" s="36"/>
      <c r="T21" s="36"/>
      <c r="U21" s="99"/>
      <c r="AA21" s="2">
        <v>940.5</v>
      </c>
      <c r="AB21" s="2">
        <v>270.75</v>
      </c>
      <c r="AC21">
        <f t="shared" si="6"/>
        <v>1211.25</v>
      </c>
      <c r="AD21" s="36">
        <f t="shared" si="0"/>
        <v>0.22352941176470589</v>
      </c>
      <c r="AF21">
        <f t="shared" si="12"/>
        <v>16298.5</v>
      </c>
      <c r="AG21">
        <f t="shared" si="12"/>
        <v>6427.5</v>
      </c>
      <c r="AH21">
        <f t="shared" si="12"/>
        <v>22726</v>
      </c>
      <c r="AI21" s="36">
        <f t="shared" si="1"/>
        <v>0.28282583824694185</v>
      </c>
      <c r="AK21" s="110">
        <f>'QC Data 2024'!N21</f>
        <v>16.75</v>
      </c>
      <c r="AL21" s="36">
        <f t="shared" si="7"/>
        <v>1.7809675704412546E-2</v>
      </c>
      <c r="AM21">
        <f t="shared" si="8"/>
        <v>339.5</v>
      </c>
      <c r="AN21" s="135">
        <f t="shared" si="2"/>
        <v>2.0830137742737061E-2</v>
      </c>
      <c r="AO21">
        <v>15</v>
      </c>
      <c r="AP21">
        <f t="shared" si="13"/>
        <v>270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3"/>
        <v>4</v>
      </c>
      <c r="BF21" s="79">
        <v>4153</v>
      </c>
      <c r="BG21" s="7">
        <f t="shared" si="18"/>
        <v>1</v>
      </c>
      <c r="BH21" s="28">
        <f t="shared" si="19"/>
        <v>50629</v>
      </c>
      <c r="BI21" s="29">
        <f t="shared" si="20"/>
        <v>3.8528964148798859</v>
      </c>
      <c r="BJ21" s="7">
        <v>4</v>
      </c>
      <c r="BL21" s="72">
        <v>2021</v>
      </c>
      <c r="BM21" s="7" t="s">
        <v>13</v>
      </c>
      <c r="BR21" s="100">
        <v>0.95</v>
      </c>
    </row>
    <row r="22" spans="1:75" x14ac:dyDescent="0.25">
      <c r="A22" s="7">
        <v>2024</v>
      </c>
      <c r="B22" s="13">
        <v>45418</v>
      </c>
      <c r="C22" s="115"/>
      <c r="D22" s="7">
        <v>19</v>
      </c>
      <c r="F22" s="33">
        <v>0.65</v>
      </c>
      <c r="G22" s="33">
        <v>0.76</v>
      </c>
      <c r="H22" s="33">
        <v>0.99</v>
      </c>
      <c r="I22" s="33">
        <v>0.59</v>
      </c>
      <c r="J22" s="34">
        <v>0.85</v>
      </c>
      <c r="L22" s="8">
        <f t="shared" si="16"/>
        <v>0.84500000000000008</v>
      </c>
      <c r="M22" s="8">
        <f t="shared" si="17"/>
        <v>0.87875000000000003</v>
      </c>
      <c r="N22" s="9">
        <v>0.73</v>
      </c>
      <c r="O22" s="35">
        <v>0.95</v>
      </c>
      <c r="Q22" s="36"/>
      <c r="R22" s="36"/>
      <c r="S22" s="36"/>
      <c r="T22" s="36"/>
      <c r="U22" s="99"/>
      <c r="AA22" s="2">
        <v>846.25</v>
      </c>
      <c r="AB22" s="2">
        <v>206.5</v>
      </c>
      <c r="AC22">
        <f t="shared" si="6"/>
        <v>1052.75</v>
      </c>
      <c r="AD22" s="36">
        <f t="shared" si="0"/>
        <v>0.19615293279506055</v>
      </c>
      <c r="AF22">
        <f t="shared" ref="AF22:AH37" si="21">AF21+AA22</f>
        <v>17144.75</v>
      </c>
      <c r="AG22">
        <f t="shared" si="21"/>
        <v>6634</v>
      </c>
      <c r="AH22">
        <f t="shared" si="21"/>
        <v>23778.75</v>
      </c>
      <c r="AI22" s="36">
        <f t="shared" si="1"/>
        <v>0.2789885927561373</v>
      </c>
      <c r="AK22" s="110">
        <f>'QC Data 2024'!N22</f>
        <v>3</v>
      </c>
      <c r="AL22" s="36">
        <f t="shared" si="7"/>
        <v>3.5450516986706058E-3</v>
      </c>
      <c r="AM22">
        <f t="shared" si="8"/>
        <v>342.5</v>
      </c>
      <c r="AN22" s="135">
        <f t="shared" si="2"/>
        <v>1.9976960877236473E-2</v>
      </c>
      <c r="AO22">
        <v>15</v>
      </c>
      <c r="AP22">
        <f t="shared" si="13"/>
        <v>285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3"/>
        <v>4</v>
      </c>
      <c r="BF22" s="79">
        <v>3759.75</v>
      </c>
      <c r="BG22" s="7">
        <f t="shared" si="18"/>
        <v>1</v>
      </c>
      <c r="BH22" s="28">
        <f t="shared" si="19"/>
        <v>50113.25</v>
      </c>
      <c r="BI22" s="29">
        <f t="shared" si="20"/>
        <v>3.8915616350396212</v>
      </c>
      <c r="BJ22" s="7">
        <v>4</v>
      </c>
      <c r="BL22" s="72">
        <v>2021</v>
      </c>
      <c r="BM22" s="7" t="s">
        <v>14</v>
      </c>
      <c r="BR22" s="100">
        <v>0.95</v>
      </c>
      <c r="BW22" s="7"/>
    </row>
    <row r="23" spans="1:75" x14ac:dyDescent="0.25">
      <c r="A23" s="7">
        <v>2024</v>
      </c>
      <c r="B23" s="13">
        <v>45425</v>
      </c>
      <c r="C23" s="116" t="s">
        <v>12</v>
      </c>
      <c r="D23" s="7">
        <v>20</v>
      </c>
      <c r="F23" s="33">
        <v>0.72</v>
      </c>
      <c r="G23" s="33">
        <v>1</v>
      </c>
      <c r="H23" s="33">
        <v>0.93</v>
      </c>
      <c r="I23" s="33">
        <v>0.96</v>
      </c>
      <c r="J23" s="34">
        <v>0.94</v>
      </c>
      <c r="L23" s="8">
        <f t="shared" si="16"/>
        <v>0.88</v>
      </c>
      <c r="M23" s="8">
        <f t="shared" si="17"/>
        <v>0.86250000000000004</v>
      </c>
      <c r="N23" s="9">
        <v>0.73</v>
      </c>
      <c r="O23" s="35">
        <v>0.95</v>
      </c>
      <c r="Q23" s="36"/>
      <c r="R23" s="36"/>
      <c r="S23" s="36"/>
      <c r="T23" s="36"/>
      <c r="U23" s="99"/>
      <c r="AA23" s="2">
        <v>855.5</v>
      </c>
      <c r="AB23" s="2">
        <v>218</v>
      </c>
      <c r="AC23">
        <f t="shared" si="6"/>
        <v>1073.5</v>
      </c>
      <c r="AD23" s="36">
        <f t="shared" si="0"/>
        <v>0.20307405682347462</v>
      </c>
      <c r="AF23">
        <f t="shared" si="21"/>
        <v>18000.25</v>
      </c>
      <c r="AG23">
        <f t="shared" si="21"/>
        <v>6852</v>
      </c>
      <c r="AH23">
        <f t="shared" si="21"/>
        <v>24852.25</v>
      </c>
      <c r="AI23" s="36">
        <f t="shared" si="1"/>
        <v>0.27570944280698928</v>
      </c>
      <c r="AK23" s="110">
        <f>'QC Data 2024'!N23</f>
        <v>0</v>
      </c>
      <c r="AL23" s="36">
        <f t="shared" si="7"/>
        <v>0</v>
      </c>
      <c r="AM23">
        <f t="shared" si="8"/>
        <v>342.5</v>
      </c>
      <c r="AN23" s="135">
        <f t="shared" si="2"/>
        <v>1.9027513506756851E-2</v>
      </c>
      <c r="AO23">
        <v>15</v>
      </c>
      <c r="AP23">
        <f t="shared" si="13"/>
        <v>300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3"/>
        <v>2</v>
      </c>
      <c r="BF23" s="79">
        <v>4286</v>
      </c>
      <c r="BG23" s="7">
        <f t="shared" si="18"/>
        <v>1</v>
      </c>
      <c r="BH23" s="28">
        <f t="shared" si="19"/>
        <v>49842.5</v>
      </c>
      <c r="BI23" s="29">
        <f t="shared" si="20"/>
        <v>3.9121717443395765</v>
      </c>
      <c r="BJ23" s="7">
        <v>4</v>
      </c>
      <c r="BL23" s="72">
        <v>2021</v>
      </c>
      <c r="BM23" s="7" t="s">
        <v>15</v>
      </c>
      <c r="BR23" s="100">
        <v>0.95</v>
      </c>
      <c r="BW23" s="7"/>
    </row>
    <row r="24" spans="1:75" x14ac:dyDescent="0.25">
      <c r="A24" s="7">
        <v>2024</v>
      </c>
      <c r="B24" s="13">
        <v>45432</v>
      </c>
      <c r="C24" s="116"/>
      <c r="D24" s="7">
        <v>21</v>
      </c>
      <c r="F24" s="33">
        <v>0.57999999999999996</v>
      </c>
      <c r="G24" s="33">
        <v>1.08</v>
      </c>
      <c r="H24" s="33">
        <v>0.99</v>
      </c>
      <c r="I24" s="33">
        <v>1.02</v>
      </c>
      <c r="J24" s="34">
        <v>0.96</v>
      </c>
      <c r="L24" s="8">
        <f t="shared" si="16"/>
        <v>0.90500000000000003</v>
      </c>
      <c r="M24" s="8">
        <f t="shared" si="17"/>
        <v>0.87</v>
      </c>
      <c r="N24" s="9">
        <v>0.73</v>
      </c>
      <c r="O24" s="35">
        <v>0.95</v>
      </c>
      <c r="Q24" s="36"/>
      <c r="R24" s="36"/>
      <c r="S24" s="36"/>
      <c r="T24" s="36"/>
      <c r="U24" s="99"/>
      <c r="AA24" s="2">
        <v>860.25</v>
      </c>
      <c r="AB24" s="2">
        <v>217.25</v>
      </c>
      <c r="AC24">
        <f t="shared" si="6"/>
        <v>1077.5</v>
      </c>
      <c r="AD24" s="36">
        <f t="shared" si="0"/>
        <v>0.20162412993039444</v>
      </c>
      <c r="AF24">
        <f t="shared" si="21"/>
        <v>18860.5</v>
      </c>
      <c r="AG24">
        <f t="shared" si="21"/>
        <v>7069.25</v>
      </c>
      <c r="AH24">
        <f t="shared" si="21"/>
        <v>25929.75</v>
      </c>
      <c r="AI24" s="36">
        <f t="shared" si="1"/>
        <v>0.27263085837696083</v>
      </c>
      <c r="AK24" s="110">
        <f>'QC Data 2024'!N24</f>
        <v>0</v>
      </c>
      <c r="AL24" s="36">
        <f t="shared" si="7"/>
        <v>0</v>
      </c>
      <c r="AM24">
        <f t="shared" si="8"/>
        <v>342.5</v>
      </c>
      <c r="AN24" s="135">
        <f t="shared" si="2"/>
        <v>1.8159645820630416E-2</v>
      </c>
      <c r="AO24">
        <v>15</v>
      </c>
      <c r="AP24">
        <f t="shared" si="13"/>
        <v>315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3"/>
        <v>2</v>
      </c>
      <c r="BF24" s="79">
        <v>4497</v>
      </c>
      <c r="BG24" s="7">
        <f t="shared" si="18"/>
        <v>1</v>
      </c>
      <c r="BH24" s="28">
        <f t="shared" si="19"/>
        <v>50126</v>
      </c>
      <c r="BI24" s="29">
        <f t="shared" si="20"/>
        <v>3.8905964284324788</v>
      </c>
      <c r="BJ24" s="7">
        <v>4</v>
      </c>
      <c r="BL24" s="72">
        <v>2021</v>
      </c>
      <c r="BM24" s="7" t="s">
        <v>16</v>
      </c>
      <c r="BR24" s="100">
        <v>0.95</v>
      </c>
      <c r="BW24" s="7"/>
    </row>
    <row r="25" spans="1:75" x14ac:dyDescent="0.25">
      <c r="A25" s="7">
        <v>2024</v>
      </c>
      <c r="B25" s="13">
        <v>45439</v>
      </c>
      <c r="C25" s="117"/>
      <c r="D25" s="7">
        <v>22</v>
      </c>
      <c r="F25" s="33">
        <v>0.54</v>
      </c>
      <c r="G25" s="33">
        <v>0.89</v>
      </c>
      <c r="H25" s="33">
        <v>1.04</v>
      </c>
      <c r="I25" s="33">
        <v>1.22</v>
      </c>
      <c r="J25" s="34">
        <v>0.88</v>
      </c>
      <c r="L25" s="8">
        <f t="shared" si="16"/>
        <v>0.90749999999999997</v>
      </c>
      <c r="M25" s="8">
        <f t="shared" si="17"/>
        <v>0.87375000000000003</v>
      </c>
      <c r="N25" s="9">
        <v>0.73</v>
      </c>
      <c r="O25" s="35">
        <v>0.95</v>
      </c>
      <c r="Q25" s="36"/>
      <c r="R25" s="36"/>
      <c r="S25" s="36"/>
      <c r="T25" s="36"/>
      <c r="U25" s="99"/>
      <c r="AA25" s="2">
        <v>649.5</v>
      </c>
      <c r="AB25" s="2">
        <v>200.5</v>
      </c>
      <c r="AC25">
        <f t="shared" si="6"/>
        <v>850</v>
      </c>
      <c r="AD25" s="36">
        <f t="shared" si="0"/>
        <v>0.23588235294117646</v>
      </c>
      <c r="AF25">
        <f t="shared" si="21"/>
        <v>19510</v>
      </c>
      <c r="AG25">
        <f t="shared" si="21"/>
        <v>7269.75</v>
      </c>
      <c r="AH25">
        <f t="shared" si="21"/>
        <v>26779.75</v>
      </c>
      <c r="AI25" s="36">
        <f t="shared" si="1"/>
        <v>0.27146444608332787</v>
      </c>
      <c r="AK25" s="110">
        <f>'QC Data 2024'!N25</f>
        <v>2.84</v>
      </c>
      <c r="AL25" s="36">
        <f t="shared" si="7"/>
        <v>4.3725943033102385E-3</v>
      </c>
      <c r="AM25">
        <f t="shared" si="8"/>
        <v>345.34</v>
      </c>
      <c r="AN25" s="135">
        <f t="shared" si="2"/>
        <v>1.7700666324961558E-2</v>
      </c>
      <c r="AO25">
        <v>15</v>
      </c>
      <c r="AP25">
        <f t="shared" si="13"/>
        <v>330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3"/>
        <v>1</v>
      </c>
      <c r="BF25" s="79">
        <v>4461.75</v>
      </c>
      <c r="BG25" s="7">
        <f t="shared" si="18"/>
        <v>0</v>
      </c>
      <c r="BH25" s="28">
        <f t="shared" si="19"/>
        <v>48874.75</v>
      </c>
      <c r="BI25" s="29">
        <f t="shared" si="20"/>
        <v>0</v>
      </c>
      <c r="BJ25" s="7">
        <v>4</v>
      </c>
      <c r="BL25" s="72">
        <v>2021</v>
      </c>
      <c r="BM25" s="7" t="s">
        <v>17</v>
      </c>
      <c r="BR25" s="100">
        <v>0.95</v>
      </c>
      <c r="BW25" s="7"/>
    </row>
    <row r="26" spans="1:75" ht="15.75" customHeight="1" x14ac:dyDescent="0.25">
      <c r="A26" s="7">
        <v>2024</v>
      </c>
      <c r="B26" s="13">
        <v>45446</v>
      </c>
      <c r="C26" s="115"/>
      <c r="D26" s="7">
        <v>23</v>
      </c>
      <c r="F26" s="5">
        <v>0.72</v>
      </c>
      <c r="G26" s="5">
        <v>1.02</v>
      </c>
      <c r="H26" s="5">
        <v>1.03</v>
      </c>
      <c r="I26" s="5">
        <v>0.75</v>
      </c>
      <c r="J26" s="6">
        <v>0.96</v>
      </c>
      <c r="L26" s="8">
        <f t="shared" si="16"/>
        <v>0.93499999999999994</v>
      </c>
      <c r="M26" s="8">
        <f t="shared" si="17"/>
        <v>0.89</v>
      </c>
      <c r="N26" s="9">
        <v>0.73</v>
      </c>
      <c r="O26" s="9">
        <v>0.95</v>
      </c>
      <c r="Q26" s="1"/>
      <c r="R26" s="1"/>
      <c r="S26" s="1"/>
      <c r="T26" s="1"/>
      <c r="U26" s="4"/>
      <c r="AA26" s="2">
        <v>901.25</v>
      </c>
      <c r="AB26" s="2">
        <v>353</v>
      </c>
      <c r="AC26">
        <f t="shared" si="6"/>
        <v>1254.25</v>
      </c>
      <c r="AD26" s="1">
        <f t="shared" si="0"/>
        <v>0.28144309348216068</v>
      </c>
      <c r="AF26">
        <f t="shared" si="21"/>
        <v>20411.25</v>
      </c>
      <c r="AG26">
        <f t="shared" si="21"/>
        <v>7622.75</v>
      </c>
      <c r="AH26">
        <f t="shared" si="21"/>
        <v>28034</v>
      </c>
      <c r="AI26" s="1">
        <f t="shared" si="1"/>
        <v>0.27191089391453238</v>
      </c>
      <c r="AK26" s="110">
        <f>'QC Data 2024'!N26</f>
        <v>0.17</v>
      </c>
      <c r="AL26" s="1">
        <f t="shared" si="7"/>
        <v>1.8862690707350903E-4</v>
      </c>
      <c r="AM26">
        <f t="shared" si="8"/>
        <v>345.51</v>
      </c>
      <c r="AN26" s="134">
        <f t="shared" si="2"/>
        <v>1.6927429726253905E-2</v>
      </c>
      <c r="AO26">
        <v>15</v>
      </c>
      <c r="AP26">
        <f t="shared" si="13"/>
        <v>345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3"/>
        <v>2</v>
      </c>
      <c r="BF26" s="73">
        <v>3802.25</v>
      </c>
      <c r="BG26" s="7">
        <f t="shared" si="18"/>
        <v>0</v>
      </c>
      <c r="BH26" s="28">
        <f t="shared" si="19"/>
        <v>48936.25</v>
      </c>
      <c r="BI26" s="29">
        <f t="shared" si="20"/>
        <v>0</v>
      </c>
      <c r="BJ26" s="7">
        <v>4</v>
      </c>
      <c r="BL26" s="72">
        <v>2021</v>
      </c>
      <c r="BM26" s="7" t="s">
        <v>18</v>
      </c>
      <c r="BR26" s="85">
        <v>0.95</v>
      </c>
      <c r="BW26" s="7"/>
    </row>
    <row r="27" spans="1:75" ht="15.75" customHeight="1" x14ac:dyDescent="0.25">
      <c r="A27" s="7">
        <v>2024</v>
      </c>
      <c r="B27" s="13">
        <v>45453</v>
      </c>
      <c r="C27" s="116" t="s">
        <v>13</v>
      </c>
      <c r="D27" s="7">
        <v>24</v>
      </c>
      <c r="F27" s="5">
        <v>0.83</v>
      </c>
      <c r="G27" s="5">
        <v>0.95</v>
      </c>
      <c r="H27" s="5">
        <v>0.91</v>
      </c>
      <c r="I27" s="5">
        <v>0.68</v>
      </c>
      <c r="J27" s="6">
        <v>0.9</v>
      </c>
      <c r="L27" s="8">
        <f t="shared" si="16"/>
        <v>0.92499999999999993</v>
      </c>
      <c r="M27" s="8">
        <f t="shared" si="17"/>
        <v>0.90250000000000008</v>
      </c>
      <c r="N27" s="9">
        <v>0.73</v>
      </c>
      <c r="O27" s="9">
        <v>0.95</v>
      </c>
      <c r="Q27" s="1"/>
      <c r="R27" s="1"/>
      <c r="S27" s="1"/>
      <c r="T27" s="1"/>
      <c r="U27" s="4"/>
      <c r="AA27" s="2">
        <v>908.75</v>
      </c>
      <c r="AB27" s="2">
        <v>271.25</v>
      </c>
      <c r="AC27">
        <f t="shared" si="6"/>
        <v>1180</v>
      </c>
      <c r="AD27" s="1">
        <f t="shared" si="0"/>
        <v>0.2298728813559322</v>
      </c>
      <c r="AF27">
        <f t="shared" si="21"/>
        <v>21320</v>
      </c>
      <c r="AG27">
        <f t="shared" si="21"/>
        <v>7894</v>
      </c>
      <c r="AH27">
        <f t="shared" si="21"/>
        <v>29214</v>
      </c>
      <c r="AI27" s="1">
        <f t="shared" si="1"/>
        <v>0.27021291161771754</v>
      </c>
      <c r="AK27" s="110">
        <f>'QC Data 2024'!N27</f>
        <v>9</v>
      </c>
      <c r="AL27" s="1">
        <f t="shared" si="7"/>
        <v>9.903713892709767E-3</v>
      </c>
      <c r="AM27">
        <f t="shared" si="8"/>
        <v>354.51</v>
      </c>
      <c r="AN27" s="134">
        <f t="shared" si="2"/>
        <v>1.6628048780487806E-2</v>
      </c>
      <c r="AO27">
        <v>15</v>
      </c>
      <c r="AP27">
        <f t="shared" si="13"/>
        <v>360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3"/>
        <v>1</v>
      </c>
      <c r="BF27" s="80">
        <v>3848.25</v>
      </c>
      <c r="BG27" s="7">
        <f t="shared" si="18"/>
        <v>0</v>
      </c>
      <c r="BH27" s="28">
        <f t="shared" si="19"/>
        <v>49483.25</v>
      </c>
      <c r="BI27" s="29">
        <f t="shared" si="20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W27" s="7"/>
    </row>
    <row r="28" spans="1:75" x14ac:dyDescent="0.25">
      <c r="A28" s="7">
        <v>2024</v>
      </c>
      <c r="B28" s="13">
        <v>45460</v>
      </c>
      <c r="C28" s="118"/>
      <c r="D28" s="7">
        <v>25</v>
      </c>
      <c r="F28" s="131">
        <v>0.82</v>
      </c>
      <c r="G28" s="131">
        <v>0.92</v>
      </c>
      <c r="H28" s="131">
        <v>0.81</v>
      </c>
      <c r="I28" s="131">
        <v>0.5</v>
      </c>
      <c r="J28" s="132">
        <v>0.93</v>
      </c>
      <c r="L28" s="8">
        <f>AVERAGE(J25:J28)</f>
        <v>0.91749999999999998</v>
      </c>
      <c r="M28" s="8">
        <f t="shared" si="17"/>
        <v>0.91125</v>
      </c>
      <c r="N28" s="9">
        <v>0.73</v>
      </c>
      <c r="O28" s="9">
        <v>0.95</v>
      </c>
      <c r="Q28" s="1"/>
      <c r="R28" s="1"/>
      <c r="S28" s="1"/>
      <c r="T28" s="1"/>
      <c r="U28" s="4"/>
      <c r="AA28" s="2">
        <v>1011.5</v>
      </c>
      <c r="AB28" s="2">
        <v>215.5</v>
      </c>
      <c r="AC28">
        <f t="shared" si="6"/>
        <v>1227</v>
      </c>
      <c r="AD28" s="1">
        <f t="shared" si="0"/>
        <v>0.17563162184189079</v>
      </c>
      <c r="AF28">
        <f t="shared" si="21"/>
        <v>22331.5</v>
      </c>
      <c r="AG28">
        <f t="shared" si="21"/>
        <v>8109.5</v>
      </c>
      <c r="AH28">
        <f t="shared" si="21"/>
        <v>30441</v>
      </c>
      <c r="AI28" s="1">
        <f t="shared" si="1"/>
        <v>0.26640057816760293</v>
      </c>
      <c r="AK28" s="110">
        <f>'QC Data 2024'!N28</f>
        <v>8.5</v>
      </c>
      <c r="AL28" s="1">
        <f t="shared" si="7"/>
        <v>8.4033613445378148E-3</v>
      </c>
      <c r="AM28">
        <f>AM27+AK28</f>
        <v>363.01</v>
      </c>
      <c r="AN28" s="134">
        <f t="shared" si="2"/>
        <v>1.6255513512303248E-2</v>
      </c>
      <c r="AO28">
        <v>15</v>
      </c>
      <c r="AP28">
        <f t="shared" si="13"/>
        <v>375</v>
      </c>
      <c r="AZ28" s="69">
        <v>2021</v>
      </c>
      <c r="BA28" s="70" t="s">
        <v>8</v>
      </c>
      <c r="BB28" s="70">
        <v>0</v>
      </c>
      <c r="BC28" s="70">
        <v>0</v>
      </c>
      <c r="BD28" s="70">
        <v>1</v>
      </c>
      <c r="BE28" s="70">
        <f>SUM(BB28:BD28)</f>
        <v>1</v>
      </c>
      <c r="BF28" s="78">
        <v>2984.25</v>
      </c>
      <c r="BG28" s="7">
        <f t="shared" si="18"/>
        <v>0</v>
      </c>
      <c r="BH28" s="28">
        <f t="shared" si="19"/>
        <v>48621.75</v>
      </c>
      <c r="BI28" s="29">
        <f t="shared" si="20"/>
        <v>0</v>
      </c>
      <c r="BJ28" s="7">
        <v>2</v>
      </c>
      <c r="BL28" s="7">
        <v>2022</v>
      </c>
      <c r="BM28" s="7" t="s">
        <v>8</v>
      </c>
      <c r="BO28" s="102">
        <v>3</v>
      </c>
      <c r="BR28" s="1"/>
      <c r="BU28" s="7"/>
      <c r="BW28" s="7"/>
    </row>
    <row r="29" spans="1:75" x14ac:dyDescent="0.25">
      <c r="A29" s="7">
        <v>2024</v>
      </c>
      <c r="B29" s="13">
        <v>45467</v>
      </c>
      <c r="C29" s="117"/>
      <c r="D29" s="7">
        <v>26</v>
      </c>
      <c r="F29" s="131">
        <v>0.72</v>
      </c>
      <c r="G29" s="131">
        <v>0.94</v>
      </c>
      <c r="H29" s="131">
        <v>0.81</v>
      </c>
      <c r="I29" s="131">
        <v>0.98</v>
      </c>
      <c r="J29" s="132">
        <v>0.92</v>
      </c>
      <c r="L29" s="8">
        <f>AVERAGE(J26:J29)</f>
        <v>0.92749999999999999</v>
      </c>
      <c r="M29" s="8">
        <f t="shared" si="17"/>
        <v>0.91749999999999998</v>
      </c>
      <c r="N29" s="9">
        <v>0.73</v>
      </c>
      <c r="O29" s="9">
        <v>0.95</v>
      </c>
      <c r="Q29" s="1"/>
      <c r="R29" s="1"/>
      <c r="S29" s="1"/>
      <c r="T29" s="1"/>
      <c r="U29" s="4"/>
      <c r="AA29" s="2">
        <v>876.75</v>
      </c>
      <c r="AB29" s="2">
        <v>258.25</v>
      </c>
      <c r="AC29">
        <f t="shared" si="6"/>
        <v>1135</v>
      </c>
      <c r="AD29" s="1">
        <f t="shared" si="0"/>
        <v>0.2275330396475771</v>
      </c>
      <c r="AF29">
        <f t="shared" si="21"/>
        <v>23208.25</v>
      </c>
      <c r="AG29">
        <f t="shared" si="21"/>
        <v>8367.75</v>
      </c>
      <c r="AH29">
        <f t="shared" si="21"/>
        <v>31576</v>
      </c>
      <c r="AI29" s="1">
        <f t="shared" si="1"/>
        <v>0.26500348365847481</v>
      </c>
      <c r="AK29" s="110">
        <f>'QC Data 2024'!N29</f>
        <v>17.5</v>
      </c>
      <c r="AL29" s="1">
        <f t="shared" si="7"/>
        <v>1.9960079840319361E-2</v>
      </c>
      <c r="AM29">
        <f>AM28+AK29</f>
        <v>380.51</v>
      </c>
      <c r="AN29" s="134">
        <f t="shared" si="2"/>
        <v>1.6395462820333287E-2</v>
      </c>
      <c r="AO29">
        <v>15</v>
      </c>
      <c r="AP29">
        <f t="shared" si="13"/>
        <v>390</v>
      </c>
      <c r="AZ29" s="72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>SUM(BB29:BD29)</f>
        <v>0</v>
      </c>
      <c r="BF29" s="79">
        <v>3347.5</v>
      </c>
      <c r="BG29" s="7">
        <f t="shared" si="18"/>
        <v>0</v>
      </c>
      <c r="BH29" s="28">
        <f t="shared" si="19"/>
        <v>48313</v>
      </c>
      <c r="BI29" s="29">
        <f t="shared" si="20"/>
        <v>0</v>
      </c>
      <c r="BJ29" s="7">
        <v>2</v>
      </c>
      <c r="BL29" s="7">
        <v>2022</v>
      </c>
      <c r="BM29" s="7" t="s">
        <v>9</v>
      </c>
      <c r="BR29" s="1"/>
      <c r="BU29" s="7"/>
      <c r="BW29" s="7"/>
    </row>
    <row r="30" spans="1:75" x14ac:dyDescent="0.25">
      <c r="A30" s="7">
        <v>2024</v>
      </c>
      <c r="B30" s="13">
        <v>45474</v>
      </c>
      <c r="C30" s="115"/>
      <c r="D30" s="7">
        <v>27</v>
      </c>
      <c r="F30" s="131">
        <v>0.66</v>
      </c>
      <c r="G30" s="131">
        <v>0.86</v>
      </c>
      <c r="H30" s="131">
        <v>0.61</v>
      </c>
      <c r="I30" s="131">
        <v>1</v>
      </c>
      <c r="J30" s="132">
        <v>0.93</v>
      </c>
      <c r="L30" s="8">
        <f>AVERAGE(J27:J30)</f>
        <v>0.92</v>
      </c>
      <c r="M30" s="8">
        <f t="shared" si="17"/>
        <v>0.92749999999999988</v>
      </c>
      <c r="N30" s="9">
        <v>0.73</v>
      </c>
      <c r="O30" s="35">
        <v>0.95</v>
      </c>
      <c r="Q30" s="1"/>
      <c r="R30" s="1"/>
      <c r="S30" s="1"/>
      <c r="T30" s="1"/>
      <c r="U30" s="4"/>
      <c r="AA30" s="2">
        <v>597.75</v>
      </c>
      <c r="AB30" s="2">
        <v>172.25</v>
      </c>
      <c r="AC30">
        <f t="shared" si="6"/>
        <v>770</v>
      </c>
      <c r="AD30" s="1">
        <f t="shared" si="0"/>
        <v>0.22370129870129871</v>
      </c>
      <c r="AF30">
        <f t="shared" si="21"/>
        <v>23806</v>
      </c>
      <c r="AG30">
        <f t="shared" si="21"/>
        <v>8540</v>
      </c>
      <c r="AH30">
        <f t="shared" si="21"/>
        <v>32346</v>
      </c>
      <c r="AI30" s="1">
        <f t="shared" si="1"/>
        <v>0.26402028071477152</v>
      </c>
      <c r="AK30" s="110">
        <f>'QC Data 2024'!N30</f>
        <v>9.5</v>
      </c>
      <c r="AL30" s="1">
        <f t="shared" si="7"/>
        <v>1.5892931827687161E-2</v>
      </c>
      <c r="AM30">
        <f>AM29+AK30</f>
        <v>390.01</v>
      </c>
      <c r="AN30" s="134">
        <f t="shared" si="2"/>
        <v>1.6382844661009831E-2</v>
      </c>
      <c r="AO30">
        <v>15</v>
      </c>
      <c r="AP30">
        <f t="shared" si="13"/>
        <v>405</v>
      </c>
      <c r="AZ30" s="72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ref="BE30:BE51" si="22">SUM(BB30:BD30)</f>
        <v>3</v>
      </c>
      <c r="BF30" s="79">
        <v>3695.25</v>
      </c>
      <c r="BG30" s="7">
        <f t="shared" si="18"/>
        <v>0</v>
      </c>
      <c r="BH30" s="28">
        <f t="shared" si="19"/>
        <v>47764.5</v>
      </c>
      <c r="BI30" s="29">
        <f t="shared" si="20"/>
        <v>0</v>
      </c>
      <c r="BJ30" s="7">
        <v>2</v>
      </c>
      <c r="BL30" s="7">
        <v>2022</v>
      </c>
      <c r="BM30" s="7" t="s">
        <v>10</v>
      </c>
      <c r="BR30" s="1"/>
      <c r="BU30" s="7"/>
      <c r="BW30" s="7"/>
    </row>
    <row r="31" spans="1:75" x14ac:dyDescent="0.25">
      <c r="A31" s="7">
        <v>2024</v>
      </c>
      <c r="B31" s="13">
        <v>45481</v>
      </c>
      <c r="C31" s="116"/>
      <c r="D31" s="7">
        <v>28</v>
      </c>
      <c r="F31" s="131">
        <v>0.72</v>
      </c>
      <c r="G31" s="131">
        <v>0.96</v>
      </c>
      <c r="H31" s="131">
        <v>0.75</v>
      </c>
      <c r="I31" s="131">
        <v>1</v>
      </c>
      <c r="J31" s="132">
        <v>0.8</v>
      </c>
      <c r="L31" s="8">
        <f>AVERAGE(J28:J31)</f>
        <v>0.89500000000000002</v>
      </c>
      <c r="M31" s="8">
        <f t="shared" si="17"/>
        <v>0.90999999999999992</v>
      </c>
      <c r="N31" s="9">
        <v>0.73</v>
      </c>
      <c r="O31" s="9">
        <v>0.95</v>
      </c>
      <c r="Q31" s="1"/>
      <c r="R31" s="1"/>
      <c r="S31" s="1"/>
      <c r="T31" s="1"/>
      <c r="U31" s="4"/>
      <c r="AA31" s="2">
        <v>857.75</v>
      </c>
      <c r="AB31" s="2">
        <v>255.25</v>
      </c>
      <c r="AC31">
        <f t="shared" si="6"/>
        <v>1113</v>
      </c>
      <c r="AD31" s="1">
        <f t="shared" si="0"/>
        <v>0.22933513027852651</v>
      </c>
      <c r="AF31">
        <f t="shared" si="21"/>
        <v>24663.75</v>
      </c>
      <c r="AG31">
        <f t="shared" si="21"/>
        <v>8795.25</v>
      </c>
      <c r="AH31">
        <f t="shared" si="21"/>
        <v>33459</v>
      </c>
      <c r="AI31" s="1">
        <f t="shared" si="1"/>
        <v>0.26286649332018291</v>
      </c>
      <c r="AK31" s="110">
        <f>'QC Data 2024'!N31</f>
        <v>25</v>
      </c>
      <c r="AL31" s="1">
        <f t="shared" si="7"/>
        <v>2.9146021568055961E-2</v>
      </c>
      <c r="AM31">
        <f t="shared" ref="AM31:AM55" si="23">AM30+AK31</f>
        <v>415.01</v>
      </c>
      <c r="AN31" s="134">
        <f t="shared" si="2"/>
        <v>1.6826719375601845E-2</v>
      </c>
      <c r="AO31">
        <v>15</v>
      </c>
      <c r="AP31">
        <f t="shared" si="13"/>
        <v>420</v>
      </c>
      <c r="AZ31" s="72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2"/>
        <v>1</v>
      </c>
      <c r="BF31" s="79">
        <v>2841.5</v>
      </c>
      <c r="BG31" s="7">
        <f t="shared" si="18"/>
        <v>0</v>
      </c>
      <c r="BH31" s="28">
        <f t="shared" si="19"/>
        <v>45893.5</v>
      </c>
      <c r="BI31" s="29">
        <f t="shared" si="20"/>
        <v>0</v>
      </c>
      <c r="BJ31" s="7">
        <v>2</v>
      </c>
      <c r="BL31" s="7">
        <v>2022</v>
      </c>
      <c r="BM31" s="7" t="s">
        <v>11</v>
      </c>
      <c r="BR31" s="1"/>
      <c r="BU31" s="7"/>
      <c r="BW31" s="7"/>
    </row>
    <row r="32" spans="1:75" x14ac:dyDescent="0.25">
      <c r="A32" s="7">
        <v>2024</v>
      </c>
      <c r="B32" s="13">
        <v>45488</v>
      </c>
      <c r="C32" s="116" t="s">
        <v>14</v>
      </c>
      <c r="D32" s="7">
        <v>29</v>
      </c>
      <c r="F32" s="33">
        <v>0.66</v>
      </c>
      <c r="G32" s="33">
        <v>1.19</v>
      </c>
      <c r="H32" s="33">
        <v>0.89</v>
      </c>
      <c r="I32" s="33">
        <v>1</v>
      </c>
      <c r="J32" s="34">
        <v>0.94</v>
      </c>
      <c r="L32" s="8">
        <f>AVERAGE(J29:J32)</f>
        <v>0.89750000000000008</v>
      </c>
      <c r="M32" s="8">
        <f t="shared" si="17"/>
        <v>0.90749999999999997</v>
      </c>
      <c r="N32" s="9">
        <v>0.73</v>
      </c>
      <c r="O32" s="9">
        <v>0.95</v>
      </c>
      <c r="Q32" s="1"/>
      <c r="R32" s="1"/>
      <c r="S32" s="1"/>
      <c r="T32" s="1"/>
      <c r="U32" s="4"/>
      <c r="AA32" s="2">
        <v>749.25</v>
      </c>
      <c r="AB32" s="2">
        <v>287.75</v>
      </c>
      <c r="AC32">
        <f t="shared" si="6"/>
        <v>1037</v>
      </c>
      <c r="AD32" s="1">
        <f t="shared" si="0"/>
        <v>0.27748312439729989</v>
      </c>
      <c r="AF32">
        <f t="shared" si="21"/>
        <v>25413</v>
      </c>
      <c r="AG32">
        <f t="shared" si="21"/>
        <v>9083</v>
      </c>
      <c r="AH32">
        <f t="shared" si="21"/>
        <v>34496</v>
      </c>
      <c r="AI32" s="1">
        <f t="shared" si="1"/>
        <v>0.26330589053803338</v>
      </c>
      <c r="AK32" s="110">
        <f>'QC Data 2024'!N32</f>
        <v>4</v>
      </c>
      <c r="AL32" s="1">
        <f t="shared" si="7"/>
        <v>5.3386720053386722E-3</v>
      </c>
      <c r="AM32">
        <f t="shared" si="23"/>
        <v>419.01</v>
      </c>
      <c r="AN32" s="134">
        <f t="shared" si="2"/>
        <v>1.6488017943572186E-2</v>
      </c>
      <c r="AO32">
        <v>15</v>
      </c>
      <c r="AP32">
        <f t="shared" si="13"/>
        <v>435</v>
      </c>
      <c r="AZ32" s="72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2"/>
        <v>0</v>
      </c>
      <c r="BF32" s="79">
        <v>2637.75</v>
      </c>
      <c r="BG32" s="7">
        <f t="shared" si="18"/>
        <v>0</v>
      </c>
      <c r="BH32" s="28">
        <f t="shared" si="19"/>
        <v>44314.25</v>
      </c>
      <c r="BI32" s="29">
        <f t="shared" si="20"/>
        <v>0</v>
      </c>
      <c r="BJ32" s="7">
        <v>2</v>
      </c>
      <c r="BL32" s="7">
        <v>2022</v>
      </c>
      <c r="BM32" s="7" t="s">
        <v>12</v>
      </c>
      <c r="BR32" s="1"/>
      <c r="BU32" s="7"/>
      <c r="BW32" s="7"/>
    </row>
    <row r="33" spans="1:75" x14ac:dyDescent="0.25">
      <c r="A33" s="7">
        <v>2024</v>
      </c>
      <c r="B33" s="13">
        <v>45495</v>
      </c>
      <c r="C33" s="116"/>
      <c r="D33" s="7">
        <v>30</v>
      </c>
      <c r="F33" s="5">
        <v>0.99</v>
      </c>
      <c r="G33" s="5">
        <v>1.1200000000000001</v>
      </c>
      <c r="H33" s="5">
        <v>0.73</v>
      </c>
      <c r="I33" s="5">
        <v>0.98</v>
      </c>
      <c r="J33" s="6">
        <v>0.86</v>
      </c>
      <c r="L33" s="8">
        <f t="shared" ref="L33:L56" si="24">AVERAGE(J30:J33)</f>
        <v>0.88249999999999995</v>
      </c>
      <c r="M33" s="8">
        <f t="shared" si="17"/>
        <v>0.90499999999999992</v>
      </c>
      <c r="N33" s="9">
        <v>0.73</v>
      </c>
      <c r="O33" s="9">
        <v>0.95</v>
      </c>
      <c r="Q33" s="1"/>
      <c r="R33" s="1"/>
      <c r="S33" s="1"/>
      <c r="T33" s="1"/>
      <c r="U33" s="4"/>
      <c r="AA33" s="2">
        <v>642.75</v>
      </c>
      <c r="AB33" s="2">
        <v>275.25</v>
      </c>
      <c r="AC33">
        <f t="shared" si="6"/>
        <v>918</v>
      </c>
      <c r="AD33" s="1">
        <f t="shared" si="0"/>
        <v>0.29983660130718953</v>
      </c>
      <c r="AF33">
        <f t="shared" ref="AF33:AG48" si="25">AF32+AA47</f>
        <v>26024.5</v>
      </c>
      <c r="AG33">
        <f t="shared" si="25"/>
        <v>9357</v>
      </c>
      <c r="AH33">
        <f t="shared" si="21"/>
        <v>35414</v>
      </c>
      <c r="AI33" s="1">
        <f t="shared" si="1"/>
        <v>0.26421754108544643</v>
      </c>
      <c r="AK33" s="110">
        <f>'QC Data 2024'!N33</f>
        <v>5</v>
      </c>
      <c r="AL33" s="1">
        <f t="shared" si="7"/>
        <v>7.7790742901594706E-3</v>
      </c>
      <c r="AM33">
        <f t="shared" si="23"/>
        <v>424.01</v>
      </c>
      <c r="AN33" s="134">
        <f t="shared" si="2"/>
        <v>1.6292724163768757E-2</v>
      </c>
      <c r="AO33">
        <v>15</v>
      </c>
      <c r="AP33">
        <f t="shared" si="13"/>
        <v>450</v>
      </c>
      <c r="AZ33" s="72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2"/>
        <v>2</v>
      </c>
      <c r="BF33" s="79">
        <v>4042.75</v>
      </c>
      <c r="BG33" s="7">
        <f t="shared" si="18"/>
        <v>0</v>
      </c>
      <c r="BH33" s="28">
        <f t="shared" si="19"/>
        <v>44204</v>
      </c>
      <c r="BI33" s="29">
        <f t="shared" si="20"/>
        <v>0</v>
      </c>
      <c r="BJ33" s="7">
        <v>2</v>
      </c>
      <c r="BL33" s="7">
        <v>2022</v>
      </c>
      <c r="BM33" s="7" t="s">
        <v>13</v>
      </c>
      <c r="BR33" s="1"/>
      <c r="BU33" s="7"/>
      <c r="BW33" s="7"/>
    </row>
    <row r="34" spans="1:75" x14ac:dyDescent="0.25">
      <c r="A34" s="7">
        <v>2024</v>
      </c>
      <c r="B34" s="13">
        <v>45502</v>
      </c>
      <c r="C34" s="117"/>
      <c r="D34" s="7">
        <v>31</v>
      </c>
      <c r="F34" s="5">
        <v>0.77</v>
      </c>
      <c r="G34" s="5">
        <v>1</v>
      </c>
      <c r="H34" s="5">
        <v>0.9</v>
      </c>
      <c r="I34" s="5">
        <v>0.91</v>
      </c>
      <c r="J34" s="6">
        <v>0.92</v>
      </c>
      <c r="L34" s="8">
        <f t="shared" si="24"/>
        <v>0.88</v>
      </c>
      <c r="M34" s="8">
        <f t="shared" si="17"/>
        <v>0.9</v>
      </c>
      <c r="N34" s="9">
        <v>0.73</v>
      </c>
      <c r="O34" s="9">
        <v>0.95</v>
      </c>
      <c r="Q34" s="1"/>
      <c r="R34" s="1"/>
      <c r="S34" s="1"/>
      <c r="T34" s="1"/>
      <c r="U34" s="4"/>
      <c r="AA34" s="2">
        <v>623.25</v>
      </c>
      <c r="AB34" s="2">
        <v>336</v>
      </c>
      <c r="AC34">
        <f t="shared" si="6"/>
        <v>959.25</v>
      </c>
      <c r="AD34" s="1">
        <f t="shared" si="0"/>
        <v>0.35027365129007038</v>
      </c>
      <c r="AF34">
        <f t="shared" si="25"/>
        <v>26598</v>
      </c>
      <c r="AG34">
        <f t="shared" si="25"/>
        <v>9622.25</v>
      </c>
      <c r="AH34">
        <f t="shared" si="21"/>
        <v>36373.25</v>
      </c>
      <c r="AI34" s="1">
        <f t="shared" si="1"/>
        <v>0.26454193672547821</v>
      </c>
      <c r="AK34" s="110">
        <f>'QC Data 2024'!N34</f>
        <v>7</v>
      </c>
      <c r="AL34" s="1">
        <f t="shared" ref="AL34:AL56" si="26">AK34/AA48</f>
        <v>1.2205754141238012E-2</v>
      </c>
      <c r="AM34">
        <f t="shared" si="23"/>
        <v>431.01</v>
      </c>
      <c r="AN34" s="134">
        <f t="shared" si="2"/>
        <v>1.6204601849763141E-2</v>
      </c>
      <c r="AO34">
        <v>15</v>
      </c>
      <c r="AP34">
        <f t="shared" si="13"/>
        <v>465</v>
      </c>
      <c r="AZ34" s="72">
        <v>2021</v>
      </c>
      <c r="BA34" s="7" t="s">
        <v>14</v>
      </c>
      <c r="BB34" s="7">
        <v>0</v>
      </c>
      <c r="BC34" s="7">
        <v>1</v>
      </c>
      <c r="BD34" s="7">
        <v>0</v>
      </c>
      <c r="BE34" s="7">
        <f t="shared" si="22"/>
        <v>1</v>
      </c>
      <c r="BF34" s="79">
        <v>3331</v>
      </c>
      <c r="BG34" s="7">
        <f t="shared" ref="BG34:BG51" si="27">SUM(BB23:BB34)</f>
        <v>0</v>
      </c>
      <c r="BH34" s="28">
        <f t="shared" si="19"/>
        <v>43775.25</v>
      </c>
      <c r="BI34" s="29">
        <f t="shared" si="20"/>
        <v>0</v>
      </c>
      <c r="BJ34" s="7">
        <v>2</v>
      </c>
      <c r="BL34" s="7">
        <v>2022</v>
      </c>
      <c r="BM34" s="7" t="s">
        <v>14</v>
      </c>
      <c r="BR34" s="1"/>
      <c r="BU34" s="7"/>
      <c r="BW34" s="7"/>
    </row>
    <row r="35" spans="1:75" x14ac:dyDescent="0.25">
      <c r="A35" s="7">
        <v>2024</v>
      </c>
      <c r="B35" s="13">
        <v>45509</v>
      </c>
      <c r="C35" s="115"/>
      <c r="D35" s="7">
        <v>32</v>
      </c>
      <c r="F35" s="5">
        <v>0.86</v>
      </c>
      <c r="G35" s="5">
        <v>0.9</v>
      </c>
      <c r="H35" s="5">
        <v>0.9</v>
      </c>
      <c r="I35" s="5">
        <v>1</v>
      </c>
      <c r="J35" s="6">
        <v>0.91</v>
      </c>
      <c r="L35" s="8">
        <f t="shared" si="24"/>
        <v>0.90749999999999997</v>
      </c>
      <c r="M35" s="8">
        <f t="shared" si="17"/>
        <v>0.90125</v>
      </c>
      <c r="N35" s="9">
        <v>0.73</v>
      </c>
      <c r="O35" s="9">
        <v>0.95</v>
      </c>
      <c r="Q35" s="1"/>
      <c r="R35" s="1"/>
      <c r="S35" s="1"/>
      <c r="T35" s="1"/>
      <c r="U35" s="4"/>
      <c r="AA35" s="2">
        <v>512</v>
      </c>
      <c r="AB35" s="2">
        <v>208.5</v>
      </c>
      <c r="AC35">
        <f t="shared" si="6"/>
        <v>720.5</v>
      </c>
      <c r="AD35" s="1">
        <f t="shared" si="0"/>
        <v>0.28938237335183903</v>
      </c>
      <c r="AF35">
        <f t="shared" si="25"/>
        <v>27178</v>
      </c>
      <c r="AG35">
        <f t="shared" si="25"/>
        <v>9832.5</v>
      </c>
      <c r="AH35">
        <f t="shared" si="21"/>
        <v>37093.75</v>
      </c>
      <c r="AI35" s="1">
        <f t="shared" si="1"/>
        <v>0.26507160909856781</v>
      </c>
      <c r="AK35" s="110">
        <f>'QC Data 2024'!N35</f>
        <v>0</v>
      </c>
      <c r="AL35" s="1">
        <f t="shared" si="26"/>
        <v>0</v>
      </c>
      <c r="AM35">
        <f t="shared" si="23"/>
        <v>431.01</v>
      </c>
      <c r="AN35" s="134">
        <f t="shared" si="2"/>
        <v>1.5858782839061007E-2</v>
      </c>
      <c r="AO35">
        <v>15</v>
      </c>
      <c r="AP35">
        <f t="shared" si="13"/>
        <v>480</v>
      </c>
      <c r="AZ35" s="72">
        <v>2021</v>
      </c>
      <c r="BA35" s="7" t="s">
        <v>15</v>
      </c>
      <c r="BB35" s="7">
        <v>0</v>
      </c>
      <c r="BC35" s="108">
        <v>1</v>
      </c>
      <c r="BD35" s="108">
        <v>0</v>
      </c>
      <c r="BE35" s="7">
        <f t="shared" si="22"/>
        <v>1</v>
      </c>
      <c r="BF35" s="79">
        <v>3369</v>
      </c>
      <c r="BG35" s="7">
        <f t="shared" si="27"/>
        <v>0</v>
      </c>
      <c r="BH35" s="28">
        <f t="shared" si="19"/>
        <v>42858.25</v>
      </c>
      <c r="BI35" s="29">
        <f t="shared" si="20"/>
        <v>0</v>
      </c>
      <c r="BJ35" s="7">
        <v>2</v>
      </c>
      <c r="BL35" s="7">
        <v>2022</v>
      </c>
      <c r="BM35" s="7" t="s">
        <v>15</v>
      </c>
      <c r="BR35" s="1"/>
      <c r="BU35" t="s">
        <v>155</v>
      </c>
      <c r="BV35" t="s">
        <v>156</v>
      </c>
      <c r="BW35" s="7"/>
    </row>
    <row r="36" spans="1:75" x14ac:dyDescent="0.25">
      <c r="A36" s="7">
        <v>2024</v>
      </c>
      <c r="B36" s="13">
        <v>45516</v>
      </c>
      <c r="C36" s="116" t="s">
        <v>15</v>
      </c>
      <c r="D36" s="7">
        <v>33</v>
      </c>
      <c r="F36" s="5">
        <v>0.72</v>
      </c>
      <c r="G36" s="5">
        <v>0.95</v>
      </c>
      <c r="H36" s="5">
        <v>0.81</v>
      </c>
      <c r="I36" s="5">
        <v>0.87</v>
      </c>
      <c r="J36" s="6">
        <v>0.85</v>
      </c>
      <c r="L36" s="8">
        <f t="shared" si="24"/>
        <v>0.88500000000000001</v>
      </c>
      <c r="M36" s="8">
        <f t="shared" si="17"/>
        <v>0.89124999999999999</v>
      </c>
      <c r="N36" s="9">
        <v>0.73</v>
      </c>
      <c r="O36" s="9">
        <v>0.95</v>
      </c>
      <c r="Q36" s="1"/>
      <c r="R36" s="1"/>
      <c r="S36" s="1"/>
      <c r="T36" s="1"/>
      <c r="U36" s="4"/>
      <c r="AA36" s="2">
        <v>551.75</v>
      </c>
      <c r="AB36" s="2">
        <v>212.75</v>
      </c>
      <c r="AC36">
        <f t="shared" si="6"/>
        <v>764.5</v>
      </c>
      <c r="AD36" s="1">
        <f t="shared" si="0"/>
        <v>0.27828646173969918</v>
      </c>
      <c r="AF36">
        <f t="shared" si="25"/>
        <v>27731</v>
      </c>
      <c r="AG36">
        <f t="shared" si="25"/>
        <v>10078</v>
      </c>
      <c r="AH36">
        <f t="shared" si="21"/>
        <v>37858.25</v>
      </c>
      <c r="AI36" s="1">
        <f t="shared" si="1"/>
        <v>0.26620353555697901</v>
      </c>
      <c r="AK36" s="110">
        <f>'QC Data 2024'!N36</f>
        <v>13</v>
      </c>
      <c r="AL36" s="1">
        <f t="shared" si="26"/>
        <v>2.3508137432188065E-2</v>
      </c>
      <c r="AM36">
        <f t="shared" si="23"/>
        <v>444.01</v>
      </c>
      <c r="AN36" s="134">
        <f t="shared" si="2"/>
        <v>1.601132306804659E-2</v>
      </c>
      <c r="AO36">
        <v>15</v>
      </c>
      <c r="AP36">
        <f t="shared" si="13"/>
        <v>495</v>
      </c>
      <c r="AZ36" s="72">
        <v>2021</v>
      </c>
      <c r="BA36" s="7" t="s">
        <v>16</v>
      </c>
      <c r="BB36" s="7">
        <v>0</v>
      </c>
      <c r="BC36" s="108">
        <v>1</v>
      </c>
      <c r="BD36" s="108">
        <v>0</v>
      </c>
      <c r="BE36" s="7">
        <f t="shared" si="22"/>
        <v>1</v>
      </c>
      <c r="BF36" s="79">
        <v>3255</v>
      </c>
      <c r="BG36" s="7">
        <f t="shared" si="27"/>
        <v>0</v>
      </c>
      <c r="BH36" s="28">
        <f t="shared" si="19"/>
        <v>41616.25</v>
      </c>
      <c r="BI36" s="29">
        <f t="shared" si="20"/>
        <v>0</v>
      </c>
      <c r="BJ36" s="7">
        <v>2</v>
      </c>
      <c r="BL36" s="7">
        <v>2022</v>
      </c>
      <c r="BM36" s="7" t="s">
        <v>16</v>
      </c>
      <c r="BR36" s="1"/>
      <c r="BU36" s="7">
        <v>100</v>
      </c>
      <c r="BV36" t="s">
        <v>157</v>
      </c>
      <c r="BW36" s="7"/>
    </row>
    <row r="37" spans="1:75" x14ac:dyDescent="0.25">
      <c r="A37" s="7">
        <v>2024</v>
      </c>
      <c r="B37" s="13">
        <v>45523</v>
      </c>
      <c r="C37" s="116"/>
      <c r="D37" s="7">
        <v>34</v>
      </c>
      <c r="F37" s="5">
        <v>1.26</v>
      </c>
      <c r="G37" s="5">
        <v>0.86</v>
      </c>
      <c r="H37" s="5">
        <v>0.87</v>
      </c>
      <c r="I37" s="5">
        <v>0.64</v>
      </c>
      <c r="J37" s="6">
        <v>0.87</v>
      </c>
      <c r="L37" s="8">
        <f t="shared" si="24"/>
        <v>0.88750000000000007</v>
      </c>
      <c r="M37" s="8">
        <f t="shared" si="17"/>
        <v>0.88500000000000001</v>
      </c>
      <c r="N37" s="9">
        <v>0.73</v>
      </c>
      <c r="O37" s="9">
        <v>0.95</v>
      </c>
      <c r="Q37" s="1"/>
      <c r="R37" s="1"/>
      <c r="S37" s="1"/>
      <c r="T37" s="1"/>
      <c r="U37" s="4"/>
      <c r="AA37" s="2">
        <v>598</v>
      </c>
      <c r="AB37" s="2">
        <v>261.5</v>
      </c>
      <c r="AC37">
        <f t="shared" si="6"/>
        <v>859.5</v>
      </c>
      <c r="AD37" s="1">
        <f t="shared" si="0"/>
        <v>0.30424665503199533</v>
      </c>
      <c r="AF37">
        <f t="shared" si="25"/>
        <v>27974.5</v>
      </c>
      <c r="AG37">
        <f t="shared" si="25"/>
        <v>10191.75</v>
      </c>
      <c r="AH37">
        <f t="shared" si="21"/>
        <v>38717.75</v>
      </c>
      <c r="AI37" s="1">
        <f t="shared" si="1"/>
        <v>0.26323198016413663</v>
      </c>
      <c r="AK37" s="110">
        <f>'QC Data 2024'!N37</f>
        <v>4</v>
      </c>
      <c r="AL37" s="1">
        <f t="shared" si="26"/>
        <v>1.6427104722792608E-2</v>
      </c>
      <c r="AM37">
        <f t="shared" si="23"/>
        <v>448.01</v>
      </c>
      <c r="AN37" s="134">
        <f t="shared" si="2"/>
        <v>1.6014942179484886E-2</v>
      </c>
      <c r="AO37">
        <v>15</v>
      </c>
      <c r="AP37">
        <f t="shared" si="13"/>
        <v>510</v>
      </c>
      <c r="AZ37" s="72">
        <v>2021</v>
      </c>
      <c r="BA37" s="7" t="s">
        <v>17</v>
      </c>
      <c r="BB37" s="7">
        <v>0</v>
      </c>
      <c r="BC37" s="114">
        <v>1</v>
      </c>
      <c r="BD37" s="108">
        <v>2</v>
      </c>
      <c r="BE37" s="7">
        <f t="shared" si="22"/>
        <v>3</v>
      </c>
      <c r="BF37" s="79">
        <v>5129</v>
      </c>
      <c r="BG37" s="7">
        <f t="shared" si="27"/>
        <v>0</v>
      </c>
      <c r="BH37" s="28">
        <f t="shared" si="19"/>
        <v>42283.5</v>
      </c>
      <c r="BI37" s="29">
        <f t="shared" si="20"/>
        <v>0</v>
      </c>
      <c r="BJ37" s="7">
        <v>2</v>
      </c>
      <c r="BL37" s="7">
        <v>2022</v>
      </c>
      <c r="BM37" s="7" t="s">
        <v>17</v>
      </c>
      <c r="BR37" s="1"/>
      <c r="BU37" s="7">
        <v>105</v>
      </c>
      <c r="BV37" t="s">
        <v>158</v>
      </c>
      <c r="BW37" s="7"/>
    </row>
    <row r="38" spans="1:75" x14ac:dyDescent="0.25">
      <c r="A38" s="7">
        <v>2024</v>
      </c>
      <c r="B38" s="13">
        <v>45530</v>
      </c>
      <c r="C38" s="117"/>
      <c r="D38" s="7">
        <v>35</v>
      </c>
      <c r="F38" s="5">
        <v>0.97</v>
      </c>
      <c r="G38" s="5">
        <v>1.06</v>
      </c>
      <c r="H38" s="5">
        <v>0.95</v>
      </c>
      <c r="I38" s="5">
        <v>1</v>
      </c>
      <c r="J38" s="6">
        <v>0.99</v>
      </c>
      <c r="L38" s="8">
        <f t="shared" si="24"/>
        <v>0.90500000000000003</v>
      </c>
      <c r="M38" s="8">
        <f t="shared" si="17"/>
        <v>0.89249999999999996</v>
      </c>
      <c r="N38" s="9">
        <v>0.73</v>
      </c>
      <c r="O38" s="9">
        <v>0.95</v>
      </c>
      <c r="Q38" s="1"/>
      <c r="R38" s="1"/>
      <c r="S38" s="1"/>
      <c r="T38" s="1"/>
      <c r="U38" s="4"/>
      <c r="AA38" s="2">
        <v>505</v>
      </c>
      <c r="AB38" s="2">
        <v>311</v>
      </c>
      <c r="AC38">
        <f t="shared" si="6"/>
        <v>816</v>
      </c>
      <c r="AD38" s="1">
        <f t="shared" si="0"/>
        <v>0.38112745098039214</v>
      </c>
      <c r="AF38">
        <f t="shared" si="25"/>
        <v>28399</v>
      </c>
      <c r="AG38">
        <f t="shared" si="25"/>
        <v>10533.75</v>
      </c>
      <c r="AH38">
        <f t="shared" ref="AH38:AH56" si="28">AH37+AC38</f>
        <v>39533.75</v>
      </c>
      <c r="AI38" s="1">
        <f t="shared" si="1"/>
        <v>0.26644955259746417</v>
      </c>
      <c r="AK38" s="110">
        <f>'QC Data 2024'!N38</f>
        <v>51</v>
      </c>
      <c r="AL38" s="1">
        <f t="shared" si="26"/>
        <v>0.12014134275618374</v>
      </c>
      <c r="AM38">
        <f t="shared" si="23"/>
        <v>499.01</v>
      </c>
      <c r="AN38" s="134">
        <f t="shared" si="2"/>
        <v>1.7571393358921088E-2</v>
      </c>
      <c r="AO38">
        <v>15</v>
      </c>
      <c r="AP38">
        <f t="shared" si="13"/>
        <v>525</v>
      </c>
      <c r="AZ38" s="72">
        <v>2021</v>
      </c>
      <c r="BA38" s="7" t="s">
        <v>18</v>
      </c>
      <c r="BB38" s="7">
        <v>0</v>
      </c>
      <c r="BC38" s="108">
        <v>1</v>
      </c>
      <c r="BD38" s="108">
        <v>2</v>
      </c>
      <c r="BE38" s="7">
        <f t="shared" si="22"/>
        <v>3</v>
      </c>
      <c r="BF38" s="79">
        <v>5102</v>
      </c>
      <c r="BG38" s="7">
        <f t="shared" si="27"/>
        <v>0</v>
      </c>
      <c r="BH38" s="28">
        <f t="shared" si="19"/>
        <v>43583.25</v>
      </c>
      <c r="BI38" s="29">
        <f t="shared" si="20"/>
        <v>0</v>
      </c>
      <c r="BJ38" s="7">
        <v>2</v>
      </c>
      <c r="BL38" s="7">
        <v>2022</v>
      </c>
      <c r="BM38" s="7" t="s">
        <v>18</v>
      </c>
      <c r="BR38" s="1"/>
      <c r="BU38" s="7">
        <v>107</v>
      </c>
      <c r="BV38" t="s">
        <v>159</v>
      </c>
      <c r="BW38" s="7"/>
    </row>
    <row r="39" spans="1:75" x14ac:dyDescent="0.25">
      <c r="A39" s="7">
        <v>2024</v>
      </c>
      <c r="B39" s="13">
        <v>45537</v>
      </c>
      <c r="C39" s="115"/>
      <c r="D39" s="7">
        <v>36</v>
      </c>
      <c r="F39" s="5">
        <v>0.94</v>
      </c>
      <c r="G39" s="5">
        <v>1.36</v>
      </c>
      <c r="H39" s="5">
        <v>0.92</v>
      </c>
      <c r="I39" s="5">
        <v>0.27</v>
      </c>
      <c r="J39" s="6">
        <v>1.08</v>
      </c>
      <c r="L39" s="8">
        <f t="shared" si="24"/>
        <v>0.94750000000000001</v>
      </c>
      <c r="M39" s="8">
        <f t="shared" si="17"/>
        <v>0.92749999999999999</v>
      </c>
      <c r="N39" s="9">
        <v>0.73</v>
      </c>
      <c r="O39" s="9">
        <v>0.95</v>
      </c>
      <c r="Q39" s="1"/>
      <c r="R39" s="1"/>
      <c r="S39" s="1"/>
      <c r="T39" s="1"/>
      <c r="U39" s="4"/>
      <c r="AA39" s="2">
        <v>395.5</v>
      </c>
      <c r="AB39" s="2">
        <v>205</v>
      </c>
      <c r="AC39">
        <f t="shared" si="6"/>
        <v>600.5</v>
      </c>
      <c r="AD39" s="1">
        <f t="shared" si="0"/>
        <v>0.34138218151540384</v>
      </c>
      <c r="AF39">
        <f t="shared" si="25"/>
        <v>28832.75</v>
      </c>
      <c r="AG39">
        <f t="shared" si="25"/>
        <v>10900.75</v>
      </c>
      <c r="AH39">
        <f t="shared" si="28"/>
        <v>40134.25</v>
      </c>
      <c r="AI39" s="1">
        <f t="shared" si="1"/>
        <v>0.27160716844092014</v>
      </c>
      <c r="AK39" s="110">
        <f>'QC Data 2024'!N39</f>
        <v>0</v>
      </c>
      <c r="AL39" s="1">
        <f t="shared" si="26"/>
        <v>0</v>
      </c>
      <c r="AM39">
        <f t="shared" si="23"/>
        <v>499.01</v>
      </c>
      <c r="AN39" s="134">
        <f t="shared" si="2"/>
        <v>1.7307055345050334E-2</v>
      </c>
      <c r="AO39">
        <v>15</v>
      </c>
      <c r="AP39">
        <f t="shared" si="13"/>
        <v>540</v>
      </c>
      <c r="AZ39" s="75">
        <v>2021</v>
      </c>
      <c r="BA39" s="76" t="s">
        <v>19</v>
      </c>
      <c r="BB39" s="76">
        <v>0</v>
      </c>
      <c r="BC39" s="109">
        <v>1</v>
      </c>
      <c r="BD39" s="109">
        <v>0</v>
      </c>
      <c r="BE39" s="76">
        <f t="shared" si="22"/>
        <v>1</v>
      </c>
      <c r="BF39" s="80">
        <v>5019</v>
      </c>
      <c r="BG39" s="7">
        <f t="shared" si="27"/>
        <v>0</v>
      </c>
      <c r="BH39" s="28">
        <f t="shared" si="19"/>
        <v>44754</v>
      </c>
      <c r="BI39" s="29">
        <f t="shared" si="20"/>
        <v>0</v>
      </c>
      <c r="BJ39" s="7">
        <v>2</v>
      </c>
      <c r="BL39" s="7">
        <v>2022</v>
      </c>
      <c r="BM39" s="7" t="s">
        <v>19</v>
      </c>
      <c r="BR39" s="1"/>
      <c r="BU39" s="7">
        <v>110</v>
      </c>
      <c r="BV39" t="s">
        <v>160</v>
      </c>
      <c r="BW39" s="7"/>
    </row>
    <row r="40" spans="1:75" x14ac:dyDescent="0.25">
      <c r="A40" s="7">
        <v>2024</v>
      </c>
      <c r="B40" s="13">
        <v>45544</v>
      </c>
      <c r="C40" s="116" t="s">
        <v>16</v>
      </c>
      <c r="D40" s="7">
        <v>37</v>
      </c>
      <c r="F40" s="5">
        <v>0.95</v>
      </c>
      <c r="G40" s="5">
        <v>1.29</v>
      </c>
      <c r="H40" s="5">
        <v>1.03</v>
      </c>
      <c r="I40" s="5">
        <v>0.75</v>
      </c>
      <c r="J40" s="6">
        <v>1.1100000000000001</v>
      </c>
      <c r="L40" s="8">
        <f t="shared" si="24"/>
        <v>1.0125</v>
      </c>
      <c r="M40" s="8">
        <f t="shared" si="17"/>
        <v>0.94875000000000009</v>
      </c>
      <c r="N40" s="9">
        <v>0.73</v>
      </c>
      <c r="O40" s="9">
        <v>0.95</v>
      </c>
      <c r="Q40" s="1"/>
      <c r="R40" s="1"/>
      <c r="S40" s="1"/>
      <c r="T40" s="1"/>
      <c r="U40" s="4"/>
      <c r="AA40" s="2">
        <v>511.25</v>
      </c>
      <c r="AB40" s="2">
        <v>282.5</v>
      </c>
      <c r="AC40">
        <f t="shared" si="6"/>
        <v>793.75</v>
      </c>
      <c r="AD40" s="1">
        <f t="shared" si="0"/>
        <v>0.35590551181102364</v>
      </c>
      <c r="AF40">
        <f t="shared" si="25"/>
        <v>29264</v>
      </c>
      <c r="AG40">
        <f t="shared" si="25"/>
        <v>11188.75</v>
      </c>
      <c r="AH40">
        <f t="shared" si="28"/>
        <v>40928</v>
      </c>
      <c r="AI40" s="1">
        <f t="shared" si="1"/>
        <v>0.27337641712275212</v>
      </c>
      <c r="AK40" s="110">
        <f>'QC Data 2024'!N40</f>
        <v>0</v>
      </c>
      <c r="AL40" s="1">
        <f t="shared" si="26"/>
        <v>0</v>
      </c>
      <c r="AM40">
        <f t="shared" si="23"/>
        <v>499.01</v>
      </c>
      <c r="AN40" s="134">
        <f t="shared" si="2"/>
        <v>1.7052009294696555E-2</v>
      </c>
      <c r="AO40">
        <v>15</v>
      </c>
      <c r="AP40">
        <f t="shared" si="13"/>
        <v>555</v>
      </c>
      <c r="AZ40" s="69">
        <v>2022</v>
      </c>
      <c r="BA40" s="70" t="s">
        <v>8</v>
      </c>
      <c r="BB40" s="70">
        <v>0</v>
      </c>
      <c r="BC40" s="70">
        <v>1</v>
      </c>
      <c r="BD40" s="70">
        <v>1</v>
      </c>
      <c r="BE40" s="70">
        <f t="shared" si="22"/>
        <v>2</v>
      </c>
      <c r="BF40" s="78">
        <v>4683</v>
      </c>
      <c r="BG40" s="7">
        <f t="shared" si="27"/>
        <v>0</v>
      </c>
      <c r="BH40" s="28">
        <f t="shared" si="19"/>
        <v>46452.75</v>
      </c>
      <c r="BI40" s="29">
        <f t="shared" si="20"/>
        <v>0</v>
      </c>
      <c r="BJ40" s="7">
        <v>2</v>
      </c>
      <c r="BL40" s="7">
        <v>2022</v>
      </c>
      <c r="BM40" s="7" t="s">
        <v>49</v>
      </c>
      <c r="BN40">
        <f>SUM(BN16:BN27)</f>
        <v>15</v>
      </c>
      <c r="BO40" s="102">
        <f>SUM(BO16:BO27)</f>
        <v>11</v>
      </c>
      <c r="BP40">
        <f>BN40+BO40</f>
        <v>26</v>
      </c>
      <c r="BQ40" s="1">
        <f>BN40/BP40</f>
        <v>0.57692307692307687</v>
      </c>
      <c r="BR40" s="1">
        <v>0.95</v>
      </c>
      <c r="BU40" s="7">
        <v>115</v>
      </c>
      <c r="BV40" t="s">
        <v>161</v>
      </c>
      <c r="BW40" s="7"/>
    </row>
    <row r="41" spans="1:75" x14ac:dyDescent="0.25">
      <c r="A41" s="7">
        <v>2024</v>
      </c>
      <c r="B41" s="13">
        <v>45551</v>
      </c>
      <c r="C41" s="118"/>
      <c r="D41" s="7">
        <v>38</v>
      </c>
      <c r="F41" s="5">
        <v>0.87</v>
      </c>
      <c r="G41" s="5">
        <v>1.42</v>
      </c>
      <c r="H41" s="5">
        <v>0.83</v>
      </c>
      <c r="I41" s="5">
        <v>1.33</v>
      </c>
      <c r="J41" s="6">
        <v>1.01</v>
      </c>
      <c r="L41" s="8">
        <f t="shared" si="24"/>
        <v>1.0475000000000001</v>
      </c>
      <c r="M41" s="8">
        <f>AVERAGE(J34:J41)</f>
        <v>0.96750000000000003</v>
      </c>
      <c r="N41" s="9">
        <v>0.73</v>
      </c>
      <c r="O41" s="9">
        <v>0.95</v>
      </c>
      <c r="Q41" s="1"/>
      <c r="R41" s="1"/>
      <c r="S41" s="1"/>
      <c r="T41" s="1"/>
      <c r="U41" s="4"/>
      <c r="AA41" s="2">
        <v>440</v>
      </c>
      <c r="AB41" s="2">
        <v>359</v>
      </c>
      <c r="AC41">
        <f t="shared" si="6"/>
        <v>799</v>
      </c>
      <c r="AD41" s="1">
        <f t="shared" si="0"/>
        <v>0.44931163954943681</v>
      </c>
      <c r="AF41">
        <f t="shared" si="25"/>
        <v>29436</v>
      </c>
      <c r="AG41">
        <f t="shared" si="25"/>
        <v>11287.75</v>
      </c>
      <c r="AH41">
        <f t="shared" si="28"/>
        <v>41727</v>
      </c>
      <c r="AI41" s="1">
        <f t="shared" si="1"/>
        <v>0.27051429530040499</v>
      </c>
      <c r="AK41" s="110">
        <f>'QC Data 2024'!N41</f>
        <v>7.5</v>
      </c>
      <c r="AL41" s="1">
        <f t="shared" si="26"/>
        <v>4.3604651162790699E-2</v>
      </c>
      <c r="AM41">
        <f t="shared" si="23"/>
        <v>506.51</v>
      </c>
      <c r="AN41" s="134">
        <f t="shared" si="2"/>
        <v>1.720716129908955E-2</v>
      </c>
      <c r="AO41">
        <v>15</v>
      </c>
      <c r="AP41">
        <f t="shared" si="13"/>
        <v>570</v>
      </c>
      <c r="AZ41" s="72">
        <v>2022</v>
      </c>
      <c r="BA41" s="7" t="s">
        <v>9</v>
      </c>
      <c r="BB41" s="7">
        <v>0</v>
      </c>
      <c r="BC41" s="7">
        <v>0</v>
      </c>
      <c r="BD41" s="7">
        <v>1</v>
      </c>
      <c r="BE41" s="7">
        <f t="shared" si="22"/>
        <v>1</v>
      </c>
      <c r="BF41" s="79">
        <v>5033</v>
      </c>
      <c r="BG41" s="7">
        <f t="shared" si="27"/>
        <v>0</v>
      </c>
      <c r="BH41" s="28">
        <f t="shared" si="19"/>
        <v>48138.25</v>
      </c>
      <c r="BI41" s="29">
        <f t="shared" si="20"/>
        <v>0</v>
      </c>
      <c r="BJ41" s="7">
        <v>2</v>
      </c>
      <c r="BL41" t="s">
        <v>78</v>
      </c>
      <c r="BN41">
        <f>SUM(BN5:BN16)</f>
        <v>110</v>
      </c>
      <c r="BO41" s="102">
        <f>SUM(BO5:BO16)</f>
        <v>25</v>
      </c>
      <c r="BP41">
        <f>BN41+BO41</f>
        <v>135</v>
      </c>
      <c r="BQ41" s="1">
        <f>BN41/BP41</f>
        <v>0.81481481481481477</v>
      </c>
      <c r="BR41" s="1">
        <v>0.95</v>
      </c>
      <c r="BU41" s="7">
        <v>120</v>
      </c>
      <c r="BV41" t="s">
        <v>162</v>
      </c>
      <c r="BW41" s="7"/>
    </row>
    <row r="42" spans="1:75" x14ac:dyDescent="0.25">
      <c r="A42" s="7">
        <v>2024</v>
      </c>
      <c r="B42" s="13">
        <v>45558</v>
      </c>
      <c r="C42" s="117"/>
      <c r="D42" s="7">
        <v>39</v>
      </c>
      <c r="F42" s="5">
        <v>1.21</v>
      </c>
      <c r="G42" s="5">
        <v>1.0900000000000001</v>
      </c>
      <c r="H42" s="5">
        <v>0.87</v>
      </c>
      <c r="I42" s="5">
        <v>1</v>
      </c>
      <c r="J42" s="6">
        <v>0.97</v>
      </c>
      <c r="L42" s="8">
        <f t="shared" si="24"/>
        <v>1.0425</v>
      </c>
      <c r="M42" s="8">
        <f t="shared" si="17"/>
        <v>0.97375</v>
      </c>
      <c r="N42" s="9">
        <v>0.73</v>
      </c>
      <c r="O42" s="9">
        <v>0.95</v>
      </c>
      <c r="Q42" s="1"/>
      <c r="R42" s="1"/>
      <c r="S42" s="1"/>
      <c r="T42" s="1"/>
      <c r="U42" s="4"/>
      <c r="AA42" s="2">
        <v>562</v>
      </c>
      <c r="AB42" s="2">
        <v>238</v>
      </c>
      <c r="AC42">
        <f t="shared" si="6"/>
        <v>800</v>
      </c>
      <c r="AD42" s="1">
        <f t="shared" si="0"/>
        <v>0.29749999999999999</v>
      </c>
      <c r="AF42">
        <f t="shared" si="25"/>
        <v>29436</v>
      </c>
      <c r="AG42">
        <f t="shared" si="25"/>
        <v>11287.75</v>
      </c>
      <c r="AH42">
        <f t="shared" si="28"/>
        <v>42527</v>
      </c>
      <c r="AI42" s="1">
        <f t="shared" si="1"/>
        <v>0.26542549439179813</v>
      </c>
      <c r="AK42" s="110">
        <f>'QC Data 2024'!N42</f>
        <v>24.5</v>
      </c>
      <c r="AL42" s="1" t="e">
        <f t="shared" si="26"/>
        <v>#DIV/0!</v>
      </c>
      <c r="AM42">
        <f t="shared" si="23"/>
        <v>531.01</v>
      </c>
      <c r="AN42" s="134">
        <f t="shared" si="2"/>
        <v>1.8039475472210898E-2</v>
      </c>
      <c r="AO42">
        <v>15</v>
      </c>
      <c r="AP42">
        <f t="shared" si="13"/>
        <v>585</v>
      </c>
      <c r="AZ42" s="72">
        <v>2022</v>
      </c>
      <c r="BA42" s="7" t="s">
        <v>10</v>
      </c>
      <c r="BB42" s="7">
        <v>0</v>
      </c>
      <c r="BC42" s="7">
        <v>1</v>
      </c>
      <c r="BD42" s="7">
        <v>1</v>
      </c>
      <c r="BE42" s="7">
        <f t="shared" si="22"/>
        <v>2</v>
      </c>
      <c r="BF42" s="79">
        <v>4646</v>
      </c>
      <c r="BG42" s="7">
        <f t="shared" si="27"/>
        <v>0</v>
      </c>
      <c r="BH42" s="28">
        <f t="shared" si="19"/>
        <v>49089</v>
      </c>
      <c r="BI42" s="29">
        <f t="shared" si="20"/>
        <v>0</v>
      </c>
      <c r="BJ42" s="7">
        <v>2</v>
      </c>
      <c r="BU42" s="7">
        <v>125</v>
      </c>
      <c r="BV42" t="s">
        <v>163</v>
      </c>
      <c r="BW42" s="7"/>
    </row>
    <row r="43" spans="1:75" x14ac:dyDescent="0.25">
      <c r="A43" s="7">
        <v>2024</v>
      </c>
      <c r="B43" s="13">
        <v>45565</v>
      </c>
      <c r="C43" s="115"/>
      <c r="D43" s="7">
        <v>40</v>
      </c>
      <c r="F43" s="5">
        <v>0.79</v>
      </c>
      <c r="G43" s="5">
        <v>1.29</v>
      </c>
      <c r="H43" s="5">
        <v>0.84</v>
      </c>
      <c r="I43" s="5">
        <v>1</v>
      </c>
      <c r="J43" s="6">
        <v>0.99</v>
      </c>
      <c r="L43" s="8">
        <f t="shared" si="24"/>
        <v>1.02</v>
      </c>
      <c r="M43" s="8">
        <f t="shared" si="17"/>
        <v>0.98375000000000001</v>
      </c>
      <c r="N43" s="9">
        <v>0.73</v>
      </c>
      <c r="O43" s="9">
        <v>0.95</v>
      </c>
      <c r="Q43" s="1"/>
      <c r="R43" s="1"/>
      <c r="S43" s="1"/>
      <c r="T43" s="1"/>
      <c r="U43" s="4"/>
      <c r="AA43" s="2">
        <v>369.5</v>
      </c>
      <c r="AB43" s="2">
        <v>381</v>
      </c>
      <c r="AC43">
        <f t="shared" si="6"/>
        <v>750.5</v>
      </c>
      <c r="AD43" s="1">
        <f t="shared" si="0"/>
        <v>0.50766155896069287</v>
      </c>
      <c r="AF43">
        <f t="shared" si="25"/>
        <v>66379.75</v>
      </c>
      <c r="AG43">
        <f t="shared" si="25"/>
        <v>26455.75</v>
      </c>
      <c r="AH43">
        <f t="shared" si="28"/>
        <v>43277.5</v>
      </c>
      <c r="AI43" s="1">
        <f t="shared" si="1"/>
        <v>0.61130495060943912</v>
      </c>
      <c r="AK43" s="110">
        <f>'QC Data 2024'!N43</f>
        <v>25.5</v>
      </c>
      <c r="AL43" s="1">
        <f t="shared" si="26"/>
        <v>6.9023853831838946E-4</v>
      </c>
      <c r="AM43">
        <f t="shared" si="23"/>
        <v>556.51</v>
      </c>
      <c r="AN43" s="134">
        <f t="shared" si="2"/>
        <v>8.3837314843758833E-3</v>
      </c>
      <c r="AO43">
        <v>15</v>
      </c>
      <c r="AP43">
        <f t="shared" si="13"/>
        <v>600</v>
      </c>
      <c r="AZ43" s="72">
        <v>2022</v>
      </c>
      <c r="BA43" s="7" t="s">
        <v>11</v>
      </c>
      <c r="BB43" s="7">
        <v>0</v>
      </c>
      <c r="BC43" s="7">
        <v>0</v>
      </c>
      <c r="BD43" s="7">
        <v>0</v>
      </c>
      <c r="BE43" s="7">
        <f t="shared" si="22"/>
        <v>0</v>
      </c>
      <c r="BF43" s="79">
        <v>3362</v>
      </c>
      <c r="BG43" s="7">
        <f t="shared" si="27"/>
        <v>0</v>
      </c>
      <c r="BH43" s="28">
        <f t="shared" si="19"/>
        <v>49609.5</v>
      </c>
      <c r="BI43" s="29">
        <f t="shared" si="20"/>
        <v>0</v>
      </c>
      <c r="BJ43" s="7">
        <v>2</v>
      </c>
      <c r="BM43" s="7" t="s">
        <v>25</v>
      </c>
      <c r="BN43">
        <v>80</v>
      </c>
      <c r="BU43" s="7">
        <v>130</v>
      </c>
      <c r="BV43" t="s">
        <v>164</v>
      </c>
      <c r="BW43" s="7"/>
    </row>
    <row r="44" spans="1:75" x14ac:dyDescent="0.25">
      <c r="A44" s="7">
        <v>2024</v>
      </c>
      <c r="B44" s="13">
        <v>45572</v>
      </c>
      <c r="C44" s="116"/>
      <c r="D44" s="7">
        <v>41</v>
      </c>
      <c r="F44" s="5">
        <v>0.87</v>
      </c>
      <c r="G44" s="5">
        <v>0.88</v>
      </c>
      <c r="H44" s="5">
        <v>1.01</v>
      </c>
      <c r="I44" s="5">
        <v>1.25</v>
      </c>
      <c r="J44" s="6">
        <v>0.96</v>
      </c>
      <c r="L44" s="8">
        <f t="shared" si="24"/>
        <v>0.98249999999999993</v>
      </c>
      <c r="M44" s="8">
        <f t="shared" si="17"/>
        <v>0.99749999999999994</v>
      </c>
      <c r="N44" s="9">
        <v>0.73</v>
      </c>
      <c r="O44" s="9">
        <v>0.95</v>
      </c>
      <c r="Q44" s="1"/>
      <c r="R44" s="1"/>
      <c r="S44" s="1"/>
      <c r="T44" s="1"/>
      <c r="U44" s="4"/>
      <c r="AA44" s="2">
        <v>532.5</v>
      </c>
      <c r="AB44" s="2">
        <v>300.5</v>
      </c>
      <c r="AC44">
        <f t="shared" si="6"/>
        <v>833</v>
      </c>
      <c r="AD44" s="1">
        <f t="shared" si="0"/>
        <v>0.36074429771908761</v>
      </c>
      <c r="AF44">
        <f t="shared" si="25"/>
        <v>66379.75</v>
      </c>
      <c r="AG44">
        <f t="shared" si="25"/>
        <v>26455.75</v>
      </c>
      <c r="AH44">
        <f t="shared" si="28"/>
        <v>44110.5</v>
      </c>
      <c r="AI44" s="1">
        <f t="shared" si="1"/>
        <v>0.59976082792078989</v>
      </c>
      <c r="AK44" s="110">
        <f>'QC Data 2024'!N44</f>
        <v>51</v>
      </c>
      <c r="AL44" s="1" t="e">
        <f t="shared" si="26"/>
        <v>#DIV/0!</v>
      </c>
      <c r="AM44">
        <f t="shared" si="23"/>
        <v>607.51</v>
      </c>
      <c r="AN44" s="134">
        <f t="shared" si="2"/>
        <v>9.1520380839036006E-3</v>
      </c>
      <c r="AO44">
        <v>15</v>
      </c>
      <c r="AP44">
        <f t="shared" si="13"/>
        <v>615</v>
      </c>
      <c r="AZ44" s="72">
        <v>2022</v>
      </c>
      <c r="BA44" s="7" t="s">
        <v>12</v>
      </c>
      <c r="BB44" s="7">
        <v>0</v>
      </c>
      <c r="BC44" s="7">
        <v>2</v>
      </c>
      <c r="BD44" s="7">
        <v>0</v>
      </c>
      <c r="BE44" s="7">
        <f t="shared" si="22"/>
        <v>2</v>
      </c>
      <c r="BF44" s="79">
        <v>3525</v>
      </c>
      <c r="BG44" s="7">
        <f t="shared" si="27"/>
        <v>0</v>
      </c>
      <c r="BH44" s="28">
        <f t="shared" si="19"/>
        <v>50496.75</v>
      </c>
      <c r="BI44" s="29">
        <f t="shared" si="20"/>
        <v>0</v>
      </c>
      <c r="BJ44" s="7">
        <v>2</v>
      </c>
      <c r="BM44" s="7" t="s">
        <v>105</v>
      </c>
      <c r="BN44">
        <v>15</v>
      </c>
      <c r="BU44" s="7">
        <v>135</v>
      </c>
      <c r="BV44" t="s">
        <v>165</v>
      </c>
      <c r="BW44" s="7"/>
    </row>
    <row r="45" spans="1:75" x14ac:dyDescent="0.25">
      <c r="A45" s="7">
        <v>2024</v>
      </c>
      <c r="B45" s="13">
        <v>45579</v>
      </c>
      <c r="C45" s="116" t="s">
        <v>17</v>
      </c>
      <c r="D45" s="7">
        <v>42</v>
      </c>
      <c r="F45" s="5">
        <v>0.74</v>
      </c>
      <c r="G45" s="5">
        <v>1.29</v>
      </c>
      <c r="H45" s="5">
        <v>1.05</v>
      </c>
      <c r="I45" s="5">
        <v>1.4</v>
      </c>
      <c r="J45" s="6">
        <v>1.05</v>
      </c>
      <c r="L45" s="8">
        <f t="shared" si="24"/>
        <v>0.99249999999999994</v>
      </c>
      <c r="M45" s="8">
        <f t="shared" si="17"/>
        <v>1.02</v>
      </c>
      <c r="N45" s="9">
        <v>0.73</v>
      </c>
      <c r="O45" s="9">
        <v>0.95</v>
      </c>
      <c r="Q45" s="1"/>
      <c r="R45" s="1"/>
      <c r="S45" s="1"/>
      <c r="T45" s="1"/>
      <c r="U45" s="4"/>
      <c r="AA45" s="2">
        <v>592.75</v>
      </c>
      <c r="AB45" s="2">
        <v>266.25</v>
      </c>
      <c r="AC45">
        <f t="shared" si="6"/>
        <v>859</v>
      </c>
      <c r="AD45" s="1">
        <f t="shared" si="0"/>
        <v>0.30995343422584398</v>
      </c>
      <c r="AF45">
        <f t="shared" si="25"/>
        <v>66379.75</v>
      </c>
      <c r="AG45">
        <f t="shared" si="25"/>
        <v>26455.75</v>
      </c>
      <c r="AH45">
        <f t="shared" si="28"/>
        <v>44969.5</v>
      </c>
      <c r="AI45" s="1">
        <f t="shared" si="1"/>
        <v>0.58830429513336813</v>
      </c>
      <c r="AK45" s="110">
        <f>'QC Data 2024'!N45</f>
        <v>0</v>
      </c>
      <c r="AL45" s="1" t="e">
        <f t="shared" si="26"/>
        <v>#DIV/0!</v>
      </c>
      <c r="AM45">
        <f t="shared" si="23"/>
        <v>607.51</v>
      </c>
      <c r="AN45" s="134">
        <f t="shared" si="2"/>
        <v>9.1520380839036006E-3</v>
      </c>
      <c r="AO45">
        <v>15</v>
      </c>
      <c r="AP45">
        <f t="shared" si="13"/>
        <v>630</v>
      </c>
      <c r="AZ45" s="72">
        <v>2022</v>
      </c>
      <c r="BA45" s="7" t="s">
        <v>13</v>
      </c>
      <c r="BB45" s="7">
        <v>0</v>
      </c>
      <c r="BC45" s="7">
        <v>2</v>
      </c>
      <c r="BD45" s="7">
        <v>1</v>
      </c>
      <c r="BE45" s="7">
        <f t="shared" si="22"/>
        <v>3</v>
      </c>
      <c r="BF45" s="79">
        <v>3898</v>
      </c>
      <c r="BG45" s="7">
        <f t="shared" si="27"/>
        <v>0</v>
      </c>
      <c r="BH45" s="28">
        <f t="shared" si="19"/>
        <v>50352</v>
      </c>
      <c r="BI45" s="29">
        <f t="shared" si="20"/>
        <v>0</v>
      </c>
      <c r="BJ45" s="7">
        <v>2</v>
      </c>
      <c r="BM45" s="7" t="s">
        <v>104</v>
      </c>
      <c r="BN45">
        <v>5</v>
      </c>
      <c r="BU45" s="7">
        <v>140</v>
      </c>
      <c r="BV45" t="s">
        <v>166</v>
      </c>
      <c r="BW45" s="7"/>
    </row>
    <row r="46" spans="1:75" x14ac:dyDescent="0.25">
      <c r="A46" s="7">
        <v>2024</v>
      </c>
      <c r="B46" s="13">
        <v>45586</v>
      </c>
      <c r="C46" s="116"/>
      <c r="D46" s="7">
        <v>43</v>
      </c>
      <c r="F46" s="5">
        <v>0.78</v>
      </c>
      <c r="G46" s="5">
        <v>1.08</v>
      </c>
      <c r="H46" s="5">
        <v>0.89</v>
      </c>
      <c r="I46" s="5">
        <v>1.2</v>
      </c>
      <c r="J46" s="6">
        <v>0.96</v>
      </c>
      <c r="L46" s="8">
        <f t="shared" si="24"/>
        <v>0.99</v>
      </c>
      <c r="M46" s="8">
        <f t="shared" si="17"/>
        <v>1.0162499999999999</v>
      </c>
      <c r="N46" s="9">
        <v>0.73</v>
      </c>
      <c r="O46" s="9">
        <v>0.95</v>
      </c>
      <c r="Q46" s="1"/>
      <c r="R46" s="1"/>
      <c r="S46" s="1"/>
      <c r="T46" s="1"/>
      <c r="U46" s="4"/>
      <c r="AA46" s="2">
        <v>671.5</v>
      </c>
      <c r="AB46" s="2">
        <v>243</v>
      </c>
      <c r="AC46">
        <f t="shared" si="6"/>
        <v>914.5</v>
      </c>
      <c r="AD46" s="1">
        <f t="shared" si="0"/>
        <v>0.26571897211591033</v>
      </c>
      <c r="AF46">
        <f t="shared" si="25"/>
        <v>66379.75</v>
      </c>
      <c r="AG46">
        <f t="shared" si="25"/>
        <v>26455.75</v>
      </c>
      <c r="AH46">
        <f t="shared" si="28"/>
        <v>45884</v>
      </c>
      <c r="AI46" s="1">
        <f t="shared" si="1"/>
        <v>0.57657898178014122</v>
      </c>
      <c r="AK46" s="110">
        <f>'QC Data 2024'!N46</f>
        <v>0</v>
      </c>
      <c r="AL46" s="1" t="e">
        <f t="shared" si="26"/>
        <v>#DIV/0!</v>
      </c>
      <c r="AM46">
        <f t="shared" si="23"/>
        <v>607.51</v>
      </c>
      <c r="AN46" s="134">
        <f t="shared" si="2"/>
        <v>9.1520380839036006E-3</v>
      </c>
      <c r="AO46">
        <v>15</v>
      </c>
      <c r="AP46">
        <f t="shared" si="13"/>
        <v>645</v>
      </c>
      <c r="AZ46" s="72">
        <v>2022</v>
      </c>
      <c r="BA46" s="7" t="s">
        <v>14</v>
      </c>
      <c r="BB46" s="7">
        <v>0</v>
      </c>
      <c r="BC46" s="7">
        <v>0</v>
      </c>
      <c r="BD46" s="7">
        <v>0</v>
      </c>
      <c r="BE46" s="7">
        <f t="shared" si="22"/>
        <v>0</v>
      </c>
      <c r="BF46" s="79">
        <v>4030</v>
      </c>
      <c r="BG46" s="7">
        <f t="shared" si="27"/>
        <v>0</v>
      </c>
      <c r="BH46" s="28">
        <f t="shared" si="19"/>
        <v>51051</v>
      </c>
      <c r="BI46" s="29">
        <f t="shared" si="20"/>
        <v>0</v>
      </c>
      <c r="BJ46" s="7">
        <v>2</v>
      </c>
      <c r="BM46" s="7" t="s">
        <v>26</v>
      </c>
      <c r="BN46">
        <v>100</v>
      </c>
      <c r="BU46" s="7">
        <v>145</v>
      </c>
      <c r="BV46" t="s">
        <v>167</v>
      </c>
      <c r="BW46" s="7"/>
    </row>
    <row r="47" spans="1:75" x14ac:dyDescent="0.25">
      <c r="A47" s="7">
        <v>2024</v>
      </c>
      <c r="B47" s="13">
        <v>45593</v>
      </c>
      <c r="C47" s="117"/>
      <c r="D47" s="7">
        <v>44</v>
      </c>
      <c r="F47" s="5">
        <v>1.29</v>
      </c>
      <c r="G47" s="5">
        <v>1.1299999999999999</v>
      </c>
      <c r="H47" s="5">
        <v>0.87</v>
      </c>
      <c r="I47" s="5">
        <v>0.73</v>
      </c>
      <c r="J47" s="6">
        <v>1.03</v>
      </c>
      <c r="L47" s="8">
        <f t="shared" si="24"/>
        <v>1</v>
      </c>
      <c r="M47" s="8">
        <f t="shared" si="17"/>
        <v>1.01</v>
      </c>
      <c r="N47" s="9">
        <v>0.73</v>
      </c>
      <c r="O47" s="9">
        <v>0.95</v>
      </c>
      <c r="Q47" s="1"/>
      <c r="R47" s="1"/>
      <c r="S47" s="1"/>
      <c r="T47" s="1"/>
      <c r="U47" s="4"/>
      <c r="AA47" s="2">
        <v>611.5</v>
      </c>
      <c r="AB47" s="2">
        <v>274</v>
      </c>
      <c r="AC47">
        <f t="shared" si="6"/>
        <v>885.5</v>
      </c>
      <c r="AD47" s="1">
        <f t="shared" si="0"/>
        <v>0.30942970073404857</v>
      </c>
      <c r="AF47">
        <f t="shared" si="25"/>
        <v>66379.75</v>
      </c>
      <c r="AG47">
        <f t="shared" si="25"/>
        <v>26455.75</v>
      </c>
      <c r="AH47">
        <f t="shared" si="28"/>
        <v>46769.5</v>
      </c>
      <c r="AI47" s="1">
        <f t="shared" si="1"/>
        <v>0.56566245095628565</v>
      </c>
      <c r="AK47" s="110">
        <f>'QC Data 2024'!N47</f>
        <v>0</v>
      </c>
      <c r="AL47" s="1" t="e">
        <f t="shared" si="26"/>
        <v>#DIV/0!</v>
      </c>
      <c r="AM47">
        <f t="shared" si="23"/>
        <v>607.51</v>
      </c>
      <c r="AN47" s="134">
        <f t="shared" si="2"/>
        <v>9.1520380839036006E-3</v>
      </c>
      <c r="AO47">
        <v>15</v>
      </c>
      <c r="AP47">
        <f t="shared" si="13"/>
        <v>660</v>
      </c>
      <c r="AZ47" s="72">
        <v>2022</v>
      </c>
      <c r="BA47" s="7" t="s">
        <v>15</v>
      </c>
      <c r="BB47" s="7">
        <v>0</v>
      </c>
      <c r="BC47" s="7">
        <v>1</v>
      </c>
      <c r="BD47" s="7">
        <v>3</v>
      </c>
      <c r="BE47" s="7">
        <f t="shared" si="22"/>
        <v>4</v>
      </c>
      <c r="BF47" s="79">
        <v>5039.5</v>
      </c>
      <c r="BG47" s="7">
        <f t="shared" si="27"/>
        <v>0</v>
      </c>
      <c r="BH47" s="28">
        <f t="shared" si="19"/>
        <v>52721.5</v>
      </c>
      <c r="BI47" s="29">
        <f t="shared" si="20"/>
        <v>0</v>
      </c>
      <c r="BJ47" s="7">
        <v>2</v>
      </c>
      <c r="BU47" s="7">
        <v>147</v>
      </c>
      <c r="BV47" t="s">
        <v>168</v>
      </c>
      <c r="BW47" s="7"/>
    </row>
    <row r="48" spans="1:75" x14ac:dyDescent="0.25">
      <c r="A48" s="7">
        <v>2024</v>
      </c>
      <c r="B48" s="13">
        <v>45600</v>
      </c>
      <c r="C48" s="115"/>
      <c r="D48" s="7">
        <v>45</v>
      </c>
      <c r="F48" s="5"/>
      <c r="G48" s="5"/>
      <c r="H48" s="5"/>
      <c r="I48" s="5"/>
      <c r="J48" s="6">
        <v>1.01</v>
      </c>
      <c r="L48" s="8">
        <f t="shared" si="24"/>
        <v>1.0125</v>
      </c>
      <c r="M48" s="8">
        <f t="shared" si="17"/>
        <v>0.99749999999999994</v>
      </c>
      <c r="N48" s="9">
        <v>0.73</v>
      </c>
      <c r="O48" s="9">
        <v>0.95</v>
      </c>
      <c r="Q48" s="1"/>
      <c r="R48" s="1"/>
      <c r="S48" s="1"/>
      <c r="T48" s="1"/>
      <c r="U48" s="4"/>
      <c r="AA48" s="2">
        <v>573.5</v>
      </c>
      <c r="AB48" s="2">
        <v>265.25</v>
      </c>
      <c r="AC48">
        <f t="shared" si="6"/>
        <v>838.75</v>
      </c>
      <c r="AD48" s="1">
        <f t="shared" si="0"/>
        <v>0.31624441132637854</v>
      </c>
      <c r="AF48">
        <f t="shared" si="25"/>
        <v>66379.75</v>
      </c>
      <c r="AG48">
        <f t="shared" si="25"/>
        <v>26455.75</v>
      </c>
      <c r="AH48">
        <f t="shared" si="28"/>
        <v>47608.25</v>
      </c>
      <c r="AI48" s="1">
        <f t="shared" si="1"/>
        <v>0.55569675423902365</v>
      </c>
      <c r="AK48" s="110">
        <f>'QC Data 2024'!N48</f>
        <v>5</v>
      </c>
      <c r="AL48" s="1" t="e">
        <f t="shared" si="26"/>
        <v>#DIV/0!</v>
      </c>
      <c r="AM48">
        <f t="shared" si="23"/>
        <v>612.51</v>
      </c>
      <c r="AN48" s="134">
        <f t="shared" si="2"/>
        <v>9.2273622603278854E-3</v>
      </c>
      <c r="AO48">
        <v>15</v>
      </c>
      <c r="AP48">
        <f t="shared" si="13"/>
        <v>675</v>
      </c>
      <c r="AZ48" s="72">
        <v>2022</v>
      </c>
      <c r="BA48" s="7" t="s">
        <v>16</v>
      </c>
      <c r="BB48" s="7">
        <v>0</v>
      </c>
      <c r="BC48" s="7">
        <v>0</v>
      </c>
      <c r="BD48" s="7">
        <v>0</v>
      </c>
      <c r="BE48" s="7">
        <f t="shared" si="22"/>
        <v>0</v>
      </c>
      <c r="BF48" s="79">
        <v>4765</v>
      </c>
      <c r="BG48" s="7">
        <f t="shared" si="27"/>
        <v>0</v>
      </c>
      <c r="BH48" s="28">
        <f t="shared" si="19"/>
        <v>54231.5</v>
      </c>
      <c r="BI48" s="29">
        <f t="shared" si="20"/>
        <v>0</v>
      </c>
      <c r="BJ48" s="7">
        <v>2</v>
      </c>
      <c r="BM48" s="7" t="s">
        <v>49</v>
      </c>
      <c r="BN48" s="45">
        <f>BQ40</f>
        <v>0.57692307692307687</v>
      </c>
      <c r="BU48" s="7">
        <v>150</v>
      </c>
      <c r="BV48" t="s">
        <v>169</v>
      </c>
      <c r="BW48" s="7"/>
    </row>
    <row r="49" spans="1:75" x14ac:dyDescent="0.25">
      <c r="A49" s="7">
        <v>2024</v>
      </c>
      <c r="B49" s="13">
        <v>45607</v>
      </c>
      <c r="C49" s="116" t="s">
        <v>18</v>
      </c>
      <c r="D49" s="7">
        <v>46</v>
      </c>
      <c r="F49" s="5"/>
      <c r="G49" s="5"/>
      <c r="H49" s="5"/>
      <c r="I49" s="5"/>
      <c r="J49" s="6">
        <v>1</v>
      </c>
      <c r="L49" s="8">
        <f t="shared" si="24"/>
        <v>1</v>
      </c>
      <c r="M49" s="8">
        <f t="shared" si="17"/>
        <v>0.99624999999999997</v>
      </c>
      <c r="N49" s="9">
        <v>0.73</v>
      </c>
      <c r="O49" s="9">
        <v>0.95</v>
      </c>
      <c r="Q49" s="1"/>
      <c r="R49" s="1"/>
      <c r="S49" s="1"/>
      <c r="T49" s="1"/>
      <c r="U49" s="4"/>
      <c r="AA49" s="2">
        <v>580</v>
      </c>
      <c r="AB49" s="2">
        <v>210.25</v>
      </c>
      <c r="AC49">
        <f t="shared" si="6"/>
        <v>790.25</v>
      </c>
      <c r="AD49" s="1">
        <f t="shared" si="0"/>
        <v>0.26605504587155965</v>
      </c>
      <c r="AF49">
        <f t="shared" ref="AF49:AG56" si="29">AF48+AA63</f>
        <v>66379.75</v>
      </c>
      <c r="AG49">
        <f t="shared" si="29"/>
        <v>26455.75</v>
      </c>
      <c r="AH49">
        <f t="shared" si="28"/>
        <v>48398.5</v>
      </c>
      <c r="AI49" s="1">
        <f t="shared" si="1"/>
        <v>0.54662334576484806</v>
      </c>
      <c r="AK49" s="110">
        <f>'QC Data 2024'!N49</f>
        <v>1</v>
      </c>
      <c r="AL49" s="1" t="e">
        <f t="shared" si="26"/>
        <v>#DIV/0!</v>
      </c>
      <c r="AM49">
        <f t="shared" si="23"/>
        <v>613.51</v>
      </c>
      <c r="AN49" s="134">
        <f t="shared" si="2"/>
        <v>9.2424270956127427E-3</v>
      </c>
      <c r="AO49">
        <v>15</v>
      </c>
      <c r="AP49">
        <f t="shared" si="13"/>
        <v>690</v>
      </c>
      <c r="AZ49" s="72">
        <v>2022</v>
      </c>
      <c r="BA49" s="7" t="s">
        <v>17</v>
      </c>
      <c r="BB49" s="7">
        <v>1</v>
      </c>
      <c r="BC49" s="7">
        <v>0</v>
      </c>
      <c r="BD49" s="7">
        <v>1</v>
      </c>
      <c r="BE49" s="7">
        <f t="shared" si="22"/>
        <v>2</v>
      </c>
      <c r="BF49" s="79">
        <v>4974</v>
      </c>
      <c r="BG49" s="7">
        <f t="shared" si="27"/>
        <v>1</v>
      </c>
      <c r="BH49" s="28">
        <f t="shared" si="19"/>
        <v>54076.5</v>
      </c>
      <c r="BI49" s="29">
        <f t="shared" si="20"/>
        <v>3.6129451825892174</v>
      </c>
      <c r="BJ49" s="7">
        <v>2</v>
      </c>
      <c r="BM49" s="7" t="s">
        <v>106</v>
      </c>
      <c r="BN49" s="45">
        <v>0.02</v>
      </c>
      <c r="BU49" s="7">
        <v>155</v>
      </c>
      <c r="BV49" t="s">
        <v>170</v>
      </c>
      <c r="BW49" s="7"/>
    </row>
    <row r="50" spans="1:75" x14ac:dyDescent="0.25">
      <c r="A50" s="7">
        <v>2024</v>
      </c>
      <c r="B50" s="13">
        <v>45614</v>
      </c>
      <c r="C50" s="116"/>
      <c r="D50" s="7">
        <v>47</v>
      </c>
      <c r="F50" s="5"/>
      <c r="G50" s="5"/>
      <c r="H50" s="5"/>
      <c r="I50" s="5"/>
      <c r="J50" s="6">
        <v>1</v>
      </c>
      <c r="L50" s="8">
        <f t="shared" si="24"/>
        <v>1.01</v>
      </c>
      <c r="M50" s="8">
        <f t="shared" si="17"/>
        <v>1</v>
      </c>
      <c r="N50" s="9">
        <v>0.73</v>
      </c>
      <c r="O50" s="9">
        <v>0.95</v>
      </c>
      <c r="Q50" s="1"/>
      <c r="R50" s="1"/>
      <c r="S50" s="1"/>
      <c r="T50" s="1"/>
      <c r="U50" s="4"/>
      <c r="AA50" s="2">
        <v>553</v>
      </c>
      <c r="AB50" s="2">
        <v>245.5</v>
      </c>
      <c r="AC50">
        <f t="shared" si="6"/>
        <v>798.5</v>
      </c>
      <c r="AD50" s="1">
        <f t="shared" si="0"/>
        <v>0.30745147150907953</v>
      </c>
      <c r="AF50">
        <f t="shared" si="29"/>
        <v>66379.75</v>
      </c>
      <c r="AG50">
        <f t="shared" si="29"/>
        <v>26455.75</v>
      </c>
      <c r="AH50">
        <f t="shared" si="28"/>
        <v>49197</v>
      </c>
      <c r="AI50" s="1">
        <f t="shared" si="1"/>
        <v>0.53775128564749886</v>
      </c>
      <c r="AK50" s="110">
        <f>'QC Data 2024'!N50</f>
        <v>0</v>
      </c>
      <c r="AL50" s="1" t="e">
        <f t="shared" si="26"/>
        <v>#DIV/0!</v>
      </c>
      <c r="AM50">
        <f t="shared" si="23"/>
        <v>613.51</v>
      </c>
      <c r="AN50" s="134">
        <f t="shared" si="2"/>
        <v>9.2424270956127427E-3</v>
      </c>
      <c r="AO50">
        <v>15</v>
      </c>
      <c r="AP50">
        <f t="shared" si="13"/>
        <v>705</v>
      </c>
      <c r="AZ50" s="72">
        <v>2022</v>
      </c>
      <c r="BA50" s="7" t="s">
        <v>18</v>
      </c>
      <c r="BB50" s="7">
        <v>0</v>
      </c>
      <c r="BC50" s="7">
        <v>1</v>
      </c>
      <c r="BD50" s="7">
        <v>0</v>
      </c>
      <c r="BE50" s="7">
        <f t="shared" si="22"/>
        <v>1</v>
      </c>
      <c r="BF50" s="79">
        <v>4607</v>
      </c>
      <c r="BG50" s="7">
        <f t="shared" si="27"/>
        <v>1</v>
      </c>
      <c r="BH50" s="28">
        <f t="shared" si="19"/>
        <v>53581.5</v>
      </c>
      <c r="BI50" s="29">
        <f t="shared" si="20"/>
        <v>3.6455437784238494</v>
      </c>
      <c r="BJ50" s="7">
        <v>2</v>
      </c>
      <c r="BM50" s="7" t="s">
        <v>107</v>
      </c>
      <c r="BN50" s="45">
        <f>2-BN48-BN49</f>
        <v>1.4030769230769231</v>
      </c>
      <c r="BU50" s="7">
        <v>160</v>
      </c>
      <c r="BV50" t="s">
        <v>171</v>
      </c>
      <c r="BW50" s="7"/>
    </row>
    <row r="51" spans="1:75" x14ac:dyDescent="0.25">
      <c r="A51" s="7">
        <v>2024</v>
      </c>
      <c r="B51" s="13">
        <v>45621</v>
      </c>
      <c r="C51" s="117"/>
      <c r="D51" s="7">
        <v>48</v>
      </c>
      <c r="F51" s="5">
        <v>0.56999999999999995</v>
      </c>
      <c r="G51" s="5">
        <v>1.3</v>
      </c>
      <c r="H51" s="5">
        <v>1.1200000000000001</v>
      </c>
      <c r="I51" s="5">
        <v>1</v>
      </c>
      <c r="J51" s="6">
        <v>1.07</v>
      </c>
      <c r="L51" s="8">
        <f t="shared" si="24"/>
        <v>1.02</v>
      </c>
      <c r="M51" s="8">
        <f t="shared" si="17"/>
        <v>1.01</v>
      </c>
      <c r="N51" s="9">
        <v>0.73</v>
      </c>
      <c r="O51" s="9">
        <v>0.95</v>
      </c>
      <c r="Q51" s="1"/>
      <c r="R51" s="1"/>
      <c r="S51" s="1"/>
      <c r="T51" s="1"/>
      <c r="U51" s="4"/>
      <c r="AA51" s="2">
        <v>243.5</v>
      </c>
      <c r="AB51" s="2">
        <v>113.75</v>
      </c>
      <c r="AC51">
        <f t="shared" si="6"/>
        <v>357.25</v>
      </c>
      <c r="AD51" s="1">
        <f t="shared" si="0"/>
        <v>0.31840447865640309</v>
      </c>
      <c r="AF51">
        <f t="shared" si="29"/>
        <v>66379.75</v>
      </c>
      <c r="AG51">
        <f t="shared" si="29"/>
        <v>26455.75</v>
      </c>
      <c r="AH51">
        <f t="shared" si="28"/>
        <v>49554.25</v>
      </c>
      <c r="AI51" s="1">
        <f t="shared" si="1"/>
        <v>0.53387449108804996</v>
      </c>
      <c r="AK51" s="110">
        <f>'QC Data 2024'!N51</f>
        <v>16</v>
      </c>
      <c r="AL51" s="1" t="e">
        <f t="shared" si="26"/>
        <v>#DIV/0!</v>
      </c>
      <c r="AM51">
        <f t="shared" si="23"/>
        <v>629.51</v>
      </c>
      <c r="AN51" s="134">
        <f t="shared" si="2"/>
        <v>9.4834644601704578E-3</v>
      </c>
      <c r="AO51">
        <v>15</v>
      </c>
      <c r="AP51">
        <f t="shared" si="13"/>
        <v>720</v>
      </c>
      <c r="AZ51" s="75">
        <v>2022</v>
      </c>
      <c r="BA51" s="76" t="s">
        <v>19</v>
      </c>
      <c r="BB51" s="76">
        <v>0</v>
      </c>
      <c r="BC51" s="76">
        <v>1</v>
      </c>
      <c r="BD51" s="76">
        <v>0</v>
      </c>
      <c r="BE51" s="76">
        <f t="shared" si="22"/>
        <v>1</v>
      </c>
      <c r="BF51" s="80">
        <v>4314</v>
      </c>
      <c r="BG51" s="7">
        <f t="shared" si="27"/>
        <v>1</v>
      </c>
      <c r="BH51" s="28">
        <f t="shared" si="19"/>
        <v>52876.5</v>
      </c>
      <c r="BI51" s="29">
        <f t="shared" si="20"/>
        <v>3.693000840157691</v>
      </c>
      <c r="BJ51" s="7">
        <v>2</v>
      </c>
      <c r="BU51" s="7">
        <v>165</v>
      </c>
      <c r="BV51" t="s">
        <v>172</v>
      </c>
      <c r="BW51" s="7"/>
    </row>
    <row r="52" spans="1:75" x14ac:dyDescent="0.25">
      <c r="A52" s="7">
        <v>2024</v>
      </c>
      <c r="B52" s="13">
        <v>45628</v>
      </c>
      <c r="C52" s="115"/>
      <c r="D52" s="7">
        <v>49</v>
      </c>
      <c r="F52" s="5">
        <v>0.73</v>
      </c>
      <c r="G52" s="5">
        <v>0.8</v>
      </c>
      <c r="H52" s="5">
        <v>1.03</v>
      </c>
      <c r="I52" s="5">
        <v>1</v>
      </c>
      <c r="J52" s="6">
        <v>0.91</v>
      </c>
      <c r="L52" s="8">
        <f t="shared" si="24"/>
        <v>0.99500000000000011</v>
      </c>
      <c r="M52" s="8">
        <f t="shared" si="17"/>
        <v>1.0037499999999999</v>
      </c>
      <c r="N52" s="9">
        <v>0.73</v>
      </c>
      <c r="O52" s="9">
        <v>0.95</v>
      </c>
      <c r="Q52" s="1"/>
      <c r="R52" s="1"/>
      <c r="S52" s="1"/>
      <c r="T52" s="1"/>
      <c r="U52" s="4"/>
      <c r="AA52" s="2">
        <v>424.5</v>
      </c>
      <c r="AB52" s="2">
        <v>342</v>
      </c>
      <c r="AC52">
        <f t="shared" si="6"/>
        <v>766.5</v>
      </c>
      <c r="AD52" s="1">
        <f t="shared" si="0"/>
        <v>0.44618395303326808</v>
      </c>
      <c r="AF52">
        <f t="shared" si="29"/>
        <v>66379.75</v>
      </c>
      <c r="AG52">
        <f t="shared" si="29"/>
        <v>26455.75</v>
      </c>
      <c r="AH52">
        <f t="shared" si="28"/>
        <v>50320.75</v>
      </c>
      <c r="AI52" s="1">
        <f t="shared" si="1"/>
        <v>0.52574236274300368</v>
      </c>
      <c r="AK52" s="110">
        <f>'QC Data 2024'!N52</f>
        <v>21.5</v>
      </c>
      <c r="AL52" s="1" t="e">
        <f t="shared" si="26"/>
        <v>#DIV/0!</v>
      </c>
      <c r="AM52">
        <f t="shared" si="23"/>
        <v>651.01</v>
      </c>
      <c r="AN52" s="134">
        <f t="shared" si="2"/>
        <v>9.8073584187948881E-3</v>
      </c>
      <c r="AO52">
        <v>15</v>
      </c>
      <c r="AP52">
        <f t="shared" si="13"/>
        <v>735</v>
      </c>
      <c r="AZ52" s="69">
        <v>2023</v>
      </c>
      <c r="BA52" s="70" t="s">
        <v>8</v>
      </c>
      <c r="BB52" s="70">
        <v>0</v>
      </c>
      <c r="BC52" s="70">
        <v>1</v>
      </c>
      <c r="BD52" s="70">
        <v>1</v>
      </c>
      <c r="BE52" s="70">
        <f t="shared" ref="BE52:BE63" si="30">SUM(BB52:BD52)</f>
        <v>2</v>
      </c>
      <c r="BF52" s="78">
        <v>5390</v>
      </c>
      <c r="BG52" s="7">
        <f>SUM(BB41:BB52)</f>
        <v>1</v>
      </c>
      <c r="BH52" s="28">
        <f>SUM(BF41:BF52)</f>
        <v>53583.5</v>
      </c>
      <c r="BI52" s="29">
        <f t="shared" si="20"/>
        <v>3.6454108833741925</v>
      </c>
      <c r="BJ52" s="7">
        <v>1</v>
      </c>
      <c r="BU52" s="7">
        <v>170</v>
      </c>
      <c r="BV52" t="s">
        <v>173</v>
      </c>
      <c r="BW52" s="7"/>
    </row>
    <row r="53" spans="1:75" x14ac:dyDescent="0.25">
      <c r="A53" s="7">
        <v>2024</v>
      </c>
      <c r="B53" s="13">
        <v>45635</v>
      </c>
      <c r="C53" s="116" t="s">
        <v>19</v>
      </c>
      <c r="D53" s="7">
        <v>50</v>
      </c>
      <c r="F53" s="5">
        <v>0.86</v>
      </c>
      <c r="G53" s="5">
        <v>0.55000000000000004</v>
      </c>
      <c r="H53" s="5">
        <v>0.69</v>
      </c>
      <c r="I53" s="5">
        <v>1</v>
      </c>
      <c r="J53" s="6">
        <v>0.65</v>
      </c>
      <c r="L53" s="8">
        <f t="shared" si="24"/>
        <v>0.90750000000000008</v>
      </c>
      <c r="M53" s="8">
        <f t="shared" si="17"/>
        <v>0.9537500000000001</v>
      </c>
      <c r="N53" s="9">
        <v>0.73</v>
      </c>
      <c r="O53" s="9">
        <v>0.95</v>
      </c>
      <c r="Q53" s="1"/>
      <c r="R53" s="1"/>
      <c r="S53" s="1"/>
      <c r="T53" s="1"/>
      <c r="U53" s="4"/>
      <c r="AA53" s="2">
        <v>433.75</v>
      </c>
      <c r="AB53" s="2">
        <v>367</v>
      </c>
      <c r="AC53">
        <f t="shared" si="6"/>
        <v>800.75</v>
      </c>
      <c r="AD53" s="1">
        <f t="shared" si="0"/>
        <v>0.45832032469559786</v>
      </c>
      <c r="AF53">
        <f t="shared" si="29"/>
        <v>66379.75</v>
      </c>
      <c r="AG53">
        <f t="shared" si="29"/>
        <v>26455.75</v>
      </c>
      <c r="AH53">
        <f t="shared" si="28"/>
        <v>51121.5</v>
      </c>
      <c r="AI53" s="1">
        <f t="shared" si="1"/>
        <v>0.51750731101395697</v>
      </c>
      <c r="AK53" s="110">
        <f>'QC Data 2024'!N53</f>
        <v>28.75</v>
      </c>
      <c r="AL53" s="1" t="e">
        <f t="shared" si="26"/>
        <v>#DIV/0!</v>
      </c>
      <c r="AM53">
        <f t="shared" si="23"/>
        <v>679.76</v>
      </c>
      <c r="AN53" s="134">
        <f t="shared" si="2"/>
        <v>1.0240472433234534E-2</v>
      </c>
      <c r="AO53">
        <v>15</v>
      </c>
      <c r="AP53">
        <f t="shared" si="13"/>
        <v>750</v>
      </c>
      <c r="AZ53" s="72">
        <v>2023</v>
      </c>
      <c r="BA53" s="7" t="s">
        <v>9</v>
      </c>
      <c r="BB53" s="7">
        <v>1</v>
      </c>
      <c r="BC53" s="7">
        <v>3</v>
      </c>
      <c r="BD53" s="7">
        <v>0</v>
      </c>
      <c r="BE53" s="7">
        <f t="shared" si="30"/>
        <v>4</v>
      </c>
      <c r="BF53" s="79">
        <v>5469.25</v>
      </c>
      <c r="BG53" s="7">
        <f>SUM(BB42:BB53)</f>
        <v>2</v>
      </c>
      <c r="BH53" s="28">
        <f>SUM(BF42:BF53)</f>
        <v>54019.75</v>
      </c>
      <c r="BI53" s="29">
        <f t="shared" si="20"/>
        <v>7.2333057563551373</v>
      </c>
      <c r="BJ53" s="7">
        <v>1</v>
      </c>
      <c r="BU53" s="7">
        <v>175</v>
      </c>
      <c r="BV53" t="s">
        <v>174</v>
      </c>
      <c r="BW53" s="7"/>
    </row>
    <row r="54" spans="1:75" x14ac:dyDescent="0.25">
      <c r="A54" s="7">
        <v>2024</v>
      </c>
      <c r="B54" s="13">
        <v>45642</v>
      </c>
      <c r="C54" s="118"/>
      <c r="D54" s="7">
        <v>51</v>
      </c>
      <c r="F54" s="5">
        <v>0.84</v>
      </c>
      <c r="G54" s="5">
        <v>0.8</v>
      </c>
      <c r="H54" s="5">
        <v>0.8</v>
      </c>
      <c r="I54" s="5">
        <v>1</v>
      </c>
      <c r="J54" s="6">
        <v>0.81</v>
      </c>
      <c r="L54" s="8">
        <f t="shared" si="24"/>
        <v>0.86</v>
      </c>
      <c r="M54" s="8">
        <f t="shared" si="17"/>
        <v>0.93500000000000005</v>
      </c>
      <c r="N54" s="9">
        <v>0.73</v>
      </c>
      <c r="O54" s="9">
        <v>0.95</v>
      </c>
      <c r="Q54" s="1"/>
      <c r="R54" s="1"/>
      <c r="S54" s="1"/>
      <c r="T54" s="1"/>
      <c r="U54" s="4"/>
      <c r="AA54" s="2">
        <v>431.25</v>
      </c>
      <c r="AB54" s="2">
        <v>288</v>
      </c>
      <c r="AC54">
        <f t="shared" si="6"/>
        <v>719.25</v>
      </c>
      <c r="AD54" s="1">
        <f t="shared" si="0"/>
        <v>0.40041710114702816</v>
      </c>
      <c r="AF54">
        <f t="shared" si="29"/>
        <v>66379.75</v>
      </c>
      <c r="AG54">
        <f t="shared" si="29"/>
        <v>26455.75</v>
      </c>
      <c r="AH54">
        <f t="shared" si="28"/>
        <v>51840.75</v>
      </c>
      <c r="AI54" s="1">
        <f t="shared" si="1"/>
        <v>0.51032730043450369</v>
      </c>
      <c r="AK54" s="110">
        <f>'QC Data 2024'!N54</f>
        <v>14.5</v>
      </c>
      <c r="AL54" s="1" t="e">
        <f t="shared" si="26"/>
        <v>#DIV/0!</v>
      </c>
      <c r="AM54">
        <f t="shared" si="23"/>
        <v>694.26</v>
      </c>
      <c r="AN54" s="134">
        <f t="shared" si="2"/>
        <v>1.0458912544864963E-2</v>
      </c>
      <c r="AO54">
        <v>15</v>
      </c>
      <c r="AP54">
        <f t="shared" si="13"/>
        <v>765</v>
      </c>
      <c r="AZ54" s="72">
        <v>2023</v>
      </c>
      <c r="BA54" s="7" t="s">
        <v>10</v>
      </c>
      <c r="BB54" s="7">
        <v>0</v>
      </c>
      <c r="BC54" s="7">
        <v>0</v>
      </c>
      <c r="BD54" s="7">
        <v>1</v>
      </c>
      <c r="BE54" s="7">
        <f t="shared" si="30"/>
        <v>1</v>
      </c>
      <c r="BF54" s="79">
        <v>6230.75</v>
      </c>
      <c r="BG54" s="7">
        <f t="shared" ref="BG54:BG63" si="31">SUM(BB43:BB54)</f>
        <v>2</v>
      </c>
      <c r="BH54" s="28">
        <f t="shared" ref="BH54:BH63" si="32">SUM(BF43:BF54)</f>
        <v>55604.5</v>
      </c>
      <c r="BI54" s="29">
        <f t="shared" si="20"/>
        <v>7.031792491803567</v>
      </c>
      <c r="BJ54" s="7">
        <v>1</v>
      </c>
      <c r="BU54" s="7">
        <v>180</v>
      </c>
      <c r="BV54" t="s">
        <v>175</v>
      </c>
      <c r="BW54" s="7"/>
    </row>
    <row r="55" spans="1:75" x14ac:dyDescent="0.25">
      <c r="A55" s="7">
        <v>2024</v>
      </c>
      <c r="B55" s="13">
        <v>45649</v>
      </c>
      <c r="C55" s="117"/>
      <c r="D55" s="7">
        <v>52</v>
      </c>
      <c r="F55" s="5">
        <v>1</v>
      </c>
      <c r="G55" s="5">
        <v>0.83</v>
      </c>
      <c r="H55" s="5">
        <v>1.01</v>
      </c>
      <c r="I55" s="5">
        <v>1</v>
      </c>
      <c r="J55" s="6">
        <v>0.93</v>
      </c>
      <c r="L55" s="8">
        <f t="shared" si="24"/>
        <v>0.82500000000000007</v>
      </c>
      <c r="M55" s="8">
        <f t="shared" si="17"/>
        <v>0.9225000000000001</v>
      </c>
      <c r="N55" s="9">
        <v>0.73</v>
      </c>
      <c r="O55" s="9">
        <v>0.95</v>
      </c>
      <c r="Q55" s="1"/>
      <c r="R55" s="1"/>
      <c r="S55" s="1"/>
      <c r="T55" s="1"/>
      <c r="U55" s="4"/>
      <c r="AA55" s="2">
        <v>172</v>
      </c>
      <c r="AB55" s="2">
        <v>99</v>
      </c>
      <c r="AC55">
        <f t="shared" si="6"/>
        <v>271</v>
      </c>
      <c r="AD55" s="1">
        <f t="shared" si="0"/>
        <v>0.36531365313653136</v>
      </c>
      <c r="AF55">
        <f t="shared" si="29"/>
        <v>66379.75</v>
      </c>
      <c r="AG55">
        <f t="shared" si="29"/>
        <v>26455.75</v>
      </c>
      <c r="AH55">
        <f t="shared" si="28"/>
        <v>52111.75</v>
      </c>
      <c r="AI55" s="1">
        <f t="shared" si="1"/>
        <v>0.50767341338565675</v>
      </c>
      <c r="AK55" s="110">
        <f>'QC Data 2024'!N55</f>
        <v>0</v>
      </c>
      <c r="AL55" s="1" t="e">
        <f t="shared" si="26"/>
        <v>#DIV/0!</v>
      </c>
      <c r="AM55">
        <f t="shared" si="23"/>
        <v>694.26</v>
      </c>
      <c r="AN55" s="134">
        <f t="shared" si="2"/>
        <v>1.0458912544864963E-2</v>
      </c>
      <c r="AO55">
        <v>15</v>
      </c>
      <c r="AP55">
        <f t="shared" si="13"/>
        <v>780</v>
      </c>
      <c r="AZ55" s="72">
        <v>2023</v>
      </c>
      <c r="BA55" s="7" t="s">
        <v>11</v>
      </c>
      <c r="BB55" s="7">
        <v>0</v>
      </c>
      <c r="BC55" s="7">
        <v>0</v>
      </c>
      <c r="BD55" s="7">
        <v>1</v>
      </c>
      <c r="BE55" s="7">
        <f t="shared" si="30"/>
        <v>1</v>
      </c>
      <c r="BF55" s="79">
        <v>4990.75</v>
      </c>
      <c r="BG55" s="7">
        <f t="shared" si="31"/>
        <v>2</v>
      </c>
      <c r="BH55" s="28">
        <f t="shared" si="32"/>
        <v>57233.25</v>
      </c>
      <c r="BI55" s="29">
        <f t="shared" si="20"/>
        <v>6.8360584995706102</v>
      </c>
      <c r="BJ55" s="7">
        <v>1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E56" t="s">
        <v>335</v>
      </c>
      <c r="F56" s="5"/>
      <c r="G56" s="5"/>
      <c r="H56" s="5"/>
      <c r="I56" s="5"/>
      <c r="J56" s="6"/>
      <c r="L56" s="8">
        <f t="shared" si="24"/>
        <v>0.79666666666666675</v>
      </c>
      <c r="M56" s="8">
        <f t="shared" si="17"/>
        <v>0.91000000000000014</v>
      </c>
      <c r="N56" s="9">
        <v>0.73</v>
      </c>
      <c r="O56" s="8">
        <v>0.95</v>
      </c>
      <c r="Q56" s="1"/>
      <c r="R56" s="1"/>
      <c r="S56" s="1"/>
      <c r="T56" s="1"/>
      <c r="U56" s="4"/>
      <c r="AA56" s="2"/>
      <c r="AB56" s="2"/>
      <c r="AC56">
        <f t="shared" si="6"/>
        <v>0</v>
      </c>
      <c r="AD56" s="1" t="e">
        <f t="shared" si="0"/>
        <v>#DIV/0!</v>
      </c>
      <c r="AF56">
        <f t="shared" si="29"/>
        <v>66379.75</v>
      </c>
      <c r="AG56">
        <f t="shared" si="29"/>
        <v>26455.75</v>
      </c>
      <c r="AH56">
        <f t="shared" si="28"/>
        <v>52111.75</v>
      </c>
      <c r="AI56" s="1">
        <f t="shared" si="1"/>
        <v>0.50767341338565675</v>
      </c>
      <c r="AK56" s="110">
        <f>SUM(AK4:AK55)</f>
        <v>694.26</v>
      </c>
      <c r="AL56" s="1" t="e">
        <f t="shared" si="26"/>
        <v>#DIV/0!</v>
      </c>
      <c r="AM56" s="110">
        <f>AM55+AK56</f>
        <v>1388.52</v>
      </c>
      <c r="AN56" s="134">
        <f t="shared" si="2"/>
        <v>2.0917825089729926E-2</v>
      </c>
      <c r="AO56">
        <v>15</v>
      </c>
      <c r="AP56">
        <f t="shared" si="13"/>
        <v>795</v>
      </c>
      <c r="AZ56" s="72">
        <v>2023</v>
      </c>
      <c r="BA56" s="7" t="s">
        <v>12</v>
      </c>
      <c r="BB56" s="7">
        <v>0</v>
      </c>
      <c r="BC56" s="7">
        <v>0</v>
      </c>
      <c r="BD56" s="7">
        <v>0</v>
      </c>
      <c r="BE56" s="7">
        <f t="shared" si="30"/>
        <v>0</v>
      </c>
      <c r="BF56" s="79">
        <v>5013.25</v>
      </c>
      <c r="BG56" s="7">
        <f t="shared" si="31"/>
        <v>2</v>
      </c>
      <c r="BH56" s="28">
        <f t="shared" si="32"/>
        <v>58721.5</v>
      </c>
      <c r="BI56" s="29">
        <f t="shared" si="20"/>
        <v>6.6665000041665623</v>
      </c>
      <c r="BJ56" s="7">
        <v>1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AA57" s="2">
        <f>SUM(AA4:AA56)</f>
        <v>36943.75</v>
      </c>
      <c r="AB57" s="2">
        <f>SUM(AB4:AB56)</f>
        <v>15168</v>
      </c>
      <c r="AC57">
        <f t="shared" si="6"/>
        <v>52111.75</v>
      </c>
      <c r="AD57" s="1">
        <f t="shared" ref="AD57" si="33">AB57/AC57</f>
        <v>0.29106679395721696</v>
      </c>
      <c r="AZ57" s="72">
        <v>2023</v>
      </c>
      <c r="BA57" s="7" t="s">
        <v>13</v>
      </c>
      <c r="BB57" s="7">
        <v>0</v>
      </c>
      <c r="BC57" s="7">
        <v>1</v>
      </c>
      <c r="BD57" s="7">
        <v>0</v>
      </c>
      <c r="BE57" s="7">
        <f t="shared" si="30"/>
        <v>1</v>
      </c>
      <c r="BF57" s="79">
        <v>4337.75</v>
      </c>
      <c r="BG57" s="7">
        <f t="shared" si="31"/>
        <v>2</v>
      </c>
      <c r="BH57" s="28">
        <f t="shared" si="32"/>
        <v>59161.25</v>
      </c>
      <c r="BI57" s="29">
        <f t="shared" si="20"/>
        <v>6.6179968150890325</v>
      </c>
      <c r="BJ57" s="7">
        <v>1</v>
      </c>
      <c r="BU57" s="7">
        <v>205</v>
      </c>
      <c r="BV57" t="s">
        <v>178</v>
      </c>
      <c r="BW57" s="7"/>
    </row>
    <row r="58" spans="1:75" x14ac:dyDescent="0.25">
      <c r="F58" s="91">
        <v>4032</v>
      </c>
      <c r="G58" s="91">
        <v>19262</v>
      </c>
      <c r="H58" s="91">
        <v>16570</v>
      </c>
      <c r="I58" s="91">
        <v>565</v>
      </c>
      <c r="J58" s="91">
        <f>SUM(F58:I58)</f>
        <v>40429</v>
      </c>
      <c r="Q58" s="1"/>
      <c r="R58" s="1"/>
      <c r="S58" s="1"/>
      <c r="T58" s="1"/>
      <c r="U58" s="4"/>
      <c r="AA58" s="2"/>
      <c r="AB58" s="2"/>
      <c r="AK58" s="134">
        <f>AK56/AA57</f>
        <v>1.8792353239722552E-2</v>
      </c>
      <c r="AZ58" s="72">
        <v>2023</v>
      </c>
      <c r="BA58" s="7" t="s">
        <v>14</v>
      </c>
      <c r="BB58" s="7">
        <v>1</v>
      </c>
      <c r="BC58" s="7">
        <v>0</v>
      </c>
      <c r="BD58" s="7">
        <v>0</v>
      </c>
      <c r="BE58" s="7">
        <f t="shared" si="30"/>
        <v>1</v>
      </c>
      <c r="BF58" s="79">
        <v>3849.75</v>
      </c>
      <c r="BG58" s="7">
        <f t="shared" si="31"/>
        <v>3</v>
      </c>
      <c r="BH58" s="28">
        <f t="shared" si="32"/>
        <v>58981</v>
      </c>
      <c r="BI58" s="29">
        <f t="shared" si="20"/>
        <v>9.9566884054363527</v>
      </c>
      <c r="BJ58" s="7">
        <v>1</v>
      </c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AZ59" s="72">
        <v>2023</v>
      </c>
      <c r="BA59" s="7" t="s">
        <v>15</v>
      </c>
      <c r="BB59" s="7">
        <v>1</v>
      </c>
      <c r="BC59" s="7">
        <v>1</v>
      </c>
      <c r="BD59" s="7">
        <v>0</v>
      </c>
      <c r="BE59" s="7">
        <f t="shared" si="30"/>
        <v>2</v>
      </c>
      <c r="BF59" s="79">
        <v>5185.5</v>
      </c>
      <c r="BG59" s="7">
        <f t="shared" si="31"/>
        <v>4</v>
      </c>
      <c r="BH59" s="28">
        <f t="shared" si="32"/>
        <v>59127</v>
      </c>
      <c r="BI59" s="29">
        <f t="shared" si="20"/>
        <v>13.243498270068038</v>
      </c>
      <c r="BJ59" s="7">
        <v>1</v>
      </c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AZ60" s="72">
        <v>2023</v>
      </c>
      <c r="BA60" s="7" t="s">
        <v>16</v>
      </c>
      <c r="BB60" s="7">
        <v>0</v>
      </c>
      <c r="BC60" s="7">
        <v>0</v>
      </c>
      <c r="BD60" s="7">
        <v>0</v>
      </c>
      <c r="BE60" s="7">
        <f t="shared" si="30"/>
        <v>0</v>
      </c>
      <c r="BF60" s="79">
        <v>4122.75</v>
      </c>
      <c r="BG60" s="7">
        <f t="shared" si="31"/>
        <v>4</v>
      </c>
      <c r="BH60" s="28">
        <f t="shared" si="32"/>
        <v>58484.75</v>
      </c>
      <c r="BI60" s="29">
        <f t="shared" si="20"/>
        <v>13.385816890391075</v>
      </c>
      <c r="BJ60" s="7">
        <v>1</v>
      </c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AZ61" s="72">
        <v>2023</v>
      </c>
      <c r="BA61" s="7" t="s">
        <v>17</v>
      </c>
      <c r="BB61" s="7">
        <v>0</v>
      </c>
      <c r="BC61" s="7">
        <v>0</v>
      </c>
      <c r="BD61" s="7">
        <v>0</v>
      </c>
      <c r="BE61" s="7">
        <f t="shared" si="30"/>
        <v>0</v>
      </c>
      <c r="BF61" s="79">
        <v>5403.75</v>
      </c>
      <c r="BG61" s="7">
        <f t="shared" si="31"/>
        <v>3</v>
      </c>
      <c r="BH61" s="28">
        <f t="shared" si="32"/>
        <v>58914.5</v>
      </c>
      <c r="BI61" s="29">
        <f t="shared" si="20"/>
        <v>9.9676880778144188</v>
      </c>
      <c r="BJ61" s="7">
        <v>1</v>
      </c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AZ62" s="72">
        <v>2023</v>
      </c>
      <c r="BA62" s="7" t="s">
        <v>18</v>
      </c>
      <c r="BB62" s="7">
        <v>0</v>
      </c>
      <c r="BC62" s="7">
        <v>0</v>
      </c>
      <c r="BD62" s="7">
        <v>1</v>
      </c>
      <c r="BE62" s="7">
        <f t="shared" si="30"/>
        <v>1</v>
      </c>
      <c r="BF62" s="79">
        <v>5218.25</v>
      </c>
      <c r="BG62" s="7">
        <f t="shared" si="31"/>
        <v>3</v>
      </c>
      <c r="BH62" s="28">
        <f t="shared" si="32"/>
        <v>59525.75</v>
      </c>
      <c r="BI62" s="29">
        <f t="shared" si="20"/>
        <v>9.8674878609342045</v>
      </c>
      <c r="BJ62" s="7">
        <v>1</v>
      </c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AZ63" s="75">
        <v>2023</v>
      </c>
      <c r="BA63" s="76" t="s">
        <v>19</v>
      </c>
      <c r="BB63" s="76">
        <v>0</v>
      </c>
      <c r="BC63" s="76">
        <v>0</v>
      </c>
      <c r="BD63" s="76">
        <v>0</v>
      </c>
      <c r="BE63" s="76">
        <f t="shared" si="30"/>
        <v>0</v>
      </c>
      <c r="BF63" s="80">
        <v>4308.25</v>
      </c>
      <c r="BG63" s="7">
        <f t="shared" si="31"/>
        <v>3</v>
      </c>
      <c r="BH63" s="28">
        <f t="shared" si="32"/>
        <v>59520</v>
      </c>
      <c r="BI63" s="29">
        <f t="shared" si="20"/>
        <v>9.8684210526315788</v>
      </c>
      <c r="BJ63" s="7">
        <v>1</v>
      </c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AZ64" s="69">
        <v>2024</v>
      </c>
      <c r="BA64" s="70" t="s">
        <v>8</v>
      </c>
      <c r="BB64" s="70">
        <v>0</v>
      </c>
      <c r="BC64" s="70">
        <v>0</v>
      </c>
      <c r="BD64" s="70">
        <v>0</v>
      </c>
      <c r="BE64" s="70">
        <f t="shared" ref="BE64:BE75" si="34">SUM(BB64:BD64)</f>
        <v>0</v>
      </c>
      <c r="BF64" s="78">
        <f>3663.5+1909.25</f>
        <v>5572.75</v>
      </c>
      <c r="BG64" s="7">
        <f t="shared" ref="BG64:BG65" si="35">SUM(BB53:BB64)</f>
        <v>3</v>
      </c>
      <c r="BH64" s="28">
        <f t="shared" ref="BH64:BH69" si="36">SUM(BF53:BF64)</f>
        <v>59702.75</v>
      </c>
      <c r="BI64" s="29">
        <f t="shared" si="20"/>
        <v>9.8388478709143161</v>
      </c>
      <c r="BJ64" s="7">
        <v>1</v>
      </c>
      <c r="BU64" s="7">
        <v>240</v>
      </c>
      <c r="BV64" t="s">
        <v>185</v>
      </c>
      <c r="BW64" s="7"/>
    </row>
    <row r="65" spans="5:75" x14ac:dyDescent="0.25">
      <c r="Q65" s="1"/>
      <c r="R65" s="1"/>
      <c r="S65" s="1"/>
      <c r="T65" s="1"/>
      <c r="U65" s="4"/>
      <c r="AA65" s="2"/>
      <c r="AB65" s="2"/>
      <c r="AZ65" s="72">
        <v>2024</v>
      </c>
      <c r="BA65" s="7" t="s">
        <v>9</v>
      </c>
      <c r="BB65" s="7">
        <v>0</v>
      </c>
      <c r="BC65" s="7">
        <v>0</v>
      </c>
      <c r="BD65" s="7">
        <v>1</v>
      </c>
      <c r="BE65" s="7">
        <f t="shared" si="34"/>
        <v>1</v>
      </c>
      <c r="BF65" s="79">
        <f>3704.75+1733.75</f>
        <v>5438.5</v>
      </c>
      <c r="BG65" s="7">
        <f t="shared" si="35"/>
        <v>2</v>
      </c>
      <c r="BH65" s="28">
        <f t="shared" si="36"/>
        <v>59672</v>
      </c>
      <c r="BI65" s="29">
        <f t="shared" si="20"/>
        <v>6.5625410158813491</v>
      </c>
      <c r="BJ65" s="7">
        <v>1</v>
      </c>
      <c r="BU65" s="7">
        <v>245</v>
      </c>
      <c r="BV65" t="s">
        <v>186</v>
      </c>
      <c r="BW65" s="7"/>
    </row>
    <row r="66" spans="5:75" x14ac:dyDescent="0.25">
      <c r="Q66" s="1"/>
      <c r="R66" s="1"/>
      <c r="S66" s="1"/>
      <c r="T66" s="1"/>
      <c r="U66" s="4"/>
      <c r="AA66" s="2"/>
      <c r="AB66" s="2"/>
      <c r="AZ66" s="72">
        <v>2024</v>
      </c>
      <c r="BA66" s="7" t="s">
        <v>10</v>
      </c>
      <c r="BB66" s="7">
        <v>0</v>
      </c>
      <c r="BC66" s="7">
        <v>0</v>
      </c>
      <c r="BD66" s="7">
        <v>0</v>
      </c>
      <c r="BE66" s="7">
        <f t="shared" si="34"/>
        <v>0</v>
      </c>
      <c r="BF66" s="79">
        <f>4107+1452.5</f>
        <v>5559.5</v>
      </c>
      <c r="BG66" s="7">
        <f>SUM(BB55:BB66)</f>
        <v>2</v>
      </c>
      <c r="BH66" s="28">
        <f t="shared" si="36"/>
        <v>59000.75</v>
      </c>
      <c r="BI66" s="29">
        <f t="shared" si="20"/>
        <v>6.6356175064178862</v>
      </c>
      <c r="BJ66" s="7">
        <v>1</v>
      </c>
      <c r="BM66" s="46" t="s">
        <v>108</v>
      </c>
      <c r="BU66" s="7">
        <v>250</v>
      </c>
      <c r="BV66" t="s">
        <v>187</v>
      </c>
      <c r="BW66" s="7"/>
    </row>
    <row r="67" spans="5:75" x14ac:dyDescent="0.25">
      <c r="Q67" s="1"/>
      <c r="R67" s="1"/>
      <c r="S67" s="1"/>
      <c r="T67" s="1"/>
      <c r="U67" s="4"/>
      <c r="AA67" s="2"/>
      <c r="AB67" s="2"/>
      <c r="AZ67" s="72">
        <v>2024</v>
      </c>
      <c r="BA67" s="7" t="s">
        <v>11</v>
      </c>
      <c r="BB67" s="7">
        <v>0</v>
      </c>
      <c r="BC67" s="7">
        <v>0</v>
      </c>
      <c r="BD67" s="7">
        <v>1</v>
      </c>
      <c r="BE67" s="7">
        <f t="shared" si="34"/>
        <v>1</v>
      </c>
      <c r="BF67" s="79">
        <f>4273.25+1237.75</f>
        <v>5511</v>
      </c>
      <c r="BG67" s="7">
        <f>SUM(BB56:BB67)</f>
        <v>2</v>
      </c>
      <c r="BH67" s="28">
        <f t="shared" si="36"/>
        <v>59521</v>
      </c>
      <c r="BI67" s="29">
        <f>BG67*200000/(BH67+1280)</f>
        <v>6.5788391638295423</v>
      </c>
      <c r="BJ67" s="7">
        <v>1</v>
      </c>
      <c r="BU67" s="7">
        <v>252</v>
      </c>
      <c r="BV67" t="s">
        <v>188</v>
      </c>
      <c r="BW67" s="7"/>
    </row>
    <row r="68" spans="5:75" x14ac:dyDescent="0.25">
      <c r="AA68" s="2"/>
      <c r="AB68" s="2"/>
      <c r="AZ68" s="72">
        <v>2024</v>
      </c>
      <c r="BA68" s="7" t="s">
        <v>12</v>
      </c>
      <c r="BB68" s="7">
        <v>0</v>
      </c>
      <c r="BC68" s="7">
        <v>0</v>
      </c>
      <c r="BD68" s="7">
        <v>1</v>
      </c>
      <c r="BE68" s="7">
        <f t="shared" si="34"/>
        <v>1</v>
      </c>
      <c r="BF68" s="79">
        <f>3747+993</f>
        <v>4740</v>
      </c>
      <c r="BG68" s="7">
        <f>SUM(BB57:BB68)</f>
        <v>2</v>
      </c>
      <c r="BH68" s="28">
        <f t="shared" si="36"/>
        <v>59247.75</v>
      </c>
      <c r="BI68" s="29">
        <f>BG68*200000/(BH68+1280)</f>
        <v>6.6085390585310044</v>
      </c>
      <c r="BJ68" s="7">
        <v>1</v>
      </c>
      <c r="BM68" s="47" t="s">
        <v>4</v>
      </c>
      <c r="BN68" s="47" t="s">
        <v>100</v>
      </c>
      <c r="BO68" s="105" t="s">
        <v>101</v>
      </c>
      <c r="BP68" s="47" t="s">
        <v>109</v>
      </c>
      <c r="BU68" s="7">
        <v>255</v>
      </c>
      <c r="BV68" t="s">
        <v>189</v>
      </c>
      <c r="BW68" s="7"/>
    </row>
    <row r="69" spans="5:75" x14ac:dyDescent="0.25">
      <c r="AA69" s="2"/>
      <c r="AB69" s="2"/>
      <c r="AZ69" s="72">
        <v>2024</v>
      </c>
      <c r="BA69" s="7" t="s">
        <v>13</v>
      </c>
      <c r="BB69" s="7">
        <v>0</v>
      </c>
      <c r="BC69" s="7">
        <v>0</v>
      </c>
      <c r="BD69" s="7">
        <v>0</v>
      </c>
      <c r="BE69" s="7">
        <f t="shared" si="34"/>
        <v>0</v>
      </c>
      <c r="BF69" s="79">
        <f>3713.25+1098</f>
        <v>4811.25</v>
      </c>
      <c r="BG69" s="7">
        <f>SUM(BB58:BB69)</f>
        <v>2</v>
      </c>
      <c r="BH69" s="28">
        <f t="shared" si="36"/>
        <v>59721.25</v>
      </c>
      <c r="BI69" s="29">
        <f>BG69*200000/(BH69+1280)</f>
        <v>6.5572426794532896</v>
      </c>
      <c r="BJ69" s="7">
        <v>1</v>
      </c>
      <c r="BM69" s="47">
        <f>BP40</f>
        <v>26</v>
      </c>
      <c r="BN69" s="47">
        <f>BN40</f>
        <v>15</v>
      </c>
      <c r="BO69" s="105">
        <f>BO40</f>
        <v>11</v>
      </c>
      <c r="BP69" s="48">
        <f>BQ40</f>
        <v>0.57692307692307687</v>
      </c>
      <c r="BU69" s="7">
        <v>257</v>
      </c>
      <c r="BV69" t="s">
        <v>190</v>
      </c>
      <c r="BW69" s="7"/>
    </row>
    <row r="70" spans="5:75" x14ac:dyDescent="0.25">
      <c r="AA70" s="2"/>
      <c r="AB70" s="2"/>
      <c r="AZ70" s="72">
        <v>2024</v>
      </c>
      <c r="BA70" s="7" t="s">
        <v>14</v>
      </c>
      <c r="BB70" s="7">
        <v>0</v>
      </c>
      <c r="BC70" s="7">
        <v>0</v>
      </c>
      <c r="BD70" s="7">
        <v>1</v>
      </c>
      <c r="BE70" s="7">
        <f t="shared" si="34"/>
        <v>1</v>
      </c>
      <c r="BF70" s="79">
        <f>3319.75+1250.75</f>
        <v>4570.5</v>
      </c>
      <c r="BG70" s="7">
        <f t="shared" ref="BG70" si="37">SUM(BB59:BB70)</f>
        <v>1</v>
      </c>
      <c r="BH70" s="28">
        <f t="shared" ref="BH70:BH71" si="38">SUM(BF59:BF70)</f>
        <v>60442</v>
      </c>
      <c r="BI70" s="29">
        <f t="shared" ref="BI70:BI71" si="39">BG70*200000/(BH70+1280)</f>
        <v>3.2403356987783933</v>
      </c>
      <c r="BJ70" s="7">
        <v>1</v>
      </c>
      <c r="BU70" s="7">
        <v>260</v>
      </c>
      <c r="BV70" t="s">
        <v>191</v>
      </c>
      <c r="BW70" s="7"/>
    </row>
    <row r="71" spans="5:75" x14ac:dyDescent="0.25">
      <c r="AZ71" s="72">
        <v>2024</v>
      </c>
      <c r="BA71" s="7" t="s">
        <v>15</v>
      </c>
      <c r="BB71" s="7">
        <v>0</v>
      </c>
      <c r="BC71" s="7">
        <v>0</v>
      </c>
      <c r="BD71" s="7">
        <v>0</v>
      </c>
      <c r="BE71" s="7">
        <f t="shared" si="34"/>
        <v>0</v>
      </c>
      <c r="BF71" s="79">
        <f>2316.75+1070.5</f>
        <v>3387.25</v>
      </c>
      <c r="BG71" s="7">
        <f>SUM(BB60:BB71)+0.005</f>
        <v>5.0000000000000001E-3</v>
      </c>
      <c r="BH71" s="28">
        <f t="shared" si="38"/>
        <v>58643.75</v>
      </c>
      <c r="BI71" s="29">
        <f t="shared" si="39"/>
        <v>1.6687874173428732E-2</v>
      </c>
      <c r="BJ71" s="7">
        <v>1</v>
      </c>
      <c r="BU71" s="7">
        <v>261</v>
      </c>
      <c r="BV71" t="s">
        <v>192</v>
      </c>
      <c r="BW71" s="7"/>
    </row>
    <row r="72" spans="5:75" x14ac:dyDescent="0.25">
      <c r="AZ72" s="72">
        <v>2024</v>
      </c>
      <c r="BA72" s="7" t="s">
        <v>16</v>
      </c>
      <c r="BB72" s="7">
        <v>0</v>
      </c>
      <c r="BC72" s="7">
        <v>1</v>
      </c>
      <c r="BD72" s="7">
        <v>0</v>
      </c>
      <c r="BE72" s="7">
        <f t="shared" si="34"/>
        <v>1</v>
      </c>
      <c r="BF72" s="79">
        <f>1908.75+1084.5</f>
        <v>2993.25</v>
      </c>
      <c r="BG72" s="7">
        <f>SUM(BB61:BB72)+0.005</f>
        <v>5.0000000000000001E-3</v>
      </c>
      <c r="BH72" s="28">
        <f t="shared" ref="BH72" si="40">SUM(BF61:BF72)</f>
        <v>57514.25</v>
      </c>
      <c r="BI72" s="29">
        <f t="shared" ref="BI72" si="41">BG72*200000/(BH72+1280)</f>
        <v>1.7008465963933548E-2</v>
      </c>
      <c r="BJ72" s="7">
        <v>1</v>
      </c>
      <c r="BU72" s="7">
        <v>262</v>
      </c>
      <c r="BV72" t="s">
        <v>193</v>
      </c>
      <c r="BW72" s="7"/>
    </row>
    <row r="73" spans="5:75" x14ac:dyDescent="0.25">
      <c r="AZ73" s="72">
        <v>2024</v>
      </c>
      <c r="BA73" s="7" t="s">
        <v>17</v>
      </c>
      <c r="BB73" s="7">
        <v>0</v>
      </c>
      <c r="BC73" s="7">
        <v>1</v>
      </c>
      <c r="BD73" s="7">
        <v>0</v>
      </c>
      <c r="BE73" s="7">
        <f t="shared" si="34"/>
        <v>1</v>
      </c>
      <c r="BF73" s="79">
        <f>2727.75+1453.75</f>
        <v>4181.5</v>
      </c>
      <c r="BG73" s="7">
        <f t="shared" ref="BG73:BG75" si="42">SUM(BB62:BB73)+0.005</f>
        <v>5.0000000000000001E-3</v>
      </c>
      <c r="BH73" s="28">
        <f t="shared" ref="BH73" si="43">SUM(BF62:BF73)</f>
        <v>56292</v>
      </c>
      <c r="BI73" s="29">
        <f t="shared" ref="BI73" si="44">BG73*200000/(BH73+1280)</f>
        <v>1.7369554644618913E-2</v>
      </c>
      <c r="BJ73" s="7">
        <v>1</v>
      </c>
      <c r="BU73" s="7">
        <v>265</v>
      </c>
      <c r="BV73" t="s">
        <v>194</v>
      </c>
      <c r="BW73" s="7"/>
    </row>
    <row r="74" spans="5:75" x14ac:dyDescent="0.25">
      <c r="AZ74" s="72">
        <v>2024</v>
      </c>
      <c r="BA74" s="7" t="s">
        <v>18</v>
      </c>
      <c r="BB74" s="7">
        <v>0</v>
      </c>
      <c r="BC74" s="7">
        <v>0</v>
      </c>
      <c r="BD74" s="7">
        <v>1</v>
      </c>
      <c r="BE74" s="7">
        <f t="shared" si="34"/>
        <v>1</v>
      </c>
      <c r="BF74" s="79">
        <f>2000+845.75</f>
        <v>2845.75</v>
      </c>
      <c r="BG74" s="7">
        <f t="shared" si="42"/>
        <v>5.0000000000000001E-3</v>
      </c>
      <c r="BH74" s="28">
        <f t="shared" ref="BH74:BH75" si="45">SUM(BF63:BF74)</f>
        <v>53919.5</v>
      </c>
      <c r="BI74" s="29">
        <f t="shared" ref="BI74:BI75" si="46">BG74*200000/(BH74+1280)</f>
        <v>1.8116106124149677E-2</v>
      </c>
      <c r="BJ74" s="7">
        <v>1</v>
      </c>
      <c r="BU74" s="7">
        <v>270</v>
      </c>
      <c r="BV74" t="s">
        <v>195</v>
      </c>
      <c r="BW74" s="7"/>
    </row>
    <row r="75" spans="5:75" x14ac:dyDescent="0.25">
      <c r="AZ75" s="75">
        <v>2024</v>
      </c>
      <c r="BA75" s="76" t="s">
        <v>19</v>
      </c>
      <c r="BB75" s="76">
        <v>0</v>
      </c>
      <c r="BC75" s="76">
        <v>0</v>
      </c>
      <c r="BD75" s="76">
        <v>1</v>
      </c>
      <c r="BE75" s="76">
        <f t="shared" si="34"/>
        <v>1</v>
      </c>
      <c r="BF75" s="80">
        <f>1461.5+1096</f>
        <v>2557.5</v>
      </c>
      <c r="BG75" s="7">
        <f t="shared" si="42"/>
        <v>5.0000000000000001E-3</v>
      </c>
      <c r="BH75" s="28">
        <f t="shared" si="45"/>
        <v>52168.75</v>
      </c>
      <c r="BI75" s="29">
        <f t="shared" si="46"/>
        <v>1.8709511447882316E-2</v>
      </c>
      <c r="BJ75" s="7">
        <v>1</v>
      </c>
      <c r="BU75" s="7">
        <v>272</v>
      </c>
      <c r="BV75" t="s">
        <v>196</v>
      </c>
      <c r="BW75" s="7"/>
    </row>
    <row r="76" spans="5:75" x14ac:dyDescent="0.25">
      <c r="BU76" s="7">
        <v>275</v>
      </c>
      <c r="BV76" t="s">
        <v>197</v>
      </c>
      <c r="BW76" s="7"/>
    </row>
    <row r="77" spans="5:75" x14ac:dyDescent="0.25">
      <c r="E77" t="s">
        <v>341</v>
      </c>
      <c r="I77" s="91">
        <v>42677</v>
      </c>
      <c r="BU77" s="7">
        <v>280</v>
      </c>
      <c r="BV77" t="s">
        <v>198</v>
      </c>
      <c r="BW77" s="7"/>
    </row>
    <row r="78" spans="5:75" x14ac:dyDescent="0.25">
      <c r="E78" t="s">
        <v>342</v>
      </c>
      <c r="I78" s="1">
        <v>0.73</v>
      </c>
      <c r="BU78" s="7">
        <v>282</v>
      </c>
      <c r="BV78" t="s">
        <v>199</v>
      </c>
      <c r="BW78" s="7"/>
    </row>
    <row r="79" spans="5:75" x14ac:dyDescent="0.25">
      <c r="E79" t="s">
        <v>343</v>
      </c>
      <c r="I79" s="91">
        <f>I77*I78</f>
        <v>31154.21</v>
      </c>
      <c r="BU79" s="7">
        <v>285</v>
      </c>
      <c r="BV79" t="s">
        <v>200</v>
      </c>
      <c r="BW79" s="7"/>
    </row>
    <row r="80" spans="5:75" x14ac:dyDescent="0.25">
      <c r="BU80" s="7">
        <v>290</v>
      </c>
      <c r="BV80" t="s">
        <v>201</v>
      </c>
      <c r="BW80" s="7"/>
    </row>
    <row r="81" spans="5:75" x14ac:dyDescent="0.25">
      <c r="E81" t="s">
        <v>344</v>
      </c>
      <c r="I81" s="1">
        <v>0.85</v>
      </c>
      <c r="BU81" s="7">
        <v>292</v>
      </c>
      <c r="BV81" t="s">
        <v>202</v>
      </c>
      <c r="BW81" s="7"/>
    </row>
    <row r="82" spans="5:75" x14ac:dyDescent="0.25">
      <c r="E82" t="s">
        <v>345</v>
      </c>
      <c r="I82" s="91">
        <f>I79/I81</f>
        <v>36652.01176470588</v>
      </c>
      <c r="BU82" s="7">
        <v>295</v>
      </c>
      <c r="BV82" t="s">
        <v>203</v>
      </c>
      <c r="BW82" s="7"/>
    </row>
    <row r="83" spans="5:75" x14ac:dyDescent="0.25">
      <c r="I83" s="91"/>
      <c r="BU83" s="7">
        <v>300</v>
      </c>
      <c r="BV83" t="s">
        <v>204</v>
      </c>
      <c r="BW83" s="7"/>
    </row>
    <row r="84" spans="5:75" x14ac:dyDescent="0.25">
      <c r="E84" t="s">
        <v>346</v>
      </c>
      <c r="I84" s="91">
        <f>I77-I82</f>
        <v>6024.9882352941204</v>
      </c>
      <c r="BU84" s="7">
        <v>305</v>
      </c>
      <c r="BV84" t="s">
        <v>205</v>
      </c>
      <c r="BW84" s="7"/>
    </row>
    <row r="85" spans="5:75" x14ac:dyDescent="0.25">
      <c r="BU85" s="7">
        <v>310</v>
      </c>
      <c r="BV85" t="s">
        <v>206</v>
      </c>
      <c r="BW85" s="7"/>
    </row>
    <row r="86" spans="5:75" x14ac:dyDescent="0.25">
      <c r="E86" t="s">
        <v>347</v>
      </c>
      <c r="I86" s="120">
        <f>I84*30</f>
        <v>180749.64705882361</v>
      </c>
      <c r="BU86" s="7">
        <v>315</v>
      </c>
      <c r="BV86" t="s">
        <v>207</v>
      </c>
      <c r="BW86" s="7"/>
    </row>
    <row r="87" spans="5:75" x14ac:dyDescent="0.25">
      <c r="BU87" s="7">
        <v>320</v>
      </c>
      <c r="BV87" t="s">
        <v>208</v>
      </c>
      <c r="BW87" s="7"/>
    </row>
    <row r="88" spans="5:75" x14ac:dyDescent="0.25">
      <c r="BU88" s="7">
        <v>325</v>
      </c>
      <c r="BV88" t="s">
        <v>209</v>
      </c>
      <c r="BW88" s="7"/>
    </row>
    <row r="89" spans="5:75" x14ac:dyDescent="0.25">
      <c r="AZ89" s="7">
        <v>2024</v>
      </c>
      <c r="BA89" s="7" t="s">
        <v>49</v>
      </c>
      <c r="BB89" s="7">
        <f>SUM(BB64:BB75)+0.05</f>
        <v>0.05</v>
      </c>
      <c r="BC89" s="7">
        <f>SUM(BC64:BC75)</f>
        <v>2</v>
      </c>
      <c r="BD89" s="7">
        <f>SUM(BD64:BD75)</f>
        <v>6</v>
      </c>
      <c r="BE89" s="7">
        <f>SUM(BE64:BE75)</f>
        <v>8</v>
      </c>
      <c r="BF89" s="7">
        <f>SUM(BF64:BF75)</f>
        <v>52168.75</v>
      </c>
      <c r="BU89" s="7">
        <v>326</v>
      </c>
      <c r="BV89" t="s">
        <v>210</v>
      </c>
      <c r="BW89" s="7"/>
    </row>
    <row r="90" spans="5:75" x14ac:dyDescent="0.25">
      <c r="AZ90" s="7">
        <v>2023</v>
      </c>
      <c r="BA90" s="7" t="s">
        <v>49</v>
      </c>
      <c r="BB90" s="7">
        <f>SUM(BB52:BB56)</f>
        <v>1</v>
      </c>
      <c r="BC90" s="7">
        <f t="shared" ref="BC90:BE90" si="47">SUM(BC52:BC56)</f>
        <v>4</v>
      </c>
      <c r="BD90" s="7">
        <f t="shared" si="47"/>
        <v>3</v>
      </c>
      <c r="BE90" s="7">
        <f t="shared" si="47"/>
        <v>8</v>
      </c>
      <c r="BF90" s="119">
        <f>SUM(BF52:BF56)</f>
        <v>27094</v>
      </c>
      <c r="BU90" s="7">
        <v>350</v>
      </c>
      <c r="BV90" t="s">
        <v>211</v>
      </c>
      <c r="BW90" s="7"/>
    </row>
    <row r="91" spans="5:75" x14ac:dyDescent="0.25">
      <c r="AZ91" s="7">
        <v>2022</v>
      </c>
      <c r="BA91" s="7" t="s">
        <v>49</v>
      </c>
      <c r="BB91" s="7">
        <f>SUM(BB40:BB41)</f>
        <v>0</v>
      </c>
      <c r="BC91" s="7">
        <f>SUM(BC40:BC41)</f>
        <v>1</v>
      </c>
      <c r="BD91" s="7">
        <f>SUM(BD40:BD41)</f>
        <v>2</v>
      </c>
      <c r="BE91" s="7">
        <f>SUM(BE40:BE41)</f>
        <v>3</v>
      </c>
      <c r="BF91" s="119">
        <f>SUM(BF40:BF41)</f>
        <v>9716</v>
      </c>
      <c r="BU91" s="7">
        <v>355</v>
      </c>
      <c r="BV91" t="s">
        <v>212</v>
      </c>
      <c r="BW91" s="7"/>
    </row>
    <row r="92" spans="5:75" x14ac:dyDescent="0.25">
      <c r="AZ92" s="7">
        <v>2021</v>
      </c>
      <c r="BA92" s="7" t="s">
        <v>49</v>
      </c>
      <c r="BB92" s="7">
        <f>SUM(BB28:BB29)</f>
        <v>0</v>
      </c>
      <c r="BC92" s="7">
        <f>SUM(BC28:BC29)</f>
        <v>0</v>
      </c>
      <c r="BD92" s="7">
        <f>SUM(BD28:BD29)</f>
        <v>1</v>
      </c>
      <c r="BE92" s="7">
        <f>SUM(BE28:BE29)</f>
        <v>1</v>
      </c>
      <c r="BF92" s="119">
        <f>SUM(BF28:BF29)</f>
        <v>6331.75</v>
      </c>
      <c r="BU92" s="7">
        <v>360</v>
      </c>
      <c r="BV92" t="s">
        <v>213</v>
      </c>
      <c r="BW92" s="7"/>
    </row>
    <row r="93" spans="5:75" x14ac:dyDescent="0.25">
      <c r="AZ93" s="7">
        <v>2020</v>
      </c>
      <c r="BA93" s="7" t="s">
        <v>49</v>
      </c>
      <c r="BB93" s="7">
        <f>SUM(BB16:BB17)</f>
        <v>0</v>
      </c>
      <c r="BC93" s="7">
        <f>SUM(BC16:BC17)</f>
        <v>1</v>
      </c>
      <c r="BD93" s="7">
        <f>SUM(BD16:BD17)</f>
        <v>1</v>
      </c>
      <c r="BE93" s="7">
        <f>SUM(BE16:BE17)</f>
        <v>2</v>
      </c>
      <c r="BF93" s="119">
        <f>SUM(BF16:BF17)</f>
        <v>7502</v>
      </c>
      <c r="BU93" s="7">
        <v>365</v>
      </c>
      <c r="BV93" t="s">
        <v>214</v>
      </c>
      <c r="BW93" s="7"/>
    </row>
    <row r="94" spans="5:75" x14ac:dyDescent="0.25">
      <c r="AZ94" s="7"/>
      <c r="BA94" s="7"/>
      <c r="BB94" s="7"/>
      <c r="BC94" s="7"/>
      <c r="BD94" s="7"/>
      <c r="BE94" s="7"/>
      <c r="BF94" s="119"/>
      <c r="BU94" s="7">
        <v>366</v>
      </c>
      <c r="BV94" t="s">
        <v>215</v>
      </c>
      <c r="BW94" s="7"/>
    </row>
    <row r="95" spans="5:75" x14ac:dyDescent="0.25">
      <c r="BF95" s="119"/>
      <c r="BU95" s="7">
        <v>370</v>
      </c>
      <c r="BV95" t="s">
        <v>216</v>
      </c>
      <c r="BW95" s="7"/>
    </row>
    <row r="96" spans="5:75" x14ac:dyDescent="0.25">
      <c r="AZ96" t="s">
        <v>78</v>
      </c>
      <c r="BB96" s="7">
        <f>SUM(BB34:BB45)</f>
        <v>0</v>
      </c>
      <c r="BC96" s="7">
        <f>SUM(BC34:BC45)</f>
        <v>12</v>
      </c>
      <c r="BD96" s="7">
        <f>SUM(BD34:BD45)</f>
        <v>8</v>
      </c>
      <c r="BE96" s="7">
        <f>SUM(BE34:BE45)</f>
        <v>20</v>
      </c>
      <c r="BF96" s="119">
        <f>SUM(BF34:BF45)</f>
        <v>50352</v>
      </c>
      <c r="BU96" s="7">
        <v>375</v>
      </c>
      <c r="BV96" t="s">
        <v>217</v>
      </c>
      <c r="BW96" s="7"/>
    </row>
    <row r="97" spans="73:75" x14ac:dyDescent="0.25">
      <c r="BU97" s="7">
        <v>380</v>
      </c>
      <c r="BV97" t="s">
        <v>218</v>
      </c>
      <c r="BW97" s="7"/>
    </row>
    <row r="98" spans="73:75" x14ac:dyDescent="0.25">
      <c r="BU98" s="7">
        <v>382</v>
      </c>
      <c r="BV98" t="s">
        <v>219</v>
      </c>
      <c r="BW98" s="7"/>
    </row>
    <row r="99" spans="73:75" x14ac:dyDescent="0.25">
      <c r="BU99" s="7">
        <v>383</v>
      </c>
      <c r="BV99" t="s">
        <v>220</v>
      </c>
      <c r="BW99" s="7"/>
    </row>
    <row r="100" spans="73:75" x14ac:dyDescent="0.25">
      <c r="BU100" s="7">
        <v>385</v>
      </c>
      <c r="BV100" t="s">
        <v>221</v>
      </c>
      <c r="BW100" s="7"/>
    </row>
    <row r="101" spans="73:75" x14ac:dyDescent="0.25">
      <c r="BU101" s="7">
        <v>390</v>
      </c>
      <c r="BV101" t="s">
        <v>222</v>
      </c>
      <c r="BW101" s="7"/>
    </row>
    <row r="102" spans="73:75" x14ac:dyDescent="0.25">
      <c r="BU102" s="7">
        <v>395</v>
      </c>
      <c r="BV102" t="s">
        <v>223</v>
      </c>
      <c r="BW102" s="7"/>
    </row>
    <row r="103" spans="73:75" x14ac:dyDescent="0.25">
      <c r="BU103" s="7">
        <v>450</v>
      </c>
      <c r="BV103" t="s">
        <v>224</v>
      </c>
      <c r="BW103" s="7"/>
    </row>
    <row r="104" spans="73:75" x14ac:dyDescent="0.25">
      <c r="BU104" s="7">
        <v>455</v>
      </c>
      <c r="BV104" t="s">
        <v>225</v>
      </c>
      <c r="BW104" s="7"/>
    </row>
    <row r="105" spans="73:75" x14ac:dyDescent="0.25">
      <c r="BU105" s="7">
        <v>460</v>
      </c>
      <c r="BV105" t="s">
        <v>226</v>
      </c>
      <c r="BW105" s="7"/>
    </row>
    <row r="106" spans="73:75" x14ac:dyDescent="0.25">
      <c r="BU106" s="7">
        <v>465</v>
      </c>
      <c r="BV106" t="s">
        <v>227</v>
      </c>
      <c r="BW106" s="7"/>
    </row>
    <row r="107" spans="73:75" x14ac:dyDescent="0.25">
      <c r="BU107" s="7">
        <v>470</v>
      </c>
      <c r="BV107" t="s">
        <v>228</v>
      </c>
      <c r="BW107" s="7"/>
    </row>
    <row r="108" spans="73:75" x14ac:dyDescent="0.25">
      <c r="BU108" s="7">
        <v>475</v>
      </c>
      <c r="BV108" t="s">
        <v>229</v>
      </c>
      <c r="BW108" s="7"/>
    </row>
    <row r="109" spans="73:75" x14ac:dyDescent="0.25">
      <c r="BU109" s="7">
        <v>477</v>
      </c>
      <c r="BV109" t="s">
        <v>230</v>
      </c>
      <c r="BW109" s="7"/>
    </row>
    <row r="110" spans="73:75" x14ac:dyDescent="0.25">
      <c r="BU110" s="7">
        <v>478</v>
      </c>
      <c r="BV110" t="s">
        <v>231</v>
      </c>
      <c r="BW110" s="7"/>
    </row>
    <row r="111" spans="73:75" x14ac:dyDescent="0.25">
      <c r="BU111" s="7">
        <v>479</v>
      </c>
      <c r="BV111" t="s">
        <v>232</v>
      </c>
      <c r="BW111" s="7"/>
    </row>
    <row r="112" spans="73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1">
    <mergeCell ref="BG2:BJ2"/>
    <mergeCell ref="BL2:BR2"/>
    <mergeCell ref="BU2:BZ2"/>
    <mergeCell ref="AZ1:BF1"/>
    <mergeCell ref="F2:J2"/>
    <mergeCell ref="L2:O2"/>
    <mergeCell ref="Q2:U2"/>
    <mergeCell ref="W2:Y2"/>
    <mergeCell ref="AA2:AD2"/>
    <mergeCell ref="AF2:AI2"/>
    <mergeCell ref="AK2:AP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8E08-9BE8-455B-B37A-07F7E43B4FEC}">
  <dimension ref="A2:AF64"/>
  <sheetViews>
    <sheetView topLeftCell="B37" workbookViewId="0">
      <selection activeCell="AA44" sqref="AA44"/>
    </sheetView>
  </sheetViews>
  <sheetFormatPr defaultRowHeight="15" x14ac:dyDescent="0.25"/>
  <cols>
    <col min="2" max="2" width="10.7109375" bestFit="1" customWidth="1"/>
    <col min="7" max="7" width="9.42578125" customWidth="1"/>
    <col min="10" max="10" width="3.85546875" customWidth="1"/>
    <col min="14" max="14" width="9.5703125" bestFit="1" customWidth="1"/>
    <col min="15" max="15" width="2.7109375" customWidth="1"/>
    <col min="18" max="18" width="11.140625" customWidth="1"/>
    <col min="20" max="20" width="2.140625" customWidth="1"/>
    <col min="24" max="24" width="10" bestFit="1" customWidth="1"/>
    <col min="25" max="25" width="11.7109375" customWidth="1"/>
    <col min="26" max="26" width="2.42578125" customWidth="1"/>
  </cols>
  <sheetData>
    <row r="2" spans="1:32" x14ac:dyDescent="0.25">
      <c r="F2" s="181" t="s">
        <v>307</v>
      </c>
      <c r="G2" s="182"/>
      <c r="H2" s="182"/>
      <c r="I2" s="183"/>
      <c r="K2" s="181" t="s">
        <v>320</v>
      </c>
      <c r="L2" s="182"/>
      <c r="M2" s="182"/>
      <c r="N2" s="183"/>
      <c r="P2" s="181" t="s">
        <v>321</v>
      </c>
      <c r="Q2" s="182"/>
      <c r="R2" s="182"/>
      <c r="S2" s="183"/>
      <c r="U2" s="181" t="s">
        <v>318</v>
      </c>
      <c r="V2" s="182"/>
      <c r="W2" s="182"/>
      <c r="X2" s="182"/>
      <c r="Y2" s="183"/>
    </row>
    <row r="3" spans="1:32" x14ac:dyDescent="0.25">
      <c r="A3" s="7" t="s">
        <v>32</v>
      </c>
      <c r="B3" s="7" t="s">
        <v>33</v>
      </c>
      <c r="C3" s="7" t="s">
        <v>31</v>
      </c>
      <c r="D3" s="7" t="s">
        <v>34</v>
      </c>
      <c r="F3" s="7" t="s">
        <v>309</v>
      </c>
      <c r="G3" s="7" t="s">
        <v>308</v>
      </c>
      <c r="H3" s="7" t="s">
        <v>310</v>
      </c>
      <c r="I3" s="47" t="s">
        <v>4</v>
      </c>
      <c r="K3" s="7" t="s">
        <v>315</v>
      </c>
      <c r="L3" s="7" t="s">
        <v>316</v>
      </c>
      <c r="M3" s="7" t="s">
        <v>317</v>
      </c>
      <c r="N3" s="7" t="s">
        <v>4</v>
      </c>
      <c r="P3" s="7" t="s">
        <v>315</v>
      </c>
      <c r="Q3" s="7" t="s">
        <v>316</v>
      </c>
      <c r="R3" s="7" t="s">
        <v>317</v>
      </c>
      <c r="S3" s="7" t="s">
        <v>4</v>
      </c>
      <c r="T3" s="7"/>
      <c r="U3" s="7" t="s">
        <v>315</v>
      </c>
      <c r="V3" s="7" t="s">
        <v>316</v>
      </c>
      <c r="W3" s="7" t="s">
        <v>317</v>
      </c>
      <c r="X3" s="7" t="s">
        <v>4</v>
      </c>
      <c r="Y3" s="7" t="s">
        <v>4</v>
      </c>
      <c r="AB3" s="7" t="s">
        <v>315</v>
      </c>
      <c r="AC3" s="7" t="s">
        <v>316</v>
      </c>
      <c r="AD3" s="7" t="s">
        <v>317</v>
      </c>
      <c r="AE3" s="7" t="s">
        <v>4</v>
      </c>
      <c r="AF3" s="7" t="s">
        <v>7</v>
      </c>
    </row>
    <row r="4" spans="1:32" x14ac:dyDescent="0.25">
      <c r="A4" s="7">
        <v>2024</v>
      </c>
      <c r="B4" s="13">
        <v>45292</v>
      </c>
      <c r="C4" s="115"/>
      <c r="D4" s="7">
        <v>1</v>
      </c>
      <c r="F4" s="88">
        <v>0</v>
      </c>
      <c r="G4" s="88">
        <v>0</v>
      </c>
      <c r="H4" s="88">
        <v>0</v>
      </c>
      <c r="I4" s="89">
        <f>F4+G4+H4</f>
        <v>0</v>
      </c>
      <c r="K4" s="88">
        <v>4</v>
      </c>
      <c r="L4" s="88">
        <v>8</v>
      </c>
      <c r="M4" s="88">
        <v>0</v>
      </c>
      <c r="N4" s="7">
        <f>SUM(K4:M4)</f>
        <v>12</v>
      </c>
      <c r="P4" s="92">
        <v>0</v>
      </c>
      <c r="Q4" s="92">
        <v>0</v>
      </c>
      <c r="R4" s="92">
        <v>0</v>
      </c>
      <c r="S4" s="92">
        <f>SUM(P4:R4)</f>
        <v>0</v>
      </c>
      <c r="U4" s="92">
        <f>(K4*80)+P4</f>
        <v>320</v>
      </c>
      <c r="V4" s="92">
        <f>(L4*80)+Q4</f>
        <v>640</v>
      </c>
      <c r="W4" s="92">
        <f>(M4*80)+R4</f>
        <v>0</v>
      </c>
      <c r="X4" s="92">
        <f>SUM(U4:W4)</f>
        <v>960</v>
      </c>
      <c r="Y4" s="92">
        <v>1500</v>
      </c>
      <c r="AA4" s="7" t="s">
        <v>8</v>
      </c>
      <c r="AB4" s="93">
        <f>U4+U5+U6+U7</f>
        <v>2920</v>
      </c>
      <c r="AC4" s="93">
        <f>V4+V5+V6+V7</f>
        <v>6560</v>
      </c>
      <c r="AD4" s="93">
        <f>W4+W5+W6+W7</f>
        <v>5000</v>
      </c>
      <c r="AE4" s="93">
        <f>SUM(AB4:AD4)</f>
        <v>14480</v>
      </c>
      <c r="AF4" s="93">
        <v>6500</v>
      </c>
    </row>
    <row r="5" spans="1:32" x14ac:dyDescent="0.25">
      <c r="A5" s="7">
        <v>2024</v>
      </c>
      <c r="B5" s="13">
        <v>45299</v>
      </c>
      <c r="C5" s="116"/>
      <c r="D5" s="7">
        <v>2</v>
      </c>
      <c r="F5" s="88">
        <v>0</v>
      </c>
      <c r="G5" s="88">
        <v>0</v>
      </c>
      <c r="H5" s="88">
        <v>2</v>
      </c>
      <c r="I5" s="89">
        <f t="shared" ref="I5:I55" si="0">F5+G5+H5</f>
        <v>2</v>
      </c>
      <c r="K5" s="88">
        <v>15</v>
      </c>
      <c r="L5" s="128">
        <v>21.5</v>
      </c>
      <c r="M5" s="88">
        <v>0</v>
      </c>
      <c r="N5" s="7">
        <f t="shared" ref="N5:N55" si="1">SUM(K5:M5)</f>
        <v>36.5</v>
      </c>
      <c r="P5" s="92">
        <v>0</v>
      </c>
      <c r="Q5" s="92">
        <v>0</v>
      </c>
      <c r="R5" s="92">
        <v>5000</v>
      </c>
      <c r="S5" s="92">
        <f t="shared" ref="S5:S55" si="2">SUM(P5:R5)</f>
        <v>5000</v>
      </c>
      <c r="U5" s="92">
        <f t="shared" ref="U5:U55" si="3">(K5*80)+P5</f>
        <v>1200</v>
      </c>
      <c r="V5" s="92">
        <f t="shared" ref="V5:V55" si="4">(L5*80)+Q5</f>
        <v>1720</v>
      </c>
      <c r="W5" s="92">
        <f t="shared" ref="W5:W55" si="5">(M5*80)+R5</f>
        <v>5000</v>
      </c>
      <c r="X5" s="92">
        <f t="shared" ref="X5:X55" si="6">SUM(U5:W5)</f>
        <v>7920</v>
      </c>
      <c r="Y5" s="92">
        <v>1500</v>
      </c>
      <c r="AA5" s="7" t="s">
        <v>9</v>
      </c>
      <c r="AB5" s="93">
        <f>U8+U9+U10+U11</f>
        <v>4760</v>
      </c>
      <c r="AC5" s="93">
        <f>V8+V9+V10+V11</f>
        <v>2640</v>
      </c>
      <c r="AD5" s="93">
        <f>W8+W9+W10+W11</f>
        <v>0</v>
      </c>
      <c r="AE5" s="93">
        <f t="shared" ref="AE5:AE15" si="7">SUM(AB5:AD5)</f>
        <v>7400</v>
      </c>
      <c r="AF5" s="93">
        <v>6500</v>
      </c>
    </row>
    <row r="6" spans="1:32" x14ac:dyDescent="0.25">
      <c r="A6" s="7">
        <v>2024</v>
      </c>
      <c r="B6" s="13">
        <v>45306</v>
      </c>
      <c r="C6" s="116" t="s">
        <v>8</v>
      </c>
      <c r="D6" s="7">
        <v>3</v>
      </c>
      <c r="F6" s="88">
        <v>0</v>
      </c>
      <c r="G6" s="88">
        <v>2</v>
      </c>
      <c r="H6" s="88">
        <v>2</v>
      </c>
      <c r="I6" s="89">
        <f t="shared" si="0"/>
        <v>4</v>
      </c>
      <c r="K6" s="128">
        <v>2.5</v>
      </c>
      <c r="L6" s="128">
        <v>18.5</v>
      </c>
      <c r="M6" s="88">
        <v>0</v>
      </c>
      <c r="N6" s="7">
        <f t="shared" si="1"/>
        <v>21</v>
      </c>
      <c r="P6" s="92">
        <v>0</v>
      </c>
      <c r="Q6" s="92">
        <v>0</v>
      </c>
      <c r="R6" s="92">
        <v>0</v>
      </c>
      <c r="S6" s="92">
        <f t="shared" si="2"/>
        <v>0</v>
      </c>
      <c r="U6" s="92">
        <f t="shared" si="3"/>
        <v>200</v>
      </c>
      <c r="V6" s="92">
        <f t="shared" si="4"/>
        <v>1480</v>
      </c>
      <c r="W6" s="92">
        <f t="shared" si="5"/>
        <v>0</v>
      </c>
      <c r="X6" s="92">
        <f t="shared" si="6"/>
        <v>1680</v>
      </c>
      <c r="Y6" s="92">
        <v>1500</v>
      </c>
      <c r="AA6" s="7" t="s">
        <v>10</v>
      </c>
      <c r="AB6" s="93">
        <f>U12+U13+U14+U15+U16</f>
        <v>1880</v>
      </c>
      <c r="AC6" s="93">
        <f>V12+V13+V14+V15+V16</f>
        <v>1280</v>
      </c>
      <c r="AD6" s="93">
        <f>W12+W13+W14+W15+W16</f>
        <v>220</v>
      </c>
      <c r="AE6" s="93">
        <f t="shared" si="7"/>
        <v>3380</v>
      </c>
      <c r="AF6" s="93">
        <v>6500</v>
      </c>
    </row>
    <row r="7" spans="1:32" x14ac:dyDescent="0.25">
      <c r="A7" s="7">
        <v>2024</v>
      </c>
      <c r="B7" s="13">
        <v>45313</v>
      </c>
      <c r="C7" s="116"/>
      <c r="D7" s="7">
        <v>4</v>
      </c>
      <c r="F7" s="88">
        <v>0</v>
      </c>
      <c r="G7" s="88">
        <v>0</v>
      </c>
      <c r="H7" s="88">
        <v>1</v>
      </c>
      <c r="I7" s="89">
        <f t="shared" si="0"/>
        <v>1</v>
      </c>
      <c r="K7" s="88">
        <v>15</v>
      </c>
      <c r="L7" s="88">
        <v>34</v>
      </c>
      <c r="M7" s="88">
        <v>0</v>
      </c>
      <c r="N7" s="7">
        <f t="shared" si="1"/>
        <v>49</v>
      </c>
      <c r="P7" s="92">
        <v>0</v>
      </c>
      <c r="Q7" s="92">
        <v>0</v>
      </c>
      <c r="R7" s="92">
        <v>0</v>
      </c>
      <c r="S7" s="92">
        <f t="shared" si="2"/>
        <v>0</v>
      </c>
      <c r="U7" s="92">
        <f t="shared" si="3"/>
        <v>1200</v>
      </c>
      <c r="V7" s="92">
        <f t="shared" si="4"/>
        <v>2720</v>
      </c>
      <c r="W7" s="92">
        <f t="shared" si="5"/>
        <v>0</v>
      </c>
      <c r="X7" s="92">
        <f t="shared" si="6"/>
        <v>3920</v>
      </c>
      <c r="Y7" s="92">
        <v>1500</v>
      </c>
      <c r="AA7" s="7" t="s">
        <v>11</v>
      </c>
      <c r="AB7" s="93">
        <f>U17+U18+U19+U20</f>
        <v>1920</v>
      </c>
      <c r="AC7" s="93">
        <f>V17+V18+V19+V20</f>
        <v>1360</v>
      </c>
      <c r="AD7" s="93">
        <f>W17+W18+W19+W20</f>
        <v>2280</v>
      </c>
      <c r="AE7" s="93">
        <f t="shared" si="7"/>
        <v>5560</v>
      </c>
      <c r="AF7" s="93">
        <v>6500</v>
      </c>
    </row>
    <row r="8" spans="1:32" x14ac:dyDescent="0.25">
      <c r="A8" s="7">
        <v>2024</v>
      </c>
      <c r="B8" s="13">
        <v>45320</v>
      </c>
      <c r="C8" s="117"/>
      <c r="D8" s="7">
        <v>5</v>
      </c>
      <c r="F8" s="88">
        <v>0</v>
      </c>
      <c r="G8" s="88">
        <v>0</v>
      </c>
      <c r="H8" s="88">
        <v>0</v>
      </c>
      <c r="I8" s="89">
        <f t="shared" si="0"/>
        <v>0</v>
      </c>
      <c r="K8" s="88">
        <v>26.5</v>
      </c>
      <c r="L8" s="88">
        <v>12</v>
      </c>
      <c r="M8" s="88">
        <v>0</v>
      </c>
      <c r="N8" s="7">
        <f t="shared" si="1"/>
        <v>38.5</v>
      </c>
      <c r="P8" s="92">
        <v>0</v>
      </c>
      <c r="Q8" s="92">
        <v>0</v>
      </c>
      <c r="R8" s="92">
        <v>0</v>
      </c>
      <c r="S8" s="92">
        <f t="shared" si="2"/>
        <v>0</v>
      </c>
      <c r="U8" s="92">
        <f t="shared" si="3"/>
        <v>2120</v>
      </c>
      <c r="V8" s="92">
        <f t="shared" si="4"/>
        <v>960</v>
      </c>
      <c r="W8" s="92">
        <f t="shared" si="5"/>
        <v>0</v>
      </c>
      <c r="X8" s="92">
        <f t="shared" si="6"/>
        <v>3080</v>
      </c>
      <c r="Y8" s="92">
        <v>1500</v>
      </c>
      <c r="AA8" s="7" t="s">
        <v>12</v>
      </c>
      <c r="AB8" s="93">
        <f>U21+U22+U23+U24+U25</f>
        <v>133.6</v>
      </c>
      <c r="AC8" s="93">
        <f>V21+V22+V23+V24+V25</f>
        <v>1433.6</v>
      </c>
      <c r="AD8" s="93">
        <f>W21+W22+W23+W24+W25</f>
        <v>240</v>
      </c>
      <c r="AE8" s="93">
        <f t="shared" si="7"/>
        <v>1807.1999999999998</v>
      </c>
      <c r="AF8" s="93">
        <v>6500</v>
      </c>
    </row>
    <row r="9" spans="1:32" x14ac:dyDescent="0.25">
      <c r="A9" s="7">
        <v>2024</v>
      </c>
      <c r="B9" s="13">
        <v>45327</v>
      </c>
      <c r="C9" s="115"/>
      <c r="D9" s="7">
        <v>6</v>
      </c>
      <c r="F9" s="88">
        <v>1</v>
      </c>
      <c r="G9" s="88">
        <v>0</v>
      </c>
      <c r="H9" s="88">
        <v>1</v>
      </c>
      <c r="I9" s="89">
        <f t="shared" si="0"/>
        <v>2</v>
      </c>
      <c r="K9" s="88">
        <v>9</v>
      </c>
      <c r="L9" s="88">
        <v>0</v>
      </c>
      <c r="M9" s="88">
        <v>0</v>
      </c>
      <c r="N9" s="7">
        <f t="shared" si="1"/>
        <v>9</v>
      </c>
      <c r="P9" s="92">
        <v>0</v>
      </c>
      <c r="Q9" s="92">
        <v>0</v>
      </c>
      <c r="R9" s="92">
        <v>0</v>
      </c>
      <c r="S9" s="92">
        <f t="shared" si="2"/>
        <v>0</v>
      </c>
      <c r="U9" s="92">
        <f t="shared" si="3"/>
        <v>720</v>
      </c>
      <c r="V9" s="92">
        <f t="shared" si="4"/>
        <v>0</v>
      </c>
      <c r="W9" s="92">
        <f t="shared" si="5"/>
        <v>0</v>
      </c>
      <c r="X9" s="92">
        <f t="shared" si="6"/>
        <v>720</v>
      </c>
      <c r="Y9" s="92">
        <v>1500</v>
      </c>
      <c r="AA9" s="7" t="s">
        <v>13</v>
      </c>
      <c r="AB9" s="93">
        <f>U26+U27+U28+U29</f>
        <v>160</v>
      </c>
      <c r="AC9" s="93">
        <f>V26+V27+V28+V29</f>
        <v>0</v>
      </c>
      <c r="AD9" s="93">
        <f>W26+W27+W28+W29</f>
        <v>4696.96</v>
      </c>
      <c r="AE9" s="93">
        <f t="shared" si="7"/>
        <v>4856.96</v>
      </c>
      <c r="AF9" s="93">
        <v>6500</v>
      </c>
    </row>
    <row r="10" spans="1:32" x14ac:dyDescent="0.25">
      <c r="A10" s="7">
        <v>2024</v>
      </c>
      <c r="B10" s="13">
        <v>45334</v>
      </c>
      <c r="C10" s="116" t="s">
        <v>9</v>
      </c>
      <c r="D10" s="7">
        <v>7</v>
      </c>
      <c r="F10" s="88">
        <v>0</v>
      </c>
      <c r="G10" s="88">
        <v>0</v>
      </c>
      <c r="H10" s="88">
        <v>2</v>
      </c>
      <c r="I10" s="89">
        <f t="shared" si="0"/>
        <v>2</v>
      </c>
      <c r="K10" s="88">
        <v>21</v>
      </c>
      <c r="L10" s="88">
        <v>0</v>
      </c>
      <c r="M10" s="88">
        <v>0</v>
      </c>
      <c r="N10" s="7">
        <f t="shared" si="1"/>
        <v>21</v>
      </c>
      <c r="P10" s="92">
        <v>0</v>
      </c>
      <c r="Q10" s="92">
        <v>0</v>
      </c>
      <c r="R10" s="92">
        <v>0</v>
      </c>
      <c r="S10" s="92">
        <f t="shared" si="2"/>
        <v>0</v>
      </c>
      <c r="U10" s="92">
        <f t="shared" si="3"/>
        <v>1680</v>
      </c>
      <c r="V10" s="92">
        <f t="shared" si="4"/>
        <v>0</v>
      </c>
      <c r="W10" s="92">
        <f t="shared" si="5"/>
        <v>0</v>
      </c>
      <c r="X10" s="92">
        <f t="shared" si="6"/>
        <v>1680</v>
      </c>
      <c r="Y10" s="92">
        <v>1500</v>
      </c>
      <c r="AA10" s="7" t="s">
        <v>14</v>
      </c>
      <c r="AB10" s="93">
        <f>U30+U31+U32+U33</f>
        <v>720</v>
      </c>
      <c r="AC10" s="93">
        <f>V30+V31+V32+V33</f>
        <v>2464</v>
      </c>
      <c r="AD10" s="93">
        <f>W30+W31+W32+W33</f>
        <v>1600</v>
      </c>
      <c r="AE10" s="93">
        <f t="shared" si="7"/>
        <v>4784</v>
      </c>
      <c r="AF10" s="93">
        <v>6500</v>
      </c>
    </row>
    <row r="11" spans="1:32" x14ac:dyDescent="0.25">
      <c r="A11" s="7">
        <v>2024</v>
      </c>
      <c r="B11" s="13">
        <v>45341</v>
      </c>
      <c r="C11" s="116"/>
      <c r="D11" s="7">
        <v>8</v>
      </c>
      <c r="F11" s="88">
        <v>1</v>
      </c>
      <c r="G11" s="88">
        <v>1</v>
      </c>
      <c r="H11" s="88">
        <v>1</v>
      </c>
      <c r="I11" s="89">
        <f t="shared" si="0"/>
        <v>3</v>
      </c>
      <c r="K11" s="88">
        <v>3</v>
      </c>
      <c r="L11" s="88">
        <v>21</v>
      </c>
      <c r="M11" s="88">
        <v>0</v>
      </c>
      <c r="N11" s="7">
        <f t="shared" si="1"/>
        <v>24</v>
      </c>
      <c r="P11" s="92">
        <v>0</v>
      </c>
      <c r="Q11" s="92">
        <v>0</v>
      </c>
      <c r="R11" s="92">
        <v>0</v>
      </c>
      <c r="S11" s="92">
        <f t="shared" si="2"/>
        <v>0</v>
      </c>
      <c r="U11" s="92">
        <f t="shared" si="3"/>
        <v>240</v>
      </c>
      <c r="V11" s="92">
        <f t="shared" si="4"/>
        <v>1680</v>
      </c>
      <c r="W11" s="92">
        <f t="shared" si="5"/>
        <v>0</v>
      </c>
      <c r="X11" s="92">
        <f t="shared" si="6"/>
        <v>1920</v>
      </c>
      <c r="Y11" s="92">
        <v>1500</v>
      </c>
      <c r="AA11" s="7" t="s">
        <v>15</v>
      </c>
      <c r="AB11" s="93">
        <f>U34+U35+U36+U37+U38</f>
        <v>2990</v>
      </c>
      <c r="AC11" s="93">
        <f>V34+V35+V36+V37+V38</f>
        <v>3080</v>
      </c>
      <c r="AD11" s="93">
        <f>W34+W35+W36+W37+W38</f>
        <v>7080</v>
      </c>
      <c r="AE11" s="93">
        <f t="shared" si="7"/>
        <v>13150</v>
      </c>
      <c r="AF11" s="93">
        <v>6500</v>
      </c>
    </row>
    <row r="12" spans="1:32" x14ac:dyDescent="0.25">
      <c r="A12" s="7">
        <v>2024</v>
      </c>
      <c r="B12" s="13">
        <v>45348</v>
      </c>
      <c r="C12" s="117"/>
      <c r="D12" s="7">
        <v>9</v>
      </c>
      <c r="F12" s="88">
        <v>1</v>
      </c>
      <c r="G12" s="88">
        <v>1</v>
      </c>
      <c r="H12" s="88">
        <v>3</v>
      </c>
      <c r="I12" s="89">
        <f t="shared" si="0"/>
        <v>5</v>
      </c>
      <c r="K12" s="88">
        <v>0</v>
      </c>
      <c r="L12" s="88">
        <v>5</v>
      </c>
      <c r="M12" s="88">
        <v>0</v>
      </c>
      <c r="N12" s="7">
        <f t="shared" si="1"/>
        <v>5</v>
      </c>
      <c r="P12" s="92">
        <v>0</v>
      </c>
      <c r="Q12" s="92">
        <v>0</v>
      </c>
      <c r="R12" s="92">
        <v>0</v>
      </c>
      <c r="S12" s="92">
        <f t="shared" si="2"/>
        <v>0</v>
      </c>
      <c r="U12" s="92">
        <f t="shared" si="3"/>
        <v>0</v>
      </c>
      <c r="V12" s="92">
        <f t="shared" si="4"/>
        <v>400</v>
      </c>
      <c r="W12" s="92">
        <f t="shared" si="5"/>
        <v>0</v>
      </c>
      <c r="X12" s="92">
        <f t="shared" si="6"/>
        <v>400</v>
      </c>
      <c r="Y12" s="92">
        <v>1500</v>
      </c>
      <c r="AA12" s="7" t="s">
        <v>16</v>
      </c>
      <c r="AB12" s="93">
        <f>U39+U40+U41+U42</f>
        <v>200</v>
      </c>
      <c r="AC12" s="93">
        <f>V39+V40+V41+V42</f>
        <v>1040</v>
      </c>
      <c r="AD12" s="93">
        <f>W39+W40+W41+W42</f>
        <v>2805.26</v>
      </c>
      <c r="AE12" s="93">
        <f t="shared" si="7"/>
        <v>4045.26</v>
      </c>
      <c r="AF12" s="93">
        <v>6500</v>
      </c>
    </row>
    <row r="13" spans="1:32" x14ac:dyDescent="0.25">
      <c r="A13" s="7">
        <v>2024</v>
      </c>
      <c r="B13" s="13">
        <v>45355</v>
      </c>
      <c r="C13" s="115"/>
      <c r="D13" s="7">
        <v>10</v>
      </c>
      <c r="F13" s="88">
        <v>0</v>
      </c>
      <c r="G13" s="88">
        <v>0</v>
      </c>
      <c r="H13" s="88">
        <v>3</v>
      </c>
      <c r="I13" s="89">
        <f t="shared" si="0"/>
        <v>3</v>
      </c>
      <c r="K13" s="128">
        <v>1.5</v>
      </c>
      <c r="L13" s="88">
        <v>0</v>
      </c>
      <c r="M13" s="88">
        <v>0</v>
      </c>
      <c r="N13" s="7">
        <f t="shared" si="1"/>
        <v>1.5</v>
      </c>
      <c r="P13" s="92">
        <v>0</v>
      </c>
      <c r="Q13" s="92">
        <v>0</v>
      </c>
      <c r="R13" s="92">
        <v>0</v>
      </c>
      <c r="S13" s="92">
        <f t="shared" si="2"/>
        <v>0</v>
      </c>
      <c r="U13" s="92">
        <f t="shared" si="3"/>
        <v>120</v>
      </c>
      <c r="V13" s="92">
        <f t="shared" si="4"/>
        <v>0</v>
      </c>
      <c r="W13" s="92">
        <f t="shared" si="5"/>
        <v>0</v>
      </c>
      <c r="X13" s="92">
        <f t="shared" si="6"/>
        <v>120</v>
      </c>
      <c r="Y13" s="92">
        <v>1500</v>
      </c>
      <c r="AA13" s="7" t="s">
        <v>17</v>
      </c>
      <c r="AB13" s="93">
        <f>U43+U44+U45+U46</f>
        <v>80</v>
      </c>
      <c r="AC13" s="93">
        <f>V43+V44+V45+V46</f>
        <v>6040</v>
      </c>
      <c r="AD13" s="93">
        <f>W43+W44+W45+W46</f>
        <v>0</v>
      </c>
      <c r="AE13" s="93">
        <f t="shared" si="7"/>
        <v>6120</v>
      </c>
      <c r="AF13" s="93">
        <v>6500</v>
      </c>
    </row>
    <row r="14" spans="1:32" x14ac:dyDescent="0.25">
      <c r="A14" s="7">
        <v>2024</v>
      </c>
      <c r="B14" s="13">
        <v>45362</v>
      </c>
      <c r="C14" s="116" t="s">
        <v>10</v>
      </c>
      <c r="D14" s="7">
        <v>11</v>
      </c>
      <c r="F14" s="88">
        <v>0</v>
      </c>
      <c r="G14" s="88">
        <v>0</v>
      </c>
      <c r="H14" s="88">
        <v>7</v>
      </c>
      <c r="I14" s="89">
        <f t="shared" si="0"/>
        <v>7</v>
      </c>
      <c r="K14" s="88">
        <v>0</v>
      </c>
      <c r="L14" s="88">
        <v>0</v>
      </c>
      <c r="M14" s="97">
        <v>2.75</v>
      </c>
      <c r="N14" s="7">
        <f t="shared" si="1"/>
        <v>2.75</v>
      </c>
      <c r="P14" s="92">
        <v>0</v>
      </c>
      <c r="Q14" s="92">
        <v>0</v>
      </c>
      <c r="R14" s="92">
        <v>0</v>
      </c>
      <c r="S14" s="92">
        <f t="shared" si="2"/>
        <v>0</v>
      </c>
      <c r="U14" s="92">
        <f t="shared" si="3"/>
        <v>0</v>
      </c>
      <c r="V14" s="92">
        <f t="shared" si="4"/>
        <v>0</v>
      </c>
      <c r="W14" s="92">
        <f t="shared" si="5"/>
        <v>220</v>
      </c>
      <c r="X14" s="92">
        <f t="shared" si="6"/>
        <v>220</v>
      </c>
      <c r="Y14" s="92">
        <v>1500</v>
      </c>
      <c r="AA14" s="7" t="s">
        <v>18</v>
      </c>
      <c r="AB14" s="93">
        <f>U47+U48+U49+U50+U51</f>
        <v>1360</v>
      </c>
      <c r="AC14" s="93">
        <f>V47+V48+V49+V50+V51</f>
        <v>400</v>
      </c>
      <c r="AD14" s="133">
        <f>W47+W48+W49+W50+W51</f>
        <v>15.51</v>
      </c>
      <c r="AE14" s="93">
        <f t="shared" si="7"/>
        <v>1775.51</v>
      </c>
      <c r="AF14" s="93">
        <v>6500</v>
      </c>
    </row>
    <row r="15" spans="1:32" x14ac:dyDescent="0.25">
      <c r="A15" s="7">
        <v>2024</v>
      </c>
      <c r="B15" s="13">
        <v>45369</v>
      </c>
      <c r="C15" s="118"/>
      <c r="D15" s="7">
        <v>12</v>
      </c>
      <c r="F15" s="88">
        <v>3</v>
      </c>
      <c r="G15" s="88">
        <v>0</v>
      </c>
      <c r="H15" s="88">
        <v>1</v>
      </c>
      <c r="I15" s="89">
        <f t="shared" si="0"/>
        <v>4</v>
      </c>
      <c r="K15" s="88">
        <v>5</v>
      </c>
      <c r="L15" s="88">
        <v>0</v>
      </c>
      <c r="M15" s="88">
        <v>0</v>
      </c>
      <c r="N15" s="7">
        <f t="shared" si="1"/>
        <v>5</v>
      </c>
      <c r="P15" s="92">
        <v>0</v>
      </c>
      <c r="Q15" s="92">
        <v>0</v>
      </c>
      <c r="R15" s="92">
        <v>0</v>
      </c>
      <c r="S15" s="92">
        <f t="shared" si="2"/>
        <v>0</v>
      </c>
      <c r="U15" s="92">
        <f t="shared" si="3"/>
        <v>400</v>
      </c>
      <c r="V15" s="92">
        <f t="shared" si="4"/>
        <v>0</v>
      </c>
      <c r="W15" s="92">
        <f t="shared" si="5"/>
        <v>0</v>
      </c>
      <c r="X15" s="92">
        <f t="shared" si="6"/>
        <v>400</v>
      </c>
      <c r="Y15" s="92">
        <v>1500</v>
      </c>
      <c r="AA15" s="7" t="s">
        <v>19</v>
      </c>
      <c r="AB15" s="93">
        <f>U52+U53+U54+U55</f>
        <v>2880</v>
      </c>
      <c r="AC15" s="93">
        <f>V52+V53+V54+V55</f>
        <v>0</v>
      </c>
      <c r="AD15" s="93">
        <f>W52+W53+W54+W55</f>
        <v>2300</v>
      </c>
      <c r="AE15" s="93">
        <f t="shared" si="7"/>
        <v>5180</v>
      </c>
      <c r="AF15" s="93">
        <v>6500</v>
      </c>
    </row>
    <row r="16" spans="1:32" x14ac:dyDescent="0.25">
      <c r="A16" s="7">
        <v>2024</v>
      </c>
      <c r="B16" s="13">
        <v>45376</v>
      </c>
      <c r="C16" s="117"/>
      <c r="D16" s="7">
        <v>13</v>
      </c>
      <c r="F16" s="88">
        <v>1</v>
      </c>
      <c r="G16" s="88">
        <v>4</v>
      </c>
      <c r="H16" s="88">
        <v>3</v>
      </c>
      <c r="I16" s="89">
        <f t="shared" si="0"/>
        <v>8</v>
      </c>
      <c r="K16" s="88">
        <v>17</v>
      </c>
      <c r="L16" s="88">
        <v>11</v>
      </c>
      <c r="M16" s="88">
        <v>0</v>
      </c>
      <c r="N16" s="7">
        <f t="shared" si="1"/>
        <v>28</v>
      </c>
      <c r="P16" s="92">
        <v>0</v>
      </c>
      <c r="Q16" s="92">
        <v>0</v>
      </c>
      <c r="R16" s="92">
        <v>0</v>
      </c>
      <c r="S16" s="92">
        <f t="shared" si="2"/>
        <v>0</v>
      </c>
      <c r="U16" s="92">
        <f t="shared" si="3"/>
        <v>1360</v>
      </c>
      <c r="V16" s="92">
        <f t="shared" si="4"/>
        <v>880</v>
      </c>
      <c r="W16" s="92">
        <f t="shared" si="5"/>
        <v>0</v>
      </c>
      <c r="X16" s="92">
        <f t="shared" si="6"/>
        <v>2240</v>
      </c>
      <c r="Y16" s="92">
        <v>1500</v>
      </c>
    </row>
    <row r="17" spans="1:27" x14ac:dyDescent="0.25">
      <c r="A17" s="7">
        <v>2024</v>
      </c>
      <c r="B17" s="13">
        <v>45383</v>
      </c>
      <c r="C17" s="115"/>
      <c r="D17" s="7">
        <v>14</v>
      </c>
      <c r="F17" s="88">
        <v>12</v>
      </c>
      <c r="G17" s="88">
        <v>6</v>
      </c>
      <c r="H17" s="88">
        <v>5</v>
      </c>
      <c r="I17" s="89">
        <f t="shared" si="0"/>
        <v>23</v>
      </c>
      <c r="K17" s="88">
        <v>0</v>
      </c>
      <c r="L17" s="88">
        <v>10</v>
      </c>
      <c r="M17" s="88">
        <v>0</v>
      </c>
      <c r="N17" s="7">
        <f t="shared" si="1"/>
        <v>10</v>
      </c>
      <c r="P17" s="92">
        <v>0</v>
      </c>
      <c r="Q17" s="92">
        <v>0</v>
      </c>
      <c r="R17" s="92">
        <v>0</v>
      </c>
      <c r="S17" s="92">
        <f t="shared" si="2"/>
        <v>0</v>
      </c>
      <c r="U17" s="92">
        <f t="shared" si="3"/>
        <v>0</v>
      </c>
      <c r="V17" s="92">
        <f t="shared" si="4"/>
        <v>800</v>
      </c>
      <c r="W17" s="92">
        <f t="shared" si="5"/>
        <v>0</v>
      </c>
      <c r="X17" s="92">
        <f t="shared" si="6"/>
        <v>800</v>
      </c>
      <c r="Y17" s="92">
        <v>1500</v>
      </c>
    </row>
    <row r="18" spans="1:27" x14ac:dyDescent="0.25">
      <c r="A18" s="7">
        <v>2024</v>
      </c>
      <c r="B18" s="13">
        <v>45390</v>
      </c>
      <c r="C18" s="116"/>
      <c r="D18" s="7">
        <v>15</v>
      </c>
      <c r="F18" s="88">
        <v>8</v>
      </c>
      <c r="G18" s="88">
        <v>1</v>
      </c>
      <c r="H18" s="88">
        <v>4</v>
      </c>
      <c r="I18" s="89">
        <f t="shared" si="0"/>
        <v>13</v>
      </c>
      <c r="K18" s="128">
        <v>5.5</v>
      </c>
      <c r="L18" s="88">
        <v>7</v>
      </c>
      <c r="M18" s="88">
        <v>24</v>
      </c>
      <c r="N18" s="7">
        <f t="shared" si="1"/>
        <v>36.5</v>
      </c>
      <c r="P18" s="92">
        <v>0</v>
      </c>
      <c r="Q18" s="92">
        <v>0</v>
      </c>
      <c r="R18" s="92">
        <v>0</v>
      </c>
      <c r="S18" s="92">
        <f t="shared" si="2"/>
        <v>0</v>
      </c>
      <c r="U18" s="92">
        <f t="shared" si="3"/>
        <v>440</v>
      </c>
      <c r="V18" s="92">
        <f t="shared" si="4"/>
        <v>560</v>
      </c>
      <c r="W18" s="92">
        <f t="shared" si="5"/>
        <v>1920</v>
      </c>
      <c r="X18" s="92">
        <f t="shared" si="6"/>
        <v>2920</v>
      </c>
      <c r="Y18" s="92">
        <v>1500</v>
      </c>
    </row>
    <row r="19" spans="1:27" x14ac:dyDescent="0.25">
      <c r="A19" s="7">
        <v>2024</v>
      </c>
      <c r="B19" s="13">
        <v>45397</v>
      </c>
      <c r="C19" s="116" t="s">
        <v>11</v>
      </c>
      <c r="D19" s="7">
        <v>16</v>
      </c>
      <c r="F19" s="88">
        <v>6</v>
      </c>
      <c r="G19" s="88">
        <v>1</v>
      </c>
      <c r="H19" s="88">
        <v>7</v>
      </c>
      <c r="I19" s="89">
        <f t="shared" si="0"/>
        <v>14</v>
      </c>
      <c r="K19" s="128">
        <v>10.5</v>
      </c>
      <c r="L19" s="88">
        <v>0</v>
      </c>
      <c r="M19" s="128">
        <v>4.5</v>
      </c>
      <c r="N19" s="7">
        <f t="shared" si="1"/>
        <v>15</v>
      </c>
      <c r="P19" s="92">
        <v>0</v>
      </c>
      <c r="Q19" s="92">
        <v>0</v>
      </c>
      <c r="R19" s="92">
        <v>0</v>
      </c>
      <c r="S19" s="92">
        <f t="shared" si="2"/>
        <v>0</v>
      </c>
      <c r="U19" s="92">
        <f t="shared" si="3"/>
        <v>840</v>
      </c>
      <c r="V19" s="92">
        <f t="shared" si="4"/>
        <v>0</v>
      </c>
      <c r="W19" s="92">
        <f t="shared" si="5"/>
        <v>360</v>
      </c>
      <c r="X19" s="92">
        <f t="shared" si="6"/>
        <v>1200</v>
      </c>
      <c r="Y19" s="92">
        <v>1500</v>
      </c>
    </row>
    <row r="20" spans="1:27" x14ac:dyDescent="0.25">
      <c r="A20" s="7">
        <v>2024</v>
      </c>
      <c r="B20" s="13">
        <v>45404</v>
      </c>
      <c r="C20" s="116"/>
      <c r="D20" s="7">
        <v>17</v>
      </c>
      <c r="F20" s="88">
        <v>0</v>
      </c>
      <c r="G20" s="88">
        <v>0</v>
      </c>
      <c r="H20" s="88">
        <v>0</v>
      </c>
      <c r="I20" s="89">
        <f t="shared" si="0"/>
        <v>0</v>
      </c>
      <c r="K20" s="88">
        <v>8</v>
      </c>
      <c r="L20" s="88">
        <v>0</v>
      </c>
      <c r="M20" s="88">
        <v>0</v>
      </c>
      <c r="N20" s="7">
        <f t="shared" si="1"/>
        <v>8</v>
      </c>
      <c r="P20" s="92">
        <v>0</v>
      </c>
      <c r="Q20" s="92">
        <v>0</v>
      </c>
      <c r="R20" s="92">
        <v>0</v>
      </c>
      <c r="S20" s="92">
        <f t="shared" si="2"/>
        <v>0</v>
      </c>
      <c r="U20" s="92">
        <f t="shared" si="3"/>
        <v>640</v>
      </c>
      <c r="V20" s="92">
        <f t="shared" si="4"/>
        <v>0</v>
      </c>
      <c r="W20" s="92">
        <f t="shared" si="5"/>
        <v>0</v>
      </c>
      <c r="X20" s="92">
        <f t="shared" si="6"/>
        <v>640</v>
      </c>
      <c r="Y20" s="92">
        <v>1500</v>
      </c>
    </row>
    <row r="21" spans="1:27" x14ac:dyDescent="0.25">
      <c r="A21" s="7">
        <v>2024</v>
      </c>
      <c r="B21" s="13">
        <v>45411</v>
      </c>
      <c r="C21" s="117"/>
      <c r="D21" s="7">
        <v>18</v>
      </c>
      <c r="F21" s="88">
        <v>2</v>
      </c>
      <c r="G21" s="88">
        <v>5</v>
      </c>
      <c r="H21" s="88">
        <v>8</v>
      </c>
      <c r="I21" s="89">
        <f t="shared" si="0"/>
        <v>15</v>
      </c>
      <c r="K21" s="88">
        <v>0</v>
      </c>
      <c r="L21" s="97">
        <v>16.75</v>
      </c>
      <c r="M21" s="88">
        <v>0</v>
      </c>
      <c r="N21" s="7">
        <f t="shared" si="1"/>
        <v>16.75</v>
      </c>
      <c r="P21" s="92">
        <v>0</v>
      </c>
      <c r="Q21" s="92">
        <v>0</v>
      </c>
      <c r="R21" s="92">
        <v>0</v>
      </c>
      <c r="S21" s="92">
        <f t="shared" si="2"/>
        <v>0</v>
      </c>
      <c r="U21" s="92">
        <f t="shared" si="3"/>
        <v>0</v>
      </c>
      <c r="V21" s="92">
        <f t="shared" si="4"/>
        <v>1340</v>
      </c>
      <c r="W21" s="92">
        <f t="shared" si="5"/>
        <v>0</v>
      </c>
      <c r="X21" s="92">
        <f t="shared" si="6"/>
        <v>1340</v>
      </c>
      <c r="Y21" s="92">
        <v>1500</v>
      </c>
    </row>
    <row r="22" spans="1:27" x14ac:dyDescent="0.25">
      <c r="A22" s="7">
        <v>2024</v>
      </c>
      <c r="B22" s="13">
        <v>45418</v>
      </c>
      <c r="C22" s="115"/>
      <c r="D22" s="7">
        <v>19</v>
      </c>
      <c r="F22" s="88">
        <v>6</v>
      </c>
      <c r="G22" s="88">
        <v>2</v>
      </c>
      <c r="H22" s="88">
        <v>9</v>
      </c>
      <c r="I22" s="89">
        <f t="shared" si="0"/>
        <v>17</v>
      </c>
      <c r="K22" s="88">
        <v>0</v>
      </c>
      <c r="L22" s="88">
        <v>0</v>
      </c>
      <c r="M22" s="88">
        <v>3</v>
      </c>
      <c r="N22" s="7">
        <f t="shared" si="1"/>
        <v>3</v>
      </c>
      <c r="P22" s="92">
        <v>0</v>
      </c>
      <c r="Q22" s="92">
        <v>0</v>
      </c>
      <c r="R22" s="92">
        <v>0</v>
      </c>
      <c r="S22" s="92">
        <f t="shared" si="2"/>
        <v>0</v>
      </c>
      <c r="U22" s="92">
        <f t="shared" si="3"/>
        <v>0</v>
      </c>
      <c r="V22" s="92">
        <f t="shared" si="4"/>
        <v>0</v>
      </c>
      <c r="W22" s="92">
        <f t="shared" si="5"/>
        <v>240</v>
      </c>
      <c r="X22" s="92">
        <f t="shared" si="6"/>
        <v>240</v>
      </c>
      <c r="Y22" s="92">
        <v>1500</v>
      </c>
    </row>
    <row r="23" spans="1:27" x14ac:dyDescent="0.25">
      <c r="A23" s="7">
        <v>2024</v>
      </c>
      <c r="B23" s="13">
        <v>45425</v>
      </c>
      <c r="C23" s="116" t="s">
        <v>12</v>
      </c>
      <c r="D23" s="7">
        <v>20</v>
      </c>
      <c r="F23" s="88">
        <v>2</v>
      </c>
      <c r="G23" s="88">
        <v>0</v>
      </c>
      <c r="H23" s="88">
        <v>4</v>
      </c>
      <c r="I23" s="89">
        <f t="shared" si="0"/>
        <v>6</v>
      </c>
      <c r="K23" s="88">
        <v>0</v>
      </c>
      <c r="L23" s="88">
        <v>0</v>
      </c>
      <c r="M23" s="88">
        <v>0</v>
      </c>
      <c r="N23" s="7">
        <f t="shared" si="1"/>
        <v>0</v>
      </c>
      <c r="P23" s="92">
        <v>0</v>
      </c>
      <c r="Q23" s="92">
        <v>0</v>
      </c>
      <c r="R23" s="92">
        <v>0</v>
      </c>
      <c r="S23" s="92">
        <f t="shared" si="2"/>
        <v>0</v>
      </c>
      <c r="U23" s="92">
        <f t="shared" si="3"/>
        <v>0</v>
      </c>
      <c r="V23" s="92">
        <f t="shared" si="4"/>
        <v>0</v>
      </c>
      <c r="W23" s="92">
        <f t="shared" si="5"/>
        <v>0</v>
      </c>
      <c r="X23" s="92">
        <f t="shared" si="6"/>
        <v>0</v>
      </c>
      <c r="Y23" s="92">
        <v>1500</v>
      </c>
    </row>
    <row r="24" spans="1:27" x14ac:dyDescent="0.25">
      <c r="A24" s="7">
        <v>2024</v>
      </c>
      <c r="B24" s="13">
        <v>45432</v>
      </c>
      <c r="C24" s="116"/>
      <c r="D24" s="7">
        <v>21</v>
      </c>
      <c r="F24" s="88">
        <v>5</v>
      </c>
      <c r="G24" s="88">
        <v>2</v>
      </c>
      <c r="H24" s="88">
        <v>4</v>
      </c>
      <c r="I24" s="89">
        <f t="shared" si="0"/>
        <v>11</v>
      </c>
      <c r="K24" s="88">
        <v>0</v>
      </c>
      <c r="L24" s="88">
        <v>0</v>
      </c>
      <c r="M24" s="88">
        <v>0</v>
      </c>
      <c r="N24" s="7">
        <f t="shared" si="1"/>
        <v>0</v>
      </c>
      <c r="P24" s="92">
        <v>0</v>
      </c>
      <c r="Q24" s="92">
        <v>0</v>
      </c>
      <c r="R24" s="92">
        <v>0</v>
      </c>
      <c r="S24" s="92">
        <f t="shared" si="2"/>
        <v>0</v>
      </c>
      <c r="U24" s="92">
        <f t="shared" si="3"/>
        <v>0</v>
      </c>
      <c r="V24" s="92">
        <f t="shared" si="4"/>
        <v>0</v>
      </c>
      <c r="W24" s="92">
        <f t="shared" si="5"/>
        <v>0</v>
      </c>
      <c r="X24" s="92">
        <f t="shared" si="6"/>
        <v>0</v>
      </c>
      <c r="Y24" s="92">
        <v>1500</v>
      </c>
    </row>
    <row r="25" spans="1:27" x14ac:dyDescent="0.25">
      <c r="A25" s="7">
        <v>2024</v>
      </c>
      <c r="B25" s="13">
        <v>45439</v>
      </c>
      <c r="C25" s="117"/>
      <c r="D25" s="7">
        <v>22</v>
      </c>
      <c r="F25" s="88">
        <v>5</v>
      </c>
      <c r="G25" s="88">
        <v>1</v>
      </c>
      <c r="H25" s="88">
        <v>10</v>
      </c>
      <c r="I25" s="89">
        <f t="shared" si="0"/>
        <v>16</v>
      </c>
      <c r="K25" s="97">
        <v>1.67</v>
      </c>
      <c r="L25" s="97">
        <v>1.17</v>
      </c>
      <c r="M25" s="88">
        <v>0</v>
      </c>
      <c r="N25" s="7">
        <f t="shared" si="1"/>
        <v>2.84</v>
      </c>
      <c r="P25" s="92">
        <v>0</v>
      </c>
      <c r="Q25" s="92">
        <v>0</v>
      </c>
      <c r="R25" s="92">
        <v>0</v>
      </c>
      <c r="S25" s="92">
        <f t="shared" si="2"/>
        <v>0</v>
      </c>
      <c r="U25" s="92">
        <f t="shared" si="3"/>
        <v>133.6</v>
      </c>
      <c r="V25" s="92">
        <f t="shared" si="4"/>
        <v>93.6</v>
      </c>
      <c r="W25" s="92">
        <f t="shared" si="5"/>
        <v>0</v>
      </c>
      <c r="X25" s="92">
        <f t="shared" si="6"/>
        <v>227.2</v>
      </c>
      <c r="Y25" s="92">
        <v>1500</v>
      </c>
    </row>
    <row r="26" spans="1:27" x14ac:dyDescent="0.25">
      <c r="A26" s="7">
        <v>2024</v>
      </c>
      <c r="B26" s="13">
        <v>45446</v>
      </c>
      <c r="C26" s="115"/>
      <c r="D26" s="7">
        <v>23</v>
      </c>
      <c r="F26" s="88">
        <v>0</v>
      </c>
      <c r="G26" s="88">
        <v>0</v>
      </c>
      <c r="H26" s="88">
        <v>3</v>
      </c>
      <c r="I26" s="89">
        <f t="shared" si="0"/>
        <v>3</v>
      </c>
      <c r="K26" s="88">
        <v>0</v>
      </c>
      <c r="L26" s="88">
        <v>0</v>
      </c>
      <c r="M26" s="97">
        <v>0.17</v>
      </c>
      <c r="N26" s="7">
        <f t="shared" si="1"/>
        <v>0.17</v>
      </c>
      <c r="P26" s="92">
        <v>0</v>
      </c>
      <c r="Q26" s="92">
        <v>0</v>
      </c>
      <c r="R26" s="92">
        <v>0</v>
      </c>
      <c r="S26" s="92">
        <f t="shared" si="2"/>
        <v>0</v>
      </c>
      <c r="U26" s="92">
        <f t="shared" si="3"/>
        <v>0</v>
      </c>
      <c r="V26" s="92">
        <f t="shared" si="4"/>
        <v>0</v>
      </c>
      <c r="W26" s="92">
        <f t="shared" si="5"/>
        <v>13.600000000000001</v>
      </c>
      <c r="X26" s="92">
        <f t="shared" si="6"/>
        <v>13.600000000000001</v>
      </c>
      <c r="Y26" s="92">
        <v>1500</v>
      </c>
    </row>
    <row r="27" spans="1:27" x14ac:dyDescent="0.25">
      <c r="A27" s="7">
        <v>2024</v>
      </c>
      <c r="B27" s="13">
        <v>45453</v>
      </c>
      <c r="C27" s="116" t="s">
        <v>13</v>
      </c>
      <c r="D27" s="7">
        <v>24</v>
      </c>
      <c r="F27" s="88">
        <v>6</v>
      </c>
      <c r="G27" s="88">
        <v>0</v>
      </c>
      <c r="H27" s="88">
        <v>3</v>
      </c>
      <c r="I27" s="89">
        <f t="shared" si="0"/>
        <v>9</v>
      </c>
      <c r="K27" s="88">
        <v>0</v>
      </c>
      <c r="L27" s="88">
        <v>0</v>
      </c>
      <c r="M27" s="88">
        <v>9</v>
      </c>
      <c r="N27" s="7">
        <f t="shared" si="1"/>
        <v>9</v>
      </c>
      <c r="P27" s="92">
        <v>0</v>
      </c>
      <c r="Q27" s="92">
        <v>0</v>
      </c>
      <c r="R27" s="129">
        <v>116.36</v>
      </c>
      <c r="S27" s="92">
        <f t="shared" si="2"/>
        <v>116.36</v>
      </c>
      <c r="U27" s="92">
        <f t="shared" si="3"/>
        <v>0</v>
      </c>
      <c r="V27" s="92">
        <f t="shared" si="4"/>
        <v>0</v>
      </c>
      <c r="W27" s="92">
        <f t="shared" si="5"/>
        <v>836.36</v>
      </c>
      <c r="X27" s="92">
        <f t="shared" si="6"/>
        <v>836.36</v>
      </c>
      <c r="Y27" s="92">
        <v>1500</v>
      </c>
    </row>
    <row r="28" spans="1:27" x14ac:dyDescent="0.25">
      <c r="A28" s="7">
        <v>2024</v>
      </c>
      <c r="B28" s="13">
        <v>45460</v>
      </c>
      <c r="C28" s="118"/>
      <c r="D28" s="7">
        <v>25</v>
      </c>
      <c r="F28" s="88">
        <v>0</v>
      </c>
      <c r="G28" s="88">
        <v>0</v>
      </c>
      <c r="H28" s="88">
        <v>6</v>
      </c>
      <c r="I28" s="89">
        <f t="shared" si="0"/>
        <v>6</v>
      </c>
      <c r="K28" s="88">
        <v>2</v>
      </c>
      <c r="L28" s="88">
        <v>0</v>
      </c>
      <c r="M28" s="128">
        <v>6.5</v>
      </c>
      <c r="N28" s="7">
        <f t="shared" si="1"/>
        <v>8.5</v>
      </c>
      <c r="P28" s="92">
        <v>0</v>
      </c>
      <c r="Q28" s="92">
        <v>0</v>
      </c>
      <c r="R28" s="92">
        <v>1927</v>
      </c>
      <c r="S28" s="92">
        <f t="shared" si="2"/>
        <v>1927</v>
      </c>
      <c r="U28" s="92">
        <f t="shared" si="3"/>
        <v>160</v>
      </c>
      <c r="V28" s="92">
        <f t="shared" si="4"/>
        <v>0</v>
      </c>
      <c r="W28" s="92">
        <f t="shared" si="5"/>
        <v>2447</v>
      </c>
      <c r="X28" s="92">
        <f t="shared" si="6"/>
        <v>2607</v>
      </c>
      <c r="Y28" s="92">
        <v>1500</v>
      </c>
    </row>
    <row r="29" spans="1:27" x14ac:dyDescent="0.25">
      <c r="A29" s="7">
        <v>2024</v>
      </c>
      <c r="B29" s="13">
        <v>45467</v>
      </c>
      <c r="C29" s="117"/>
      <c r="D29" s="7">
        <v>26</v>
      </c>
      <c r="F29" s="88">
        <v>1</v>
      </c>
      <c r="G29" s="88">
        <v>0</v>
      </c>
      <c r="H29" s="88">
        <v>6</v>
      </c>
      <c r="I29" s="89">
        <f t="shared" si="0"/>
        <v>7</v>
      </c>
      <c r="K29" s="88">
        <v>0</v>
      </c>
      <c r="L29" s="88">
        <v>0</v>
      </c>
      <c r="M29" s="128">
        <v>17.5</v>
      </c>
      <c r="N29" s="7">
        <f t="shared" si="1"/>
        <v>17.5</v>
      </c>
      <c r="P29" s="92">
        <v>0</v>
      </c>
      <c r="Q29" s="92">
        <v>0</v>
      </c>
      <c r="R29" s="129">
        <v>0</v>
      </c>
      <c r="S29" s="92">
        <f t="shared" si="2"/>
        <v>0</v>
      </c>
      <c r="U29" s="92">
        <f t="shared" si="3"/>
        <v>0</v>
      </c>
      <c r="V29" s="92">
        <f t="shared" si="4"/>
        <v>0</v>
      </c>
      <c r="W29" s="92">
        <f t="shared" si="5"/>
        <v>1400</v>
      </c>
      <c r="X29" s="92">
        <f t="shared" si="6"/>
        <v>1400</v>
      </c>
      <c r="Y29" s="92">
        <v>1500</v>
      </c>
    </row>
    <row r="30" spans="1:27" x14ac:dyDescent="0.25">
      <c r="A30" s="7">
        <v>2024</v>
      </c>
      <c r="B30" s="13">
        <v>45474</v>
      </c>
      <c r="C30" s="115"/>
      <c r="D30" s="7">
        <v>27</v>
      </c>
      <c r="F30" s="90">
        <v>0</v>
      </c>
      <c r="G30" s="90">
        <v>0</v>
      </c>
      <c r="H30" s="90">
        <v>3</v>
      </c>
      <c r="I30" s="89">
        <f t="shared" si="0"/>
        <v>3</v>
      </c>
      <c r="K30" s="90">
        <v>0</v>
      </c>
      <c r="L30" s="130">
        <v>9.5</v>
      </c>
      <c r="M30" s="90">
        <v>0</v>
      </c>
      <c r="N30" s="7">
        <f t="shared" si="1"/>
        <v>9.5</v>
      </c>
      <c r="P30" s="92">
        <v>0</v>
      </c>
      <c r="Q30" s="92">
        <v>1304</v>
      </c>
      <c r="R30" s="129">
        <v>0</v>
      </c>
      <c r="S30" s="92">
        <f t="shared" si="2"/>
        <v>1304</v>
      </c>
      <c r="U30" s="92">
        <f t="shared" si="3"/>
        <v>0</v>
      </c>
      <c r="V30" s="92">
        <f t="shared" si="4"/>
        <v>2064</v>
      </c>
      <c r="W30" s="92">
        <f t="shared" si="5"/>
        <v>0</v>
      </c>
      <c r="X30" s="92">
        <f t="shared" si="6"/>
        <v>2064</v>
      </c>
      <c r="Y30" s="92">
        <v>1500</v>
      </c>
    </row>
    <row r="31" spans="1:27" x14ac:dyDescent="0.25">
      <c r="A31" s="7">
        <v>2024</v>
      </c>
      <c r="B31" s="13">
        <v>45481</v>
      </c>
      <c r="C31" s="116"/>
      <c r="D31" s="7">
        <v>28</v>
      </c>
      <c r="F31" s="88">
        <v>0</v>
      </c>
      <c r="G31" s="88">
        <v>9</v>
      </c>
      <c r="H31" s="88">
        <v>0</v>
      </c>
      <c r="I31" s="89">
        <f t="shared" si="0"/>
        <v>9</v>
      </c>
      <c r="K31" s="88">
        <v>0</v>
      </c>
      <c r="L31" s="88">
        <v>5</v>
      </c>
      <c r="M31" s="88">
        <v>20</v>
      </c>
      <c r="N31" s="7">
        <f t="shared" si="1"/>
        <v>25</v>
      </c>
      <c r="P31" s="92">
        <v>0</v>
      </c>
      <c r="Q31" s="92">
        <v>0</v>
      </c>
      <c r="R31" s="129">
        <v>0</v>
      </c>
      <c r="S31" s="92">
        <f t="shared" si="2"/>
        <v>0</v>
      </c>
      <c r="U31" s="92">
        <f t="shared" si="3"/>
        <v>0</v>
      </c>
      <c r="V31" s="92">
        <f t="shared" si="4"/>
        <v>400</v>
      </c>
      <c r="W31" s="92">
        <f t="shared" si="5"/>
        <v>1600</v>
      </c>
      <c r="X31" s="92">
        <f t="shared" si="6"/>
        <v>2000</v>
      </c>
      <c r="Y31" s="92">
        <v>1500</v>
      </c>
    </row>
    <row r="32" spans="1:27" x14ac:dyDescent="0.25">
      <c r="A32" s="7">
        <v>2024</v>
      </c>
      <c r="B32" s="13">
        <v>45488</v>
      </c>
      <c r="C32" s="116" t="s">
        <v>14</v>
      </c>
      <c r="D32" s="7">
        <v>29</v>
      </c>
      <c r="F32" s="88">
        <v>0</v>
      </c>
      <c r="G32" s="88">
        <v>0</v>
      </c>
      <c r="H32" s="88">
        <v>1</v>
      </c>
      <c r="I32" s="89">
        <f t="shared" si="0"/>
        <v>1</v>
      </c>
      <c r="K32" s="88">
        <v>4</v>
      </c>
      <c r="L32" s="88">
        <v>0</v>
      </c>
      <c r="M32" s="88">
        <v>0</v>
      </c>
      <c r="N32" s="7">
        <f t="shared" si="1"/>
        <v>4</v>
      </c>
      <c r="P32" s="92">
        <v>0</v>
      </c>
      <c r="Q32" s="92">
        <v>0</v>
      </c>
      <c r="R32" s="129">
        <v>0</v>
      </c>
      <c r="S32" s="92">
        <f t="shared" si="2"/>
        <v>0</v>
      </c>
      <c r="U32" s="92">
        <f t="shared" si="3"/>
        <v>320</v>
      </c>
      <c r="V32" s="92">
        <f t="shared" si="4"/>
        <v>0</v>
      </c>
      <c r="W32" s="92">
        <f t="shared" si="5"/>
        <v>0</v>
      </c>
      <c r="X32" s="92">
        <f t="shared" si="6"/>
        <v>320</v>
      </c>
      <c r="Y32" s="92">
        <v>1500</v>
      </c>
      <c r="AA32" t="s">
        <v>327</v>
      </c>
    </row>
    <row r="33" spans="1:25" x14ac:dyDescent="0.25">
      <c r="A33" s="7">
        <v>2024</v>
      </c>
      <c r="B33" s="13">
        <v>45495</v>
      </c>
      <c r="C33" s="116"/>
      <c r="D33" s="7">
        <v>30</v>
      </c>
      <c r="F33" s="88">
        <v>6</v>
      </c>
      <c r="G33" s="88">
        <v>6</v>
      </c>
      <c r="H33" s="88">
        <v>12</v>
      </c>
      <c r="I33" s="89">
        <f t="shared" si="0"/>
        <v>24</v>
      </c>
      <c r="K33" s="88">
        <v>5</v>
      </c>
      <c r="L33" s="88">
        <v>0</v>
      </c>
      <c r="M33" s="88">
        <v>0</v>
      </c>
      <c r="N33" s="7">
        <f>SUM(K33:M33)</f>
        <v>5</v>
      </c>
      <c r="P33" s="92">
        <v>0</v>
      </c>
      <c r="Q33" s="92">
        <v>0</v>
      </c>
      <c r="R33" s="129">
        <v>0</v>
      </c>
      <c r="S33" s="92">
        <f t="shared" si="2"/>
        <v>0</v>
      </c>
      <c r="U33" s="92">
        <f t="shared" si="3"/>
        <v>400</v>
      </c>
      <c r="V33" s="92">
        <f t="shared" si="4"/>
        <v>0</v>
      </c>
      <c r="W33" s="92">
        <f t="shared" si="5"/>
        <v>0</v>
      </c>
      <c r="X33" s="92">
        <f t="shared" si="6"/>
        <v>400</v>
      </c>
      <c r="Y33" s="92">
        <v>1500</v>
      </c>
    </row>
    <row r="34" spans="1:25" x14ac:dyDescent="0.25">
      <c r="A34" s="7">
        <v>2024</v>
      </c>
      <c r="B34" s="13">
        <v>45502</v>
      </c>
      <c r="C34" s="117"/>
      <c r="D34" s="7">
        <v>31</v>
      </c>
      <c r="F34" s="88">
        <v>1</v>
      </c>
      <c r="G34" s="88">
        <v>0</v>
      </c>
      <c r="H34" s="88">
        <v>0</v>
      </c>
      <c r="I34" s="89">
        <f t="shared" si="0"/>
        <v>1</v>
      </c>
      <c r="K34" s="88">
        <v>7</v>
      </c>
      <c r="L34" s="88">
        <v>0</v>
      </c>
      <c r="M34" s="88">
        <v>0</v>
      </c>
      <c r="N34" s="7">
        <f t="shared" si="1"/>
        <v>7</v>
      </c>
      <c r="P34" s="92">
        <v>0</v>
      </c>
      <c r="Q34" s="92">
        <v>0</v>
      </c>
      <c r="R34" s="129">
        <v>0</v>
      </c>
      <c r="S34" s="92">
        <f t="shared" si="2"/>
        <v>0</v>
      </c>
      <c r="U34" s="92">
        <f t="shared" si="3"/>
        <v>560</v>
      </c>
      <c r="V34" s="92">
        <f t="shared" si="4"/>
        <v>0</v>
      </c>
      <c r="W34" s="92">
        <f t="shared" si="5"/>
        <v>0</v>
      </c>
      <c r="X34" s="92">
        <f t="shared" si="6"/>
        <v>560</v>
      </c>
      <c r="Y34" s="92">
        <v>1500</v>
      </c>
    </row>
    <row r="35" spans="1:25" x14ac:dyDescent="0.25">
      <c r="A35" s="7">
        <v>2024</v>
      </c>
      <c r="B35" s="13">
        <v>45509</v>
      </c>
      <c r="C35" s="115"/>
      <c r="D35" s="7">
        <v>32</v>
      </c>
      <c r="F35" s="88">
        <v>6</v>
      </c>
      <c r="G35" s="88">
        <v>7</v>
      </c>
      <c r="H35" s="88">
        <v>3</v>
      </c>
      <c r="I35" s="89">
        <f t="shared" si="0"/>
        <v>16</v>
      </c>
      <c r="K35" s="88">
        <v>0</v>
      </c>
      <c r="L35" s="88">
        <v>0</v>
      </c>
      <c r="M35" s="88">
        <v>0</v>
      </c>
      <c r="N35" s="7">
        <f t="shared" si="1"/>
        <v>0</v>
      </c>
      <c r="P35" s="92">
        <v>0</v>
      </c>
      <c r="Q35" s="92">
        <v>0</v>
      </c>
      <c r="R35" s="129">
        <v>0</v>
      </c>
      <c r="S35" s="92">
        <f t="shared" si="2"/>
        <v>0</v>
      </c>
      <c r="U35" s="92">
        <f t="shared" si="3"/>
        <v>0</v>
      </c>
      <c r="V35" s="92">
        <f t="shared" si="4"/>
        <v>0</v>
      </c>
      <c r="W35" s="92">
        <f t="shared" si="5"/>
        <v>0</v>
      </c>
      <c r="X35" s="92">
        <f t="shared" si="6"/>
        <v>0</v>
      </c>
      <c r="Y35" s="92">
        <v>1500</v>
      </c>
    </row>
    <row r="36" spans="1:25" x14ac:dyDescent="0.25">
      <c r="A36" s="7">
        <v>2024</v>
      </c>
      <c r="B36" s="13">
        <v>45516</v>
      </c>
      <c r="C36" s="116" t="s">
        <v>15</v>
      </c>
      <c r="D36" s="7">
        <v>33</v>
      </c>
      <c r="F36" s="88">
        <v>0</v>
      </c>
      <c r="G36" s="88">
        <v>1</v>
      </c>
      <c r="H36" s="88">
        <v>5</v>
      </c>
      <c r="I36" s="89">
        <f t="shared" si="0"/>
        <v>6</v>
      </c>
      <c r="K36" s="88">
        <v>12</v>
      </c>
      <c r="L36" s="88">
        <v>1</v>
      </c>
      <c r="M36" s="88">
        <v>0</v>
      </c>
      <c r="N36" s="7">
        <f t="shared" si="1"/>
        <v>13</v>
      </c>
      <c r="P36" s="92">
        <v>0</v>
      </c>
      <c r="Q36" s="92">
        <v>3000</v>
      </c>
      <c r="R36" s="92">
        <v>3000</v>
      </c>
      <c r="S36" s="92">
        <f t="shared" si="2"/>
        <v>6000</v>
      </c>
      <c r="U36" s="92">
        <f t="shared" si="3"/>
        <v>960</v>
      </c>
      <c r="V36" s="92">
        <f t="shared" si="4"/>
        <v>3080</v>
      </c>
      <c r="W36" s="92">
        <f t="shared" si="5"/>
        <v>3000</v>
      </c>
      <c r="X36" s="92">
        <f t="shared" si="6"/>
        <v>7040</v>
      </c>
      <c r="Y36" s="92">
        <v>1500</v>
      </c>
    </row>
    <row r="37" spans="1:25" x14ac:dyDescent="0.25">
      <c r="A37" s="7">
        <v>2024</v>
      </c>
      <c r="B37" s="13">
        <v>45523</v>
      </c>
      <c r="C37" s="116"/>
      <c r="D37" s="7">
        <v>34</v>
      </c>
      <c r="F37" s="88">
        <v>0</v>
      </c>
      <c r="G37" s="88">
        <v>0</v>
      </c>
      <c r="H37" s="88">
        <v>2</v>
      </c>
      <c r="I37" s="89">
        <f t="shared" si="0"/>
        <v>2</v>
      </c>
      <c r="K37" s="88">
        <v>0</v>
      </c>
      <c r="L37" s="88">
        <v>0</v>
      </c>
      <c r="M37" s="88">
        <v>4</v>
      </c>
      <c r="N37" s="7">
        <f t="shared" si="1"/>
        <v>4</v>
      </c>
      <c r="P37" s="92">
        <v>1150</v>
      </c>
      <c r="Q37" s="92">
        <v>0</v>
      </c>
      <c r="R37" s="92">
        <v>0</v>
      </c>
      <c r="S37" s="92">
        <f t="shared" si="2"/>
        <v>1150</v>
      </c>
      <c r="U37" s="92">
        <f t="shared" si="3"/>
        <v>1150</v>
      </c>
      <c r="V37" s="92">
        <f t="shared" si="4"/>
        <v>0</v>
      </c>
      <c r="W37" s="92">
        <f t="shared" si="5"/>
        <v>320</v>
      </c>
      <c r="X37" s="92">
        <f t="shared" si="6"/>
        <v>1470</v>
      </c>
      <c r="Y37" s="92">
        <v>1500</v>
      </c>
    </row>
    <row r="38" spans="1:25" x14ac:dyDescent="0.25">
      <c r="A38" s="7">
        <v>2024</v>
      </c>
      <c r="B38" s="13">
        <v>45530</v>
      </c>
      <c r="C38" s="117"/>
      <c r="D38" s="7">
        <v>35</v>
      </c>
      <c r="F38" s="88">
        <v>0</v>
      </c>
      <c r="G38" s="88">
        <v>8</v>
      </c>
      <c r="H38" s="88">
        <v>1</v>
      </c>
      <c r="I38" s="89">
        <f t="shared" si="0"/>
        <v>9</v>
      </c>
      <c r="K38" s="88">
        <v>4</v>
      </c>
      <c r="L38" s="88">
        <v>0</v>
      </c>
      <c r="M38" s="88">
        <v>47</v>
      </c>
      <c r="N38" s="7">
        <f t="shared" si="1"/>
        <v>51</v>
      </c>
      <c r="P38" s="92">
        <v>0</v>
      </c>
      <c r="Q38" s="92">
        <v>0</v>
      </c>
      <c r="R38" s="92">
        <v>0</v>
      </c>
      <c r="S38" s="92">
        <f t="shared" si="2"/>
        <v>0</v>
      </c>
      <c r="U38" s="92">
        <f t="shared" si="3"/>
        <v>320</v>
      </c>
      <c r="V38" s="92">
        <f t="shared" si="4"/>
        <v>0</v>
      </c>
      <c r="W38" s="92">
        <f t="shared" si="5"/>
        <v>3760</v>
      </c>
      <c r="X38" s="92">
        <f t="shared" si="6"/>
        <v>4080</v>
      </c>
      <c r="Y38" s="92">
        <v>1500</v>
      </c>
    </row>
    <row r="39" spans="1:25" x14ac:dyDescent="0.25">
      <c r="A39" s="7">
        <v>2024</v>
      </c>
      <c r="B39" s="13">
        <v>45537</v>
      </c>
      <c r="C39" s="115"/>
      <c r="D39" s="7">
        <v>36</v>
      </c>
      <c r="F39" s="88">
        <v>0</v>
      </c>
      <c r="G39" s="88">
        <v>0</v>
      </c>
      <c r="H39" s="88">
        <v>0</v>
      </c>
      <c r="I39" s="89">
        <f t="shared" si="0"/>
        <v>0</v>
      </c>
      <c r="K39" s="88">
        <v>0</v>
      </c>
      <c r="L39" s="88">
        <v>0</v>
      </c>
      <c r="M39" s="88">
        <v>0</v>
      </c>
      <c r="N39" s="7">
        <f t="shared" si="1"/>
        <v>0</v>
      </c>
      <c r="P39" s="92">
        <v>0</v>
      </c>
      <c r="Q39" s="92">
        <v>0</v>
      </c>
      <c r="R39" s="92">
        <v>0</v>
      </c>
      <c r="S39" s="92">
        <f t="shared" si="2"/>
        <v>0</v>
      </c>
      <c r="U39" s="92">
        <f t="shared" si="3"/>
        <v>0</v>
      </c>
      <c r="V39" s="92">
        <f t="shared" si="4"/>
        <v>0</v>
      </c>
      <c r="W39" s="92">
        <f t="shared" si="5"/>
        <v>0</v>
      </c>
      <c r="X39" s="92">
        <f t="shared" si="6"/>
        <v>0</v>
      </c>
      <c r="Y39" s="92">
        <v>1500</v>
      </c>
    </row>
    <row r="40" spans="1:25" x14ac:dyDescent="0.25">
      <c r="A40" s="7">
        <v>2024</v>
      </c>
      <c r="B40" s="13">
        <v>45544</v>
      </c>
      <c r="C40" s="116" t="s">
        <v>16</v>
      </c>
      <c r="D40" s="7">
        <v>37</v>
      </c>
      <c r="F40" s="88">
        <v>6</v>
      </c>
      <c r="G40" s="88">
        <v>5</v>
      </c>
      <c r="H40" s="88">
        <v>6</v>
      </c>
      <c r="I40" s="89">
        <f t="shared" si="0"/>
        <v>17</v>
      </c>
      <c r="K40" s="88">
        <v>0</v>
      </c>
      <c r="L40" s="88">
        <v>0</v>
      </c>
      <c r="M40" s="88">
        <v>0</v>
      </c>
      <c r="N40" s="7">
        <f>SUM(K40:M40)</f>
        <v>0</v>
      </c>
      <c r="P40" s="92">
        <v>0</v>
      </c>
      <c r="Q40" s="92">
        <v>0</v>
      </c>
      <c r="R40" s="92">
        <v>0</v>
      </c>
      <c r="S40" s="92">
        <f t="shared" si="2"/>
        <v>0</v>
      </c>
      <c r="U40" s="92">
        <f t="shared" si="3"/>
        <v>0</v>
      </c>
      <c r="V40" s="92">
        <f t="shared" si="4"/>
        <v>0</v>
      </c>
      <c r="W40" s="92">
        <f t="shared" si="5"/>
        <v>0</v>
      </c>
      <c r="X40" s="92">
        <f t="shared" si="6"/>
        <v>0</v>
      </c>
      <c r="Y40" s="92">
        <v>1500</v>
      </c>
    </row>
    <row r="41" spans="1:25" x14ac:dyDescent="0.25">
      <c r="A41" s="7">
        <v>2024</v>
      </c>
      <c r="B41" s="13">
        <v>45551</v>
      </c>
      <c r="C41" s="118"/>
      <c r="D41" s="7">
        <v>38</v>
      </c>
      <c r="F41" s="88">
        <v>0</v>
      </c>
      <c r="G41" s="88">
        <v>0</v>
      </c>
      <c r="H41" s="88">
        <v>2</v>
      </c>
      <c r="I41" s="89">
        <f t="shared" si="0"/>
        <v>2</v>
      </c>
      <c r="K41" s="128">
        <v>2.5</v>
      </c>
      <c r="L41" s="88">
        <v>5</v>
      </c>
      <c r="M41" s="88">
        <v>0</v>
      </c>
      <c r="N41" s="7">
        <f t="shared" si="1"/>
        <v>7.5</v>
      </c>
      <c r="P41" s="92">
        <v>0</v>
      </c>
      <c r="Q41" s="92">
        <v>0</v>
      </c>
      <c r="R41" s="129">
        <v>1485.26</v>
      </c>
      <c r="S41" s="92">
        <f t="shared" si="2"/>
        <v>1485.26</v>
      </c>
      <c r="U41" s="92">
        <f t="shared" si="3"/>
        <v>200</v>
      </c>
      <c r="V41" s="92">
        <f t="shared" si="4"/>
        <v>400</v>
      </c>
      <c r="W41" s="92">
        <f t="shared" si="5"/>
        <v>1485.26</v>
      </c>
      <c r="X41" s="92">
        <f t="shared" si="6"/>
        <v>2085.2600000000002</v>
      </c>
      <c r="Y41" s="92">
        <v>1500</v>
      </c>
    </row>
    <row r="42" spans="1:25" x14ac:dyDescent="0.25">
      <c r="A42" s="7">
        <v>2024</v>
      </c>
      <c r="B42" s="13">
        <v>45558</v>
      </c>
      <c r="C42" s="117"/>
      <c r="D42" s="7">
        <v>39</v>
      </c>
      <c r="F42" s="88">
        <v>4</v>
      </c>
      <c r="G42" s="88">
        <v>9</v>
      </c>
      <c r="H42" s="88">
        <v>2</v>
      </c>
      <c r="I42" s="89">
        <f t="shared" si="0"/>
        <v>15</v>
      </c>
      <c r="K42" s="88">
        <v>0</v>
      </c>
      <c r="L42" s="88">
        <v>8</v>
      </c>
      <c r="M42" s="88">
        <v>16.5</v>
      </c>
      <c r="N42" s="7">
        <f t="shared" si="1"/>
        <v>24.5</v>
      </c>
      <c r="P42" s="92">
        <v>0</v>
      </c>
      <c r="Q42" s="92">
        <v>0</v>
      </c>
      <c r="R42" s="129">
        <v>0</v>
      </c>
      <c r="S42" s="92">
        <f t="shared" si="2"/>
        <v>0</v>
      </c>
      <c r="U42" s="92">
        <f t="shared" si="3"/>
        <v>0</v>
      </c>
      <c r="V42" s="92">
        <f t="shared" si="4"/>
        <v>640</v>
      </c>
      <c r="W42" s="92">
        <f t="shared" si="5"/>
        <v>1320</v>
      </c>
      <c r="X42" s="92">
        <f t="shared" si="6"/>
        <v>1960</v>
      </c>
      <c r="Y42" s="92">
        <v>1500</v>
      </c>
    </row>
    <row r="43" spans="1:25" x14ac:dyDescent="0.25">
      <c r="A43" s="7">
        <v>2024</v>
      </c>
      <c r="B43" s="13">
        <v>45565</v>
      </c>
      <c r="C43" s="115"/>
      <c r="D43" s="7">
        <v>40</v>
      </c>
      <c r="F43" s="88">
        <v>11</v>
      </c>
      <c r="G43" s="88">
        <v>2</v>
      </c>
      <c r="H43" s="88">
        <v>2</v>
      </c>
      <c r="I43" s="89">
        <f t="shared" si="0"/>
        <v>15</v>
      </c>
      <c r="K43" s="88">
        <v>1</v>
      </c>
      <c r="L43" s="128">
        <v>24.5</v>
      </c>
      <c r="M43" s="88">
        <v>0</v>
      </c>
      <c r="N43" s="7">
        <f t="shared" si="1"/>
        <v>25.5</v>
      </c>
      <c r="P43" s="92">
        <v>0</v>
      </c>
      <c r="Q43" s="92">
        <v>0</v>
      </c>
      <c r="R43" s="129">
        <v>0</v>
      </c>
      <c r="S43" s="92">
        <f t="shared" si="2"/>
        <v>0</v>
      </c>
      <c r="U43" s="92">
        <f t="shared" si="3"/>
        <v>80</v>
      </c>
      <c r="V43" s="92">
        <f t="shared" si="4"/>
        <v>1960</v>
      </c>
      <c r="W43" s="92">
        <f t="shared" si="5"/>
        <v>0</v>
      </c>
      <c r="X43" s="92">
        <f t="shared" si="6"/>
        <v>2040</v>
      </c>
      <c r="Y43" s="92">
        <v>1500</v>
      </c>
    </row>
    <row r="44" spans="1:25" x14ac:dyDescent="0.25">
      <c r="A44" s="7">
        <v>2024</v>
      </c>
      <c r="B44" s="13">
        <v>45572</v>
      </c>
      <c r="C44" s="116"/>
      <c r="D44" s="7">
        <v>41</v>
      </c>
      <c r="F44" s="88">
        <v>0</v>
      </c>
      <c r="G44" s="88">
        <v>0</v>
      </c>
      <c r="H44" s="88">
        <v>5</v>
      </c>
      <c r="I44" s="89">
        <f t="shared" si="0"/>
        <v>5</v>
      </c>
      <c r="K44" s="88">
        <v>0</v>
      </c>
      <c r="L44" s="88">
        <v>51</v>
      </c>
      <c r="M44" s="88">
        <v>0</v>
      </c>
      <c r="N44" s="7">
        <f t="shared" si="1"/>
        <v>51</v>
      </c>
      <c r="P44" s="92">
        <v>0</v>
      </c>
      <c r="Q44" s="92">
        <v>0</v>
      </c>
      <c r="R44" s="129">
        <v>0</v>
      </c>
      <c r="S44" s="92">
        <f t="shared" si="2"/>
        <v>0</v>
      </c>
      <c r="U44" s="92">
        <f t="shared" si="3"/>
        <v>0</v>
      </c>
      <c r="V44" s="92">
        <f t="shared" si="4"/>
        <v>4080</v>
      </c>
      <c r="W44" s="92">
        <f t="shared" si="5"/>
        <v>0</v>
      </c>
      <c r="X44" s="92">
        <f t="shared" si="6"/>
        <v>4080</v>
      </c>
      <c r="Y44" s="92">
        <v>1500</v>
      </c>
    </row>
    <row r="45" spans="1:25" x14ac:dyDescent="0.25">
      <c r="A45" s="7">
        <v>2024</v>
      </c>
      <c r="B45" s="13">
        <v>45579</v>
      </c>
      <c r="C45" s="116" t="s">
        <v>17</v>
      </c>
      <c r="D45" s="7">
        <v>42</v>
      </c>
      <c r="F45" s="88">
        <v>0</v>
      </c>
      <c r="G45" s="88">
        <v>0</v>
      </c>
      <c r="H45" s="88">
        <v>3</v>
      </c>
      <c r="I45" s="89">
        <f>F45+G45+H45</f>
        <v>3</v>
      </c>
      <c r="K45" s="88">
        <v>0</v>
      </c>
      <c r="L45" s="88">
        <v>0</v>
      </c>
      <c r="M45" s="88">
        <v>0</v>
      </c>
      <c r="N45" s="7">
        <f t="shared" si="1"/>
        <v>0</v>
      </c>
      <c r="P45" s="92">
        <v>0</v>
      </c>
      <c r="Q45" s="92">
        <v>0</v>
      </c>
      <c r="R45" s="129">
        <v>0</v>
      </c>
      <c r="S45" s="92">
        <f t="shared" si="2"/>
        <v>0</v>
      </c>
      <c r="U45" s="92">
        <f t="shared" si="3"/>
        <v>0</v>
      </c>
      <c r="V45" s="92">
        <f t="shared" si="4"/>
        <v>0</v>
      </c>
      <c r="W45" s="92">
        <f t="shared" si="5"/>
        <v>0</v>
      </c>
      <c r="X45" s="92">
        <f t="shared" si="6"/>
        <v>0</v>
      </c>
      <c r="Y45" s="92">
        <v>1500</v>
      </c>
    </row>
    <row r="46" spans="1:25" x14ac:dyDescent="0.25">
      <c r="A46" s="7">
        <v>2024</v>
      </c>
      <c r="B46" s="13">
        <v>45586</v>
      </c>
      <c r="C46" s="116"/>
      <c r="D46" s="7">
        <v>43</v>
      </c>
      <c r="F46" s="88">
        <v>0</v>
      </c>
      <c r="G46" s="88">
        <v>0</v>
      </c>
      <c r="H46" s="88">
        <v>0</v>
      </c>
      <c r="I46" s="89">
        <f t="shared" si="0"/>
        <v>0</v>
      </c>
      <c r="K46" s="88">
        <v>0</v>
      </c>
      <c r="L46" s="88">
        <v>0</v>
      </c>
      <c r="M46" s="88">
        <v>0</v>
      </c>
      <c r="N46" s="7">
        <f t="shared" si="1"/>
        <v>0</v>
      </c>
      <c r="P46" s="92">
        <v>0</v>
      </c>
      <c r="Q46" s="92">
        <v>0</v>
      </c>
      <c r="R46" s="129">
        <v>0</v>
      </c>
      <c r="S46" s="92">
        <f t="shared" si="2"/>
        <v>0</v>
      </c>
      <c r="U46" s="92">
        <f t="shared" si="3"/>
        <v>0</v>
      </c>
      <c r="V46" s="92">
        <f t="shared" si="4"/>
        <v>0</v>
      </c>
      <c r="W46" s="92">
        <f t="shared" si="5"/>
        <v>0</v>
      </c>
      <c r="X46" s="92">
        <f t="shared" si="6"/>
        <v>0</v>
      </c>
      <c r="Y46" s="92">
        <v>1500</v>
      </c>
    </row>
    <row r="47" spans="1:25" x14ac:dyDescent="0.25">
      <c r="A47" s="7">
        <v>2024</v>
      </c>
      <c r="B47" s="13">
        <v>45593</v>
      </c>
      <c r="C47" s="117"/>
      <c r="D47" s="7">
        <v>44</v>
      </c>
      <c r="F47" s="88">
        <v>0</v>
      </c>
      <c r="G47" s="88">
        <v>0</v>
      </c>
      <c r="H47" s="88">
        <v>0</v>
      </c>
      <c r="I47" s="89">
        <f t="shared" si="0"/>
        <v>0</v>
      </c>
      <c r="K47" s="88">
        <v>0</v>
      </c>
      <c r="L47" s="88">
        <v>0</v>
      </c>
      <c r="M47" s="88">
        <v>0</v>
      </c>
      <c r="N47" s="7">
        <f t="shared" si="1"/>
        <v>0</v>
      </c>
      <c r="P47" s="92">
        <v>0</v>
      </c>
      <c r="Q47" s="92">
        <v>0</v>
      </c>
      <c r="R47" s="129">
        <v>0</v>
      </c>
      <c r="S47" s="92">
        <f t="shared" si="2"/>
        <v>0</v>
      </c>
      <c r="U47" s="92">
        <f t="shared" si="3"/>
        <v>0</v>
      </c>
      <c r="V47" s="92">
        <f t="shared" si="4"/>
        <v>0</v>
      </c>
      <c r="W47" s="92">
        <f t="shared" si="5"/>
        <v>0</v>
      </c>
      <c r="X47" s="92">
        <f t="shared" si="6"/>
        <v>0</v>
      </c>
      <c r="Y47" s="92">
        <v>1500</v>
      </c>
    </row>
    <row r="48" spans="1:25" x14ac:dyDescent="0.25">
      <c r="A48" s="7">
        <v>2024</v>
      </c>
      <c r="B48" s="13">
        <v>45600</v>
      </c>
      <c r="C48" s="115"/>
      <c r="D48" s="7">
        <v>45</v>
      </c>
      <c r="F48" s="88">
        <v>5</v>
      </c>
      <c r="G48" s="88">
        <v>3</v>
      </c>
      <c r="H48" s="88">
        <v>12</v>
      </c>
      <c r="I48" s="89">
        <f t="shared" si="0"/>
        <v>20</v>
      </c>
      <c r="K48" s="88">
        <v>0</v>
      </c>
      <c r="L48" s="88">
        <v>5</v>
      </c>
      <c r="M48" s="88">
        <v>0</v>
      </c>
      <c r="N48" s="7">
        <f t="shared" si="1"/>
        <v>5</v>
      </c>
      <c r="P48" s="92">
        <v>0</v>
      </c>
      <c r="Q48" s="92">
        <v>0</v>
      </c>
      <c r="R48" s="129">
        <v>0</v>
      </c>
      <c r="S48" s="92">
        <f t="shared" si="2"/>
        <v>0</v>
      </c>
      <c r="U48" s="92">
        <f t="shared" si="3"/>
        <v>0</v>
      </c>
      <c r="V48" s="92">
        <f t="shared" si="4"/>
        <v>400</v>
      </c>
      <c r="W48" s="92">
        <f t="shared" si="5"/>
        <v>0</v>
      </c>
      <c r="X48" s="92">
        <f t="shared" si="6"/>
        <v>400</v>
      </c>
      <c r="Y48" s="92">
        <v>1500</v>
      </c>
    </row>
    <row r="49" spans="1:25" x14ac:dyDescent="0.25">
      <c r="A49" s="7">
        <v>2024</v>
      </c>
      <c r="B49" s="13">
        <v>45607</v>
      </c>
      <c r="C49" s="116" t="s">
        <v>18</v>
      </c>
      <c r="D49" s="7">
        <v>46</v>
      </c>
      <c r="F49" s="88">
        <v>0</v>
      </c>
      <c r="G49" s="88">
        <v>0</v>
      </c>
      <c r="H49" s="88">
        <v>0</v>
      </c>
      <c r="I49" s="89">
        <f t="shared" si="0"/>
        <v>0</v>
      </c>
      <c r="K49" s="88">
        <v>1</v>
      </c>
      <c r="L49" s="88">
        <v>0</v>
      </c>
      <c r="M49" s="88">
        <v>0</v>
      </c>
      <c r="N49" s="7">
        <f t="shared" si="1"/>
        <v>1</v>
      </c>
      <c r="P49" s="92">
        <v>0</v>
      </c>
      <c r="Q49" s="92">
        <v>0</v>
      </c>
      <c r="R49" s="129">
        <v>15.51</v>
      </c>
      <c r="S49" s="129">
        <f t="shared" si="2"/>
        <v>15.51</v>
      </c>
      <c r="U49" s="92">
        <f t="shared" si="3"/>
        <v>80</v>
      </c>
      <c r="V49" s="92">
        <f t="shared" si="4"/>
        <v>0</v>
      </c>
      <c r="W49" s="129">
        <f t="shared" si="5"/>
        <v>15.51</v>
      </c>
      <c r="X49" s="129">
        <f t="shared" si="6"/>
        <v>95.51</v>
      </c>
      <c r="Y49" s="92">
        <v>1500</v>
      </c>
    </row>
    <row r="50" spans="1:25" x14ac:dyDescent="0.25">
      <c r="A50" s="7">
        <v>2024</v>
      </c>
      <c r="B50" s="13">
        <v>45614</v>
      </c>
      <c r="C50" s="116"/>
      <c r="D50" s="7">
        <v>47</v>
      </c>
      <c r="F50" s="88">
        <v>0</v>
      </c>
      <c r="G50" s="88">
        <v>0</v>
      </c>
      <c r="H50" s="88">
        <v>0</v>
      </c>
      <c r="I50" s="89">
        <f t="shared" si="0"/>
        <v>0</v>
      </c>
      <c r="K50" s="88">
        <v>0</v>
      </c>
      <c r="L50" s="88">
        <v>0</v>
      </c>
      <c r="M50" s="88">
        <v>0</v>
      </c>
      <c r="N50" s="7">
        <f t="shared" si="1"/>
        <v>0</v>
      </c>
      <c r="P50" s="92">
        <v>0</v>
      </c>
      <c r="Q50" s="92">
        <v>0</v>
      </c>
      <c r="R50" s="129">
        <v>0</v>
      </c>
      <c r="S50" s="92">
        <f t="shared" si="2"/>
        <v>0</v>
      </c>
      <c r="U50" s="92">
        <f t="shared" si="3"/>
        <v>0</v>
      </c>
      <c r="V50" s="92">
        <f t="shared" si="4"/>
        <v>0</v>
      </c>
      <c r="W50" s="92">
        <f t="shared" si="5"/>
        <v>0</v>
      </c>
      <c r="X50" s="92">
        <f t="shared" si="6"/>
        <v>0</v>
      </c>
      <c r="Y50" s="92">
        <v>1500</v>
      </c>
    </row>
    <row r="51" spans="1:25" x14ac:dyDescent="0.25">
      <c r="A51" s="7">
        <v>2024</v>
      </c>
      <c r="B51" s="13">
        <v>45621</v>
      </c>
      <c r="C51" s="117"/>
      <c r="D51" s="7">
        <v>48</v>
      </c>
      <c r="F51" s="88">
        <v>7</v>
      </c>
      <c r="G51" s="88">
        <v>9</v>
      </c>
      <c r="H51" s="88">
        <v>6</v>
      </c>
      <c r="I51" s="89">
        <f t="shared" si="0"/>
        <v>22</v>
      </c>
      <c r="K51" s="88">
        <v>16</v>
      </c>
      <c r="L51" s="88">
        <v>0</v>
      </c>
      <c r="M51" s="88">
        <v>0</v>
      </c>
      <c r="N51" s="7">
        <f t="shared" si="1"/>
        <v>16</v>
      </c>
      <c r="P51" s="92">
        <v>0</v>
      </c>
      <c r="Q51" s="92">
        <v>0</v>
      </c>
      <c r="R51" s="129">
        <v>0</v>
      </c>
      <c r="S51" s="92">
        <f t="shared" si="2"/>
        <v>0</v>
      </c>
      <c r="U51" s="92">
        <f t="shared" si="3"/>
        <v>1280</v>
      </c>
      <c r="V51" s="92">
        <f t="shared" si="4"/>
        <v>0</v>
      </c>
      <c r="W51" s="92">
        <f t="shared" si="5"/>
        <v>0</v>
      </c>
      <c r="X51" s="92">
        <f t="shared" si="6"/>
        <v>1280</v>
      </c>
      <c r="Y51" s="92">
        <v>1500</v>
      </c>
    </row>
    <row r="52" spans="1:25" x14ac:dyDescent="0.25">
      <c r="A52" s="7">
        <v>2024</v>
      </c>
      <c r="B52" s="13">
        <v>45628</v>
      </c>
      <c r="C52" s="115"/>
      <c r="D52" s="7">
        <v>49</v>
      </c>
      <c r="F52" s="88">
        <v>0</v>
      </c>
      <c r="G52" s="88">
        <v>0</v>
      </c>
      <c r="H52" s="88">
        <v>3</v>
      </c>
      <c r="I52" s="89">
        <f t="shared" si="0"/>
        <v>3</v>
      </c>
      <c r="K52" s="128">
        <v>21.5</v>
      </c>
      <c r="L52" s="88">
        <v>0</v>
      </c>
      <c r="M52" s="88">
        <v>0</v>
      </c>
      <c r="N52" s="7">
        <f t="shared" si="1"/>
        <v>21.5</v>
      </c>
      <c r="P52" s="92">
        <v>0</v>
      </c>
      <c r="Q52" s="92">
        <v>0</v>
      </c>
      <c r="R52" s="129">
        <v>0</v>
      </c>
      <c r="S52" s="92">
        <f t="shared" si="2"/>
        <v>0</v>
      </c>
      <c r="U52" s="92">
        <f t="shared" si="3"/>
        <v>1720</v>
      </c>
      <c r="V52" s="92">
        <f t="shared" si="4"/>
        <v>0</v>
      </c>
      <c r="W52" s="92">
        <f t="shared" si="5"/>
        <v>0</v>
      </c>
      <c r="X52" s="92">
        <f t="shared" si="6"/>
        <v>1720</v>
      </c>
      <c r="Y52" s="92">
        <v>1500</v>
      </c>
    </row>
    <row r="53" spans="1:25" x14ac:dyDescent="0.25">
      <c r="A53" s="7">
        <v>2024</v>
      </c>
      <c r="B53" s="13">
        <v>45635</v>
      </c>
      <c r="C53" s="116" t="s">
        <v>19</v>
      </c>
      <c r="D53" s="7">
        <v>50</v>
      </c>
      <c r="F53" s="88">
        <v>0</v>
      </c>
      <c r="G53" s="88">
        <v>0</v>
      </c>
      <c r="H53" s="88">
        <v>8</v>
      </c>
      <c r="I53" s="89">
        <f t="shared" si="0"/>
        <v>8</v>
      </c>
      <c r="K53" s="88">
        <v>0</v>
      </c>
      <c r="L53" s="88">
        <v>0</v>
      </c>
      <c r="M53" s="97">
        <v>28.75</v>
      </c>
      <c r="N53" s="7">
        <f t="shared" si="1"/>
        <v>28.75</v>
      </c>
      <c r="P53" s="92">
        <v>0</v>
      </c>
      <c r="Q53" s="92">
        <v>0</v>
      </c>
      <c r="R53" s="129">
        <v>0</v>
      </c>
      <c r="S53" s="92">
        <f t="shared" si="2"/>
        <v>0</v>
      </c>
      <c r="U53" s="92">
        <f t="shared" si="3"/>
        <v>0</v>
      </c>
      <c r="V53" s="92">
        <f t="shared" si="4"/>
        <v>0</v>
      </c>
      <c r="W53" s="92">
        <f t="shared" si="5"/>
        <v>2300</v>
      </c>
      <c r="X53" s="92">
        <f t="shared" si="6"/>
        <v>2300</v>
      </c>
      <c r="Y53" s="92">
        <v>1500</v>
      </c>
    </row>
    <row r="54" spans="1:25" x14ac:dyDescent="0.25">
      <c r="A54" s="7">
        <v>2024</v>
      </c>
      <c r="B54" s="13">
        <v>45642</v>
      </c>
      <c r="C54" s="118"/>
      <c r="D54" s="7">
        <v>51</v>
      </c>
      <c r="F54" s="88">
        <v>0</v>
      </c>
      <c r="G54" s="88">
        <v>0</v>
      </c>
      <c r="H54" s="88">
        <v>0</v>
      </c>
      <c r="I54" s="89">
        <f t="shared" si="0"/>
        <v>0</v>
      </c>
      <c r="K54" s="128">
        <v>14.5</v>
      </c>
      <c r="L54" s="88">
        <v>0</v>
      </c>
      <c r="M54" s="88">
        <v>0</v>
      </c>
      <c r="N54" s="7">
        <f t="shared" si="1"/>
        <v>14.5</v>
      </c>
      <c r="P54" s="92">
        <v>0</v>
      </c>
      <c r="Q54" s="92">
        <v>0</v>
      </c>
      <c r="R54" s="129">
        <v>0</v>
      </c>
      <c r="S54" s="92">
        <f t="shared" si="2"/>
        <v>0</v>
      </c>
      <c r="U54" s="92">
        <f t="shared" si="3"/>
        <v>1160</v>
      </c>
      <c r="V54" s="92">
        <f t="shared" si="4"/>
        <v>0</v>
      </c>
      <c r="W54" s="92">
        <f t="shared" si="5"/>
        <v>0</v>
      </c>
      <c r="X54" s="92">
        <f t="shared" si="6"/>
        <v>1160</v>
      </c>
      <c r="Y54" s="92">
        <v>1500</v>
      </c>
    </row>
    <row r="55" spans="1:25" x14ac:dyDescent="0.25">
      <c r="A55" s="7">
        <v>2024</v>
      </c>
      <c r="B55" s="13">
        <v>45649</v>
      </c>
      <c r="C55" s="117"/>
      <c r="D55" s="7">
        <v>52</v>
      </c>
      <c r="F55" s="88">
        <v>0</v>
      </c>
      <c r="G55" s="88">
        <v>0</v>
      </c>
      <c r="H55" s="88">
        <v>0</v>
      </c>
      <c r="I55" s="89">
        <f t="shared" si="0"/>
        <v>0</v>
      </c>
      <c r="K55" s="88">
        <v>0</v>
      </c>
      <c r="L55" s="88">
        <v>0</v>
      </c>
      <c r="M55" s="88">
        <v>0</v>
      </c>
      <c r="N55" s="7">
        <f t="shared" si="1"/>
        <v>0</v>
      </c>
      <c r="P55" s="92">
        <v>0</v>
      </c>
      <c r="Q55" s="92">
        <v>0</v>
      </c>
      <c r="R55" s="129">
        <v>0</v>
      </c>
      <c r="S55" s="92">
        <f t="shared" si="2"/>
        <v>0</v>
      </c>
      <c r="U55" s="92">
        <f t="shared" si="3"/>
        <v>0</v>
      </c>
      <c r="V55" s="92">
        <f t="shared" si="4"/>
        <v>0</v>
      </c>
      <c r="W55" s="92">
        <f t="shared" si="5"/>
        <v>0</v>
      </c>
      <c r="X55" s="92">
        <f t="shared" si="6"/>
        <v>0</v>
      </c>
      <c r="Y55" s="92">
        <v>1500</v>
      </c>
    </row>
    <row r="56" spans="1:25" x14ac:dyDescent="0.25">
      <c r="A56" s="7"/>
      <c r="B56" s="13"/>
      <c r="D56" s="7"/>
      <c r="E56" t="s">
        <v>4</v>
      </c>
      <c r="F56" s="88">
        <f>SUM(F4:F55)</f>
        <v>106</v>
      </c>
      <c r="G56" s="88">
        <f>SUM(G4:G55)</f>
        <v>85</v>
      </c>
      <c r="H56" s="88">
        <f>SUM(H4:H55)</f>
        <v>171</v>
      </c>
      <c r="I56" s="89">
        <f>SUM(I4:I55)</f>
        <v>362</v>
      </c>
      <c r="K56" s="112">
        <f>SUM(K4:K55)</f>
        <v>235.67</v>
      </c>
      <c r="L56" s="112">
        <f>SUM(L4:L55)</f>
        <v>274.91999999999996</v>
      </c>
      <c r="M56" s="112">
        <f>SUM(M4:M55)</f>
        <v>183.67000000000002</v>
      </c>
      <c r="N56" s="113">
        <f>SUM(N4:N55)</f>
        <v>694.26</v>
      </c>
      <c r="P56" s="92"/>
      <c r="Q56" s="92"/>
      <c r="R56" s="92"/>
      <c r="S56" s="92"/>
      <c r="U56" s="92">
        <f>SUM(U4:U55)</f>
        <v>20003.599999999999</v>
      </c>
      <c r="V56" s="92">
        <f>SUM(V4:V55)</f>
        <v>26297.599999999999</v>
      </c>
      <c r="W56" s="92">
        <f>SUM(W4:W55)</f>
        <v>26237.729999999996</v>
      </c>
      <c r="X56" s="92">
        <f>SUM(X4:X55)</f>
        <v>72538.929999999993</v>
      </c>
      <c r="Y56" s="92">
        <f>SUM(Y4:Y55)</f>
        <v>78000</v>
      </c>
    </row>
    <row r="57" spans="1:25" x14ac:dyDescent="0.25">
      <c r="F57" s="91"/>
      <c r="G57" s="91"/>
      <c r="H57" s="91"/>
      <c r="I57" s="91"/>
    </row>
    <row r="59" spans="1:25" x14ac:dyDescent="0.25">
      <c r="U59" t="s">
        <v>23</v>
      </c>
      <c r="V59" s="93">
        <v>60000</v>
      </c>
      <c r="X59" t="s">
        <v>314</v>
      </c>
      <c r="Y59" s="93">
        <f>X56</f>
        <v>72538.929999999993</v>
      </c>
    </row>
    <row r="60" spans="1:25" x14ac:dyDescent="0.25">
      <c r="U60" t="s">
        <v>24</v>
      </c>
      <c r="V60" s="93">
        <v>15000</v>
      </c>
      <c r="X60" t="s">
        <v>106</v>
      </c>
      <c r="Y60" s="93">
        <v>2000</v>
      </c>
    </row>
    <row r="61" spans="1:25" x14ac:dyDescent="0.25">
      <c r="U61" t="s">
        <v>25</v>
      </c>
      <c r="V61" s="93">
        <v>15000</v>
      </c>
      <c r="X61" t="s">
        <v>107</v>
      </c>
      <c r="Y61" s="93">
        <f>(V62*2)-Y59</f>
        <v>107461.07</v>
      </c>
    </row>
    <row r="62" spans="1:25" x14ac:dyDescent="0.25">
      <c r="U62" t="s">
        <v>26</v>
      </c>
      <c r="V62" s="93">
        <v>90000</v>
      </c>
    </row>
    <row r="64" spans="1:25" x14ac:dyDescent="0.25">
      <c r="X64" s="133">
        <f>X56/'2024 Data'!AA57</f>
        <v>1.9634966672305869</v>
      </c>
    </row>
  </sheetData>
  <mergeCells count="4">
    <mergeCell ref="F2:I2"/>
    <mergeCell ref="K2:N2"/>
    <mergeCell ref="P2:S2"/>
    <mergeCell ref="U2:Y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93D5-381E-4D37-B236-2DAF2D15594D}">
  <sheetPr>
    <pageSetUpPr fitToPage="1"/>
  </sheetPr>
  <dimension ref="B1:X41"/>
  <sheetViews>
    <sheetView zoomScale="90" zoomScaleNormal="90" workbookViewId="0">
      <selection activeCell="AB33" sqref="AB33"/>
    </sheetView>
  </sheetViews>
  <sheetFormatPr defaultRowHeight="15" x14ac:dyDescent="0.25"/>
  <cols>
    <col min="1" max="1" width="1.7109375" customWidth="1"/>
    <col min="13" max="13" width="2.42578125" customWidth="1"/>
  </cols>
  <sheetData>
    <row r="1" spans="2:24" ht="26.25" x14ac:dyDescent="0.25">
      <c r="B1" s="94"/>
      <c r="C1" s="94"/>
      <c r="D1" s="94"/>
      <c r="E1" s="94"/>
      <c r="F1" s="211" t="s">
        <v>313</v>
      </c>
      <c r="G1" s="211"/>
      <c r="H1" s="211"/>
      <c r="I1" s="211"/>
      <c r="J1" s="211"/>
      <c r="K1" s="211"/>
      <c r="L1" s="211"/>
      <c r="M1" s="96" t="s">
        <v>27</v>
      </c>
      <c r="N1" s="212">
        <f ca="1">TODAY()</f>
        <v>46098</v>
      </c>
      <c r="O1" s="212"/>
      <c r="P1" s="212"/>
      <c r="Q1" s="212"/>
      <c r="R1" s="95"/>
      <c r="S1" s="95"/>
      <c r="T1" s="95"/>
      <c r="U1" s="95"/>
      <c r="V1" s="95"/>
      <c r="W1" s="95"/>
      <c r="X1" s="95"/>
    </row>
    <row r="2" spans="2:24" ht="9.75" customHeight="1" x14ac:dyDescent="0.25"/>
    <row r="3" spans="2:24" ht="18.75" x14ac:dyDescent="0.25">
      <c r="B3" s="213" t="s">
        <v>359</v>
      </c>
      <c r="C3" s="214"/>
      <c r="D3" s="214"/>
      <c r="E3" s="214"/>
      <c r="F3" s="214"/>
      <c r="G3" s="214"/>
      <c r="H3" s="214"/>
      <c r="I3" s="214"/>
      <c r="J3" s="214"/>
      <c r="K3" s="214"/>
      <c r="L3" s="215"/>
      <c r="N3" s="213" t="s">
        <v>322</v>
      </c>
      <c r="O3" s="214"/>
      <c r="P3" s="214"/>
      <c r="Q3" s="214"/>
      <c r="R3" s="214"/>
      <c r="S3" s="214"/>
      <c r="T3" s="214"/>
      <c r="U3" s="214"/>
      <c r="V3" s="214"/>
      <c r="W3" s="214"/>
      <c r="X3" s="215"/>
    </row>
    <row r="21" spans="2:24" x14ac:dyDescent="0.25">
      <c r="N21" s="216" t="s">
        <v>325</v>
      </c>
      <c r="O21" s="178"/>
      <c r="P21" s="178"/>
      <c r="Q21" s="178"/>
      <c r="R21" s="178"/>
      <c r="S21" s="178"/>
      <c r="T21" s="178"/>
      <c r="U21" s="178"/>
      <c r="V21" s="178"/>
      <c r="W21" s="178"/>
      <c r="X21" s="179"/>
    </row>
    <row r="23" spans="2:24" ht="18.75" x14ac:dyDescent="0.25">
      <c r="B23" s="213" t="s">
        <v>312</v>
      </c>
      <c r="C23" s="214"/>
      <c r="D23" s="214"/>
      <c r="E23" s="214"/>
      <c r="F23" s="214"/>
      <c r="G23" s="214"/>
      <c r="H23" s="214"/>
      <c r="I23" s="214"/>
      <c r="J23" s="214"/>
      <c r="K23" s="214"/>
      <c r="L23" s="215"/>
      <c r="N23" s="213" t="s">
        <v>311</v>
      </c>
      <c r="O23" s="214"/>
      <c r="P23" s="214"/>
      <c r="Q23" s="214"/>
      <c r="R23" s="214"/>
      <c r="S23" s="214"/>
      <c r="T23" s="214"/>
      <c r="U23" s="214"/>
      <c r="V23" s="214"/>
      <c r="W23" s="214"/>
      <c r="X23" s="215"/>
    </row>
    <row r="41" spans="2:24" x14ac:dyDescent="0.25">
      <c r="B41" s="205" t="s">
        <v>323</v>
      </c>
      <c r="C41" s="206"/>
      <c r="D41" s="206"/>
      <c r="E41" s="206"/>
      <c r="F41" s="206"/>
      <c r="G41" s="206"/>
      <c r="H41" s="206"/>
      <c r="I41" s="206"/>
      <c r="J41" s="206"/>
      <c r="K41" s="206"/>
      <c r="L41" s="207"/>
      <c r="N41" s="208" t="s">
        <v>324</v>
      </c>
      <c r="O41" s="209"/>
      <c r="P41" s="209"/>
      <c r="Q41" s="209"/>
      <c r="R41" s="209"/>
      <c r="S41" s="209"/>
      <c r="T41" s="209"/>
      <c r="U41" s="209"/>
      <c r="V41" s="209"/>
      <c r="W41" s="209"/>
      <c r="X41" s="210"/>
    </row>
  </sheetData>
  <mergeCells count="9">
    <mergeCell ref="F1:L1"/>
    <mergeCell ref="N1:Q1"/>
    <mergeCell ref="N23:X23"/>
    <mergeCell ref="N41:X41"/>
    <mergeCell ref="N3:X3"/>
    <mergeCell ref="N21:X21"/>
    <mergeCell ref="B23:L23"/>
    <mergeCell ref="B41:L41"/>
    <mergeCell ref="B3:L3"/>
  </mergeCells>
  <printOptions horizontalCentered="1"/>
  <pageMargins left="0.2" right="0.2" top="0.75" bottom="0.75" header="0.3" footer="0.3"/>
  <pageSetup paperSize="12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E5A7-5EF2-4573-8540-B92C105696AD}">
  <sheetPr>
    <pageSetUpPr fitToPage="1"/>
  </sheetPr>
  <dimension ref="B1:X40"/>
  <sheetViews>
    <sheetView zoomScale="90" zoomScaleNormal="90" workbookViewId="0">
      <selection activeCell="AB33" sqref="AB33"/>
    </sheetView>
  </sheetViews>
  <sheetFormatPr defaultRowHeight="15" x14ac:dyDescent="0.25"/>
  <cols>
    <col min="1" max="1" width="2.7109375" customWidth="1"/>
    <col min="12" max="12" width="9.140625" customWidth="1"/>
    <col min="13" max="13" width="2" customWidth="1"/>
    <col min="15" max="15" width="9.140625" customWidth="1"/>
  </cols>
  <sheetData>
    <row r="1" spans="2:24" ht="26.25" x14ac:dyDescent="0.25">
      <c r="B1" s="94"/>
      <c r="C1" s="94"/>
      <c r="D1" s="94"/>
      <c r="E1" s="94"/>
      <c r="F1" s="211" t="s">
        <v>313</v>
      </c>
      <c r="G1" s="211"/>
      <c r="H1" s="211"/>
      <c r="I1" s="211"/>
      <c r="J1" s="211"/>
      <c r="K1" s="211"/>
      <c r="L1" s="211"/>
      <c r="M1" s="96" t="s">
        <v>27</v>
      </c>
      <c r="N1" s="212">
        <f ca="1">TODAY()</f>
        <v>46098</v>
      </c>
      <c r="O1" s="212"/>
      <c r="P1" s="212"/>
      <c r="Q1" s="212"/>
      <c r="R1" s="95"/>
      <c r="S1" s="95"/>
      <c r="T1" s="95"/>
      <c r="U1" s="95"/>
      <c r="V1" s="95"/>
      <c r="W1" s="95"/>
      <c r="X1" s="95"/>
    </row>
    <row r="2" spans="2:24" ht="9.75" customHeight="1" x14ac:dyDescent="0.25"/>
    <row r="3" spans="2:24" ht="15.75" x14ac:dyDescent="0.25">
      <c r="B3" s="221" t="s">
        <v>356</v>
      </c>
      <c r="C3" s="221"/>
      <c r="D3" s="221"/>
      <c r="E3" s="221"/>
      <c r="F3" s="221"/>
      <c r="G3" s="221"/>
      <c r="H3" s="221"/>
      <c r="I3" s="221"/>
      <c r="J3" s="221"/>
      <c r="K3" s="221"/>
      <c r="L3" s="221"/>
      <c r="N3" s="222" t="s">
        <v>357</v>
      </c>
      <c r="O3" s="223"/>
      <c r="P3" s="223"/>
      <c r="Q3" s="223"/>
      <c r="R3" s="223"/>
      <c r="S3" s="223"/>
      <c r="T3" s="223"/>
      <c r="U3" s="223"/>
      <c r="V3" s="223"/>
      <c r="W3" s="223"/>
      <c r="X3" s="224"/>
    </row>
    <row r="21" spans="2:24" ht="10.5" customHeight="1" x14ac:dyDescent="0.25"/>
    <row r="22" spans="2:24" ht="6" customHeight="1" x14ac:dyDescent="0.25"/>
    <row r="23" spans="2:24" ht="15.75" x14ac:dyDescent="0.25">
      <c r="B23" s="221" t="s">
        <v>358</v>
      </c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N23" s="222" t="s">
        <v>326</v>
      </c>
      <c r="O23" s="223"/>
      <c r="P23" s="223"/>
      <c r="Q23" s="223"/>
      <c r="R23" s="223"/>
      <c r="S23" s="223"/>
      <c r="T23" s="223"/>
      <c r="U23" s="223"/>
      <c r="V23" s="223"/>
      <c r="W23" s="223"/>
      <c r="X23" s="224"/>
    </row>
    <row r="24" spans="2:24" ht="6" customHeight="1" x14ac:dyDescent="0.25"/>
    <row r="25" spans="2:24" ht="19.5" customHeight="1" x14ac:dyDescent="0.25">
      <c r="N25" s="220" t="s">
        <v>88</v>
      </c>
      <c r="O25" s="220"/>
      <c r="P25" s="220"/>
      <c r="Q25" s="220"/>
      <c r="R25" s="220"/>
      <c r="S25" s="220"/>
      <c r="T25" s="220"/>
      <c r="U25" s="220" t="s">
        <v>319</v>
      </c>
      <c r="V25" s="220"/>
      <c r="W25" s="220" t="s">
        <v>90</v>
      </c>
      <c r="X25" s="220"/>
    </row>
    <row r="26" spans="2:24" ht="15" customHeight="1" x14ac:dyDescent="0.25">
      <c r="N26" s="217" t="s">
        <v>354</v>
      </c>
      <c r="O26" s="217"/>
      <c r="P26" s="217"/>
      <c r="Q26" s="217"/>
      <c r="R26" s="217"/>
      <c r="S26" s="217"/>
      <c r="T26" s="217"/>
      <c r="U26" s="218" t="s">
        <v>355</v>
      </c>
      <c r="V26" s="218"/>
      <c r="W26" s="219">
        <v>45323</v>
      </c>
      <c r="X26" s="218"/>
    </row>
    <row r="27" spans="2:24" ht="15" customHeight="1" x14ac:dyDescent="0.25">
      <c r="N27" s="217"/>
      <c r="O27" s="217"/>
      <c r="P27" s="217"/>
      <c r="Q27" s="217"/>
      <c r="R27" s="217"/>
      <c r="S27" s="217"/>
      <c r="T27" s="217"/>
      <c r="U27" s="218"/>
      <c r="V27" s="218"/>
      <c r="W27" s="218"/>
      <c r="X27" s="218"/>
    </row>
    <row r="28" spans="2:24" ht="15" customHeight="1" x14ac:dyDescent="0.25">
      <c r="N28" s="217"/>
      <c r="O28" s="217"/>
      <c r="P28" s="217"/>
      <c r="Q28" s="217"/>
      <c r="R28" s="217"/>
      <c r="S28" s="217"/>
      <c r="T28" s="217"/>
      <c r="U28" s="218"/>
      <c r="V28" s="218"/>
      <c r="W28" s="218"/>
      <c r="X28" s="218"/>
    </row>
    <row r="29" spans="2:24" ht="15" customHeight="1" x14ac:dyDescent="0.25">
      <c r="N29" s="217" t="s">
        <v>338</v>
      </c>
      <c r="O29" s="217"/>
      <c r="P29" s="217"/>
      <c r="Q29" s="217"/>
      <c r="R29" s="217"/>
      <c r="S29" s="217"/>
      <c r="T29" s="217"/>
      <c r="U29" s="218" t="s">
        <v>330</v>
      </c>
      <c r="V29" s="218"/>
      <c r="W29" s="219">
        <v>45293</v>
      </c>
      <c r="X29" s="218"/>
    </row>
    <row r="30" spans="2:24" ht="15" customHeight="1" x14ac:dyDescent="0.25">
      <c r="N30" s="217"/>
      <c r="O30" s="217"/>
      <c r="P30" s="217"/>
      <c r="Q30" s="217"/>
      <c r="R30" s="217"/>
      <c r="S30" s="217"/>
      <c r="T30" s="217"/>
      <c r="U30" s="218"/>
      <c r="V30" s="218"/>
      <c r="W30" s="218"/>
      <c r="X30" s="218"/>
    </row>
    <row r="31" spans="2:24" ht="15" customHeight="1" x14ac:dyDescent="0.25">
      <c r="N31" s="217"/>
      <c r="O31" s="217"/>
      <c r="P31" s="217"/>
      <c r="Q31" s="217"/>
      <c r="R31" s="217"/>
      <c r="S31" s="217"/>
      <c r="T31" s="217"/>
      <c r="U31" s="218"/>
      <c r="V31" s="218"/>
      <c r="W31" s="218"/>
      <c r="X31" s="218"/>
    </row>
    <row r="32" spans="2:24" ht="15" customHeight="1" x14ac:dyDescent="0.25">
      <c r="N32" s="217" t="s">
        <v>339</v>
      </c>
      <c r="O32" s="217"/>
      <c r="P32" s="217"/>
      <c r="Q32" s="217"/>
      <c r="R32" s="217"/>
      <c r="S32" s="217"/>
      <c r="T32" s="217"/>
      <c r="U32" s="218" t="s">
        <v>340</v>
      </c>
      <c r="V32" s="218"/>
      <c r="W32" s="219">
        <v>45337</v>
      </c>
      <c r="X32" s="218"/>
    </row>
    <row r="33" spans="14:24" ht="15" customHeight="1" x14ac:dyDescent="0.25">
      <c r="N33" s="217"/>
      <c r="O33" s="217"/>
      <c r="P33" s="217"/>
      <c r="Q33" s="217"/>
      <c r="R33" s="217"/>
      <c r="S33" s="217"/>
      <c r="T33" s="217"/>
      <c r="U33" s="218"/>
      <c r="V33" s="218"/>
      <c r="W33" s="218"/>
      <c r="X33" s="218"/>
    </row>
    <row r="34" spans="14:24" ht="15" customHeight="1" x14ac:dyDescent="0.25">
      <c r="N34" s="217"/>
      <c r="O34" s="217"/>
      <c r="P34" s="217"/>
      <c r="Q34" s="217"/>
      <c r="R34" s="217"/>
      <c r="S34" s="217"/>
      <c r="T34" s="217"/>
      <c r="U34" s="218"/>
      <c r="V34" s="218"/>
      <c r="W34" s="218"/>
      <c r="X34" s="218"/>
    </row>
    <row r="35" spans="14:24" ht="15" customHeight="1" x14ac:dyDescent="0.25">
      <c r="N35" s="217"/>
      <c r="O35" s="217"/>
      <c r="P35" s="217"/>
      <c r="Q35" s="217"/>
      <c r="R35" s="217"/>
      <c r="S35" s="217"/>
      <c r="T35" s="217"/>
      <c r="U35" s="218"/>
      <c r="V35" s="218"/>
      <c r="W35" s="218"/>
      <c r="X35" s="218"/>
    </row>
    <row r="36" spans="14:24" ht="15" customHeight="1" x14ac:dyDescent="0.25">
      <c r="N36" s="217"/>
      <c r="O36" s="217"/>
      <c r="P36" s="217"/>
      <c r="Q36" s="217"/>
      <c r="R36" s="217"/>
      <c r="S36" s="217"/>
      <c r="T36" s="217"/>
      <c r="U36" s="218"/>
      <c r="V36" s="218"/>
      <c r="W36" s="218"/>
      <c r="X36" s="218"/>
    </row>
    <row r="37" spans="14:24" x14ac:dyDescent="0.25">
      <c r="N37" s="217"/>
      <c r="O37" s="217"/>
      <c r="P37" s="217"/>
      <c r="Q37" s="217"/>
      <c r="R37" s="217"/>
      <c r="S37" s="217"/>
      <c r="T37" s="217"/>
      <c r="U37" s="218"/>
      <c r="V37" s="218"/>
      <c r="W37" s="218"/>
      <c r="X37" s="218"/>
    </row>
    <row r="38" spans="14:24" x14ac:dyDescent="0.25">
      <c r="N38" s="217"/>
      <c r="O38" s="217"/>
      <c r="P38" s="217"/>
      <c r="Q38" s="217"/>
      <c r="R38" s="217"/>
      <c r="S38" s="217"/>
      <c r="T38" s="217"/>
      <c r="U38" s="218"/>
      <c r="V38" s="218"/>
      <c r="W38" s="218"/>
      <c r="X38" s="218"/>
    </row>
    <row r="39" spans="14:24" x14ac:dyDescent="0.25">
      <c r="N39" s="217"/>
      <c r="O39" s="217"/>
      <c r="P39" s="217"/>
      <c r="Q39" s="217"/>
      <c r="R39" s="217"/>
      <c r="S39" s="217"/>
      <c r="T39" s="217"/>
      <c r="U39" s="218"/>
      <c r="V39" s="218"/>
      <c r="W39" s="218"/>
      <c r="X39" s="218"/>
    </row>
    <row r="40" spans="14:24" x14ac:dyDescent="0.25">
      <c r="N40" s="217"/>
      <c r="O40" s="217"/>
      <c r="P40" s="217"/>
      <c r="Q40" s="217"/>
      <c r="R40" s="217"/>
      <c r="S40" s="217"/>
      <c r="T40" s="217"/>
      <c r="U40" s="218"/>
      <c r="V40" s="218"/>
      <c r="W40" s="218"/>
      <c r="X40" s="218"/>
    </row>
  </sheetData>
  <mergeCells count="24">
    <mergeCell ref="N1:Q1"/>
    <mergeCell ref="F1:L1"/>
    <mergeCell ref="N23:X23"/>
    <mergeCell ref="N35:T37"/>
    <mergeCell ref="U35:V37"/>
    <mergeCell ref="W35:X37"/>
    <mergeCell ref="N3:X3"/>
    <mergeCell ref="N25:T25"/>
    <mergeCell ref="U25:V25"/>
    <mergeCell ref="W25:X25"/>
    <mergeCell ref="B3:L3"/>
    <mergeCell ref="B23:L23"/>
    <mergeCell ref="N38:T40"/>
    <mergeCell ref="U38:V40"/>
    <mergeCell ref="W38:X40"/>
    <mergeCell ref="N26:T28"/>
    <mergeCell ref="U26:V28"/>
    <mergeCell ref="W26:X28"/>
    <mergeCell ref="N29:T31"/>
    <mergeCell ref="U29:V31"/>
    <mergeCell ref="W29:X31"/>
    <mergeCell ref="N32:T34"/>
    <mergeCell ref="U32:V34"/>
    <mergeCell ref="W32:X34"/>
  </mergeCells>
  <printOptions horizontalCentered="1"/>
  <pageMargins left="0.2" right="0.2" top="0.75" bottom="0.75" header="0.3" footer="0.3"/>
  <pageSetup paperSize="122" scale="98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G58"/>
  <sheetViews>
    <sheetView showGridLines="0" zoomScale="62" zoomScaleNormal="62" workbookViewId="0">
      <selection activeCell="B39" sqref="B39:O42"/>
    </sheetView>
  </sheetViews>
  <sheetFormatPr defaultRowHeight="15" x14ac:dyDescent="0.25"/>
  <cols>
    <col min="1" max="1" width="2.5703125" customWidth="1"/>
    <col min="14" max="14" width="11" bestFit="1" customWidth="1"/>
    <col min="16" max="16" width="3.42578125" customWidth="1"/>
  </cols>
  <sheetData>
    <row r="1" spans="2:33" ht="31.5" x14ac:dyDescent="0.25">
      <c r="B1" s="10"/>
      <c r="C1" s="10"/>
      <c r="D1" s="172" t="s">
        <v>50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TODAY()-8</f>
        <v>46090</v>
      </c>
      <c r="U1" s="173"/>
      <c r="V1" s="173"/>
      <c r="W1" s="173"/>
      <c r="X1" s="173"/>
      <c r="Y1" s="173"/>
      <c r="Z1" s="12"/>
      <c r="AA1" s="12"/>
      <c r="AB1" s="10"/>
      <c r="AC1" s="10"/>
      <c r="AD1" s="10"/>
      <c r="AE1" s="10"/>
      <c r="AF1" s="10"/>
      <c r="AG1" s="10"/>
    </row>
    <row r="2" spans="2:33" ht="14.25" customHeight="1" x14ac:dyDescent="0.25"/>
    <row r="3" spans="2:33" ht="27" customHeight="1" x14ac:dyDescent="0.25">
      <c r="B3" s="174" t="s">
        <v>336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350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30" spans="2:30" ht="27" customHeight="1" x14ac:dyDescent="0.25">
      <c r="B30" s="14"/>
      <c r="C30" s="19" t="s">
        <v>55</v>
      </c>
      <c r="D30" s="19"/>
      <c r="E30" s="23">
        <f>'2023 Data'!J56</f>
        <v>0.73</v>
      </c>
      <c r="F30" s="19"/>
      <c r="G30" s="19" t="s">
        <v>56</v>
      </c>
      <c r="H30" s="15"/>
      <c r="I30" s="15"/>
      <c r="J30" s="24">
        <f>'2023 Data'!L55</f>
        <v>0.74750000000000005</v>
      </c>
      <c r="K30" s="15"/>
      <c r="L30" s="19" t="s">
        <v>57</v>
      </c>
      <c r="M30" s="15"/>
      <c r="N30" s="24">
        <f>'2023 Data'!M55</f>
        <v>0.76375000000000004</v>
      </c>
      <c r="O30" s="16"/>
      <c r="Q30" s="18"/>
      <c r="R30" s="19" t="s">
        <v>51</v>
      </c>
      <c r="S30" s="20"/>
      <c r="T30" s="21">
        <f>'2023 Data'!AM55</f>
        <v>1114.92</v>
      </c>
      <c r="U30" s="20"/>
      <c r="V30" s="19" t="s">
        <v>53</v>
      </c>
      <c r="W30" s="20"/>
      <c r="X30" s="20"/>
      <c r="Y30" s="21">
        <f>'2023 Data'!AV15</f>
        <v>600</v>
      </c>
      <c r="Z30" s="20"/>
      <c r="AA30" s="19" t="s">
        <v>52</v>
      </c>
      <c r="AB30" s="20"/>
      <c r="AC30" s="21">
        <f>T30-Y30</f>
        <v>514.92000000000007</v>
      </c>
      <c r="AD30" s="22"/>
    </row>
    <row r="32" spans="2:30" hidden="1" x14ac:dyDescent="0.25"/>
    <row r="33" spans="2:15" hidden="1" x14ac:dyDescent="0.25"/>
    <row r="35" spans="2:15" ht="21" x14ac:dyDescent="0.25">
      <c r="B35" s="174" t="s">
        <v>91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</row>
    <row r="37" spans="2:15" x14ac:dyDescent="0.25">
      <c r="B37" s="166" t="s">
        <v>88</v>
      </c>
      <c r="C37" s="167"/>
      <c r="D37" s="167"/>
      <c r="E37" s="167"/>
      <c r="F37" s="167"/>
      <c r="G37" s="167"/>
      <c r="H37" s="167"/>
      <c r="I37" s="167"/>
      <c r="J37" s="167"/>
      <c r="K37" s="168"/>
      <c r="L37" s="166" t="s">
        <v>89</v>
      </c>
      <c r="M37" s="168"/>
      <c r="N37" s="166" t="s">
        <v>90</v>
      </c>
      <c r="O37" s="168"/>
    </row>
    <row r="38" spans="2:15" x14ac:dyDescent="0.25">
      <c r="B38" s="169"/>
      <c r="C38" s="170"/>
      <c r="D38" s="170"/>
      <c r="E38" s="170"/>
      <c r="F38" s="170"/>
      <c r="G38" s="170"/>
      <c r="H38" s="170"/>
      <c r="I38" s="170"/>
      <c r="J38" s="170"/>
      <c r="K38" s="171"/>
      <c r="L38" s="169"/>
      <c r="M38" s="171"/>
      <c r="N38" s="169"/>
      <c r="O38" s="171"/>
    </row>
    <row r="39" spans="2:15" ht="15" customHeight="1" x14ac:dyDescent="0.25">
      <c r="B39" s="198" t="s">
        <v>338</v>
      </c>
      <c r="C39" s="184"/>
      <c r="D39" s="184"/>
      <c r="E39" s="184"/>
      <c r="F39" s="184"/>
      <c r="G39" s="184"/>
      <c r="H39" s="184"/>
      <c r="I39" s="184"/>
      <c r="J39" s="184"/>
      <c r="K39" s="185"/>
      <c r="L39" s="192" t="s">
        <v>330</v>
      </c>
      <c r="M39" s="193"/>
      <c r="N39" s="160">
        <v>45293</v>
      </c>
      <c r="O39" s="161"/>
    </row>
    <row r="40" spans="2:15" ht="15" customHeight="1" x14ac:dyDescent="0.25">
      <c r="B40" s="186"/>
      <c r="C40" s="187"/>
      <c r="D40" s="187"/>
      <c r="E40" s="187"/>
      <c r="F40" s="187"/>
      <c r="G40" s="187"/>
      <c r="H40" s="187"/>
      <c r="I40" s="187"/>
      <c r="J40" s="187"/>
      <c r="K40" s="188"/>
      <c r="L40" s="194"/>
      <c r="M40" s="195"/>
      <c r="N40" s="162"/>
      <c r="O40" s="163"/>
    </row>
    <row r="41" spans="2:15" ht="15" customHeight="1" x14ac:dyDescent="0.25">
      <c r="B41" s="186"/>
      <c r="C41" s="187"/>
      <c r="D41" s="187"/>
      <c r="E41" s="187"/>
      <c r="F41" s="187"/>
      <c r="G41" s="187"/>
      <c r="H41" s="187"/>
      <c r="I41" s="187"/>
      <c r="J41" s="187"/>
      <c r="K41" s="188"/>
      <c r="L41" s="194"/>
      <c r="M41" s="195"/>
      <c r="N41" s="162"/>
      <c r="O41" s="163"/>
    </row>
    <row r="42" spans="2:15" ht="15" customHeight="1" x14ac:dyDescent="0.25">
      <c r="B42" s="189"/>
      <c r="C42" s="190"/>
      <c r="D42" s="190"/>
      <c r="E42" s="190"/>
      <c r="F42" s="190"/>
      <c r="G42" s="190"/>
      <c r="H42" s="190"/>
      <c r="I42" s="190"/>
      <c r="J42" s="190"/>
      <c r="K42" s="191"/>
      <c r="L42" s="196"/>
      <c r="M42" s="197"/>
      <c r="N42" s="164"/>
      <c r="O42" s="165"/>
    </row>
    <row r="43" spans="2:15" ht="15" customHeight="1" x14ac:dyDescent="0.25">
      <c r="B43" s="198" t="s">
        <v>332</v>
      </c>
      <c r="C43" s="184"/>
      <c r="D43" s="184"/>
      <c r="E43" s="184"/>
      <c r="F43" s="184"/>
      <c r="G43" s="184"/>
      <c r="H43" s="184"/>
      <c r="I43" s="184"/>
      <c r="J43" s="184"/>
      <c r="K43" s="185"/>
      <c r="L43" s="192" t="s">
        <v>329</v>
      </c>
      <c r="M43" s="193"/>
      <c r="N43" s="160">
        <v>45380</v>
      </c>
      <c r="O43" s="161"/>
    </row>
    <row r="44" spans="2:15" ht="15" customHeight="1" x14ac:dyDescent="0.25">
      <c r="B44" s="186"/>
      <c r="C44" s="187"/>
      <c r="D44" s="187"/>
      <c r="E44" s="187"/>
      <c r="F44" s="187"/>
      <c r="G44" s="187"/>
      <c r="H44" s="187"/>
      <c r="I44" s="187"/>
      <c r="J44" s="187"/>
      <c r="K44" s="188"/>
      <c r="L44" s="194"/>
      <c r="M44" s="195"/>
      <c r="N44" s="162"/>
      <c r="O44" s="163"/>
    </row>
    <row r="45" spans="2:15" ht="15" customHeight="1" x14ac:dyDescent="0.25">
      <c r="B45" s="186"/>
      <c r="C45" s="187"/>
      <c r="D45" s="187"/>
      <c r="E45" s="187"/>
      <c r="F45" s="187"/>
      <c r="G45" s="187"/>
      <c r="H45" s="187"/>
      <c r="I45" s="187"/>
      <c r="J45" s="187"/>
      <c r="K45" s="188"/>
      <c r="L45" s="194"/>
      <c r="M45" s="195"/>
      <c r="N45" s="162"/>
      <c r="O45" s="163"/>
    </row>
    <row r="46" spans="2:15" ht="15" customHeight="1" x14ac:dyDescent="0.25">
      <c r="B46" s="189"/>
      <c r="C46" s="190"/>
      <c r="D46" s="190"/>
      <c r="E46" s="190"/>
      <c r="F46" s="190"/>
      <c r="G46" s="190"/>
      <c r="H46" s="190"/>
      <c r="I46" s="190"/>
      <c r="J46" s="190"/>
      <c r="K46" s="191"/>
      <c r="L46" s="196"/>
      <c r="M46" s="197"/>
      <c r="N46" s="164"/>
      <c r="O46" s="165"/>
    </row>
    <row r="47" spans="2:15" ht="15" customHeight="1" x14ac:dyDescent="0.25">
      <c r="B47" s="145" t="s">
        <v>328</v>
      </c>
      <c r="C47" s="146"/>
      <c r="D47" s="146"/>
      <c r="E47" s="146"/>
      <c r="F47" s="146"/>
      <c r="G47" s="146"/>
      <c r="H47" s="146"/>
      <c r="I47" s="146"/>
      <c r="J47" s="146"/>
      <c r="K47" s="147"/>
      <c r="L47" s="192" t="s">
        <v>329</v>
      </c>
      <c r="M47" s="193"/>
      <c r="N47" s="160">
        <v>45380</v>
      </c>
      <c r="O47" s="161"/>
    </row>
    <row r="48" spans="2:15" ht="15" customHeight="1" x14ac:dyDescent="0.25">
      <c r="B48" s="148"/>
      <c r="C48" s="149"/>
      <c r="D48" s="149"/>
      <c r="E48" s="149"/>
      <c r="F48" s="149"/>
      <c r="G48" s="149"/>
      <c r="H48" s="149"/>
      <c r="I48" s="149"/>
      <c r="J48" s="149"/>
      <c r="K48" s="150"/>
      <c r="L48" s="194"/>
      <c r="M48" s="195"/>
      <c r="N48" s="162"/>
      <c r="O48" s="163"/>
    </row>
    <row r="49" spans="2:15" ht="15" customHeight="1" x14ac:dyDescent="0.25">
      <c r="B49" s="148"/>
      <c r="C49" s="149"/>
      <c r="D49" s="149"/>
      <c r="E49" s="149"/>
      <c r="F49" s="149"/>
      <c r="G49" s="149"/>
      <c r="H49" s="149"/>
      <c r="I49" s="149"/>
      <c r="J49" s="149"/>
      <c r="K49" s="150"/>
      <c r="L49" s="194"/>
      <c r="M49" s="195"/>
      <c r="N49" s="162"/>
      <c r="O49" s="163"/>
    </row>
    <row r="50" spans="2:15" ht="15" customHeight="1" x14ac:dyDescent="0.25">
      <c r="B50" s="151"/>
      <c r="C50" s="152"/>
      <c r="D50" s="152"/>
      <c r="E50" s="152"/>
      <c r="F50" s="152"/>
      <c r="G50" s="152"/>
      <c r="H50" s="152"/>
      <c r="I50" s="152"/>
      <c r="J50" s="152"/>
      <c r="K50" s="153"/>
      <c r="L50" s="196"/>
      <c r="M50" s="197"/>
      <c r="N50" s="164"/>
      <c r="O50" s="165"/>
    </row>
    <row r="51" spans="2:15" ht="15" customHeight="1" x14ac:dyDescent="0.25">
      <c r="B51" s="198" t="s">
        <v>339</v>
      </c>
      <c r="C51" s="184"/>
      <c r="D51" s="184"/>
      <c r="E51" s="184"/>
      <c r="F51" s="184"/>
      <c r="G51" s="184"/>
      <c r="H51" s="184"/>
      <c r="I51" s="184"/>
      <c r="J51" s="184"/>
      <c r="K51" s="185"/>
      <c r="L51" s="192" t="s">
        <v>340</v>
      </c>
      <c r="M51" s="193"/>
      <c r="N51" s="160">
        <v>45337</v>
      </c>
      <c r="O51" s="161"/>
    </row>
    <row r="52" spans="2:15" ht="15" customHeight="1" x14ac:dyDescent="0.25">
      <c r="B52" s="186"/>
      <c r="C52" s="187"/>
      <c r="D52" s="187"/>
      <c r="E52" s="187"/>
      <c r="F52" s="187"/>
      <c r="G52" s="187"/>
      <c r="H52" s="187"/>
      <c r="I52" s="187"/>
      <c r="J52" s="187"/>
      <c r="K52" s="188"/>
      <c r="L52" s="194"/>
      <c r="M52" s="195"/>
      <c r="N52" s="162"/>
      <c r="O52" s="163"/>
    </row>
    <row r="53" spans="2:15" ht="15" customHeight="1" x14ac:dyDescent="0.25">
      <c r="B53" s="186"/>
      <c r="C53" s="187"/>
      <c r="D53" s="187"/>
      <c r="E53" s="187"/>
      <c r="F53" s="187"/>
      <c r="G53" s="187"/>
      <c r="H53" s="187"/>
      <c r="I53" s="187"/>
      <c r="J53" s="187"/>
      <c r="K53" s="188"/>
      <c r="L53" s="194"/>
      <c r="M53" s="195"/>
      <c r="N53" s="162"/>
      <c r="O53" s="163"/>
    </row>
    <row r="54" spans="2:15" ht="15" customHeight="1" x14ac:dyDescent="0.25">
      <c r="B54" s="189"/>
      <c r="C54" s="190"/>
      <c r="D54" s="190"/>
      <c r="E54" s="190"/>
      <c r="F54" s="190"/>
      <c r="G54" s="190"/>
      <c r="H54" s="190"/>
      <c r="I54" s="190"/>
      <c r="J54" s="190"/>
      <c r="K54" s="191"/>
      <c r="L54" s="196"/>
      <c r="M54" s="197"/>
      <c r="N54" s="164"/>
      <c r="O54" s="165"/>
    </row>
    <row r="55" spans="2:15" x14ac:dyDescent="0.25">
      <c r="B55" s="198"/>
      <c r="C55" s="184"/>
      <c r="D55" s="184"/>
      <c r="E55" s="184"/>
      <c r="F55" s="184"/>
      <c r="G55" s="184"/>
      <c r="H55" s="184"/>
      <c r="I55" s="184"/>
      <c r="J55" s="184"/>
      <c r="K55" s="185"/>
      <c r="L55" s="192"/>
      <c r="M55" s="193"/>
      <c r="N55" s="160"/>
      <c r="O55" s="193"/>
    </row>
    <row r="56" spans="2:15" x14ac:dyDescent="0.25">
      <c r="B56" s="186"/>
      <c r="C56" s="187"/>
      <c r="D56" s="187"/>
      <c r="E56" s="187"/>
      <c r="F56" s="187"/>
      <c r="G56" s="187"/>
      <c r="H56" s="187"/>
      <c r="I56" s="187"/>
      <c r="J56" s="187"/>
      <c r="K56" s="188"/>
      <c r="L56" s="194"/>
      <c r="M56" s="195"/>
      <c r="N56" s="194"/>
      <c r="O56" s="195"/>
    </row>
    <row r="57" spans="2:15" x14ac:dyDescent="0.25">
      <c r="B57" s="186"/>
      <c r="C57" s="187"/>
      <c r="D57" s="187"/>
      <c r="E57" s="187"/>
      <c r="F57" s="187"/>
      <c r="G57" s="187"/>
      <c r="H57" s="187"/>
      <c r="I57" s="187"/>
      <c r="J57" s="187"/>
      <c r="K57" s="188"/>
      <c r="L57" s="194"/>
      <c r="M57" s="195"/>
      <c r="N57" s="194"/>
      <c r="O57" s="195"/>
    </row>
    <row r="58" spans="2:15" x14ac:dyDescent="0.25">
      <c r="B58" s="189"/>
      <c r="C58" s="190"/>
      <c r="D58" s="190"/>
      <c r="E58" s="190"/>
      <c r="F58" s="190"/>
      <c r="G58" s="190"/>
      <c r="H58" s="190"/>
      <c r="I58" s="190"/>
      <c r="J58" s="190"/>
      <c r="K58" s="191"/>
      <c r="L58" s="196"/>
      <c r="M58" s="197"/>
      <c r="N58" s="196"/>
      <c r="O58" s="197"/>
    </row>
  </sheetData>
  <mergeCells count="23">
    <mergeCell ref="D1:R1"/>
    <mergeCell ref="T1:Y1"/>
    <mergeCell ref="Q3:AD3"/>
    <mergeCell ref="B3:O3"/>
    <mergeCell ref="B35:O35"/>
    <mergeCell ref="B37:K38"/>
    <mergeCell ref="L37:M38"/>
    <mergeCell ref="N37:O38"/>
    <mergeCell ref="B39:K42"/>
    <mergeCell ref="L39:M42"/>
    <mergeCell ref="N39:O42"/>
    <mergeCell ref="B43:K46"/>
    <mergeCell ref="L43:M46"/>
    <mergeCell ref="N43:O46"/>
    <mergeCell ref="B47:K50"/>
    <mergeCell ref="L47:M50"/>
    <mergeCell ref="N47:O50"/>
    <mergeCell ref="B51:K54"/>
    <mergeCell ref="L51:M54"/>
    <mergeCell ref="N51:O54"/>
    <mergeCell ref="B55:K58"/>
    <mergeCell ref="L55:M58"/>
    <mergeCell ref="N55:O58"/>
  </mergeCells>
  <printOptions horizontalCentered="1"/>
  <pageMargins left="0.45" right="0.45" top="0.5" bottom="0.5" header="0.3" footer="0.3"/>
  <pageSetup paperSize="3" scale="7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20B3C5EC-A58A-4C75-BA0C-ABC045A19C01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ellIs" priority="3" operator="greaterThan" id="{6F18A083-C53D-456B-BFF5-CFAB93AA1AF2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greaterThan" id="{D552D8E4-5EEF-448B-9B22-8292529E8B3F}">
            <xm:f>'2020 Data'!$N$4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N30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51A1-88DC-46C0-AF53-DCAC3D87FAC8}">
  <dimension ref="A1:BZ176"/>
  <sheetViews>
    <sheetView topLeftCell="AK27" workbookViewId="0">
      <selection activeCell="BI15" sqref="BI15:BI63"/>
    </sheetView>
  </sheetViews>
  <sheetFormatPr defaultRowHeight="15" x14ac:dyDescent="0.25"/>
  <cols>
    <col min="2" max="2" width="12.85546875" customWidth="1"/>
    <col min="11" max="11" width="2.85546875" customWidth="1"/>
    <col min="16" max="16" width="2.5703125" customWidth="1"/>
    <col min="22" max="22" width="2.42578125" customWidth="1"/>
    <col min="26" max="26" width="2.7109375" customWidth="1"/>
    <col min="31" max="31" width="2.8554687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1" spans="1:78" x14ac:dyDescent="0.25">
      <c r="AZ1" s="181" t="s">
        <v>334</v>
      </c>
      <c r="BA1" s="182"/>
      <c r="BB1" s="182"/>
      <c r="BC1" s="182"/>
      <c r="BD1" s="182"/>
      <c r="BE1" s="182"/>
      <c r="BF1" s="183"/>
    </row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41</v>
      </c>
      <c r="AB2" s="178"/>
      <c r="AC2" s="178"/>
      <c r="AD2" s="179"/>
      <c r="AF2" s="177" t="s">
        <v>42</v>
      </c>
      <c r="AG2" s="178"/>
      <c r="AH2" s="178"/>
      <c r="AI2" s="179"/>
      <c r="AK2" s="177" t="s">
        <v>48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333</v>
      </c>
      <c r="O3" t="s">
        <v>7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7" t="s">
        <v>46</v>
      </c>
      <c r="AP3" s="7" t="s">
        <v>47</v>
      </c>
      <c r="AR3" t="s">
        <v>31</v>
      </c>
      <c r="AS3" t="s">
        <v>29</v>
      </c>
      <c r="AT3" t="s">
        <v>30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2023</v>
      </c>
      <c r="B4" s="13">
        <v>44928</v>
      </c>
      <c r="C4" s="115"/>
      <c r="D4" s="7">
        <v>1</v>
      </c>
      <c r="F4" s="5">
        <v>0.87</v>
      </c>
      <c r="G4" s="5">
        <v>0.87</v>
      </c>
      <c r="H4" s="5">
        <v>0.89</v>
      </c>
      <c r="I4" s="5">
        <v>0.83</v>
      </c>
      <c r="J4" s="6">
        <v>0.87</v>
      </c>
      <c r="K4" s="7"/>
      <c r="L4" s="7"/>
      <c r="M4" s="7"/>
      <c r="N4" s="9">
        <v>0.88</v>
      </c>
      <c r="O4" s="9">
        <v>0.95</v>
      </c>
      <c r="Q4" s="1"/>
      <c r="R4" s="1"/>
      <c r="S4" s="1"/>
      <c r="T4" s="1"/>
      <c r="U4" s="4"/>
      <c r="V4" s="4"/>
      <c r="W4" t="s">
        <v>8</v>
      </c>
      <c r="X4" s="5"/>
      <c r="Y4" s="5">
        <v>0.95</v>
      </c>
      <c r="AA4">
        <v>698.75</v>
      </c>
      <c r="AB4">
        <v>295.25</v>
      </c>
      <c r="AC4">
        <f>AA4+AB4</f>
        <v>994</v>
      </c>
      <c r="AD4" s="1">
        <f t="shared" ref="AD4:AD32" si="0">AB4/AC4</f>
        <v>0.29703219315895374</v>
      </c>
      <c r="AF4">
        <f>AA4</f>
        <v>698.75</v>
      </c>
      <c r="AG4">
        <f>AB4</f>
        <v>295.25</v>
      </c>
      <c r="AH4">
        <f>SUM(AF4:AG4)</f>
        <v>994</v>
      </c>
      <c r="AI4" s="1">
        <f t="shared" ref="AI4:AI56" si="1">AG4/AH4</f>
        <v>0.29703219315895374</v>
      </c>
      <c r="AK4" s="110">
        <f>'QC Data 2023'!K4</f>
        <v>11.17</v>
      </c>
      <c r="AL4" s="1">
        <f>AK4/AA4</f>
        <v>1.5985688729874777E-2</v>
      </c>
      <c r="AM4">
        <f>AK4</f>
        <v>11.17</v>
      </c>
      <c r="AN4" s="1">
        <f t="shared" ref="AN4:AN53" si="2">AM4/AF4</f>
        <v>1.5985688729874777E-2</v>
      </c>
      <c r="AO4">
        <v>15</v>
      </c>
      <c r="AP4">
        <f>AO4</f>
        <v>15</v>
      </c>
      <c r="AR4" t="s">
        <v>8</v>
      </c>
      <c r="AS4" s="110">
        <f>AK4+AK5+AK6+AK7</f>
        <v>107.92</v>
      </c>
      <c r="AT4">
        <v>50</v>
      </c>
      <c r="AU4">
        <f>AS4</f>
        <v>107.92</v>
      </c>
      <c r="AV4">
        <f>AT4</f>
        <v>50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3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4">VLOOKUP(BU4,Operation,2)</f>
        <v>Weld all Outside Seams</v>
      </c>
      <c r="BW4" s="65">
        <v>942.98291999726723</v>
      </c>
      <c r="BX4" s="65">
        <v>1390</v>
      </c>
      <c r="BY4" s="1">
        <f t="shared" ref="BY4:BY13" si="5">BW4/BX4</f>
        <v>0.67840497841530012</v>
      </c>
      <c r="BZ4" s="66">
        <f>BX4-BW4</f>
        <v>447.01708000273277</v>
      </c>
    </row>
    <row r="5" spans="1:78" x14ac:dyDescent="0.25">
      <c r="A5" s="7">
        <v>2023</v>
      </c>
      <c r="B5" s="13">
        <v>44935</v>
      </c>
      <c r="C5" s="116"/>
      <c r="D5" s="7">
        <v>2</v>
      </c>
      <c r="F5" s="5">
        <v>0.83</v>
      </c>
      <c r="G5" s="5">
        <v>0.74</v>
      </c>
      <c r="H5" s="5">
        <v>1.01</v>
      </c>
      <c r="I5" s="5">
        <v>1.5</v>
      </c>
      <c r="J5" s="6">
        <v>0.84</v>
      </c>
      <c r="K5" s="7"/>
      <c r="L5" s="7"/>
      <c r="M5" s="7"/>
      <c r="N5" s="9">
        <v>0.88</v>
      </c>
      <c r="O5" s="9">
        <v>0.95</v>
      </c>
      <c r="Q5" s="1"/>
      <c r="R5" s="1"/>
      <c r="S5" s="1"/>
      <c r="T5" s="1"/>
      <c r="U5" s="4"/>
      <c r="V5" s="4"/>
      <c r="W5" t="s">
        <v>9</v>
      </c>
      <c r="X5" s="5"/>
      <c r="Y5" s="5">
        <v>0.95</v>
      </c>
      <c r="AC5">
        <f t="shared" ref="AC5:AC56" si="6">AA5+AB5</f>
        <v>0</v>
      </c>
      <c r="AD5" s="1" t="e">
        <f t="shared" si="0"/>
        <v>#DIV/0!</v>
      </c>
      <c r="AF5">
        <f>AF4+AA5</f>
        <v>698.75</v>
      </c>
      <c r="AG5">
        <f>AG4+AB5</f>
        <v>295.25</v>
      </c>
      <c r="AH5">
        <f>AH4+AC5</f>
        <v>994</v>
      </c>
      <c r="AI5" s="1">
        <f t="shared" si="1"/>
        <v>0.29703219315895374</v>
      </c>
      <c r="AK5" s="110">
        <f>'QC Data 2023'!K5</f>
        <v>5.75</v>
      </c>
      <c r="AL5" s="1" t="e">
        <f t="shared" ref="AL5:AL33" si="7">AK5/AA5</f>
        <v>#DIV/0!</v>
      </c>
      <c r="AM5">
        <f t="shared" ref="AM5:AM27" si="8">AM4+AK5</f>
        <v>16.920000000000002</v>
      </c>
      <c r="AN5" s="1">
        <f t="shared" si="2"/>
        <v>2.4214669051878357E-2</v>
      </c>
      <c r="AO5">
        <v>15</v>
      </c>
      <c r="AP5">
        <f>AP4+AO5</f>
        <v>30</v>
      </c>
      <c r="AR5" t="s">
        <v>9</v>
      </c>
      <c r="AS5" s="110">
        <f>AK8+AK9+AK10+AK11</f>
        <v>47.25</v>
      </c>
      <c r="AT5">
        <v>50</v>
      </c>
      <c r="AU5" s="110">
        <f>AU4+AS5</f>
        <v>155.17000000000002</v>
      </c>
      <c r="AV5">
        <f>AV4+AT5</f>
        <v>100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3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4"/>
        <v>Tack Shell Courses</v>
      </c>
      <c r="BW5" s="65">
        <v>558</v>
      </c>
      <c r="BX5" s="65">
        <v>994.5</v>
      </c>
      <c r="BY5" s="1">
        <f t="shared" si="5"/>
        <v>0.56108597285067874</v>
      </c>
      <c r="BZ5" s="66">
        <f t="shared" ref="BZ5:BZ13" si="11">BX5-BW5</f>
        <v>436.5</v>
      </c>
    </row>
    <row r="6" spans="1:78" x14ac:dyDescent="0.25">
      <c r="A6" s="7">
        <v>2023</v>
      </c>
      <c r="B6" s="13">
        <v>44942</v>
      </c>
      <c r="C6" s="116" t="s">
        <v>8</v>
      </c>
      <c r="D6" s="7">
        <v>3</v>
      </c>
      <c r="F6" s="5">
        <v>0.72</v>
      </c>
      <c r="G6" s="5">
        <v>0.84</v>
      </c>
      <c r="H6" s="5">
        <v>0.94</v>
      </c>
      <c r="I6" s="5">
        <v>0.67</v>
      </c>
      <c r="J6" s="6">
        <v>0.86</v>
      </c>
      <c r="K6" s="7"/>
      <c r="L6" s="7"/>
      <c r="M6" s="7"/>
      <c r="N6" s="9">
        <v>0.88</v>
      </c>
      <c r="O6" s="9">
        <v>0.95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C6">
        <f t="shared" si="6"/>
        <v>0</v>
      </c>
      <c r="AD6" s="1" t="e">
        <f t="shared" si="0"/>
        <v>#DIV/0!</v>
      </c>
      <c r="AF6">
        <f t="shared" ref="AF6:AH21" si="12">AF5+AA6</f>
        <v>698.75</v>
      </c>
      <c r="AG6">
        <f t="shared" si="12"/>
        <v>295.25</v>
      </c>
      <c r="AH6">
        <f t="shared" si="12"/>
        <v>994</v>
      </c>
      <c r="AI6" s="1">
        <f t="shared" si="1"/>
        <v>0.29703219315895374</v>
      </c>
      <c r="AK6" s="110">
        <f>'QC Data 2023'!K6</f>
        <v>75.75</v>
      </c>
      <c r="AL6" s="1" t="e">
        <f t="shared" si="7"/>
        <v>#DIV/0!</v>
      </c>
      <c r="AM6">
        <f t="shared" si="8"/>
        <v>92.67</v>
      </c>
      <c r="AN6" s="1">
        <f t="shared" si="2"/>
        <v>0.13262254025044723</v>
      </c>
      <c r="AO6">
        <v>15</v>
      </c>
      <c r="AP6">
        <f t="shared" ref="AP6:AP56" si="13">AP5+AO6</f>
        <v>45</v>
      </c>
      <c r="AR6" t="s">
        <v>10</v>
      </c>
      <c r="AS6" s="110">
        <f>AK12+AK13+AK14+AK15+AK16</f>
        <v>118</v>
      </c>
      <c r="AT6">
        <v>50</v>
      </c>
      <c r="AU6" s="110">
        <f t="shared" ref="AU6:AV15" si="14">AU5+AS6</f>
        <v>273.17</v>
      </c>
      <c r="AV6">
        <f t="shared" si="14"/>
        <v>150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3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4"/>
        <v>Install Internal Parts</v>
      </c>
      <c r="BW6" s="65">
        <v>479.33818042422695</v>
      </c>
      <c r="BX6" s="65">
        <v>808</v>
      </c>
      <c r="BY6" s="1">
        <f t="shared" si="5"/>
        <v>0.59324032230721158</v>
      </c>
      <c r="BZ6" s="66">
        <f t="shared" si="11"/>
        <v>328.66181957577305</v>
      </c>
    </row>
    <row r="7" spans="1:78" x14ac:dyDescent="0.25">
      <c r="A7" s="7">
        <v>2023</v>
      </c>
      <c r="B7" s="13">
        <v>44949</v>
      </c>
      <c r="C7" s="116"/>
      <c r="D7" s="7">
        <v>4</v>
      </c>
      <c r="F7" s="5">
        <v>0.89</v>
      </c>
      <c r="G7" s="5">
        <v>0.84</v>
      </c>
      <c r="H7" s="5">
        <v>0.93</v>
      </c>
      <c r="I7" s="5">
        <v>0.77</v>
      </c>
      <c r="J7" s="6">
        <v>0.86</v>
      </c>
      <c r="K7" s="7"/>
      <c r="L7" s="8">
        <f t="shared" ref="L7:L27" si="15">AVERAGE(J4:J7)</f>
        <v>0.85749999999999993</v>
      </c>
      <c r="M7" s="7"/>
      <c r="N7" s="9">
        <v>0.88</v>
      </c>
      <c r="O7" s="9">
        <v>0.95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C7">
        <f t="shared" si="6"/>
        <v>0</v>
      </c>
      <c r="AD7" s="1" t="e">
        <f t="shared" si="0"/>
        <v>#DIV/0!</v>
      </c>
      <c r="AF7">
        <f t="shared" si="12"/>
        <v>698.75</v>
      </c>
      <c r="AG7">
        <f t="shared" si="12"/>
        <v>295.25</v>
      </c>
      <c r="AH7">
        <f t="shared" si="12"/>
        <v>994</v>
      </c>
      <c r="AI7" s="1">
        <f t="shared" si="1"/>
        <v>0.29703219315895374</v>
      </c>
      <c r="AK7" s="110">
        <f>'QC Data 2023'!K7</f>
        <v>15.25</v>
      </c>
      <c r="AL7" s="1" t="e">
        <f t="shared" si="7"/>
        <v>#DIV/0!</v>
      </c>
      <c r="AM7">
        <f t="shared" si="8"/>
        <v>107.92</v>
      </c>
      <c r="AN7" s="1">
        <f t="shared" si="2"/>
        <v>0.15444722719141324</v>
      </c>
      <c r="AO7">
        <v>15</v>
      </c>
      <c r="AP7">
        <f t="shared" si="13"/>
        <v>60</v>
      </c>
      <c r="AR7" t="s">
        <v>11</v>
      </c>
      <c r="AS7" s="110">
        <f>AK17+AK18+AK19+AK20</f>
        <v>68.5</v>
      </c>
      <c r="AT7">
        <v>50</v>
      </c>
      <c r="AU7" s="110">
        <f t="shared" si="14"/>
        <v>341.67</v>
      </c>
      <c r="AV7">
        <f t="shared" si="14"/>
        <v>200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3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4"/>
        <v>BI, SQ, T&amp;C Shells</v>
      </c>
      <c r="BW7" s="65">
        <v>971.16692466460245</v>
      </c>
      <c r="BX7" s="65">
        <v>1271</v>
      </c>
      <c r="BY7" s="1">
        <f t="shared" si="5"/>
        <v>0.76409671492100906</v>
      </c>
      <c r="BZ7" s="66">
        <f t="shared" si="11"/>
        <v>299.83307533539755</v>
      </c>
    </row>
    <row r="8" spans="1:78" x14ac:dyDescent="0.25">
      <c r="A8" s="7">
        <v>2023</v>
      </c>
      <c r="B8" s="13">
        <v>44956</v>
      </c>
      <c r="C8" s="117"/>
      <c r="D8" s="7">
        <v>5</v>
      </c>
      <c r="F8" s="5">
        <v>0.69</v>
      </c>
      <c r="G8" s="5">
        <v>0.92</v>
      </c>
      <c r="H8" s="5">
        <v>1.07</v>
      </c>
      <c r="I8" s="5">
        <v>0.64</v>
      </c>
      <c r="J8" s="6">
        <v>0.93</v>
      </c>
      <c r="K8" s="7"/>
      <c r="L8" s="8">
        <f t="shared" si="15"/>
        <v>0.87250000000000005</v>
      </c>
      <c r="M8" s="7"/>
      <c r="N8" s="9">
        <v>0.88</v>
      </c>
      <c r="O8" s="9">
        <v>0.95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2"/>
      <c r="AB8" s="2"/>
      <c r="AC8">
        <f t="shared" si="6"/>
        <v>0</v>
      </c>
      <c r="AD8" s="1" t="e">
        <f t="shared" si="0"/>
        <v>#DIV/0!</v>
      </c>
      <c r="AF8">
        <f t="shared" si="12"/>
        <v>698.75</v>
      </c>
      <c r="AG8">
        <f t="shared" si="12"/>
        <v>295.25</v>
      </c>
      <c r="AH8">
        <f t="shared" si="12"/>
        <v>994</v>
      </c>
      <c r="AI8" s="1">
        <f t="shared" si="1"/>
        <v>0.29703219315895374</v>
      </c>
      <c r="AK8" s="110">
        <f>'QC Data 2023'!K8</f>
        <v>22.75</v>
      </c>
      <c r="AL8" s="1" t="e">
        <f t="shared" si="7"/>
        <v>#DIV/0!</v>
      </c>
      <c r="AM8">
        <f t="shared" si="8"/>
        <v>130.67000000000002</v>
      </c>
      <c r="AN8" s="1">
        <f t="shared" si="2"/>
        <v>0.18700536672629697</v>
      </c>
      <c r="AO8">
        <v>15</v>
      </c>
      <c r="AP8">
        <f t="shared" si="13"/>
        <v>75</v>
      </c>
      <c r="AR8" t="s">
        <v>12</v>
      </c>
      <c r="AS8" s="110">
        <f>AK21+AK22+AK23+AK24</f>
        <v>14.5</v>
      </c>
      <c r="AT8">
        <v>50</v>
      </c>
      <c r="AU8" s="110">
        <f t="shared" si="14"/>
        <v>356.17</v>
      </c>
      <c r="AV8">
        <f t="shared" si="14"/>
        <v>250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3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4"/>
        <v>Move Tank to Detail Rolls</v>
      </c>
      <c r="BW8" s="65">
        <v>164.14545454545456</v>
      </c>
      <c r="BX8" s="65">
        <v>461.5</v>
      </c>
      <c r="BY8" s="1">
        <f t="shared" si="5"/>
        <v>0.35567812469220922</v>
      </c>
      <c r="BZ8" s="66">
        <f t="shared" si="11"/>
        <v>297.35454545454547</v>
      </c>
    </row>
    <row r="9" spans="1:78" x14ac:dyDescent="0.25">
      <c r="A9" s="7">
        <v>2023</v>
      </c>
      <c r="B9" s="13">
        <v>44963</v>
      </c>
      <c r="C9" s="115"/>
      <c r="D9" s="7">
        <v>6</v>
      </c>
      <c r="F9" s="5">
        <v>1.06</v>
      </c>
      <c r="G9" s="5">
        <v>0.96</v>
      </c>
      <c r="H9" s="5">
        <v>1.02</v>
      </c>
      <c r="I9" s="5">
        <v>0.43</v>
      </c>
      <c r="J9" s="6">
        <v>0.99</v>
      </c>
      <c r="K9" s="7"/>
      <c r="L9" s="8">
        <f>AVERAGE(J6:J9)</f>
        <v>0.90999999999999992</v>
      </c>
      <c r="M9" s="7"/>
      <c r="N9" s="9">
        <v>0.88</v>
      </c>
      <c r="O9" s="9">
        <v>0.95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2"/>
      <c r="AB9" s="2"/>
      <c r="AC9">
        <f t="shared" si="6"/>
        <v>0</v>
      </c>
      <c r="AD9" s="1" t="e">
        <f t="shared" si="0"/>
        <v>#DIV/0!</v>
      </c>
      <c r="AF9">
        <f t="shared" si="12"/>
        <v>698.75</v>
      </c>
      <c r="AG9">
        <f t="shared" si="12"/>
        <v>295.25</v>
      </c>
      <c r="AH9">
        <f t="shared" si="12"/>
        <v>994</v>
      </c>
      <c r="AI9" s="1">
        <f t="shared" si="1"/>
        <v>0.29703219315895374</v>
      </c>
      <c r="AK9" s="110">
        <f>'QC Data 2023'!K9</f>
        <v>6.5</v>
      </c>
      <c r="AL9" s="1" t="e">
        <f t="shared" si="7"/>
        <v>#DIV/0!</v>
      </c>
      <c r="AM9">
        <f t="shared" si="8"/>
        <v>137.17000000000002</v>
      </c>
      <c r="AN9" s="1">
        <f t="shared" si="2"/>
        <v>0.19630769230769232</v>
      </c>
      <c r="AO9">
        <v>15</v>
      </c>
      <c r="AP9">
        <f t="shared" si="13"/>
        <v>90</v>
      </c>
      <c r="AR9" t="s">
        <v>13</v>
      </c>
      <c r="AS9" s="110">
        <f>AK25+AK26+AK27+AK28+AK29</f>
        <v>102</v>
      </c>
      <c r="AT9">
        <v>50</v>
      </c>
      <c r="AU9" s="110">
        <f t="shared" si="14"/>
        <v>458.17</v>
      </c>
      <c r="AV9">
        <f t="shared" si="14"/>
        <v>300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3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4"/>
        <v>B&amp;C parts-lugs, supp, etc</v>
      </c>
      <c r="BW9" s="65">
        <v>769.92174030985382</v>
      </c>
      <c r="BX9" s="65">
        <v>1061</v>
      </c>
      <c r="BY9" s="1">
        <f t="shared" si="5"/>
        <v>0.72565668266715722</v>
      </c>
      <c r="BZ9" s="66">
        <f t="shared" si="11"/>
        <v>291.07825969014618</v>
      </c>
    </row>
    <row r="10" spans="1:78" x14ac:dyDescent="0.25">
      <c r="A10" s="7">
        <v>2023</v>
      </c>
      <c r="B10" s="13">
        <v>44970</v>
      </c>
      <c r="C10" s="116" t="s">
        <v>9</v>
      </c>
      <c r="D10" s="7">
        <v>7</v>
      </c>
      <c r="F10" s="5">
        <v>0.98</v>
      </c>
      <c r="G10" s="5">
        <v>0.87</v>
      </c>
      <c r="H10" s="5">
        <v>0.81</v>
      </c>
      <c r="I10" s="5">
        <v>0.25</v>
      </c>
      <c r="J10" s="34">
        <v>0.81</v>
      </c>
      <c r="K10" s="7"/>
      <c r="L10" s="8">
        <f t="shared" si="15"/>
        <v>0.89750000000000008</v>
      </c>
      <c r="M10" s="7"/>
      <c r="N10" s="9">
        <v>0.88</v>
      </c>
      <c r="O10" s="9">
        <v>0.95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/>
      <c r="AB10" s="2"/>
      <c r="AC10">
        <f t="shared" si="6"/>
        <v>0</v>
      </c>
      <c r="AD10" s="1" t="e">
        <f t="shared" si="0"/>
        <v>#DIV/0!</v>
      </c>
      <c r="AF10">
        <f t="shared" si="12"/>
        <v>698.75</v>
      </c>
      <c r="AG10">
        <f t="shared" si="12"/>
        <v>295.25</v>
      </c>
      <c r="AH10">
        <f t="shared" si="12"/>
        <v>994</v>
      </c>
      <c r="AI10" s="1">
        <f t="shared" si="1"/>
        <v>0.29703219315895374</v>
      </c>
      <c r="AK10" s="110">
        <f>'QC Data 2023'!K10</f>
        <v>8</v>
      </c>
      <c r="AL10" s="1" t="e">
        <f t="shared" si="7"/>
        <v>#DIV/0!</v>
      </c>
      <c r="AM10">
        <f t="shared" si="8"/>
        <v>145.17000000000002</v>
      </c>
      <c r="AN10" s="1">
        <f t="shared" si="2"/>
        <v>0.20775670840787122</v>
      </c>
      <c r="AO10">
        <v>15</v>
      </c>
      <c r="AP10">
        <f t="shared" si="13"/>
        <v>105</v>
      </c>
      <c r="AR10" t="s">
        <v>14</v>
      </c>
      <c r="AS10" s="110">
        <f>AK30+AK31+AK32+AK33</f>
        <v>32.5</v>
      </c>
      <c r="AT10">
        <v>50</v>
      </c>
      <c r="AU10" s="110">
        <f t="shared" si="14"/>
        <v>490.67</v>
      </c>
      <c r="AV10">
        <f t="shared" si="14"/>
        <v>350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3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4"/>
        <v>Fit Bottom Head to Shell</v>
      </c>
      <c r="BW10" s="65">
        <v>732.67698412698417</v>
      </c>
      <c r="BX10" s="65">
        <v>1012</v>
      </c>
      <c r="BY10" s="1">
        <f t="shared" si="5"/>
        <v>0.7239891147499844</v>
      </c>
      <c r="BZ10" s="66">
        <f t="shared" si="11"/>
        <v>279.32301587301583</v>
      </c>
    </row>
    <row r="11" spans="1:78" x14ac:dyDescent="0.25">
      <c r="A11" s="7">
        <v>2023</v>
      </c>
      <c r="B11" s="13">
        <v>44977</v>
      </c>
      <c r="C11" s="116"/>
      <c r="D11" s="7">
        <v>8</v>
      </c>
      <c r="F11" s="5">
        <v>0.42</v>
      </c>
      <c r="G11" s="5">
        <v>0.96</v>
      </c>
      <c r="H11" s="5">
        <v>0.82</v>
      </c>
      <c r="I11" s="5">
        <v>1</v>
      </c>
      <c r="J11" s="6">
        <v>0.91</v>
      </c>
      <c r="K11" s="7"/>
      <c r="L11" s="8">
        <f t="shared" si="15"/>
        <v>0.91</v>
      </c>
      <c r="M11" s="8">
        <f t="shared" ref="M11:M56" si="16">AVERAGE(J4:J11)</f>
        <v>0.88375000000000004</v>
      </c>
      <c r="N11" s="9">
        <v>0.88</v>
      </c>
      <c r="O11" s="9">
        <v>0.95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2"/>
      <c r="AB11" s="2"/>
      <c r="AC11">
        <f t="shared" si="6"/>
        <v>0</v>
      </c>
      <c r="AD11" s="1" t="e">
        <f t="shared" si="0"/>
        <v>#DIV/0!</v>
      </c>
      <c r="AF11">
        <f t="shared" si="12"/>
        <v>698.75</v>
      </c>
      <c r="AG11">
        <f t="shared" si="12"/>
        <v>295.25</v>
      </c>
      <c r="AH11">
        <f t="shared" si="12"/>
        <v>994</v>
      </c>
      <c r="AI11" s="1">
        <f t="shared" si="1"/>
        <v>0.29703219315895374</v>
      </c>
      <c r="AK11" s="110">
        <f>'QC Data 2023'!K11</f>
        <v>10</v>
      </c>
      <c r="AL11" s="1" t="e">
        <f t="shared" si="7"/>
        <v>#DIV/0!</v>
      </c>
      <c r="AM11">
        <f t="shared" si="8"/>
        <v>155.17000000000002</v>
      </c>
      <c r="AN11" s="1">
        <f t="shared" si="2"/>
        <v>0.22206797853309485</v>
      </c>
      <c r="AO11">
        <v>15</v>
      </c>
      <c r="AP11">
        <f t="shared" si="13"/>
        <v>120</v>
      </c>
      <c r="AR11" t="s">
        <v>15</v>
      </c>
      <c r="AS11" s="110">
        <f>AK34+AK35+AK36+AK37</f>
        <v>124</v>
      </c>
      <c r="AT11">
        <v>50</v>
      </c>
      <c r="AU11" s="110">
        <f t="shared" si="14"/>
        <v>614.67000000000007</v>
      </c>
      <c r="AV11">
        <f t="shared" si="14"/>
        <v>400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3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4"/>
        <v>Weld Shell Nozz &amp; M/Ws</v>
      </c>
      <c r="BW11" s="65">
        <v>974.8</v>
      </c>
      <c r="BX11" s="65">
        <v>1225.25</v>
      </c>
      <c r="BY11" s="1">
        <f t="shared" si="5"/>
        <v>0.79559273617629056</v>
      </c>
      <c r="BZ11" s="66">
        <f t="shared" si="11"/>
        <v>250.45000000000005</v>
      </c>
    </row>
    <row r="12" spans="1:78" x14ac:dyDescent="0.25">
      <c r="A12" s="7">
        <v>2023</v>
      </c>
      <c r="B12" s="13">
        <v>44984</v>
      </c>
      <c r="C12" s="117"/>
      <c r="D12" s="7">
        <v>9</v>
      </c>
      <c r="F12" s="5">
        <v>0.66</v>
      </c>
      <c r="G12" s="5">
        <v>0.91</v>
      </c>
      <c r="H12" s="5">
        <v>0.83</v>
      </c>
      <c r="I12" s="5">
        <v>0.76</v>
      </c>
      <c r="J12" s="6">
        <v>0.87</v>
      </c>
      <c r="K12" s="7"/>
      <c r="L12" s="8">
        <f t="shared" si="15"/>
        <v>0.89500000000000002</v>
      </c>
      <c r="M12" s="8">
        <f t="shared" si="16"/>
        <v>0.88375000000000015</v>
      </c>
      <c r="N12" s="9">
        <v>0.88</v>
      </c>
      <c r="O12" s="9">
        <v>0.95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2"/>
      <c r="AB12" s="2"/>
      <c r="AC12">
        <f t="shared" si="6"/>
        <v>0</v>
      </c>
      <c r="AD12" s="1" t="e">
        <f t="shared" si="0"/>
        <v>#DIV/0!</v>
      </c>
      <c r="AF12">
        <f t="shared" si="12"/>
        <v>698.75</v>
      </c>
      <c r="AG12">
        <f t="shared" si="12"/>
        <v>295.25</v>
      </c>
      <c r="AH12">
        <f t="shared" si="12"/>
        <v>994</v>
      </c>
      <c r="AI12" s="1">
        <f t="shared" si="1"/>
        <v>0.29703219315895374</v>
      </c>
      <c r="AK12" s="110">
        <f>'QC Data 2023'!K12</f>
        <v>1</v>
      </c>
      <c r="AL12" s="1" t="e">
        <f t="shared" si="7"/>
        <v>#DIV/0!</v>
      </c>
      <c r="AM12">
        <f t="shared" si="8"/>
        <v>156.17000000000002</v>
      </c>
      <c r="AN12" s="1">
        <f t="shared" si="2"/>
        <v>0.22349910554561719</v>
      </c>
      <c r="AO12">
        <v>15</v>
      </c>
      <c r="AP12">
        <f t="shared" si="13"/>
        <v>135</v>
      </c>
      <c r="AR12" t="s">
        <v>16</v>
      </c>
      <c r="AS12" s="110">
        <f>AK38+AK39+AK40+AK41+AK42</f>
        <v>330.75</v>
      </c>
      <c r="AT12">
        <v>50</v>
      </c>
      <c r="AU12" s="110">
        <f t="shared" si="14"/>
        <v>945.42000000000007</v>
      </c>
      <c r="AV12">
        <f t="shared" si="14"/>
        <v>450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3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4"/>
        <v>Build Nozzles-Weld</v>
      </c>
      <c r="BW12" s="65">
        <v>958.03205989859259</v>
      </c>
      <c r="BX12" s="65">
        <v>1184.75</v>
      </c>
      <c r="BY12" s="1">
        <f t="shared" si="5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2023</v>
      </c>
      <c r="B13" s="13">
        <v>44991</v>
      </c>
      <c r="C13" s="115"/>
      <c r="D13" s="7">
        <v>10</v>
      </c>
      <c r="F13" s="33">
        <v>0.85</v>
      </c>
      <c r="G13" s="33">
        <v>0.92</v>
      </c>
      <c r="H13" s="33">
        <v>0.83</v>
      </c>
      <c r="I13" s="33">
        <v>0.67</v>
      </c>
      <c r="J13" s="34">
        <v>0.87</v>
      </c>
      <c r="K13" s="7"/>
      <c r="L13" s="8">
        <f t="shared" si="15"/>
        <v>0.8650000000000001</v>
      </c>
      <c r="M13" s="8">
        <f t="shared" si="16"/>
        <v>0.88749999999999996</v>
      </c>
      <c r="N13" s="9">
        <v>0.88</v>
      </c>
      <c r="O13" s="35">
        <v>0.95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2"/>
      <c r="AB13" s="2"/>
      <c r="AC13">
        <f t="shared" si="6"/>
        <v>0</v>
      </c>
      <c r="AD13" s="36" t="e">
        <f t="shared" si="0"/>
        <v>#DIV/0!</v>
      </c>
      <c r="AF13">
        <f t="shared" si="12"/>
        <v>698.75</v>
      </c>
      <c r="AG13">
        <f t="shared" si="12"/>
        <v>295.25</v>
      </c>
      <c r="AH13">
        <f t="shared" si="12"/>
        <v>994</v>
      </c>
      <c r="AI13" s="36">
        <f>AG13/AH13</f>
        <v>0.29703219315895374</v>
      </c>
      <c r="AK13" s="110">
        <f>'QC Data 2023'!K13</f>
        <v>0</v>
      </c>
      <c r="AL13" s="36" t="e">
        <f t="shared" si="7"/>
        <v>#DIV/0!</v>
      </c>
      <c r="AM13">
        <f t="shared" si="8"/>
        <v>156.17000000000002</v>
      </c>
      <c r="AN13" s="36">
        <f t="shared" si="2"/>
        <v>0.22349910554561719</v>
      </c>
      <c r="AO13">
        <v>15</v>
      </c>
      <c r="AP13">
        <f t="shared" si="13"/>
        <v>150</v>
      </c>
      <c r="AR13" t="s">
        <v>17</v>
      </c>
      <c r="AS13">
        <f>AK43+AK44+AK45+AK46</f>
        <v>54.5</v>
      </c>
      <c r="AT13">
        <v>50</v>
      </c>
      <c r="AU13" s="110">
        <f t="shared" si="14"/>
        <v>999.92000000000007</v>
      </c>
      <c r="AV13">
        <f t="shared" si="14"/>
        <v>500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3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4"/>
        <v>Fit Top to Shell-Weld</v>
      </c>
      <c r="BW13" s="65">
        <v>539.9</v>
      </c>
      <c r="BX13" s="65">
        <v>753.75</v>
      </c>
      <c r="BY13" s="36">
        <f t="shared" si="5"/>
        <v>0.71628524046434494</v>
      </c>
      <c r="BZ13" s="66">
        <f t="shared" si="11"/>
        <v>213.85000000000002</v>
      </c>
    </row>
    <row r="14" spans="1:78" x14ac:dyDescent="0.25">
      <c r="A14" s="7">
        <v>2023</v>
      </c>
      <c r="B14" s="13">
        <v>44998</v>
      </c>
      <c r="C14" s="116" t="s">
        <v>10</v>
      </c>
      <c r="D14" s="7">
        <v>11</v>
      </c>
      <c r="F14" s="5">
        <v>0.84</v>
      </c>
      <c r="G14" s="5">
        <v>0.85</v>
      </c>
      <c r="H14" s="5">
        <v>0.91</v>
      </c>
      <c r="I14" s="5">
        <v>1.0900000000000001</v>
      </c>
      <c r="J14" s="6">
        <v>0.85</v>
      </c>
      <c r="K14" s="7"/>
      <c r="L14" s="8">
        <f t="shared" si="15"/>
        <v>0.875</v>
      </c>
      <c r="M14" s="8">
        <f t="shared" si="16"/>
        <v>0.88624999999999998</v>
      </c>
      <c r="N14" s="9">
        <v>0.88</v>
      </c>
      <c r="O14" s="9">
        <v>0.95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/>
      <c r="AB14" s="2"/>
      <c r="AC14">
        <f t="shared" si="6"/>
        <v>0</v>
      </c>
      <c r="AD14" s="1" t="e">
        <f t="shared" si="0"/>
        <v>#DIV/0!</v>
      </c>
      <c r="AF14">
        <f t="shared" si="12"/>
        <v>698.75</v>
      </c>
      <c r="AG14">
        <f t="shared" si="12"/>
        <v>295.25</v>
      </c>
      <c r="AH14">
        <f t="shared" si="12"/>
        <v>994</v>
      </c>
      <c r="AI14" s="1">
        <f t="shared" si="1"/>
        <v>0.29703219315895374</v>
      </c>
      <c r="AK14" s="110">
        <f>'QC Data 2023'!K14</f>
        <v>5</v>
      </c>
      <c r="AL14" s="1" t="e">
        <f t="shared" si="7"/>
        <v>#DIV/0!</v>
      </c>
      <c r="AM14">
        <f t="shared" si="8"/>
        <v>161.17000000000002</v>
      </c>
      <c r="AN14" s="1">
        <f t="shared" si="2"/>
        <v>0.23065474060822899</v>
      </c>
      <c r="AO14">
        <v>15</v>
      </c>
      <c r="AP14">
        <f t="shared" si="13"/>
        <v>165</v>
      </c>
      <c r="AR14" t="s">
        <v>18</v>
      </c>
      <c r="AS14">
        <f>AK47+AK48+AK49+AK50</f>
        <v>44.5</v>
      </c>
      <c r="AT14">
        <v>50</v>
      </c>
      <c r="AU14" s="110">
        <f t="shared" si="14"/>
        <v>1044.42</v>
      </c>
      <c r="AV14">
        <f t="shared" si="14"/>
        <v>550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3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2023</v>
      </c>
      <c r="B15" s="13">
        <v>45005</v>
      </c>
      <c r="C15" s="118"/>
      <c r="D15" s="7">
        <v>12</v>
      </c>
      <c r="F15" s="5">
        <v>0.83</v>
      </c>
      <c r="G15" s="5">
        <v>0.87</v>
      </c>
      <c r="H15" s="5">
        <v>0.95</v>
      </c>
      <c r="I15" s="5">
        <v>0.52</v>
      </c>
      <c r="J15" s="6">
        <v>0.84</v>
      </c>
      <c r="L15" s="8">
        <f t="shared" si="15"/>
        <v>0.85749999999999993</v>
      </c>
      <c r="M15" s="8">
        <f t="shared" si="16"/>
        <v>0.88374999999999992</v>
      </c>
      <c r="N15" s="9">
        <v>0.88</v>
      </c>
      <c r="O15" s="9">
        <v>0.95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/>
      <c r="AB15" s="2"/>
      <c r="AC15">
        <f t="shared" si="6"/>
        <v>0</v>
      </c>
      <c r="AD15" s="1" t="e">
        <f t="shared" si="0"/>
        <v>#DIV/0!</v>
      </c>
      <c r="AF15">
        <f t="shared" si="12"/>
        <v>698.75</v>
      </c>
      <c r="AG15">
        <f t="shared" si="12"/>
        <v>295.25</v>
      </c>
      <c r="AH15">
        <f t="shared" si="12"/>
        <v>994</v>
      </c>
      <c r="AI15" s="1">
        <f t="shared" si="1"/>
        <v>0.29703219315895374</v>
      </c>
      <c r="AK15" s="110">
        <f>'QC Data 2023'!K15</f>
        <v>35.5</v>
      </c>
      <c r="AL15" s="1" t="e">
        <f t="shared" si="7"/>
        <v>#DIV/0!</v>
      </c>
      <c r="AM15">
        <f t="shared" si="8"/>
        <v>196.67000000000002</v>
      </c>
      <c r="AN15" s="1">
        <f t="shared" si="2"/>
        <v>0.28145974955277281</v>
      </c>
      <c r="AO15">
        <v>15</v>
      </c>
      <c r="AP15">
        <f t="shared" si="13"/>
        <v>180</v>
      </c>
      <c r="AR15" t="s">
        <v>19</v>
      </c>
      <c r="AS15">
        <f>AK51+AK52+AK53+AK54+AK55</f>
        <v>70.5</v>
      </c>
      <c r="AT15">
        <v>50</v>
      </c>
      <c r="AU15" s="110">
        <f t="shared" si="14"/>
        <v>1114.92</v>
      </c>
      <c r="AV15">
        <f t="shared" si="14"/>
        <v>600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3"/>
        <v>0</v>
      </c>
      <c r="BF15" s="77">
        <f>3063.25+238</f>
        <v>3301.25</v>
      </c>
      <c r="BG15" s="7">
        <f t="shared" ref="BG15:BG33" si="17">SUM(BB4:BB15)</f>
        <v>2</v>
      </c>
      <c r="BH15" s="28">
        <f t="shared" ref="BH15:BH45" si="18">SUM(BF4:BF15)</f>
        <v>46931.5</v>
      </c>
      <c r="BI15" s="29">
        <f>BG15*200000/(BH15+1280)</f>
        <v>8.2967756655569733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2023</v>
      </c>
      <c r="B16" s="13">
        <v>45012</v>
      </c>
      <c r="C16" s="117"/>
      <c r="D16" s="7">
        <v>13</v>
      </c>
      <c r="F16" s="5">
        <v>0.79</v>
      </c>
      <c r="G16" s="5">
        <v>0.85</v>
      </c>
      <c r="H16" s="5">
        <v>1.04</v>
      </c>
      <c r="I16" s="5">
        <v>0.68</v>
      </c>
      <c r="J16" s="6">
        <v>0.9</v>
      </c>
      <c r="L16" s="8">
        <f t="shared" si="15"/>
        <v>0.86499999999999999</v>
      </c>
      <c r="M16" s="8">
        <f t="shared" si="16"/>
        <v>0.88</v>
      </c>
      <c r="N16" s="9">
        <v>0.88</v>
      </c>
      <c r="O16" s="9">
        <v>0.95</v>
      </c>
      <c r="Q16" s="1"/>
      <c r="R16" s="1"/>
      <c r="S16" s="1"/>
      <c r="T16" s="1"/>
      <c r="U16" s="4"/>
      <c r="V16" s="4"/>
      <c r="W16" s="4"/>
      <c r="X16" s="4"/>
      <c r="Y16" s="4"/>
      <c r="AA16" s="2"/>
      <c r="AB16" s="2"/>
      <c r="AC16">
        <f t="shared" si="6"/>
        <v>0</v>
      </c>
      <c r="AD16" s="1" t="e">
        <f t="shared" si="0"/>
        <v>#DIV/0!</v>
      </c>
      <c r="AF16">
        <f t="shared" si="12"/>
        <v>698.75</v>
      </c>
      <c r="AG16">
        <f t="shared" si="12"/>
        <v>295.25</v>
      </c>
      <c r="AH16">
        <f t="shared" si="12"/>
        <v>994</v>
      </c>
      <c r="AI16" s="1">
        <f t="shared" si="1"/>
        <v>0.29703219315895374</v>
      </c>
      <c r="AK16" s="110">
        <f>'QC Data 2023'!K16</f>
        <v>76.5</v>
      </c>
      <c r="AL16" s="1" t="e">
        <f t="shared" si="7"/>
        <v>#DIV/0!</v>
      </c>
      <c r="AM16">
        <f t="shared" si="8"/>
        <v>273.17</v>
      </c>
      <c r="AN16" s="1">
        <f t="shared" si="2"/>
        <v>0.39094096601073347</v>
      </c>
      <c r="AO16">
        <v>15</v>
      </c>
      <c r="AP16">
        <f t="shared" si="13"/>
        <v>195</v>
      </c>
      <c r="AZ16" s="69">
        <v>2020</v>
      </c>
      <c r="BA16" s="70" t="s">
        <v>8</v>
      </c>
      <c r="BB16" s="70">
        <v>0</v>
      </c>
      <c r="BC16" s="70">
        <v>1</v>
      </c>
      <c r="BD16" s="70">
        <v>0</v>
      </c>
      <c r="BE16" s="70">
        <f t="shared" si="3"/>
        <v>1</v>
      </c>
      <c r="BF16" s="78">
        <f>3060.5+785.25</f>
        <v>3845.75</v>
      </c>
      <c r="BG16" s="7">
        <f t="shared" si="17"/>
        <v>2</v>
      </c>
      <c r="BH16" s="28">
        <f t="shared" si="18"/>
        <v>47165</v>
      </c>
      <c r="BI16" s="29">
        <f t="shared" ref="BI16:BI63" si="19">BG16*200000/(BH16+1280)</f>
        <v>8.2567860460315821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2023</v>
      </c>
      <c r="B17" s="13">
        <v>45019</v>
      </c>
      <c r="C17" s="115"/>
      <c r="D17" s="7">
        <v>14</v>
      </c>
      <c r="F17" s="33">
        <v>0.51</v>
      </c>
      <c r="G17" s="33">
        <v>0.74</v>
      </c>
      <c r="H17" s="33">
        <v>0.92</v>
      </c>
      <c r="I17" s="33">
        <v>0.88</v>
      </c>
      <c r="J17" s="34">
        <v>0.76</v>
      </c>
      <c r="L17" s="8">
        <f t="shared" si="15"/>
        <v>0.83749999999999991</v>
      </c>
      <c r="M17" s="8">
        <f t="shared" si="16"/>
        <v>0.85125000000000006</v>
      </c>
      <c r="N17" s="9">
        <v>0.88</v>
      </c>
      <c r="O17" s="35">
        <v>0.95</v>
      </c>
      <c r="Q17" s="36"/>
      <c r="R17" s="36"/>
      <c r="S17" s="36"/>
      <c r="T17" s="36"/>
      <c r="U17" s="99"/>
      <c r="V17" s="99"/>
      <c r="W17" s="99"/>
      <c r="X17" s="99"/>
      <c r="Y17" s="99"/>
      <c r="AA17" s="2"/>
      <c r="AB17" s="2"/>
      <c r="AC17">
        <f t="shared" si="6"/>
        <v>0</v>
      </c>
      <c r="AD17" s="36" t="e">
        <f t="shared" si="0"/>
        <v>#DIV/0!</v>
      </c>
      <c r="AF17">
        <f t="shared" si="12"/>
        <v>698.75</v>
      </c>
      <c r="AG17">
        <f t="shared" si="12"/>
        <v>295.25</v>
      </c>
      <c r="AH17">
        <f t="shared" si="12"/>
        <v>994</v>
      </c>
      <c r="AI17" s="36">
        <f t="shared" si="1"/>
        <v>0.29703219315895374</v>
      </c>
      <c r="AK17" s="110">
        <f>'QC Data 2023'!K17</f>
        <v>28.5</v>
      </c>
      <c r="AL17" s="36" t="e">
        <f t="shared" si="7"/>
        <v>#DIV/0!</v>
      </c>
      <c r="AM17">
        <f t="shared" si="8"/>
        <v>301.67</v>
      </c>
      <c r="AN17" s="36">
        <f t="shared" si="2"/>
        <v>0.43172808586762079</v>
      </c>
      <c r="AO17">
        <v>15</v>
      </c>
      <c r="AP17">
        <f t="shared" si="13"/>
        <v>210</v>
      </c>
      <c r="AR17" t="s">
        <v>49</v>
      </c>
      <c r="AS17">
        <f>SUM(AS4:AS16)</f>
        <v>1114.92</v>
      </c>
      <c r="AT17">
        <f>SUM(AT4:AT16)</f>
        <v>600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3"/>
        <v>1</v>
      </c>
      <c r="BF17" s="79">
        <f>3042.5+613.75</f>
        <v>3656.25</v>
      </c>
      <c r="BG17" s="7">
        <f t="shared" si="17"/>
        <v>2</v>
      </c>
      <c r="BH17" s="28">
        <f t="shared" si="18"/>
        <v>47923.75</v>
      </c>
      <c r="BI17" s="29">
        <f t="shared" si="19"/>
        <v>8.1294616772095623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2023</v>
      </c>
      <c r="B18" s="13">
        <v>45026</v>
      </c>
      <c r="C18" s="116"/>
      <c r="D18" s="7">
        <v>15</v>
      </c>
      <c r="F18" s="33">
        <v>0.69</v>
      </c>
      <c r="G18" s="33">
        <v>0.74</v>
      </c>
      <c r="H18" s="33">
        <v>0.89</v>
      </c>
      <c r="I18" s="33">
        <v>0.67</v>
      </c>
      <c r="J18" s="34">
        <v>0.79</v>
      </c>
      <c r="L18" s="8">
        <f t="shared" si="15"/>
        <v>0.82250000000000001</v>
      </c>
      <c r="M18" s="8">
        <f t="shared" si="16"/>
        <v>0.84875</v>
      </c>
      <c r="N18" s="9">
        <v>0.88</v>
      </c>
      <c r="O18" s="35">
        <v>0.95</v>
      </c>
      <c r="Q18" s="36"/>
      <c r="R18" s="36"/>
      <c r="S18" s="36"/>
      <c r="T18" s="36"/>
      <c r="U18" s="99"/>
      <c r="AA18" s="2"/>
      <c r="AB18" s="2"/>
      <c r="AC18">
        <f t="shared" si="6"/>
        <v>0</v>
      </c>
      <c r="AD18" s="36" t="e">
        <f t="shared" si="0"/>
        <v>#DIV/0!</v>
      </c>
      <c r="AF18">
        <f t="shared" si="12"/>
        <v>698.75</v>
      </c>
      <c r="AG18">
        <f t="shared" si="12"/>
        <v>295.25</v>
      </c>
      <c r="AH18">
        <f t="shared" si="12"/>
        <v>994</v>
      </c>
      <c r="AI18" s="36">
        <f t="shared" si="1"/>
        <v>0.29703219315895374</v>
      </c>
      <c r="AK18" s="110">
        <f>'QC Data 2023'!K18</f>
        <v>5</v>
      </c>
      <c r="AL18" s="36" t="e">
        <f t="shared" si="7"/>
        <v>#DIV/0!</v>
      </c>
      <c r="AM18">
        <f t="shared" si="8"/>
        <v>306.67</v>
      </c>
      <c r="AN18" s="36">
        <f t="shared" si="2"/>
        <v>0.43888372093023259</v>
      </c>
      <c r="AO18">
        <v>15</v>
      </c>
      <c r="AP18">
        <f t="shared" si="13"/>
        <v>225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3"/>
        <v>1</v>
      </c>
      <c r="BF18" s="79">
        <f>3452.5+791.25</f>
        <v>4243.75</v>
      </c>
      <c r="BG18" s="7">
        <f t="shared" si="17"/>
        <v>2</v>
      </c>
      <c r="BH18" s="28">
        <f t="shared" si="18"/>
        <v>49039.5</v>
      </c>
      <c r="BI18" s="29">
        <f t="shared" si="19"/>
        <v>7.9492045827164421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2023</v>
      </c>
      <c r="B19" s="13">
        <v>45033</v>
      </c>
      <c r="C19" s="116" t="s">
        <v>11</v>
      </c>
      <c r="D19" s="7">
        <v>16</v>
      </c>
      <c r="F19" s="33">
        <v>0.51</v>
      </c>
      <c r="G19" s="33">
        <v>0.79</v>
      </c>
      <c r="H19" s="33">
        <v>1.01</v>
      </c>
      <c r="I19" s="33">
        <v>1.1000000000000001</v>
      </c>
      <c r="J19" s="34">
        <v>0.84</v>
      </c>
      <c r="L19" s="8">
        <f t="shared" si="15"/>
        <v>0.82250000000000001</v>
      </c>
      <c r="M19" s="8">
        <f t="shared" si="16"/>
        <v>0.84</v>
      </c>
      <c r="N19" s="9">
        <v>0.88</v>
      </c>
      <c r="O19" s="35">
        <v>0.95</v>
      </c>
      <c r="Q19" s="36"/>
      <c r="R19" s="36"/>
      <c r="S19" s="36"/>
      <c r="T19" s="36"/>
      <c r="U19" s="99"/>
      <c r="AA19" s="2"/>
      <c r="AB19" s="2"/>
      <c r="AC19">
        <f t="shared" si="6"/>
        <v>0</v>
      </c>
      <c r="AD19" s="36" t="e">
        <f t="shared" si="0"/>
        <v>#DIV/0!</v>
      </c>
      <c r="AF19">
        <f t="shared" si="12"/>
        <v>698.75</v>
      </c>
      <c r="AG19">
        <f t="shared" si="12"/>
        <v>295.25</v>
      </c>
      <c r="AH19">
        <f t="shared" si="12"/>
        <v>994</v>
      </c>
      <c r="AI19" s="36">
        <f t="shared" si="1"/>
        <v>0.29703219315895374</v>
      </c>
      <c r="AK19" s="110">
        <f>'QC Data 2023'!K19</f>
        <v>3</v>
      </c>
      <c r="AL19" s="36" t="e">
        <f t="shared" si="7"/>
        <v>#DIV/0!</v>
      </c>
      <c r="AM19">
        <f t="shared" si="8"/>
        <v>309.67</v>
      </c>
      <c r="AN19" s="36">
        <f t="shared" si="2"/>
        <v>0.44317710196779969</v>
      </c>
      <c r="AO19">
        <v>15</v>
      </c>
      <c r="AP19">
        <f t="shared" si="13"/>
        <v>240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3"/>
        <v>2</v>
      </c>
      <c r="BF19" s="79">
        <f>3935.5+777</f>
        <v>4712.5</v>
      </c>
      <c r="BG19" s="7">
        <f t="shared" si="17"/>
        <v>2</v>
      </c>
      <c r="BH19" s="28">
        <f t="shared" si="18"/>
        <v>49970.75</v>
      </c>
      <c r="BI19" s="29">
        <f t="shared" si="19"/>
        <v>7.8047638327243991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2023</v>
      </c>
      <c r="B20" s="13">
        <v>45040</v>
      </c>
      <c r="C20" s="116"/>
      <c r="D20" s="7">
        <v>17</v>
      </c>
      <c r="F20" s="33">
        <v>0.73</v>
      </c>
      <c r="G20" s="33">
        <v>0.79</v>
      </c>
      <c r="H20" s="33">
        <v>0.96</v>
      </c>
      <c r="I20" s="33">
        <v>1</v>
      </c>
      <c r="J20" s="34">
        <v>0.85</v>
      </c>
      <c r="L20" s="8">
        <f t="shared" si="15"/>
        <v>0.81</v>
      </c>
      <c r="M20" s="8">
        <f t="shared" si="16"/>
        <v>0.83749999999999991</v>
      </c>
      <c r="N20" s="9">
        <v>0.88</v>
      </c>
      <c r="O20" s="35">
        <v>0.95</v>
      </c>
      <c r="Q20" s="36"/>
      <c r="R20" s="36"/>
      <c r="S20" s="36"/>
      <c r="T20" s="36"/>
      <c r="U20" s="99"/>
      <c r="AA20" s="2"/>
      <c r="AB20" s="2"/>
      <c r="AC20">
        <f t="shared" si="6"/>
        <v>0</v>
      </c>
      <c r="AD20" s="36" t="e">
        <f t="shared" si="0"/>
        <v>#DIV/0!</v>
      </c>
      <c r="AF20">
        <f t="shared" si="12"/>
        <v>698.75</v>
      </c>
      <c r="AG20">
        <f t="shared" si="12"/>
        <v>295.25</v>
      </c>
      <c r="AH20">
        <f t="shared" si="12"/>
        <v>994</v>
      </c>
      <c r="AI20" s="36">
        <f t="shared" si="1"/>
        <v>0.29703219315895374</v>
      </c>
      <c r="AK20" s="110">
        <f>'QC Data 2023'!K20</f>
        <v>32</v>
      </c>
      <c r="AL20" s="36" t="e">
        <f t="shared" si="7"/>
        <v>#DIV/0!</v>
      </c>
      <c r="AM20">
        <f t="shared" si="8"/>
        <v>341.67</v>
      </c>
      <c r="AN20" s="36">
        <f t="shared" si="2"/>
        <v>0.48897316636851523</v>
      </c>
      <c r="AO20">
        <v>15</v>
      </c>
      <c r="AP20">
        <f t="shared" si="13"/>
        <v>255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3"/>
        <v>0</v>
      </c>
      <c r="BF20" s="79">
        <f>3541+676</f>
        <v>4217</v>
      </c>
      <c r="BG20" s="7">
        <f t="shared" si="17"/>
        <v>2</v>
      </c>
      <c r="BH20" s="28">
        <f t="shared" si="18"/>
        <v>50305.5</v>
      </c>
      <c r="BI20" s="29">
        <f t="shared" si="19"/>
        <v>7.7541169514689203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2023</v>
      </c>
      <c r="B21" s="13">
        <v>45047</v>
      </c>
      <c r="C21" s="117"/>
      <c r="D21" s="7">
        <v>18</v>
      </c>
      <c r="F21" s="33">
        <v>1.07</v>
      </c>
      <c r="G21" s="33">
        <v>0.87</v>
      </c>
      <c r="H21" s="33">
        <v>0.8</v>
      </c>
      <c r="I21" s="33">
        <v>1.03</v>
      </c>
      <c r="J21" s="34">
        <v>0.84</v>
      </c>
      <c r="L21" s="8">
        <f t="shared" si="15"/>
        <v>0.83</v>
      </c>
      <c r="M21" s="8">
        <f t="shared" si="16"/>
        <v>0.83374999999999988</v>
      </c>
      <c r="N21" s="9">
        <v>0.88</v>
      </c>
      <c r="O21" s="35">
        <v>0.95</v>
      </c>
      <c r="Q21" s="36"/>
      <c r="R21" s="36"/>
      <c r="S21" s="36"/>
      <c r="T21" s="36"/>
      <c r="U21" s="99"/>
      <c r="AA21" s="2"/>
      <c r="AB21" s="2"/>
      <c r="AC21">
        <f t="shared" si="6"/>
        <v>0</v>
      </c>
      <c r="AD21" s="36" t="e">
        <f t="shared" si="0"/>
        <v>#DIV/0!</v>
      </c>
      <c r="AF21">
        <f t="shared" si="12"/>
        <v>698.75</v>
      </c>
      <c r="AG21">
        <f t="shared" si="12"/>
        <v>295.25</v>
      </c>
      <c r="AH21">
        <f t="shared" si="12"/>
        <v>994</v>
      </c>
      <c r="AI21" s="36">
        <f t="shared" si="1"/>
        <v>0.29703219315895374</v>
      </c>
      <c r="AK21" s="110">
        <f>'QC Data 2023'!K21</f>
        <v>0</v>
      </c>
      <c r="AL21" s="36" t="e">
        <f t="shared" si="7"/>
        <v>#DIV/0!</v>
      </c>
      <c r="AM21">
        <f t="shared" si="8"/>
        <v>341.67</v>
      </c>
      <c r="AN21" s="36">
        <f t="shared" si="2"/>
        <v>0.48897316636851523</v>
      </c>
      <c r="AO21">
        <v>15</v>
      </c>
      <c r="AP21">
        <f t="shared" si="13"/>
        <v>270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3"/>
        <v>4</v>
      </c>
      <c r="BF21" s="79">
        <v>4153</v>
      </c>
      <c r="BG21" s="7">
        <f t="shared" si="17"/>
        <v>1</v>
      </c>
      <c r="BH21" s="28">
        <f t="shared" si="18"/>
        <v>50629</v>
      </c>
      <c r="BI21" s="29">
        <f t="shared" si="19"/>
        <v>3.8528964148798859</v>
      </c>
      <c r="BJ21" s="7">
        <v>4</v>
      </c>
      <c r="BL21" s="72">
        <v>2021</v>
      </c>
      <c r="BM21" s="7" t="s">
        <v>13</v>
      </c>
      <c r="BR21" s="100">
        <v>0.95</v>
      </c>
    </row>
    <row r="22" spans="1:75" x14ac:dyDescent="0.25">
      <c r="A22" s="7">
        <v>2023</v>
      </c>
      <c r="B22" s="13">
        <v>45054</v>
      </c>
      <c r="C22" s="115"/>
      <c r="D22" s="7">
        <v>19</v>
      </c>
      <c r="F22" s="33">
        <v>0.87</v>
      </c>
      <c r="G22" s="33">
        <v>0.83</v>
      </c>
      <c r="H22" s="33">
        <v>0.8</v>
      </c>
      <c r="I22" s="33">
        <v>0.94</v>
      </c>
      <c r="J22" s="34">
        <v>0.82</v>
      </c>
      <c r="L22" s="8">
        <f t="shared" si="15"/>
        <v>0.83749999999999991</v>
      </c>
      <c r="M22" s="8">
        <f t="shared" si="16"/>
        <v>0.83</v>
      </c>
      <c r="N22" s="9">
        <v>0.88</v>
      </c>
      <c r="O22" s="35">
        <v>0.95</v>
      </c>
      <c r="Q22" s="36"/>
      <c r="R22" s="36"/>
      <c r="S22" s="36"/>
      <c r="T22" s="36"/>
      <c r="U22" s="99"/>
      <c r="AA22" s="2"/>
      <c r="AB22" s="2"/>
      <c r="AC22">
        <f t="shared" si="6"/>
        <v>0</v>
      </c>
      <c r="AD22" s="36" t="e">
        <f t="shared" si="0"/>
        <v>#DIV/0!</v>
      </c>
      <c r="AF22">
        <f t="shared" ref="AF22:AH37" si="20">AF21+AA22</f>
        <v>698.75</v>
      </c>
      <c r="AG22">
        <f t="shared" si="20"/>
        <v>295.25</v>
      </c>
      <c r="AH22">
        <f t="shared" si="20"/>
        <v>994</v>
      </c>
      <c r="AI22" s="36">
        <f t="shared" si="1"/>
        <v>0.29703219315895374</v>
      </c>
      <c r="AK22" s="110">
        <f>'QC Data 2023'!K22</f>
        <v>5.5</v>
      </c>
      <c r="AL22" s="36" t="e">
        <f t="shared" si="7"/>
        <v>#DIV/0!</v>
      </c>
      <c r="AM22">
        <f t="shared" si="8"/>
        <v>347.17</v>
      </c>
      <c r="AN22" s="36">
        <f t="shared" si="2"/>
        <v>0.49684436493738821</v>
      </c>
      <c r="AO22">
        <v>15</v>
      </c>
      <c r="AP22">
        <f t="shared" si="13"/>
        <v>285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3"/>
        <v>4</v>
      </c>
      <c r="BF22" s="79">
        <v>3759.75</v>
      </c>
      <c r="BG22" s="7">
        <f t="shared" si="17"/>
        <v>1</v>
      </c>
      <c r="BH22" s="28">
        <f t="shared" si="18"/>
        <v>50113.25</v>
      </c>
      <c r="BI22" s="29">
        <f t="shared" si="19"/>
        <v>3.8915616350396212</v>
      </c>
      <c r="BJ22" s="7">
        <v>4</v>
      </c>
      <c r="BL22" s="72">
        <v>2021</v>
      </c>
      <c r="BM22" s="7" t="s">
        <v>14</v>
      </c>
      <c r="BR22" s="100">
        <v>0.95</v>
      </c>
      <c r="BW22" s="7"/>
    </row>
    <row r="23" spans="1:75" x14ac:dyDescent="0.25">
      <c r="A23" s="7">
        <v>2023</v>
      </c>
      <c r="B23" s="13">
        <v>45061</v>
      </c>
      <c r="C23" s="116" t="s">
        <v>12</v>
      </c>
      <c r="D23" s="7">
        <v>20</v>
      </c>
      <c r="F23" s="33">
        <v>0.78</v>
      </c>
      <c r="G23" s="33">
        <v>0.79</v>
      </c>
      <c r="H23" s="33">
        <v>0.88</v>
      </c>
      <c r="I23" s="33">
        <v>0.54</v>
      </c>
      <c r="J23" s="34">
        <v>0.82</v>
      </c>
      <c r="L23" s="8">
        <f t="shared" si="15"/>
        <v>0.83249999999999991</v>
      </c>
      <c r="M23" s="8">
        <f t="shared" si="16"/>
        <v>0.82750000000000001</v>
      </c>
      <c r="N23" s="9">
        <v>0.88</v>
      </c>
      <c r="O23" s="35">
        <v>0.95</v>
      </c>
      <c r="Q23" s="36"/>
      <c r="R23" s="36"/>
      <c r="S23" s="36"/>
      <c r="T23" s="36"/>
      <c r="U23" s="99"/>
      <c r="AA23" s="2"/>
      <c r="AB23" s="2"/>
      <c r="AC23">
        <f t="shared" si="6"/>
        <v>0</v>
      </c>
      <c r="AD23" s="36" t="e">
        <f t="shared" si="0"/>
        <v>#DIV/0!</v>
      </c>
      <c r="AF23">
        <f t="shared" si="20"/>
        <v>698.75</v>
      </c>
      <c r="AG23">
        <f t="shared" si="20"/>
        <v>295.25</v>
      </c>
      <c r="AH23">
        <f t="shared" si="20"/>
        <v>994</v>
      </c>
      <c r="AI23" s="36">
        <f t="shared" si="1"/>
        <v>0.29703219315895374</v>
      </c>
      <c r="AK23" s="110">
        <f>'QC Data 2023'!K23</f>
        <v>8</v>
      </c>
      <c r="AL23" s="36" t="e">
        <f t="shared" si="7"/>
        <v>#DIV/0!</v>
      </c>
      <c r="AM23">
        <f t="shared" si="8"/>
        <v>355.17</v>
      </c>
      <c r="AN23" s="36">
        <f t="shared" si="2"/>
        <v>0.50829338103756716</v>
      </c>
      <c r="AO23">
        <v>15</v>
      </c>
      <c r="AP23">
        <f t="shared" si="13"/>
        <v>300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3"/>
        <v>2</v>
      </c>
      <c r="BF23" s="79">
        <v>4286</v>
      </c>
      <c r="BG23" s="7">
        <f t="shared" si="17"/>
        <v>1</v>
      </c>
      <c r="BH23" s="28">
        <f t="shared" si="18"/>
        <v>49842.5</v>
      </c>
      <c r="BI23" s="29">
        <f t="shared" si="19"/>
        <v>3.9121717443395765</v>
      </c>
      <c r="BJ23" s="7">
        <v>4</v>
      </c>
      <c r="BL23" s="72">
        <v>2021</v>
      </c>
      <c r="BM23" s="7" t="s">
        <v>15</v>
      </c>
      <c r="BR23" s="100">
        <v>0.95</v>
      </c>
      <c r="BW23" s="7"/>
    </row>
    <row r="24" spans="1:75" x14ac:dyDescent="0.25">
      <c r="A24" s="7">
        <v>2023</v>
      </c>
      <c r="B24" s="13">
        <v>45068</v>
      </c>
      <c r="C24" s="116"/>
      <c r="D24" s="7">
        <v>21</v>
      </c>
      <c r="F24" s="33">
        <v>0.81</v>
      </c>
      <c r="G24" s="33">
        <v>0.66</v>
      </c>
      <c r="H24" s="33">
        <v>0.9</v>
      </c>
      <c r="I24" s="33">
        <v>1.04</v>
      </c>
      <c r="J24" s="34">
        <v>0.8</v>
      </c>
      <c r="L24" s="8">
        <f t="shared" si="15"/>
        <v>0.82000000000000006</v>
      </c>
      <c r="M24" s="8">
        <f t="shared" si="16"/>
        <v>0.81500000000000006</v>
      </c>
      <c r="N24" s="9">
        <v>0.88</v>
      </c>
      <c r="O24" s="35">
        <v>0.95</v>
      </c>
      <c r="Q24" s="36"/>
      <c r="R24" s="36"/>
      <c r="S24" s="36"/>
      <c r="T24" s="36"/>
      <c r="U24" s="99"/>
      <c r="AA24" s="2"/>
      <c r="AB24" s="2"/>
      <c r="AC24">
        <f t="shared" si="6"/>
        <v>0</v>
      </c>
      <c r="AD24" s="36" t="e">
        <f t="shared" si="0"/>
        <v>#DIV/0!</v>
      </c>
      <c r="AF24">
        <f t="shared" si="20"/>
        <v>698.75</v>
      </c>
      <c r="AG24">
        <f t="shared" si="20"/>
        <v>295.25</v>
      </c>
      <c r="AH24">
        <f t="shared" si="20"/>
        <v>994</v>
      </c>
      <c r="AI24" s="36">
        <f t="shared" si="1"/>
        <v>0.29703219315895374</v>
      </c>
      <c r="AK24" s="110">
        <f>'QC Data 2023'!K24</f>
        <v>1</v>
      </c>
      <c r="AL24" s="36" t="e">
        <f t="shared" si="7"/>
        <v>#DIV/0!</v>
      </c>
      <c r="AM24">
        <f t="shared" si="8"/>
        <v>356.17</v>
      </c>
      <c r="AN24" s="36">
        <f t="shared" si="2"/>
        <v>0.50972450805008951</v>
      </c>
      <c r="AO24">
        <v>15</v>
      </c>
      <c r="AP24">
        <f t="shared" si="13"/>
        <v>315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3"/>
        <v>2</v>
      </c>
      <c r="BF24" s="79">
        <v>4497</v>
      </c>
      <c r="BG24" s="7">
        <f t="shared" si="17"/>
        <v>1</v>
      </c>
      <c r="BH24" s="28">
        <f t="shared" si="18"/>
        <v>50126</v>
      </c>
      <c r="BI24" s="29">
        <f t="shared" si="19"/>
        <v>3.8905964284324788</v>
      </c>
      <c r="BJ24" s="7">
        <v>4</v>
      </c>
      <c r="BL24" s="72">
        <v>2021</v>
      </c>
      <c r="BM24" s="7" t="s">
        <v>16</v>
      </c>
      <c r="BR24" s="100">
        <v>0.95</v>
      </c>
      <c r="BW24" s="7"/>
    </row>
    <row r="25" spans="1:75" x14ac:dyDescent="0.25">
      <c r="A25" s="7">
        <v>2023</v>
      </c>
      <c r="B25" s="13">
        <v>45075</v>
      </c>
      <c r="C25" s="117"/>
      <c r="D25" s="7">
        <v>22</v>
      </c>
      <c r="F25" s="33">
        <v>0.52</v>
      </c>
      <c r="G25" s="33">
        <v>0.68</v>
      </c>
      <c r="H25" s="33">
        <v>0.9</v>
      </c>
      <c r="I25" s="33">
        <v>1</v>
      </c>
      <c r="J25" s="34">
        <v>0.77</v>
      </c>
      <c r="L25" s="8">
        <f t="shared" si="15"/>
        <v>0.80249999999999999</v>
      </c>
      <c r="M25" s="8">
        <f t="shared" si="16"/>
        <v>0.81624999999999992</v>
      </c>
      <c r="N25" s="9">
        <v>0.88</v>
      </c>
      <c r="O25" s="35">
        <v>0.95</v>
      </c>
      <c r="Q25" s="36"/>
      <c r="R25" s="36"/>
      <c r="S25" s="36"/>
      <c r="T25" s="36"/>
      <c r="U25" s="99"/>
      <c r="AA25" s="2"/>
      <c r="AB25" s="2"/>
      <c r="AC25">
        <f t="shared" si="6"/>
        <v>0</v>
      </c>
      <c r="AD25" s="36" t="e">
        <f t="shared" si="0"/>
        <v>#DIV/0!</v>
      </c>
      <c r="AF25">
        <f t="shared" si="20"/>
        <v>698.75</v>
      </c>
      <c r="AG25">
        <f t="shared" si="20"/>
        <v>295.25</v>
      </c>
      <c r="AH25">
        <f t="shared" si="20"/>
        <v>994</v>
      </c>
      <c r="AI25" s="36">
        <f t="shared" si="1"/>
        <v>0.29703219315895374</v>
      </c>
      <c r="AK25" s="110">
        <f>'QC Data 2023'!K25</f>
        <v>0</v>
      </c>
      <c r="AL25" s="36" t="e">
        <f t="shared" si="7"/>
        <v>#DIV/0!</v>
      </c>
      <c r="AM25">
        <f t="shared" si="8"/>
        <v>356.17</v>
      </c>
      <c r="AN25" s="36">
        <f t="shared" si="2"/>
        <v>0.50972450805008951</v>
      </c>
      <c r="AO25">
        <v>15</v>
      </c>
      <c r="AP25">
        <f t="shared" si="13"/>
        <v>330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3"/>
        <v>1</v>
      </c>
      <c r="BF25" s="79">
        <v>4461.75</v>
      </c>
      <c r="BG25" s="7">
        <f t="shared" si="17"/>
        <v>0</v>
      </c>
      <c r="BH25" s="28">
        <f t="shared" si="18"/>
        <v>48874.75</v>
      </c>
      <c r="BI25" s="29">
        <f t="shared" si="19"/>
        <v>0</v>
      </c>
      <c r="BJ25" s="7">
        <v>4</v>
      </c>
      <c r="BL25" s="72">
        <v>2021</v>
      </c>
      <c r="BM25" s="7" t="s">
        <v>17</v>
      </c>
      <c r="BR25" s="100">
        <v>0.95</v>
      </c>
      <c r="BW25" s="7"/>
    </row>
    <row r="26" spans="1:75" ht="15.75" customHeight="1" x14ac:dyDescent="0.25">
      <c r="A26" s="7">
        <v>2023</v>
      </c>
      <c r="B26" s="13">
        <v>45082</v>
      </c>
      <c r="C26" s="115"/>
      <c r="D26" s="7">
        <v>23</v>
      </c>
      <c r="F26" s="5">
        <v>0.6</v>
      </c>
      <c r="G26" s="5">
        <v>0.66</v>
      </c>
      <c r="H26" s="5">
        <v>0.87</v>
      </c>
      <c r="I26" s="5">
        <v>1</v>
      </c>
      <c r="J26" s="6">
        <v>0.76</v>
      </c>
      <c r="L26" s="8">
        <f t="shared" si="15"/>
        <v>0.78750000000000009</v>
      </c>
      <c r="M26" s="8">
        <f t="shared" si="16"/>
        <v>0.8125</v>
      </c>
      <c r="N26" s="9">
        <v>0.88</v>
      </c>
      <c r="O26" s="9">
        <v>0.95</v>
      </c>
      <c r="Q26" s="1"/>
      <c r="R26" s="1"/>
      <c r="S26" s="1"/>
      <c r="T26" s="1"/>
      <c r="U26" s="4"/>
      <c r="AA26" s="2"/>
      <c r="AB26" s="2"/>
      <c r="AC26">
        <f t="shared" si="6"/>
        <v>0</v>
      </c>
      <c r="AD26" s="1" t="e">
        <f t="shared" si="0"/>
        <v>#DIV/0!</v>
      </c>
      <c r="AF26">
        <f t="shared" si="20"/>
        <v>698.75</v>
      </c>
      <c r="AG26">
        <f t="shared" si="20"/>
        <v>295.25</v>
      </c>
      <c r="AH26">
        <f t="shared" si="20"/>
        <v>994</v>
      </c>
      <c r="AI26" s="1">
        <f t="shared" si="1"/>
        <v>0.29703219315895374</v>
      </c>
      <c r="AK26" s="110">
        <f>'QC Data 2023'!K26</f>
        <v>5.5</v>
      </c>
      <c r="AL26" s="1" t="e">
        <f t="shared" si="7"/>
        <v>#DIV/0!</v>
      </c>
      <c r="AM26">
        <f t="shared" si="8"/>
        <v>361.67</v>
      </c>
      <c r="AN26" s="1">
        <f t="shared" si="2"/>
        <v>0.51759570661896248</v>
      </c>
      <c r="AO26">
        <v>15</v>
      </c>
      <c r="AP26">
        <f t="shared" si="13"/>
        <v>345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3"/>
        <v>2</v>
      </c>
      <c r="BF26" s="73">
        <v>3802.25</v>
      </c>
      <c r="BG26" s="7">
        <f t="shared" si="17"/>
        <v>0</v>
      </c>
      <c r="BH26" s="28">
        <f t="shared" si="18"/>
        <v>48936.25</v>
      </c>
      <c r="BI26" s="29">
        <f t="shared" si="19"/>
        <v>0</v>
      </c>
      <c r="BJ26" s="7">
        <v>4</v>
      </c>
      <c r="BL26" s="72">
        <v>2021</v>
      </c>
      <c r="BM26" s="7" t="s">
        <v>18</v>
      </c>
      <c r="BR26" s="85">
        <v>0.95</v>
      </c>
      <c r="BW26" s="7"/>
    </row>
    <row r="27" spans="1:75" ht="15.75" customHeight="1" x14ac:dyDescent="0.25">
      <c r="A27" s="7">
        <v>2023</v>
      </c>
      <c r="B27" s="13">
        <v>45089</v>
      </c>
      <c r="C27" s="116" t="s">
        <v>13</v>
      </c>
      <c r="D27" s="7">
        <v>24</v>
      </c>
      <c r="F27" s="5">
        <v>0.73</v>
      </c>
      <c r="G27" s="5">
        <v>0.71</v>
      </c>
      <c r="H27" s="5">
        <v>0.82</v>
      </c>
      <c r="I27" s="5">
        <v>1</v>
      </c>
      <c r="J27" s="6">
        <v>0.77</v>
      </c>
      <c r="L27" s="8">
        <f t="shared" si="15"/>
        <v>0.77500000000000002</v>
      </c>
      <c r="M27" s="8">
        <f t="shared" si="16"/>
        <v>0.80374999999999996</v>
      </c>
      <c r="N27" s="9">
        <v>0.88</v>
      </c>
      <c r="O27" s="9">
        <v>0.95</v>
      </c>
      <c r="Q27" s="1"/>
      <c r="R27" s="1"/>
      <c r="S27" s="1"/>
      <c r="T27" s="1"/>
      <c r="U27" s="4"/>
      <c r="AA27" s="2"/>
      <c r="AB27" s="2"/>
      <c r="AC27">
        <f t="shared" si="6"/>
        <v>0</v>
      </c>
      <c r="AD27" s="1" t="e">
        <f t="shared" si="0"/>
        <v>#DIV/0!</v>
      </c>
      <c r="AF27">
        <f t="shared" si="20"/>
        <v>698.75</v>
      </c>
      <c r="AG27">
        <f t="shared" si="20"/>
        <v>295.25</v>
      </c>
      <c r="AH27">
        <f t="shared" si="20"/>
        <v>994</v>
      </c>
      <c r="AI27" s="1">
        <f t="shared" si="1"/>
        <v>0.29703219315895374</v>
      </c>
      <c r="AK27" s="110">
        <f>'QC Data 2023'!K27</f>
        <v>36</v>
      </c>
      <c r="AL27" s="1" t="e">
        <f t="shared" si="7"/>
        <v>#DIV/0!</v>
      </c>
      <c r="AM27">
        <f t="shared" si="8"/>
        <v>397.67</v>
      </c>
      <c r="AN27" s="1">
        <f t="shared" si="2"/>
        <v>0.56911627906976747</v>
      </c>
      <c r="AO27">
        <v>15</v>
      </c>
      <c r="AP27">
        <f t="shared" si="13"/>
        <v>360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3"/>
        <v>1</v>
      </c>
      <c r="BF27" s="80">
        <v>3848.25</v>
      </c>
      <c r="BG27" s="7">
        <f t="shared" si="17"/>
        <v>0</v>
      </c>
      <c r="BH27" s="28">
        <f t="shared" si="18"/>
        <v>49483.25</v>
      </c>
      <c r="BI27" s="29">
        <f t="shared" si="19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W27" s="7"/>
    </row>
    <row r="28" spans="1:75" x14ac:dyDescent="0.25">
      <c r="A28" s="7">
        <v>2023</v>
      </c>
      <c r="B28" s="13">
        <v>45096</v>
      </c>
      <c r="C28" s="118"/>
      <c r="D28" s="7">
        <v>25</v>
      </c>
      <c r="F28" s="5">
        <v>0.77</v>
      </c>
      <c r="G28" s="5">
        <v>0.73</v>
      </c>
      <c r="H28" s="5">
        <v>0.83</v>
      </c>
      <c r="I28" s="5">
        <v>0.94</v>
      </c>
      <c r="J28" s="6">
        <v>0.78</v>
      </c>
      <c r="L28" s="8">
        <f>AVERAGE(J25:J28)</f>
        <v>0.77</v>
      </c>
      <c r="M28" s="8">
        <f t="shared" si="16"/>
        <v>0.79500000000000004</v>
      </c>
      <c r="N28" s="9">
        <v>0.88</v>
      </c>
      <c r="O28" s="9">
        <v>0.95</v>
      </c>
      <c r="Q28" s="1"/>
      <c r="R28" s="1"/>
      <c r="S28" s="1"/>
      <c r="T28" s="1"/>
      <c r="U28" s="4"/>
      <c r="AA28" s="2"/>
      <c r="AB28" s="2"/>
      <c r="AC28">
        <f t="shared" si="6"/>
        <v>0</v>
      </c>
      <c r="AD28" s="1" t="e">
        <f t="shared" si="0"/>
        <v>#DIV/0!</v>
      </c>
      <c r="AF28">
        <f t="shared" si="20"/>
        <v>698.75</v>
      </c>
      <c r="AG28">
        <f t="shared" si="20"/>
        <v>295.25</v>
      </c>
      <c r="AH28">
        <f t="shared" si="20"/>
        <v>994</v>
      </c>
      <c r="AI28" s="1">
        <f t="shared" si="1"/>
        <v>0.29703219315895374</v>
      </c>
      <c r="AK28" s="110">
        <f>'QC Data 2023'!K28</f>
        <v>37</v>
      </c>
      <c r="AL28" s="1" t="e">
        <f t="shared" si="7"/>
        <v>#DIV/0!</v>
      </c>
      <c r="AM28">
        <f>AM27+AK28</f>
        <v>434.67</v>
      </c>
      <c r="AN28" s="1">
        <f t="shared" si="2"/>
        <v>0.62206797853309481</v>
      </c>
      <c r="AO28">
        <v>15</v>
      </c>
      <c r="AP28">
        <f t="shared" si="13"/>
        <v>375</v>
      </c>
      <c r="AZ28" s="69">
        <v>2021</v>
      </c>
      <c r="BA28" s="70" t="s">
        <v>8</v>
      </c>
      <c r="BB28" s="70">
        <v>0</v>
      </c>
      <c r="BC28" s="70">
        <v>0</v>
      </c>
      <c r="BD28" s="70">
        <v>1</v>
      </c>
      <c r="BE28" s="70">
        <f>SUM(BB28:BD28)</f>
        <v>1</v>
      </c>
      <c r="BF28" s="78">
        <v>2984.25</v>
      </c>
      <c r="BG28" s="7">
        <f t="shared" si="17"/>
        <v>0</v>
      </c>
      <c r="BH28" s="28">
        <f t="shared" si="18"/>
        <v>48621.75</v>
      </c>
      <c r="BI28" s="29">
        <f t="shared" si="19"/>
        <v>0</v>
      </c>
      <c r="BJ28" s="7">
        <v>2</v>
      </c>
      <c r="BL28" s="7">
        <v>2022</v>
      </c>
      <c r="BM28" s="7" t="s">
        <v>8</v>
      </c>
      <c r="BO28" s="102">
        <v>3</v>
      </c>
      <c r="BR28" s="1"/>
      <c r="BU28" s="7"/>
      <c r="BW28" s="7"/>
    </row>
    <row r="29" spans="1:75" x14ac:dyDescent="0.25">
      <c r="A29" s="7">
        <v>2023</v>
      </c>
      <c r="B29" s="13">
        <v>45103</v>
      </c>
      <c r="C29" s="117"/>
      <c r="D29" s="7">
        <v>26</v>
      </c>
      <c r="F29" s="5">
        <v>0.96</v>
      </c>
      <c r="G29" s="5">
        <v>0.75</v>
      </c>
      <c r="H29" s="5">
        <v>0.74</v>
      </c>
      <c r="I29" s="5">
        <v>0.94</v>
      </c>
      <c r="J29" s="6">
        <v>0.75</v>
      </c>
      <c r="L29" s="8">
        <f>AVERAGE(J26:J29)</f>
        <v>0.76500000000000001</v>
      </c>
      <c r="M29" s="8">
        <f t="shared" si="16"/>
        <v>0.78375000000000006</v>
      </c>
      <c r="N29" s="9">
        <v>0.88</v>
      </c>
      <c r="O29" s="9">
        <v>0.95</v>
      </c>
      <c r="Q29" s="1"/>
      <c r="R29" s="1"/>
      <c r="S29" s="1"/>
      <c r="T29" s="1"/>
      <c r="U29" s="4"/>
      <c r="AA29" s="2"/>
      <c r="AB29" s="2"/>
      <c r="AC29">
        <f t="shared" si="6"/>
        <v>0</v>
      </c>
      <c r="AD29" s="1" t="e">
        <f t="shared" si="0"/>
        <v>#DIV/0!</v>
      </c>
      <c r="AF29">
        <f t="shared" si="20"/>
        <v>698.75</v>
      </c>
      <c r="AG29">
        <f t="shared" si="20"/>
        <v>295.25</v>
      </c>
      <c r="AH29">
        <f t="shared" si="20"/>
        <v>994</v>
      </c>
      <c r="AI29" s="1">
        <f t="shared" si="1"/>
        <v>0.29703219315895374</v>
      </c>
      <c r="AK29" s="110">
        <f>'QC Data 2023'!K29</f>
        <v>23.5</v>
      </c>
      <c r="AL29" s="1" t="e">
        <f t="shared" si="7"/>
        <v>#DIV/0!</v>
      </c>
      <c r="AM29">
        <f>AM28+AK29</f>
        <v>458.17</v>
      </c>
      <c r="AN29" s="1">
        <f t="shared" si="2"/>
        <v>0.65569946332737028</v>
      </c>
      <c r="AO29">
        <v>15</v>
      </c>
      <c r="AP29">
        <f t="shared" si="13"/>
        <v>390</v>
      </c>
      <c r="AZ29" s="72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>SUM(BB29:BD29)</f>
        <v>0</v>
      </c>
      <c r="BF29" s="79">
        <v>3347.5</v>
      </c>
      <c r="BG29" s="7">
        <f t="shared" si="17"/>
        <v>0</v>
      </c>
      <c r="BH29" s="28">
        <f t="shared" si="18"/>
        <v>48313</v>
      </c>
      <c r="BI29" s="29">
        <f t="shared" si="19"/>
        <v>0</v>
      </c>
      <c r="BJ29" s="7">
        <v>2</v>
      </c>
      <c r="BL29" s="7">
        <v>2022</v>
      </c>
      <c r="BM29" s="7" t="s">
        <v>9</v>
      </c>
      <c r="BR29" s="1"/>
      <c r="BU29" s="7"/>
      <c r="BW29" s="7"/>
    </row>
    <row r="30" spans="1:75" x14ac:dyDescent="0.25">
      <c r="A30" s="7">
        <v>2023</v>
      </c>
      <c r="B30" s="13">
        <v>45110</v>
      </c>
      <c r="C30" s="115"/>
      <c r="D30" s="7">
        <v>27</v>
      </c>
      <c r="F30" s="33">
        <v>0.6</v>
      </c>
      <c r="G30" s="33">
        <v>0.6</v>
      </c>
      <c r="H30" s="33">
        <v>0.83</v>
      </c>
      <c r="I30" s="33">
        <v>1</v>
      </c>
      <c r="J30" s="34">
        <v>0.7</v>
      </c>
      <c r="L30" s="8">
        <f>AVERAGE(J27:J30)</f>
        <v>0.75</v>
      </c>
      <c r="M30" s="8">
        <f t="shared" si="16"/>
        <v>0.76875000000000004</v>
      </c>
      <c r="N30" s="9">
        <v>0.88</v>
      </c>
      <c r="O30" s="35">
        <v>0.95</v>
      </c>
      <c r="Q30" s="1"/>
      <c r="R30" s="1"/>
      <c r="S30" s="1"/>
      <c r="T30" s="1"/>
      <c r="U30" s="4"/>
      <c r="AA30" s="2"/>
      <c r="AB30" s="2"/>
      <c r="AC30">
        <f t="shared" si="6"/>
        <v>0</v>
      </c>
      <c r="AD30" s="1" t="e">
        <f t="shared" si="0"/>
        <v>#DIV/0!</v>
      </c>
      <c r="AF30">
        <f t="shared" si="20"/>
        <v>698.75</v>
      </c>
      <c r="AG30">
        <f t="shared" si="20"/>
        <v>295.25</v>
      </c>
      <c r="AH30">
        <f t="shared" si="20"/>
        <v>994</v>
      </c>
      <c r="AI30" s="1">
        <f t="shared" si="1"/>
        <v>0.29703219315895374</v>
      </c>
      <c r="AK30" s="110">
        <f>'QC Data 2023'!K30</f>
        <v>21</v>
      </c>
      <c r="AL30" s="1" t="e">
        <f t="shared" si="7"/>
        <v>#DIV/0!</v>
      </c>
      <c r="AM30">
        <f>AM29+AK30</f>
        <v>479.17</v>
      </c>
      <c r="AN30" s="1">
        <f t="shared" si="2"/>
        <v>0.68575313059033993</v>
      </c>
      <c r="AO30">
        <v>15</v>
      </c>
      <c r="AP30">
        <f t="shared" si="13"/>
        <v>405</v>
      </c>
      <c r="AZ30" s="72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ref="BE30:BE51" si="21">SUM(BB30:BD30)</f>
        <v>3</v>
      </c>
      <c r="BF30" s="79">
        <v>3695.25</v>
      </c>
      <c r="BG30" s="7">
        <f t="shared" si="17"/>
        <v>0</v>
      </c>
      <c r="BH30" s="28">
        <f t="shared" si="18"/>
        <v>47764.5</v>
      </c>
      <c r="BI30" s="29">
        <f t="shared" si="19"/>
        <v>0</v>
      </c>
      <c r="BJ30" s="7">
        <v>2</v>
      </c>
      <c r="BL30" s="7">
        <v>2022</v>
      </c>
      <c r="BM30" s="7" t="s">
        <v>10</v>
      </c>
      <c r="BR30" s="1"/>
      <c r="BU30" s="7"/>
      <c r="BW30" s="7"/>
    </row>
    <row r="31" spans="1:75" x14ac:dyDescent="0.25">
      <c r="A31" s="7">
        <v>2023</v>
      </c>
      <c r="B31" s="13">
        <v>45117</v>
      </c>
      <c r="C31" s="116"/>
      <c r="D31" s="7">
        <v>28</v>
      </c>
      <c r="F31" s="5">
        <v>0.54</v>
      </c>
      <c r="G31" s="5">
        <v>0.91</v>
      </c>
      <c r="H31" s="5">
        <v>1.1200000000000001</v>
      </c>
      <c r="I31" s="5">
        <v>1.29</v>
      </c>
      <c r="J31" s="6">
        <v>0.98</v>
      </c>
      <c r="L31" s="8">
        <f>AVERAGE(J28:J31)</f>
        <v>0.80249999999999999</v>
      </c>
      <c r="M31" s="8">
        <f t="shared" si="16"/>
        <v>0.78875000000000006</v>
      </c>
      <c r="N31" s="9">
        <v>0.88</v>
      </c>
      <c r="O31" s="9">
        <v>0.95</v>
      </c>
      <c r="Q31" s="1"/>
      <c r="R31" s="1"/>
      <c r="S31" s="1"/>
      <c r="T31" s="1"/>
      <c r="U31" s="4"/>
      <c r="AA31" s="2"/>
      <c r="AB31" s="2"/>
      <c r="AC31">
        <f t="shared" si="6"/>
        <v>0</v>
      </c>
      <c r="AD31" s="1" t="e">
        <f t="shared" si="0"/>
        <v>#DIV/0!</v>
      </c>
      <c r="AF31">
        <f t="shared" si="20"/>
        <v>698.75</v>
      </c>
      <c r="AG31">
        <f t="shared" si="20"/>
        <v>295.25</v>
      </c>
      <c r="AH31">
        <f t="shared" si="20"/>
        <v>994</v>
      </c>
      <c r="AI31" s="1">
        <f t="shared" si="1"/>
        <v>0.29703219315895374</v>
      </c>
      <c r="AK31" s="110">
        <f>'QC Data 2023'!K31</f>
        <v>0.5</v>
      </c>
      <c r="AL31" s="1" t="e">
        <f t="shared" si="7"/>
        <v>#DIV/0!</v>
      </c>
      <c r="AM31">
        <f t="shared" ref="AM31:AM56" si="22">AM30+AK31</f>
        <v>479.67</v>
      </c>
      <c r="AN31" s="1">
        <f t="shared" si="2"/>
        <v>0.68646869409660105</v>
      </c>
      <c r="AO31">
        <v>15</v>
      </c>
      <c r="AP31">
        <f t="shared" si="13"/>
        <v>420</v>
      </c>
      <c r="AZ31" s="72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1"/>
        <v>1</v>
      </c>
      <c r="BF31" s="79">
        <v>2841.5</v>
      </c>
      <c r="BG31" s="7">
        <f t="shared" si="17"/>
        <v>0</v>
      </c>
      <c r="BH31" s="28">
        <f t="shared" si="18"/>
        <v>45893.5</v>
      </c>
      <c r="BI31" s="29">
        <f t="shared" si="19"/>
        <v>0</v>
      </c>
      <c r="BJ31" s="7">
        <v>2</v>
      </c>
      <c r="BL31" s="7">
        <v>2022</v>
      </c>
      <c r="BM31" s="7" t="s">
        <v>11</v>
      </c>
      <c r="BR31" s="1"/>
      <c r="BU31" s="7"/>
      <c r="BW31" s="7"/>
    </row>
    <row r="32" spans="1:75" x14ac:dyDescent="0.25">
      <c r="A32" s="7">
        <v>2023</v>
      </c>
      <c r="B32" s="13">
        <v>45124</v>
      </c>
      <c r="C32" s="116" t="s">
        <v>14</v>
      </c>
      <c r="D32" s="7">
        <v>29</v>
      </c>
      <c r="F32" s="33">
        <v>0.68</v>
      </c>
      <c r="G32" s="33">
        <v>0.63</v>
      </c>
      <c r="H32" s="33">
        <v>0.93</v>
      </c>
      <c r="I32" s="33">
        <v>1</v>
      </c>
      <c r="J32" s="34">
        <v>0.77</v>
      </c>
      <c r="L32" s="8">
        <f>AVERAGE(J29:J32)</f>
        <v>0.79999999999999993</v>
      </c>
      <c r="M32" s="8">
        <f t="shared" si="16"/>
        <v>0.78499999999999992</v>
      </c>
      <c r="N32" s="9">
        <v>0.88</v>
      </c>
      <c r="O32" s="9">
        <v>0.95</v>
      </c>
      <c r="Q32" s="1"/>
      <c r="R32" s="1"/>
      <c r="S32" s="1"/>
      <c r="T32" s="1"/>
      <c r="U32" s="4"/>
      <c r="AA32" s="2"/>
      <c r="AB32" s="2"/>
      <c r="AC32">
        <f t="shared" si="6"/>
        <v>0</v>
      </c>
      <c r="AD32" s="1" t="e">
        <f t="shared" si="0"/>
        <v>#DIV/0!</v>
      </c>
      <c r="AF32">
        <f t="shared" si="20"/>
        <v>698.75</v>
      </c>
      <c r="AG32">
        <f t="shared" si="20"/>
        <v>295.25</v>
      </c>
      <c r="AH32">
        <f t="shared" si="20"/>
        <v>994</v>
      </c>
      <c r="AI32" s="1">
        <f t="shared" si="1"/>
        <v>0.29703219315895374</v>
      </c>
      <c r="AK32" s="110">
        <f>'QC Data 2023'!K32</f>
        <v>0</v>
      </c>
      <c r="AL32" s="1" t="e">
        <f t="shared" si="7"/>
        <v>#DIV/0!</v>
      </c>
      <c r="AM32">
        <f t="shared" si="22"/>
        <v>479.67</v>
      </c>
      <c r="AN32" s="1">
        <f t="shared" si="2"/>
        <v>0.68646869409660105</v>
      </c>
      <c r="AO32">
        <v>15</v>
      </c>
      <c r="AP32">
        <f t="shared" si="13"/>
        <v>435</v>
      </c>
      <c r="AZ32" s="72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1"/>
        <v>0</v>
      </c>
      <c r="BF32" s="79">
        <v>2637.75</v>
      </c>
      <c r="BG32" s="7">
        <f t="shared" si="17"/>
        <v>0</v>
      </c>
      <c r="BH32" s="28">
        <f t="shared" si="18"/>
        <v>44314.25</v>
      </c>
      <c r="BI32" s="29">
        <f t="shared" si="19"/>
        <v>0</v>
      </c>
      <c r="BJ32" s="7">
        <v>2</v>
      </c>
      <c r="BL32" s="7">
        <v>2022</v>
      </c>
      <c r="BM32" s="7" t="s">
        <v>12</v>
      </c>
      <c r="BR32" s="1"/>
      <c r="BU32" s="7"/>
      <c r="BW32" s="7"/>
    </row>
    <row r="33" spans="1:75" x14ac:dyDescent="0.25">
      <c r="A33" s="7">
        <v>2023</v>
      </c>
      <c r="B33" s="13">
        <v>45131</v>
      </c>
      <c r="C33" s="116"/>
      <c r="D33" s="7">
        <v>30</v>
      </c>
      <c r="F33" s="5">
        <v>0.52</v>
      </c>
      <c r="G33" s="5">
        <v>0.49</v>
      </c>
      <c r="H33" s="5">
        <v>0.87</v>
      </c>
      <c r="I33" s="5">
        <v>1</v>
      </c>
      <c r="J33" s="6">
        <v>0.67</v>
      </c>
      <c r="L33" s="8">
        <f t="shared" ref="L33:L56" si="23">AVERAGE(J30:J33)</f>
        <v>0.78</v>
      </c>
      <c r="M33" s="8">
        <f t="shared" si="16"/>
        <v>0.77249999999999996</v>
      </c>
      <c r="N33" s="9">
        <v>0.88</v>
      </c>
      <c r="O33" s="9">
        <v>0.95</v>
      </c>
      <c r="Q33" s="1"/>
      <c r="R33" s="1"/>
      <c r="S33" s="1"/>
      <c r="T33" s="1"/>
      <c r="U33" s="4"/>
      <c r="AA33" s="2"/>
      <c r="AB33" s="2"/>
      <c r="AC33">
        <f t="shared" si="6"/>
        <v>0</v>
      </c>
      <c r="AD33" s="1" t="e">
        <f t="shared" ref="AD33:AD56" si="24">AB47/AC33</f>
        <v>#DIV/0!</v>
      </c>
      <c r="AF33">
        <f t="shared" ref="AF33:AG48" si="25">AF32+AA47</f>
        <v>698.75</v>
      </c>
      <c r="AG33">
        <f t="shared" si="25"/>
        <v>295.25</v>
      </c>
      <c r="AH33">
        <f t="shared" si="20"/>
        <v>994</v>
      </c>
      <c r="AI33" s="1">
        <f t="shared" si="1"/>
        <v>0.29703219315895374</v>
      </c>
      <c r="AK33" s="110">
        <f>'QC Data 2023'!K33</f>
        <v>11</v>
      </c>
      <c r="AL33" s="1" t="e">
        <f t="shared" si="7"/>
        <v>#DIV/0!</v>
      </c>
      <c r="AM33">
        <f t="shared" si="22"/>
        <v>490.67</v>
      </c>
      <c r="AN33" s="1">
        <f t="shared" si="2"/>
        <v>0.70221109123434711</v>
      </c>
      <c r="AO33">
        <v>15</v>
      </c>
      <c r="AP33">
        <f t="shared" si="13"/>
        <v>450</v>
      </c>
      <c r="AZ33" s="72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1"/>
        <v>2</v>
      </c>
      <c r="BF33" s="79">
        <v>4042.75</v>
      </c>
      <c r="BG33" s="7">
        <f t="shared" si="17"/>
        <v>0</v>
      </c>
      <c r="BH33" s="28">
        <f t="shared" si="18"/>
        <v>44204</v>
      </c>
      <c r="BI33" s="29">
        <f t="shared" si="19"/>
        <v>0</v>
      </c>
      <c r="BJ33" s="7">
        <v>2</v>
      </c>
      <c r="BL33" s="7">
        <v>2022</v>
      </c>
      <c r="BM33" s="7" t="s">
        <v>13</v>
      </c>
      <c r="BR33" s="1"/>
      <c r="BU33" s="7"/>
      <c r="BW33" s="7"/>
    </row>
    <row r="34" spans="1:75" x14ac:dyDescent="0.25">
      <c r="A34" s="7">
        <v>2023</v>
      </c>
      <c r="B34" s="13">
        <v>45138</v>
      </c>
      <c r="C34" s="117"/>
      <c r="D34" s="7">
        <v>31</v>
      </c>
      <c r="F34" s="5">
        <v>1.1299999999999999</v>
      </c>
      <c r="G34" s="5">
        <v>0.61</v>
      </c>
      <c r="H34" s="5">
        <v>0.76</v>
      </c>
      <c r="I34" s="5">
        <v>1</v>
      </c>
      <c r="J34" s="6">
        <v>0.67</v>
      </c>
      <c r="L34" s="8">
        <f t="shared" si="23"/>
        <v>0.77249999999999996</v>
      </c>
      <c r="M34" s="8">
        <f t="shared" si="16"/>
        <v>0.76124999999999998</v>
      </c>
      <c r="N34" s="9">
        <v>0.88</v>
      </c>
      <c r="O34" s="9">
        <v>0.95</v>
      </c>
      <c r="Q34" s="1"/>
      <c r="R34" s="1"/>
      <c r="S34" s="1"/>
      <c r="T34" s="1"/>
      <c r="U34" s="4"/>
      <c r="AA34" s="2"/>
      <c r="AB34" s="2"/>
      <c r="AC34">
        <f t="shared" si="6"/>
        <v>0</v>
      </c>
      <c r="AD34" s="1" t="e">
        <f t="shared" si="24"/>
        <v>#DIV/0!</v>
      </c>
      <c r="AF34">
        <f t="shared" si="25"/>
        <v>698.75</v>
      </c>
      <c r="AG34">
        <f t="shared" si="25"/>
        <v>295.25</v>
      </c>
      <c r="AH34">
        <f t="shared" si="20"/>
        <v>994</v>
      </c>
      <c r="AI34" s="1">
        <f t="shared" si="1"/>
        <v>0.29703219315895374</v>
      </c>
      <c r="AK34" s="110">
        <f>'QC Data 2023'!K34</f>
        <v>18</v>
      </c>
      <c r="AL34" s="1" t="e">
        <f t="shared" ref="AL34:AL56" si="26">AK34/AA48</f>
        <v>#DIV/0!</v>
      </c>
      <c r="AM34">
        <f t="shared" si="22"/>
        <v>508.67</v>
      </c>
      <c r="AN34" s="1">
        <f t="shared" si="2"/>
        <v>0.7279713774597496</v>
      </c>
      <c r="AO34">
        <v>15</v>
      </c>
      <c r="AP34">
        <f t="shared" si="13"/>
        <v>465</v>
      </c>
      <c r="AZ34" s="72">
        <v>2021</v>
      </c>
      <c r="BA34" s="7" t="s">
        <v>14</v>
      </c>
      <c r="BB34" s="7">
        <v>0</v>
      </c>
      <c r="BC34" s="7">
        <v>1</v>
      </c>
      <c r="BD34" s="7">
        <v>0</v>
      </c>
      <c r="BE34" s="7">
        <f t="shared" si="21"/>
        <v>1</v>
      </c>
      <c r="BF34" s="79">
        <v>3331</v>
      </c>
      <c r="BG34" s="7">
        <f t="shared" ref="BG34:BG45" si="27">SUM(BB23:BB34)</f>
        <v>0</v>
      </c>
      <c r="BH34" s="28">
        <f t="shared" si="18"/>
        <v>43775.25</v>
      </c>
      <c r="BI34" s="29">
        <f t="shared" si="19"/>
        <v>0</v>
      </c>
      <c r="BJ34" s="7">
        <v>2</v>
      </c>
      <c r="BL34" s="7">
        <v>2022</v>
      </c>
      <c r="BM34" s="7" t="s">
        <v>14</v>
      </c>
      <c r="BR34" s="1"/>
      <c r="BU34" s="7"/>
      <c r="BW34" s="7"/>
    </row>
    <row r="35" spans="1:75" x14ac:dyDescent="0.25">
      <c r="A35" s="7">
        <v>2023</v>
      </c>
      <c r="B35" s="13">
        <v>45145</v>
      </c>
      <c r="C35" s="115"/>
      <c r="D35" s="7">
        <v>32</v>
      </c>
      <c r="F35" s="5">
        <v>0.53</v>
      </c>
      <c r="G35" s="5">
        <v>0.56999999999999995</v>
      </c>
      <c r="H35" s="5">
        <v>0.76</v>
      </c>
      <c r="I35" s="5">
        <v>1</v>
      </c>
      <c r="J35" s="6">
        <v>0.65</v>
      </c>
      <c r="L35" s="8">
        <f t="shared" si="23"/>
        <v>0.69</v>
      </c>
      <c r="M35" s="8">
        <f t="shared" si="16"/>
        <v>0.74625000000000008</v>
      </c>
      <c r="N35" s="9">
        <v>0.88</v>
      </c>
      <c r="O35" s="9">
        <v>0.95</v>
      </c>
      <c r="Q35" s="1"/>
      <c r="R35" s="1"/>
      <c r="S35" s="1"/>
      <c r="T35" s="1"/>
      <c r="U35" s="4"/>
      <c r="AA35" s="2"/>
      <c r="AB35" s="2"/>
      <c r="AC35">
        <f t="shared" si="6"/>
        <v>0</v>
      </c>
      <c r="AD35" s="1" t="e">
        <f t="shared" si="24"/>
        <v>#DIV/0!</v>
      </c>
      <c r="AF35">
        <f t="shared" si="25"/>
        <v>698.75</v>
      </c>
      <c r="AG35">
        <f t="shared" si="25"/>
        <v>295.25</v>
      </c>
      <c r="AH35">
        <f t="shared" si="20"/>
        <v>994</v>
      </c>
      <c r="AI35" s="1">
        <f t="shared" si="1"/>
        <v>0.29703219315895374</v>
      </c>
      <c r="AK35" s="110">
        <f>'QC Data 2023'!K35</f>
        <v>18</v>
      </c>
      <c r="AL35" s="1" t="e">
        <f t="shared" si="26"/>
        <v>#DIV/0!</v>
      </c>
      <c r="AM35">
        <f t="shared" si="22"/>
        <v>526.67000000000007</v>
      </c>
      <c r="AN35" s="1">
        <f t="shared" si="2"/>
        <v>0.75373166368515221</v>
      </c>
      <c r="AO35">
        <v>15</v>
      </c>
      <c r="AP35">
        <f t="shared" si="13"/>
        <v>480</v>
      </c>
      <c r="AZ35" s="72">
        <v>2021</v>
      </c>
      <c r="BA35" s="7" t="s">
        <v>15</v>
      </c>
      <c r="BB35" s="7">
        <v>0</v>
      </c>
      <c r="BC35" s="108">
        <v>1</v>
      </c>
      <c r="BD35" s="108">
        <v>0</v>
      </c>
      <c r="BE35" s="7">
        <f t="shared" si="21"/>
        <v>1</v>
      </c>
      <c r="BF35" s="79">
        <v>3369</v>
      </c>
      <c r="BG35" s="7">
        <f t="shared" si="27"/>
        <v>0</v>
      </c>
      <c r="BH35" s="28">
        <f t="shared" si="18"/>
        <v>42858.25</v>
      </c>
      <c r="BI35" s="29">
        <f t="shared" si="19"/>
        <v>0</v>
      </c>
      <c r="BJ35" s="7">
        <v>2</v>
      </c>
      <c r="BL35" s="7">
        <v>2022</v>
      </c>
      <c r="BM35" s="7" t="s">
        <v>15</v>
      </c>
      <c r="BR35" s="1"/>
      <c r="BU35" t="s">
        <v>155</v>
      </c>
      <c r="BV35" t="s">
        <v>156</v>
      </c>
      <c r="BW35" s="7"/>
    </row>
    <row r="36" spans="1:75" x14ac:dyDescent="0.25">
      <c r="A36" s="7">
        <v>2023</v>
      </c>
      <c r="B36" s="13">
        <v>45152</v>
      </c>
      <c r="C36" s="116" t="s">
        <v>15</v>
      </c>
      <c r="D36" s="7">
        <v>33</v>
      </c>
      <c r="F36" s="5">
        <v>0.78</v>
      </c>
      <c r="G36" s="5">
        <v>0.62</v>
      </c>
      <c r="H36" s="5">
        <v>0.55000000000000004</v>
      </c>
      <c r="I36" s="5">
        <v>0.75</v>
      </c>
      <c r="J36" s="6">
        <v>0.61</v>
      </c>
      <c r="L36" s="8">
        <f t="shared" si="23"/>
        <v>0.65</v>
      </c>
      <c r="M36" s="8">
        <f t="shared" si="16"/>
        <v>0.72500000000000009</v>
      </c>
      <c r="N36" s="9">
        <v>0.88</v>
      </c>
      <c r="O36" s="9">
        <v>0.95</v>
      </c>
      <c r="Q36" s="1"/>
      <c r="R36" s="1"/>
      <c r="S36" s="1"/>
      <c r="T36" s="1"/>
      <c r="U36" s="4"/>
      <c r="AA36" s="2"/>
      <c r="AB36" s="2"/>
      <c r="AC36">
        <f t="shared" si="6"/>
        <v>0</v>
      </c>
      <c r="AD36" s="1" t="e">
        <f t="shared" si="24"/>
        <v>#DIV/0!</v>
      </c>
      <c r="AF36">
        <f t="shared" si="25"/>
        <v>698.75</v>
      </c>
      <c r="AG36">
        <f t="shared" si="25"/>
        <v>295.25</v>
      </c>
      <c r="AH36">
        <f t="shared" si="20"/>
        <v>994</v>
      </c>
      <c r="AI36" s="1">
        <f t="shared" si="1"/>
        <v>0.29703219315895374</v>
      </c>
      <c r="AK36" s="110">
        <f>'QC Data 2023'!K36</f>
        <v>49</v>
      </c>
      <c r="AL36" s="1" t="e">
        <f t="shared" si="26"/>
        <v>#DIV/0!</v>
      </c>
      <c r="AM36">
        <f t="shared" si="22"/>
        <v>575.67000000000007</v>
      </c>
      <c r="AN36" s="1">
        <f t="shared" si="2"/>
        <v>0.82385688729874784</v>
      </c>
      <c r="AO36">
        <v>15</v>
      </c>
      <c r="AP36">
        <f t="shared" si="13"/>
        <v>495</v>
      </c>
      <c r="AZ36" s="72">
        <v>2021</v>
      </c>
      <c r="BA36" s="7" t="s">
        <v>16</v>
      </c>
      <c r="BB36" s="7">
        <v>0</v>
      </c>
      <c r="BC36" s="108">
        <v>1</v>
      </c>
      <c r="BD36" s="108">
        <v>0</v>
      </c>
      <c r="BE36" s="7">
        <f t="shared" si="21"/>
        <v>1</v>
      </c>
      <c r="BF36" s="79">
        <v>3255</v>
      </c>
      <c r="BG36" s="7">
        <f t="shared" si="27"/>
        <v>0</v>
      </c>
      <c r="BH36" s="28">
        <f t="shared" si="18"/>
        <v>41616.25</v>
      </c>
      <c r="BI36" s="29">
        <f t="shared" si="19"/>
        <v>0</v>
      </c>
      <c r="BJ36" s="7">
        <v>2</v>
      </c>
      <c r="BL36" s="7">
        <v>2022</v>
      </c>
      <c r="BM36" s="7" t="s">
        <v>16</v>
      </c>
      <c r="BR36" s="1"/>
      <c r="BU36" s="7">
        <v>100</v>
      </c>
      <c r="BV36" t="s">
        <v>157</v>
      </c>
      <c r="BW36" s="7"/>
    </row>
    <row r="37" spans="1:75" x14ac:dyDescent="0.25">
      <c r="A37" s="7">
        <v>2023</v>
      </c>
      <c r="B37" s="13">
        <v>45159</v>
      </c>
      <c r="C37" s="116"/>
      <c r="D37" s="7">
        <v>34</v>
      </c>
      <c r="F37" s="5">
        <v>0.54</v>
      </c>
      <c r="G37" s="5">
        <v>0.67</v>
      </c>
      <c r="H37" s="5">
        <v>0.78</v>
      </c>
      <c r="I37" s="5">
        <v>0.88</v>
      </c>
      <c r="J37" s="6">
        <v>0.69</v>
      </c>
      <c r="L37" s="8">
        <f t="shared" si="23"/>
        <v>0.65500000000000003</v>
      </c>
      <c r="M37" s="8">
        <f t="shared" si="16"/>
        <v>0.71750000000000003</v>
      </c>
      <c r="N37" s="9">
        <v>0.88</v>
      </c>
      <c r="O37" s="9">
        <v>0.95</v>
      </c>
      <c r="Q37" s="1"/>
      <c r="R37" s="1"/>
      <c r="S37" s="1"/>
      <c r="T37" s="1"/>
      <c r="U37" s="4"/>
      <c r="AA37" s="2"/>
      <c r="AB37" s="2"/>
      <c r="AC37">
        <f t="shared" si="6"/>
        <v>0</v>
      </c>
      <c r="AD37" s="1" t="e">
        <f t="shared" si="24"/>
        <v>#DIV/0!</v>
      </c>
      <c r="AF37">
        <f t="shared" si="25"/>
        <v>698.75</v>
      </c>
      <c r="AG37">
        <f t="shared" si="25"/>
        <v>295.25</v>
      </c>
      <c r="AH37">
        <f t="shared" si="20"/>
        <v>994</v>
      </c>
      <c r="AI37" s="1">
        <f t="shared" si="1"/>
        <v>0.29703219315895374</v>
      </c>
      <c r="AK37" s="110">
        <f>'QC Data 2023'!K37</f>
        <v>39</v>
      </c>
      <c r="AL37" s="1" t="e">
        <f t="shared" si="26"/>
        <v>#DIV/0!</v>
      </c>
      <c r="AM37">
        <f t="shared" si="22"/>
        <v>614.67000000000007</v>
      </c>
      <c r="AN37" s="1">
        <f t="shared" si="2"/>
        <v>0.87967084078711999</v>
      </c>
      <c r="AO37">
        <v>15</v>
      </c>
      <c r="AP37">
        <f t="shared" si="13"/>
        <v>510</v>
      </c>
      <c r="AZ37" s="72">
        <v>2021</v>
      </c>
      <c r="BA37" s="7" t="s">
        <v>17</v>
      </c>
      <c r="BB37" s="7">
        <v>0</v>
      </c>
      <c r="BC37" s="114">
        <v>1</v>
      </c>
      <c r="BD37" s="108">
        <v>2</v>
      </c>
      <c r="BE37" s="7">
        <f t="shared" si="21"/>
        <v>3</v>
      </c>
      <c r="BF37" s="79">
        <v>5129</v>
      </c>
      <c r="BG37" s="7">
        <f t="shared" si="27"/>
        <v>0</v>
      </c>
      <c r="BH37" s="28">
        <f t="shared" si="18"/>
        <v>42283.5</v>
      </c>
      <c r="BI37" s="29">
        <f t="shared" si="19"/>
        <v>0</v>
      </c>
      <c r="BJ37" s="7">
        <v>2</v>
      </c>
      <c r="BL37" s="7">
        <v>2022</v>
      </c>
      <c r="BM37" s="7" t="s">
        <v>17</v>
      </c>
      <c r="BR37" s="1"/>
      <c r="BU37" s="7">
        <v>105</v>
      </c>
      <c r="BV37" t="s">
        <v>158</v>
      </c>
      <c r="BW37" s="7"/>
    </row>
    <row r="38" spans="1:75" x14ac:dyDescent="0.25">
      <c r="A38" s="7">
        <v>2023</v>
      </c>
      <c r="B38" s="13">
        <v>45166</v>
      </c>
      <c r="C38" s="117"/>
      <c r="D38" s="7">
        <v>35</v>
      </c>
      <c r="F38" s="5">
        <v>0.7</v>
      </c>
      <c r="G38" s="5">
        <v>0.73</v>
      </c>
      <c r="H38" s="5">
        <v>0.83</v>
      </c>
      <c r="I38" s="5">
        <v>1</v>
      </c>
      <c r="J38" s="6">
        <v>0.76</v>
      </c>
      <c r="L38" s="8">
        <f t="shared" si="23"/>
        <v>0.67749999999999999</v>
      </c>
      <c r="M38" s="8">
        <f t="shared" si="16"/>
        <v>0.72499999999999987</v>
      </c>
      <c r="N38" s="9">
        <v>0.88</v>
      </c>
      <c r="O38" s="9">
        <v>0.95</v>
      </c>
      <c r="Q38" s="1"/>
      <c r="R38" s="1"/>
      <c r="S38" s="1"/>
      <c r="T38" s="1"/>
      <c r="U38" s="4"/>
      <c r="AA38" s="2"/>
      <c r="AB38" s="2"/>
      <c r="AC38">
        <f t="shared" si="6"/>
        <v>0</v>
      </c>
      <c r="AD38" s="1" t="e">
        <f t="shared" si="24"/>
        <v>#DIV/0!</v>
      </c>
      <c r="AF38">
        <f t="shared" si="25"/>
        <v>698.75</v>
      </c>
      <c r="AG38">
        <f t="shared" si="25"/>
        <v>295.25</v>
      </c>
      <c r="AH38">
        <f t="shared" ref="AH38:AH56" si="28">AH37+AC38</f>
        <v>994</v>
      </c>
      <c r="AI38" s="1">
        <f t="shared" si="1"/>
        <v>0.29703219315895374</v>
      </c>
      <c r="AK38" s="110">
        <f>'QC Data 2023'!K38</f>
        <v>132.5</v>
      </c>
      <c r="AL38" s="1" t="e">
        <f t="shared" si="26"/>
        <v>#DIV/0!</v>
      </c>
      <c r="AM38">
        <f t="shared" si="22"/>
        <v>747.17000000000007</v>
      </c>
      <c r="AN38" s="1">
        <f t="shared" si="2"/>
        <v>1.0692951699463329</v>
      </c>
      <c r="AO38">
        <v>15</v>
      </c>
      <c r="AP38">
        <f t="shared" si="13"/>
        <v>525</v>
      </c>
      <c r="AZ38" s="72">
        <v>2021</v>
      </c>
      <c r="BA38" s="7" t="s">
        <v>18</v>
      </c>
      <c r="BB38" s="7">
        <v>0</v>
      </c>
      <c r="BC38" s="108">
        <v>1</v>
      </c>
      <c r="BD38" s="108">
        <v>2</v>
      </c>
      <c r="BE38" s="7">
        <f t="shared" si="21"/>
        <v>3</v>
      </c>
      <c r="BF38" s="79">
        <v>5102</v>
      </c>
      <c r="BG38" s="7">
        <f t="shared" si="27"/>
        <v>0</v>
      </c>
      <c r="BH38" s="28">
        <f t="shared" si="18"/>
        <v>43583.25</v>
      </c>
      <c r="BI38" s="29">
        <f t="shared" si="19"/>
        <v>0</v>
      </c>
      <c r="BJ38" s="7">
        <v>2</v>
      </c>
      <c r="BL38" s="7">
        <v>2022</v>
      </c>
      <c r="BM38" s="7" t="s">
        <v>18</v>
      </c>
      <c r="BR38" s="1"/>
      <c r="BU38" s="7">
        <v>107</v>
      </c>
      <c r="BV38" t="s">
        <v>159</v>
      </c>
      <c r="BW38" s="7"/>
    </row>
    <row r="39" spans="1:75" x14ac:dyDescent="0.25">
      <c r="A39" s="7">
        <v>2023</v>
      </c>
      <c r="B39" s="13">
        <v>45173</v>
      </c>
      <c r="C39" s="115"/>
      <c r="D39" s="7">
        <v>36</v>
      </c>
      <c r="F39" s="5">
        <v>0.97</v>
      </c>
      <c r="G39" s="5">
        <v>0.84</v>
      </c>
      <c r="H39" s="5">
        <v>0.82</v>
      </c>
      <c r="I39" s="5">
        <v>0.75</v>
      </c>
      <c r="J39" s="6">
        <v>0.83</v>
      </c>
      <c r="L39" s="8">
        <f t="shared" si="23"/>
        <v>0.72249999999999992</v>
      </c>
      <c r="M39" s="8">
        <f t="shared" si="16"/>
        <v>0.70624999999999993</v>
      </c>
      <c r="N39" s="9">
        <v>0.88</v>
      </c>
      <c r="O39" s="9">
        <v>0.95</v>
      </c>
      <c r="Q39" s="1"/>
      <c r="R39" s="1"/>
      <c r="S39" s="1"/>
      <c r="T39" s="1"/>
      <c r="U39" s="4"/>
      <c r="AA39" s="2"/>
      <c r="AB39" s="2"/>
      <c r="AC39">
        <f t="shared" si="6"/>
        <v>0</v>
      </c>
      <c r="AD39" s="1" t="e">
        <f t="shared" si="24"/>
        <v>#DIV/0!</v>
      </c>
      <c r="AF39">
        <f t="shared" si="25"/>
        <v>698.75</v>
      </c>
      <c r="AG39">
        <f t="shared" si="25"/>
        <v>295.25</v>
      </c>
      <c r="AH39">
        <f t="shared" si="28"/>
        <v>994</v>
      </c>
      <c r="AI39" s="1">
        <f t="shared" si="1"/>
        <v>0.29703219315895374</v>
      </c>
      <c r="AK39" s="110">
        <f>'QC Data 2023'!K39</f>
        <v>65.5</v>
      </c>
      <c r="AL39" s="1" t="e">
        <f t="shared" si="26"/>
        <v>#DIV/0!</v>
      </c>
      <c r="AM39">
        <f t="shared" si="22"/>
        <v>812.67000000000007</v>
      </c>
      <c r="AN39" s="1">
        <f t="shared" si="2"/>
        <v>1.1630339892665476</v>
      </c>
      <c r="AO39">
        <v>15</v>
      </c>
      <c r="AP39">
        <f t="shared" si="13"/>
        <v>540</v>
      </c>
      <c r="AZ39" s="75">
        <v>2021</v>
      </c>
      <c r="BA39" s="76" t="s">
        <v>19</v>
      </c>
      <c r="BB39" s="76">
        <v>0</v>
      </c>
      <c r="BC39" s="109">
        <v>1</v>
      </c>
      <c r="BD39" s="109">
        <v>0</v>
      </c>
      <c r="BE39" s="76">
        <f t="shared" si="21"/>
        <v>1</v>
      </c>
      <c r="BF39" s="80">
        <v>5019</v>
      </c>
      <c r="BG39" s="7">
        <f t="shared" si="27"/>
        <v>0</v>
      </c>
      <c r="BH39" s="28">
        <f t="shared" si="18"/>
        <v>44754</v>
      </c>
      <c r="BI39" s="29">
        <f t="shared" si="19"/>
        <v>0</v>
      </c>
      <c r="BJ39" s="7">
        <v>2</v>
      </c>
      <c r="BL39" s="7">
        <v>2022</v>
      </c>
      <c r="BM39" s="7" t="s">
        <v>19</v>
      </c>
      <c r="BR39" s="1"/>
      <c r="BU39" s="7">
        <v>110</v>
      </c>
      <c r="BV39" t="s">
        <v>160</v>
      </c>
      <c r="BW39" s="7"/>
    </row>
    <row r="40" spans="1:75" x14ac:dyDescent="0.25">
      <c r="A40" s="7">
        <v>2023</v>
      </c>
      <c r="B40" s="13">
        <v>45180</v>
      </c>
      <c r="C40" s="116" t="s">
        <v>16</v>
      </c>
      <c r="D40" s="7">
        <v>37</v>
      </c>
      <c r="F40" s="5">
        <v>0.69</v>
      </c>
      <c r="G40" s="5">
        <v>0.84</v>
      </c>
      <c r="H40" s="5">
        <v>0.76</v>
      </c>
      <c r="I40" s="5">
        <v>1.18</v>
      </c>
      <c r="J40" s="6">
        <v>0.77</v>
      </c>
      <c r="L40" s="8">
        <f t="shared" si="23"/>
        <v>0.76249999999999996</v>
      </c>
      <c r="M40" s="8">
        <f t="shared" si="16"/>
        <v>0.70625000000000004</v>
      </c>
      <c r="N40" s="9">
        <v>0.88</v>
      </c>
      <c r="O40" s="9">
        <v>0.95</v>
      </c>
      <c r="Q40" s="1"/>
      <c r="R40" s="1"/>
      <c r="S40" s="1"/>
      <c r="T40" s="1"/>
      <c r="U40" s="4"/>
      <c r="AA40" s="2"/>
      <c r="AB40" s="2"/>
      <c r="AC40">
        <f t="shared" si="6"/>
        <v>0</v>
      </c>
      <c r="AD40" s="1" t="e">
        <f t="shared" si="24"/>
        <v>#DIV/0!</v>
      </c>
      <c r="AF40">
        <f t="shared" si="25"/>
        <v>698.75</v>
      </c>
      <c r="AG40">
        <f t="shared" si="25"/>
        <v>295.25</v>
      </c>
      <c r="AH40">
        <f t="shared" si="28"/>
        <v>994</v>
      </c>
      <c r="AI40" s="1">
        <f t="shared" si="1"/>
        <v>0.29703219315895374</v>
      </c>
      <c r="AK40" s="110">
        <f>'QC Data 2023'!K40</f>
        <v>22.75</v>
      </c>
      <c r="AL40" s="1" t="e">
        <f t="shared" si="26"/>
        <v>#DIV/0!</v>
      </c>
      <c r="AM40">
        <f t="shared" si="22"/>
        <v>835.42000000000007</v>
      </c>
      <c r="AN40" s="1">
        <f t="shared" si="2"/>
        <v>1.1955921288014313</v>
      </c>
      <c r="AO40">
        <v>15</v>
      </c>
      <c r="AP40">
        <f t="shared" si="13"/>
        <v>555</v>
      </c>
      <c r="AZ40" s="69">
        <v>2022</v>
      </c>
      <c r="BA40" s="70" t="s">
        <v>8</v>
      </c>
      <c r="BB40" s="70">
        <v>0</v>
      </c>
      <c r="BC40" s="70">
        <v>1</v>
      </c>
      <c r="BD40" s="70">
        <v>1</v>
      </c>
      <c r="BE40" s="70">
        <f t="shared" si="21"/>
        <v>2</v>
      </c>
      <c r="BF40" s="78">
        <v>4683</v>
      </c>
      <c r="BG40" s="7">
        <f t="shared" si="27"/>
        <v>0</v>
      </c>
      <c r="BH40" s="28">
        <f t="shared" si="18"/>
        <v>46452.75</v>
      </c>
      <c r="BI40" s="29">
        <f t="shared" si="19"/>
        <v>0</v>
      </c>
      <c r="BJ40" s="7">
        <v>2</v>
      </c>
      <c r="BL40" s="7">
        <v>2022</v>
      </c>
      <c r="BM40" s="7" t="s">
        <v>49</v>
      </c>
      <c r="BN40">
        <f>SUM(BN16:BN27)</f>
        <v>15</v>
      </c>
      <c r="BO40" s="102">
        <f>SUM(BO16:BO27)</f>
        <v>11</v>
      </c>
      <c r="BP40">
        <f>BN40+BO40</f>
        <v>26</v>
      </c>
      <c r="BQ40" s="1">
        <f>BN40/BP40</f>
        <v>0.57692307692307687</v>
      </c>
      <c r="BR40" s="1">
        <v>0.95</v>
      </c>
      <c r="BU40" s="7">
        <v>115</v>
      </c>
      <c r="BV40" t="s">
        <v>161</v>
      </c>
      <c r="BW40" s="7"/>
    </row>
    <row r="41" spans="1:75" x14ac:dyDescent="0.25">
      <c r="A41" s="7">
        <v>2023</v>
      </c>
      <c r="B41" s="13">
        <v>45187</v>
      </c>
      <c r="C41" s="118"/>
      <c r="D41" s="7">
        <v>38</v>
      </c>
      <c r="F41" s="5">
        <v>0.94</v>
      </c>
      <c r="G41" s="5">
        <v>0.75</v>
      </c>
      <c r="H41" s="5">
        <v>0.83</v>
      </c>
      <c r="I41" s="5">
        <v>1</v>
      </c>
      <c r="J41" s="6">
        <v>0.8</v>
      </c>
      <c r="L41" s="8">
        <f t="shared" si="23"/>
        <v>0.79</v>
      </c>
      <c r="M41" s="8">
        <f t="shared" si="16"/>
        <v>0.72250000000000003</v>
      </c>
      <c r="N41" s="9">
        <v>0.88</v>
      </c>
      <c r="O41" s="9">
        <v>0.95</v>
      </c>
      <c r="Q41" s="1"/>
      <c r="R41" s="1"/>
      <c r="S41" s="1"/>
      <c r="T41" s="1"/>
      <c r="U41" s="4"/>
      <c r="AA41" s="2"/>
      <c r="AB41" s="2"/>
      <c r="AC41">
        <f t="shared" si="6"/>
        <v>0</v>
      </c>
      <c r="AD41" s="1" t="e">
        <f t="shared" si="24"/>
        <v>#DIV/0!</v>
      </c>
      <c r="AF41">
        <f t="shared" si="25"/>
        <v>698.75</v>
      </c>
      <c r="AG41">
        <f t="shared" si="25"/>
        <v>295.25</v>
      </c>
      <c r="AH41">
        <f t="shared" si="28"/>
        <v>994</v>
      </c>
      <c r="AI41" s="1">
        <f t="shared" si="1"/>
        <v>0.29703219315895374</v>
      </c>
      <c r="AK41" s="110">
        <f>'QC Data 2023'!K41</f>
        <v>77.5</v>
      </c>
      <c r="AL41" s="1" t="e">
        <f t="shared" si="26"/>
        <v>#DIV/0!</v>
      </c>
      <c r="AM41">
        <f t="shared" si="22"/>
        <v>912.92000000000007</v>
      </c>
      <c r="AN41" s="1">
        <f t="shared" si="2"/>
        <v>1.3065044722719141</v>
      </c>
      <c r="AO41">
        <v>15</v>
      </c>
      <c r="AP41">
        <f t="shared" si="13"/>
        <v>570</v>
      </c>
      <c r="AZ41" s="72">
        <v>2022</v>
      </c>
      <c r="BA41" s="7" t="s">
        <v>9</v>
      </c>
      <c r="BB41" s="7">
        <v>0</v>
      </c>
      <c r="BC41" s="7">
        <v>0</v>
      </c>
      <c r="BD41" s="7">
        <v>1</v>
      </c>
      <c r="BE41" s="7">
        <f t="shared" si="21"/>
        <v>1</v>
      </c>
      <c r="BF41" s="79">
        <v>5033</v>
      </c>
      <c r="BG41" s="7">
        <f t="shared" si="27"/>
        <v>0</v>
      </c>
      <c r="BH41" s="28">
        <f t="shared" si="18"/>
        <v>48138.25</v>
      </c>
      <c r="BI41" s="29">
        <f t="shared" si="19"/>
        <v>0</v>
      </c>
      <c r="BJ41" s="7">
        <v>2</v>
      </c>
      <c r="BL41" t="s">
        <v>78</v>
      </c>
      <c r="BN41">
        <f>SUM(BN5:BN16)</f>
        <v>110</v>
      </c>
      <c r="BO41" s="102">
        <f>SUM(BO5:BO16)</f>
        <v>25</v>
      </c>
      <c r="BP41">
        <f>BN41+BO41</f>
        <v>135</v>
      </c>
      <c r="BQ41" s="1">
        <f>BN41/BP41</f>
        <v>0.81481481481481477</v>
      </c>
      <c r="BR41" s="1">
        <v>0.95</v>
      </c>
      <c r="BU41" s="7">
        <v>120</v>
      </c>
      <c r="BV41" t="s">
        <v>162</v>
      </c>
      <c r="BW41" s="7"/>
    </row>
    <row r="42" spans="1:75" x14ac:dyDescent="0.25">
      <c r="A42" s="7">
        <v>2023</v>
      </c>
      <c r="B42" s="13">
        <v>45194</v>
      </c>
      <c r="C42" s="117"/>
      <c r="D42" s="7">
        <v>39</v>
      </c>
      <c r="F42" s="5">
        <v>0.44</v>
      </c>
      <c r="G42" s="5">
        <v>0.56000000000000005</v>
      </c>
      <c r="H42" s="5">
        <v>0.8</v>
      </c>
      <c r="I42" s="5">
        <v>1</v>
      </c>
      <c r="J42" s="6">
        <v>0.63</v>
      </c>
      <c r="L42" s="8">
        <f t="shared" si="23"/>
        <v>0.75750000000000006</v>
      </c>
      <c r="M42" s="8">
        <f t="shared" si="16"/>
        <v>0.71750000000000003</v>
      </c>
      <c r="N42" s="9">
        <v>0.88</v>
      </c>
      <c r="O42" s="9">
        <v>0.95</v>
      </c>
      <c r="Q42" s="1"/>
      <c r="R42" s="1"/>
      <c r="S42" s="1"/>
      <c r="T42" s="1"/>
      <c r="U42" s="4"/>
      <c r="AA42" s="2"/>
      <c r="AB42" s="2"/>
      <c r="AC42">
        <f t="shared" si="6"/>
        <v>0</v>
      </c>
      <c r="AD42" s="1" t="e">
        <f t="shared" si="24"/>
        <v>#DIV/0!</v>
      </c>
      <c r="AF42">
        <f t="shared" si="25"/>
        <v>698.75</v>
      </c>
      <c r="AG42">
        <f t="shared" si="25"/>
        <v>295.25</v>
      </c>
      <c r="AH42">
        <f t="shared" si="28"/>
        <v>994</v>
      </c>
      <c r="AI42" s="1">
        <f t="shared" si="1"/>
        <v>0.29703219315895374</v>
      </c>
      <c r="AK42" s="110">
        <f>'QC Data 2023'!K42</f>
        <v>32.5</v>
      </c>
      <c r="AL42" s="1" t="e">
        <f t="shared" si="26"/>
        <v>#DIV/0!</v>
      </c>
      <c r="AM42">
        <f t="shared" si="22"/>
        <v>945.42000000000007</v>
      </c>
      <c r="AN42" s="1">
        <f t="shared" si="2"/>
        <v>1.353016100178891</v>
      </c>
      <c r="AO42">
        <v>15</v>
      </c>
      <c r="AP42">
        <f t="shared" si="13"/>
        <v>585</v>
      </c>
      <c r="AZ42" s="72">
        <v>2022</v>
      </c>
      <c r="BA42" s="7" t="s">
        <v>10</v>
      </c>
      <c r="BB42" s="7">
        <v>0</v>
      </c>
      <c r="BC42" s="7">
        <v>1</v>
      </c>
      <c r="BD42" s="7">
        <v>1</v>
      </c>
      <c r="BE42" s="7">
        <f t="shared" si="21"/>
        <v>2</v>
      </c>
      <c r="BF42" s="79">
        <v>4646</v>
      </c>
      <c r="BG42" s="7">
        <f t="shared" si="27"/>
        <v>0</v>
      </c>
      <c r="BH42" s="28">
        <f t="shared" si="18"/>
        <v>49089</v>
      </c>
      <c r="BI42" s="29">
        <f t="shared" si="19"/>
        <v>0</v>
      </c>
      <c r="BJ42" s="7">
        <v>2</v>
      </c>
      <c r="BU42" s="7">
        <v>125</v>
      </c>
      <c r="BV42" t="s">
        <v>163</v>
      </c>
      <c r="BW42" s="7"/>
    </row>
    <row r="43" spans="1:75" x14ac:dyDescent="0.25">
      <c r="A43" s="7">
        <v>2023</v>
      </c>
      <c r="B43" s="13">
        <v>45201</v>
      </c>
      <c r="C43" s="115"/>
      <c r="D43" s="7">
        <v>40</v>
      </c>
      <c r="F43" s="5">
        <v>0.52</v>
      </c>
      <c r="G43" s="5">
        <v>0.62</v>
      </c>
      <c r="H43" s="5">
        <v>0.7</v>
      </c>
      <c r="I43" s="5">
        <v>0.75</v>
      </c>
      <c r="J43" s="6">
        <v>0.63</v>
      </c>
      <c r="L43" s="8">
        <f t="shared" si="23"/>
        <v>0.70750000000000002</v>
      </c>
      <c r="M43" s="8">
        <f t="shared" si="16"/>
        <v>0.71499999999999997</v>
      </c>
      <c r="N43" s="9">
        <v>0.88</v>
      </c>
      <c r="O43" s="9">
        <v>0.95</v>
      </c>
      <c r="Q43" s="1"/>
      <c r="R43" s="1"/>
      <c r="S43" s="1"/>
      <c r="T43" s="1"/>
      <c r="U43" s="4"/>
      <c r="AA43" s="2"/>
      <c r="AB43" s="2"/>
      <c r="AC43">
        <f t="shared" si="6"/>
        <v>0</v>
      </c>
      <c r="AD43" s="1" t="e">
        <f t="shared" si="24"/>
        <v>#DIV/0!</v>
      </c>
      <c r="AF43">
        <f t="shared" si="25"/>
        <v>698.75</v>
      </c>
      <c r="AG43">
        <f t="shared" si="25"/>
        <v>295.25</v>
      </c>
      <c r="AH43">
        <f t="shared" si="28"/>
        <v>994</v>
      </c>
      <c r="AI43" s="1">
        <f t="shared" si="1"/>
        <v>0.29703219315895374</v>
      </c>
      <c r="AK43" s="110">
        <f>'QC Data 2023'!K43</f>
        <v>8.5</v>
      </c>
      <c r="AL43" s="1" t="e">
        <f t="shared" si="26"/>
        <v>#DIV/0!</v>
      </c>
      <c r="AM43">
        <f t="shared" si="22"/>
        <v>953.92000000000007</v>
      </c>
      <c r="AN43" s="1">
        <f t="shared" si="2"/>
        <v>1.365180679785331</v>
      </c>
      <c r="AO43">
        <v>15</v>
      </c>
      <c r="AP43">
        <f t="shared" si="13"/>
        <v>600</v>
      </c>
      <c r="AZ43" s="72">
        <v>2022</v>
      </c>
      <c r="BA43" s="7" t="s">
        <v>11</v>
      </c>
      <c r="BB43" s="7">
        <v>0</v>
      </c>
      <c r="BC43" s="7">
        <v>0</v>
      </c>
      <c r="BD43" s="7">
        <v>0</v>
      </c>
      <c r="BE43" s="7">
        <f t="shared" si="21"/>
        <v>0</v>
      </c>
      <c r="BF43" s="79">
        <v>3362</v>
      </c>
      <c r="BG43" s="7">
        <f t="shared" si="27"/>
        <v>0</v>
      </c>
      <c r="BH43" s="28">
        <f t="shared" si="18"/>
        <v>49609.5</v>
      </c>
      <c r="BI43" s="29">
        <f t="shared" si="19"/>
        <v>0</v>
      </c>
      <c r="BJ43" s="7">
        <v>2</v>
      </c>
      <c r="BM43" s="7" t="s">
        <v>25</v>
      </c>
      <c r="BN43">
        <v>80</v>
      </c>
      <c r="BU43" s="7">
        <v>130</v>
      </c>
      <c r="BV43" t="s">
        <v>164</v>
      </c>
      <c r="BW43" s="7"/>
    </row>
    <row r="44" spans="1:75" x14ac:dyDescent="0.25">
      <c r="A44" s="7">
        <v>2023</v>
      </c>
      <c r="B44" s="13">
        <v>45208</v>
      </c>
      <c r="C44" s="116"/>
      <c r="D44" s="7">
        <v>41</v>
      </c>
      <c r="F44" s="5">
        <v>0.82</v>
      </c>
      <c r="G44" s="5">
        <v>0.87</v>
      </c>
      <c r="H44" s="5">
        <v>0.82</v>
      </c>
      <c r="I44" s="5">
        <v>1</v>
      </c>
      <c r="J44" s="6">
        <v>0.84</v>
      </c>
      <c r="L44" s="8">
        <f t="shared" si="23"/>
        <v>0.72499999999999998</v>
      </c>
      <c r="M44" s="8">
        <f t="shared" si="16"/>
        <v>0.74374999999999991</v>
      </c>
      <c r="N44" s="9">
        <v>0.88</v>
      </c>
      <c r="O44" s="9">
        <v>0.95</v>
      </c>
      <c r="Q44" s="1"/>
      <c r="R44" s="1"/>
      <c r="S44" s="1"/>
      <c r="T44" s="1"/>
      <c r="U44" s="4"/>
      <c r="AA44" s="2"/>
      <c r="AB44" s="2"/>
      <c r="AC44">
        <f t="shared" si="6"/>
        <v>0</v>
      </c>
      <c r="AD44" s="1" t="e">
        <f t="shared" si="24"/>
        <v>#DIV/0!</v>
      </c>
      <c r="AF44">
        <f t="shared" si="25"/>
        <v>698.75</v>
      </c>
      <c r="AG44">
        <f t="shared" si="25"/>
        <v>295.25</v>
      </c>
      <c r="AH44">
        <f t="shared" si="28"/>
        <v>994</v>
      </c>
      <c r="AI44" s="1">
        <f t="shared" si="1"/>
        <v>0.29703219315895374</v>
      </c>
      <c r="AK44" s="110">
        <f>'QC Data 2023'!K44</f>
        <v>21.5</v>
      </c>
      <c r="AL44" s="1" t="e">
        <f t="shared" si="26"/>
        <v>#DIV/0!</v>
      </c>
      <c r="AM44">
        <f t="shared" si="22"/>
        <v>975.42000000000007</v>
      </c>
      <c r="AN44" s="1">
        <f t="shared" si="2"/>
        <v>1.3959499105545619</v>
      </c>
      <c r="AO44">
        <v>15</v>
      </c>
      <c r="AP44">
        <f t="shared" si="13"/>
        <v>615</v>
      </c>
      <c r="AZ44" s="72">
        <v>2022</v>
      </c>
      <c r="BA44" s="7" t="s">
        <v>12</v>
      </c>
      <c r="BB44" s="7">
        <v>0</v>
      </c>
      <c r="BC44" s="7">
        <v>2</v>
      </c>
      <c r="BD44" s="7">
        <v>0</v>
      </c>
      <c r="BE44" s="7">
        <f t="shared" si="21"/>
        <v>2</v>
      </c>
      <c r="BF44" s="79">
        <v>3525</v>
      </c>
      <c r="BG44" s="7">
        <f t="shared" si="27"/>
        <v>0</v>
      </c>
      <c r="BH44" s="28">
        <f t="shared" si="18"/>
        <v>50496.75</v>
      </c>
      <c r="BI44" s="29">
        <f t="shared" si="19"/>
        <v>0</v>
      </c>
      <c r="BJ44" s="7">
        <v>2</v>
      </c>
      <c r="BM44" s="7" t="s">
        <v>105</v>
      </c>
      <c r="BN44">
        <v>15</v>
      </c>
      <c r="BU44" s="7">
        <v>135</v>
      </c>
      <c r="BV44" t="s">
        <v>165</v>
      </c>
      <c r="BW44" s="7"/>
    </row>
    <row r="45" spans="1:75" x14ac:dyDescent="0.25">
      <c r="A45" s="7">
        <v>2023</v>
      </c>
      <c r="B45" s="13">
        <v>45215</v>
      </c>
      <c r="C45" s="116" t="s">
        <v>17</v>
      </c>
      <c r="D45" s="7">
        <v>42</v>
      </c>
      <c r="F45" s="5">
        <v>0.47</v>
      </c>
      <c r="G45" s="5">
        <v>0.61</v>
      </c>
      <c r="H45" s="5">
        <v>0.67</v>
      </c>
      <c r="I45" s="5">
        <v>0.38</v>
      </c>
      <c r="J45" s="6">
        <v>0.62</v>
      </c>
      <c r="L45" s="8">
        <f t="shared" si="23"/>
        <v>0.68</v>
      </c>
      <c r="M45" s="8">
        <f t="shared" si="16"/>
        <v>0.73499999999999999</v>
      </c>
      <c r="N45" s="9">
        <v>0.88</v>
      </c>
      <c r="O45" s="9">
        <v>0.95</v>
      </c>
      <c r="Q45" s="1"/>
      <c r="R45" s="1"/>
      <c r="S45" s="1"/>
      <c r="T45" s="1"/>
      <c r="U45" s="4"/>
      <c r="AA45" s="2"/>
      <c r="AB45" s="2"/>
      <c r="AC45">
        <f t="shared" si="6"/>
        <v>0</v>
      </c>
      <c r="AD45" s="1" t="e">
        <f t="shared" si="24"/>
        <v>#DIV/0!</v>
      </c>
      <c r="AF45">
        <f t="shared" si="25"/>
        <v>698.75</v>
      </c>
      <c r="AG45">
        <f t="shared" si="25"/>
        <v>295.25</v>
      </c>
      <c r="AH45">
        <f t="shared" si="28"/>
        <v>994</v>
      </c>
      <c r="AI45" s="1">
        <f t="shared" si="1"/>
        <v>0.29703219315895374</v>
      </c>
      <c r="AK45" s="110">
        <f>'QC Data 2023'!K45</f>
        <v>4.5</v>
      </c>
      <c r="AL45" s="1" t="e">
        <f t="shared" si="26"/>
        <v>#DIV/0!</v>
      </c>
      <c r="AM45">
        <f t="shared" si="22"/>
        <v>979.92000000000007</v>
      </c>
      <c r="AN45" s="1">
        <f t="shared" si="2"/>
        <v>1.4023899821109125</v>
      </c>
      <c r="AO45">
        <v>15</v>
      </c>
      <c r="AP45">
        <f t="shared" si="13"/>
        <v>630</v>
      </c>
      <c r="AZ45" s="72">
        <v>2022</v>
      </c>
      <c r="BA45" s="7" t="s">
        <v>13</v>
      </c>
      <c r="BB45" s="7">
        <v>0</v>
      </c>
      <c r="BC45" s="7">
        <v>2</v>
      </c>
      <c r="BD45" s="7">
        <v>1</v>
      </c>
      <c r="BE45" s="7">
        <f t="shared" si="21"/>
        <v>3</v>
      </c>
      <c r="BF45" s="79">
        <v>3898</v>
      </c>
      <c r="BG45" s="7">
        <f t="shared" si="27"/>
        <v>0</v>
      </c>
      <c r="BH45" s="28">
        <f t="shared" si="18"/>
        <v>50352</v>
      </c>
      <c r="BI45" s="29">
        <f t="shared" si="19"/>
        <v>0</v>
      </c>
      <c r="BJ45" s="7">
        <v>2</v>
      </c>
      <c r="BM45" s="7" t="s">
        <v>104</v>
      </c>
      <c r="BN45">
        <v>5</v>
      </c>
      <c r="BU45" s="7">
        <v>140</v>
      </c>
      <c r="BV45" t="s">
        <v>166</v>
      </c>
      <c r="BW45" s="7"/>
    </row>
    <row r="46" spans="1:75" x14ac:dyDescent="0.25">
      <c r="A46" s="7">
        <v>2023</v>
      </c>
      <c r="B46" s="13">
        <v>45222</v>
      </c>
      <c r="C46" s="116"/>
      <c r="D46" s="7">
        <v>43</v>
      </c>
      <c r="F46" s="5">
        <v>0.73</v>
      </c>
      <c r="G46" s="5">
        <v>0.75</v>
      </c>
      <c r="H46" s="5">
        <v>0.88</v>
      </c>
      <c r="I46" s="5">
        <v>0.59</v>
      </c>
      <c r="J46" s="6">
        <v>0.8</v>
      </c>
      <c r="L46" s="8">
        <f t="shared" si="23"/>
        <v>0.72249999999999992</v>
      </c>
      <c r="M46" s="8">
        <f t="shared" si="16"/>
        <v>0.74</v>
      </c>
      <c r="N46" s="9">
        <v>0.88</v>
      </c>
      <c r="O46" s="9">
        <v>0.95</v>
      </c>
      <c r="Q46" s="1"/>
      <c r="R46" s="1"/>
      <c r="S46" s="1"/>
      <c r="T46" s="1"/>
      <c r="U46" s="4"/>
      <c r="AA46" s="2"/>
      <c r="AB46" s="2"/>
      <c r="AC46">
        <f t="shared" si="6"/>
        <v>0</v>
      </c>
      <c r="AD46" s="1" t="e">
        <f t="shared" si="24"/>
        <v>#DIV/0!</v>
      </c>
      <c r="AF46">
        <f t="shared" si="25"/>
        <v>698.75</v>
      </c>
      <c r="AG46">
        <f t="shared" si="25"/>
        <v>295.25</v>
      </c>
      <c r="AH46">
        <f t="shared" si="28"/>
        <v>994</v>
      </c>
      <c r="AI46" s="1">
        <f t="shared" si="1"/>
        <v>0.29703219315895374</v>
      </c>
      <c r="AK46" s="110">
        <f>'QC Data 2023'!K46</f>
        <v>20</v>
      </c>
      <c r="AL46" s="1" t="e">
        <f t="shared" si="26"/>
        <v>#DIV/0!</v>
      </c>
      <c r="AM46">
        <f t="shared" si="22"/>
        <v>999.92000000000007</v>
      </c>
      <c r="AN46" s="1">
        <f t="shared" si="2"/>
        <v>1.4310125223613597</v>
      </c>
      <c r="AO46">
        <v>15</v>
      </c>
      <c r="AP46">
        <f t="shared" si="13"/>
        <v>645</v>
      </c>
      <c r="AZ46" s="72">
        <v>2022</v>
      </c>
      <c r="BA46" s="7" t="s">
        <v>14</v>
      </c>
      <c r="BB46" s="7">
        <v>0</v>
      </c>
      <c r="BC46" s="7">
        <v>0</v>
      </c>
      <c r="BD46" s="7">
        <v>0</v>
      </c>
      <c r="BE46" s="7">
        <f t="shared" si="21"/>
        <v>0</v>
      </c>
      <c r="BF46" s="79">
        <v>4030</v>
      </c>
      <c r="BG46" s="7">
        <f t="shared" ref="BG46:BG53" si="29">SUM(BB35:BB46)</f>
        <v>0</v>
      </c>
      <c r="BH46" s="28">
        <f t="shared" ref="BH46:BH53" si="30">SUM(BF35:BF46)</f>
        <v>51051</v>
      </c>
      <c r="BI46" s="29">
        <f t="shared" si="19"/>
        <v>0</v>
      </c>
      <c r="BJ46" s="7">
        <v>2</v>
      </c>
      <c r="BM46" s="7" t="s">
        <v>26</v>
      </c>
      <c r="BN46">
        <v>100</v>
      </c>
      <c r="BU46" s="7">
        <v>145</v>
      </c>
      <c r="BV46" t="s">
        <v>167</v>
      </c>
      <c r="BW46" s="7"/>
    </row>
    <row r="47" spans="1:75" x14ac:dyDescent="0.25">
      <c r="A47" s="7">
        <v>2023</v>
      </c>
      <c r="B47" s="13">
        <v>45229</v>
      </c>
      <c r="C47" s="117"/>
      <c r="D47" s="7">
        <v>44</v>
      </c>
      <c r="F47" s="5">
        <v>0.84</v>
      </c>
      <c r="G47" s="5">
        <v>0.65</v>
      </c>
      <c r="H47" s="5">
        <v>0.87</v>
      </c>
      <c r="I47" s="5">
        <v>1</v>
      </c>
      <c r="J47" s="6">
        <v>0.76</v>
      </c>
      <c r="L47" s="8">
        <f t="shared" si="23"/>
        <v>0.75499999999999989</v>
      </c>
      <c r="M47" s="8">
        <f t="shared" si="16"/>
        <v>0.73124999999999996</v>
      </c>
      <c r="N47" s="9">
        <v>0.88</v>
      </c>
      <c r="O47" s="9">
        <v>0.95</v>
      </c>
      <c r="Q47" s="1"/>
      <c r="R47" s="1"/>
      <c r="S47" s="1"/>
      <c r="T47" s="1"/>
      <c r="U47" s="4"/>
      <c r="AA47" s="2"/>
      <c r="AB47" s="2"/>
      <c r="AC47">
        <f t="shared" si="6"/>
        <v>0</v>
      </c>
      <c r="AD47" s="1" t="e">
        <f t="shared" si="24"/>
        <v>#DIV/0!</v>
      </c>
      <c r="AF47">
        <f t="shared" si="25"/>
        <v>698.75</v>
      </c>
      <c r="AG47">
        <f t="shared" si="25"/>
        <v>295.25</v>
      </c>
      <c r="AH47">
        <f t="shared" si="28"/>
        <v>994</v>
      </c>
      <c r="AI47" s="1">
        <f t="shared" si="1"/>
        <v>0.29703219315895374</v>
      </c>
      <c r="AK47" s="110">
        <f>'QC Data 2023'!K47</f>
        <v>12</v>
      </c>
      <c r="AL47" s="1" t="e">
        <f t="shared" si="26"/>
        <v>#DIV/0!</v>
      </c>
      <c r="AM47">
        <f t="shared" si="22"/>
        <v>1011.9200000000001</v>
      </c>
      <c r="AN47" s="1">
        <f t="shared" si="2"/>
        <v>1.4481860465116281</v>
      </c>
      <c r="AO47">
        <v>15</v>
      </c>
      <c r="AP47">
        <f t="shared" si="13"/>
        <v>660</v>
      </c>
      <c r="AZ47" s="72">
        <v>2022</v>
      </c>
      <c r="BA47" s="7" t="s">
        <v>15</v>
      </c>
      <c r="BB47" s="7">
        <v>0</v>
      </c>
      <c r="BC47" s="7">
        <v>1</v>
      </c>
      <c r="BD47" s="7">
        <v>3</v>
      </c>
      <c r="BE47" s="7">
        <f t="shared" si="21"/>
        <v>4</v>
      </c>
      <c r="BF47" s="79">
        <v>5039.5</v>
      </c>
      <c r="BG47" s="7">
        <f t="shared" si="29"/>
        <v>0</v>
      </c>
      <c r="BH47" s="28">
        <f t="shared" si="30"/>
        <v>52721.5</v>
      </c>
      <c r="BI47" s="29">
        <f t="shared" si="19"/>
        <v>0</v>
      </c>
      <c r="BJ47" s="7">
        <v>2</v>
      </c>
      <c r="BU47" s="7">
        <v>147</v>
      </c>
      <c r="BV47" t="s">
        <v>168</v>
      </c>
      <c r="BW47" s="7"/>
    </row>
    <row r="48" spans="1:75" x14ac:dyDescent="0.25">
      <c r="A48" s="7">
        <v>2023</v>
      </c>
      <c r="B48" s="13">
        <v>45236</v>
      </c>
      <c r="C48" s="115"/>
      <c r="D48" s="7">
        <v>45</v>
      </c>
      <c r="F48" s="5">
        <v>0.73</v>
      </c>
      <c r="G48" s="5">
        <v>0.76</v>
      </c>
      <c r="H48" s="5">
        <v>0.89</v>
      </c>
      <c r="I48" s="5">
        <v>1.33</v>
      </c>
      <c r="J48" s="6">
        <v>0.82</v>
      </c>
      <c r="L48" s="8">
        <f t="shared" si="23"/>
        <v>0.74999999999999989</v>
      </c>
      <c r="M48" s="8">
        <f t="shared" si="16"/>
        <v>0.73750000000000004</v>
      </c>
      <c r="N48" s="9">
        <v>0.88</v>
      </c>
      <c r="O48" s="9">
        <v>0.95</v>
      </c>
      <c r="Q48" s="1"/>
      <c r="R48" s="1"/>
      <c r="S48" s="1"/>
      <c r="T48" s="1"/>
      <c r="U48" s="4"/>
      <c r="AA48" s="2"/>
      <c r="AB48" s="2"/>
      <c r="AC48">
        <f t="shared" si="6"/>
        <v>0</v>
      </c>
      <c r="AD48" s="1" t="e">
        <f t="shared" si="24"/>
        <v>#DIV/0!</v>
      </c>
      <c r="AF48">
        <f t="shared" si="25"/>
        <v>698.75</v>
      </c>
      <c r="AG48">
        <f t="shared" si="25"/>
        <v>295.25</v>
      </c>
      <c r="AH48">
        <f t="shared" si="28"/>
        <v>994</v>
      </c>
      <c r="AI48" s="1">
        <f t="shared" si="1"/>
        <v>0.29703219315895374</v>
      </c>
      <c r="AK48" s="110">
        <f>'QC Data 2023'!K48</f>
        <v>2</v>
      </c>
      <c r="AL48" s="1" t="e">
        <f t="shared" si="26"/>
        <v>#DIV/0!</v>
      </c>
      <c r="AM48">
        <f t="shared" si="22"/>
        <v>1013.9200000000001</v>
      </c>
      <c r="AN48" s="1">
        <f t="shared" si="2"/>
        <v>1.4510483005366728</v>
      </c>
      <c r="AO48">
        <v>15</v>
      </c>
      <c r="AP48">
        <f t="shared" si="13"/>
        <v>675</v>
      </c>
      <c r="AZ48" s="72">
        <v>2022</v>
      </c>
      <c r="BA48" s="7" t="s">
        <v>16</v>
      </c>
      <c r="BB48" s="7">
        <v>0</v>
      </c>
      <c r="BC48" s="7">
        <v>0</v>
      </c>
      <c r="BD48" s="7">
        <v>0</v>
      </c>
      <c r="BE48" s="7">
        <f t="shared" si="21"/>
        <v>0</v>
      </c>
      <c r="BF48" s="79">
        <v>4765</v>
      </c>
      <c r="BG48" s="7">
        <f t="shared" si="29"/>
        <v>0</v>
      </c>
      <c r="BH48" s="28">
        <f t="shared" si="30"/>
        <v>54231.5</v>
      </c>
      <c r="BI48" s="29">
        <f t="shared" si="19"/>
        <v>0</v>
      </c>
      <c r="BJ48" s="7">
        <v>2</v>
      </c>
      <c r="BM48" s="7" t="s">
        <v>49</v>
      </c>
      <c r="BN48" s="45">
        <f>BQ40</f>
        <v>0.57692307692307687</v>
      </c>
      <c r="BU48" s="7">
        <v>150</v>
      </c>
      <c r="BV48" t="s">
        <v>169</v>
      </c>
      <c r="BW48" s="7"/>
    </row>
    <row r="49" spans="1:75" x14ac:dyDescent="0.25">
      <c r="A49" s="7">
        <v>2023</v>
      </c>
      <c r="B49" s="13">
        <v>45243</v>
      </c>
      <c r="C49" s="116" t="s">
        <v>18</v>
      </c>
      <c r="D49" s="7">
        <v>46</v>
      </c>
      <c r="F49" s="5">
        <v>0.49</v>
      </c>
      <c r="G49" s="5">
        <v>0.76</v>
      </c>
      <c r="H49" s="5">
        <v>0.9</v>
      </c>
      <c r="I49" s="5">
        <v>0.9</v>
      </c>
      <c r="J49" s="6">
        <v>0.78</v>
      </c>
      <c r="L49" s="8">
        <f t="shared" si="23"/>
        <v>0.79</v>
      </c>
      <c r="M49" s="8">
        <f t="shared" si="16"/>
        <v>0.7350000000000001</v>
      </c>
      <c r="N49" s="9">
        <v>0.88</v>
      </c>
      <c r="O49" s="9">
        <v>0.95</v>
      </c>
      <c r="Q49" s="1"/>
      <c r="R49" s="1"/>
      <c r="S49" s="1"/>
      <c r="T49" s="1"/>
      <c r="U49" s="4"/>
      <c r="AA49" s="2"/>
      <c r="AB49" s="2"/>
      <c r="AC49">
        <f t="shared" si="6"/>
        <v>0</v>
      </c>
      <c r="AD49" s="1" t="e">
        <f t="shared" si="24"/>
        <v>#DIV/0!</v>
      </c>
      <c r="AF49">
        <f t="shared" ref="AF49:AG56" si="31">AF48+AA63</f>
        <v>698.75</v>
      </c>
      <c r="AG49">
        <f t="shared" si="31"/>
        <v>295.25</v>
      </c>
      <c r="AH49">
        <f t="shared" si="28"/>
        <v>994</v>
      </c>
      <c r="AI49" s="1">
        <f t="shared" si="1"/>
        <v>0.29703219315895374</v>
      </c>
      <c r="AK49" s="110">
        <f>'QC Data 2023'!K49</f>
        <v>28</v>
      </c>
      <c r="AL49" s="1" t="e">
        <f t="shared" si="26"/>
        <v>#DIV/0!</v>
      </c>
      <c r="AM49">
        <f t="shared" si="22"/>
        <v>1041.92</v>
      </c>
      <c r="AN49" s="1">
        <f t="shared" si="2"/>
        <v>1.4911198568872988</v>
      </c>
      <c r="AO49">
        <v>15</v>
      </c>
      <c r="AP49">
        <f t="shared" si="13"/>
        <v>690</v>
      </c>
      <c r="AZ49" s="72">
        <v>2022</v>
      </c>
      <c r="BA49" s="7" t="s">
        <v>17</v>
      </c>
      <c r="BB49" s="7">
        <v>1</v>
      </c>
      <c r="BC49" s="7">
        <v>0</v>
      </c>
      <c r="BD49" s="7">
        <v>1</v>
      </c>
      <c r="BE49" s="7">
        <f t="shared" si="21"/>
        <v>2</v>
      </c>
      <c r="BF49" s="79">
        <v>4974</v>
      </c>
      <c r="BG49" s="7">
        <f t="shared" si="29"/>
        <v>1</v>
      </c>
      <c r="BH49" s="28">
        <f t="shared" si="30"/>
        <v>54076.5</v>
      </c>
      <c r="BI49" s="29">
        <f t="shared" si="19"/>
        <v>3.6129451825892174</v>
      </c>
      <c r="BJ49" s="7">
        <v>2</v>
      </c>
      <c r="BM49" s="7" t="s">
        <v>106</v>
      </c>
      <c r="BN49" s="45">
        <v>0.02</v>
      </c>
      <c r="BU49" s="7">
        <v>155</v>
      </c>
      <c r="BV49" t="s">
        <v>170</v>
      </c>
      <c r="BW49" s="7"/>
    </row>
    <row r="50" spans="1:75" x14ac:dyDescent="0.25">
      <c r="A50" s="7">
        <v>2023</v>
      </c>
      <c r="B50" s="13">
        <v>45250</v>
      </c>
      <c r="C50" s="116"/>
      <c r="D50" s="7">
        <v>47</v>
      </c>
      <c r="F50" s="5">
        <v>0.59</v>
      </c>
      <c r="G50" s="5">
        <v>0.81</v>
      </c>
      <c r="H50" s="5">
        <v>0.78</v>
      </c>
      <c r="I50" s="5">
        <v>1</v>
      </c>
      <c r="J50" s="6">
        <v>0.78</v>
      </c>
      <c r="L50" s="8">
        <f t="shared" si="23"/>
        <v>0.78500000000000014</v>
      </c>
      <c r="M50" s="8">
        <f t="shared" si="16"/>
        <v>0.75375000000000003</v>
      </c>
      <c r="N50" s="9">
        <v>0.88</v>
      </c>
      <c r="O50" s="9">
        <v>0.95</v>
      </c>
      <c r="Q50" s="1"/>
      <c r="R50" s="1"/>
      <c r="S50" s="1"/>
      <c r="T50" s="1"/>
      <c r="U50" s="4"/>
      <c r="AA50" s="2"/>
      <c r="AB50" s="2"/>
      <c r="AC50">
        <f t="shared" si="6"/>
        <v>0</v>
      </c>
      <c r="AD50" s="1" t="e">
        <f t="shared" si="24"/>
        <v>#DIV/0!</v>
      </c>
      <c r="AF50">
        <f t="shared" si="31"/>
        <v>698.75</v>
      </c>
      <c r="AG50">
        <f t="shared" si="31"/>
        <v>295.25</v>
      </c>
      <c r="AH50">
        <f t="shared" si="28"/>
        <v>994</v>
      </c>
      <c r="AI50" s="1">
        <f t="shared" si="1"/>
        <v>0.29703219315895374</v>
      </c>
      <c r="AK50" s="110">
        <f>'QC Data 2023'!K50</f>
        <v>2.5</v>
      </c>
      <c r="AL50" s="1" t="e">
        <f t="shared" si="26"/>
        <v>#DIV/0!</v>
      </c>
      <c r="AM50">
        <f t="shared" si="22"/>
        <v>1044.42</v>
      </c>
      <c r="AN50" s="1">
        <f t="shared" si="2"/>
        <v>1.4946976744186047</v>
      </c>
      <c r="AO50">
        <v>15</v>
      </c>
      <c r="AP50">
        <f t="shared" si="13"/>
        <v>705</v>
      </c>
      <c r="AZ50" s="72">
        <v>2022</v>
      </c>
      <c r="BA50" s="7" t="s">
        <v>18</v>
      </c>
      <c r="BB50" s="7">
        <v>0</v>
      </c>
      <c r="BC50" s="7">
        <v>1</v>
      </c>
      <c r="BD50" s="7">
        <v>0</v>
      </c>
      <c r="BE50" s="7">
        <f t="shared" si="21"/>
        <v>1</v>
      </c>
      <c r="BF50" s="79">
        <v>4607</v>
      </c>
      <c r="BG50" s="7">
        <f t="shared" si="29"/>
        <v>1</v>
      </c>
      <c r="BH50" s="28">
        <f t="shared" si="30"/>
        <v>53581.5</v>
      </c>
      <c r="BI50" s="29">
        <f t="shared" si="19"/>
        <v>3.6455437784238494</v>
      </c>
      <c r="BJ50" s="7">
        <v>2</v>
      </c>
      <c r="BM50" s="7" t="s">
        <v>107</v>
      </c>
      <c r="BN50" s="45">
        <f>2-BN48-BN49</f>
        <v>1.4030769230769231</v>
      </c>
      <c r="BU50" s="7">
        <v>160</v>
      </c>
      <c r="BV50" t="s">
        <v>171</v>
      </c>
      <c r="BW50" s="7"/>
    </row>
    <row r="51" spans="1:75" x14ac:dyDescent="0.25">
      <c r="A51" s="7">
        <v>2023</v>
      </c>
      <c r="B51" s="13">
        <v>45257</v>
      </c>
      <c r="C51" s="117"/>
      <c r="D51" s="7">
        <v>48</v>
      </c>
      <c r="F51" s="5">
        <v>0.57999999999999996</v>
      </c>
      <c r="G51" s="5">
        <v>0.8</v>
      </c>
      <c r="H51" s="5">
        <v>0.77</v>
      </c>
      <c r="I51" s="5">
        <v>0.79</v>
      </c>
      <c r="J51" s="6">
        <v>0.74</v>
      </c>
      <c r="L51" s="8">
        <f t="shared" si="23"/>
        <v>0.78</v>
      </c>
      <c r="M51" s="8">
        <f t="shared" si="16"/>
        <v>0.76749999999999996</v>
      </c>
      <c r="N51" s="9">
        <v>0.88</v>
      </c>
      <c r="O51" s="9">
        <v>0.95</v>
      </c>
      <c r="Q51" s="1"/>
      <c r="R51" s="1"/>
      <c r="S51" s="1"/>
      <c r="T51" s="1"/>
      <c r="U51" s="4"/>
      <c r="AA51" s="2"/>
      <c r="AB51" s="2"/>
      <c r="AC51">
        <f t="shared" si="6"/>
        <v>0</v>
      </c>
      <c r="AD51" s="1" t="e">
        <f t="shared" si="24"/>
        <v>#DIV/0!</v>
      </c>
      <c r="AF51">
        <f t="shared" si="31"/>
        <v>698.75</v>
      </c>
      <c r="AG51">
        <f t="shared" si="31"/>
        <v>295.25</v>
      </c>
      <c r="AH51">
        <f t="shared" si="28"/>
        <v>994</v>
      </c>
      <c r="AI51" s="1">
        <f t="shared" si="1"/>
        <v>0.29703219315895374</v>
      </c>
      <c r="AK51" s="110">
        <f>'QC Data 2023'!K51</f>
        <v>9</v>
      </c>
      <c r="AL51" s="1" t="e">
        <f t="shared" si="26"/>
        <v>#DIV/0!</v>
      </c>
      <c r="AM51">
        <f t="shared" si="22"/>
        <v>1053.42</v>
      </c>
      <c r="AN51" s="1">
        <f t="shared" si="2"/>
        <v>1.5075778175313059</v>
      </c>
      <c r="AO51">
        <v>15</v>
      </c>
      <c r="AP51">
        <f t="shared" si="13"/>
        <v>720</v>
      </c>
      <c r="AZ51" s="75">
        <v>2022</v>
      </c>
      <c r="BA51" s="76" t="s">
        <v>19</v>
      </c>
      <c r="BB51" s="76">
        <v>0</v>
      </c>
      <c r="BC51" s="76">
        <v>1</v>
      </c>
      <c r="BD51" s="76">
        <v>0</v>
      </c>
      <c r="BE51" s="76">
        <f t="shared" si="21"/>
        <v>1</v>
      </c>
      <c r="BF51" s="80">
        <v>4314</v>
      </c>
      <c r="BG51" s="7">
        <f t="shared" si="29"/>
        <v>1</v>
      </c>
      <c r="BH51" s="28">
        <f t="shared" si="30"/>
        <v>52876.5</v>
      </c>
      <c r="BI51" s="29">
        <f t="shared" si="19"/>
        <v>3.693000840157691</v>
      </c>
      <c r="BJ51" s="7">
        <v>2</v>
      </c>
      <c r="BU51" s="7">
        <v>165</v>
      </c>
      <c r="BV51" t="s">
        <v>172</v>
      </c>
      <c r="BW51" s="7"/>
    </row>
    <row r="52" spans="1:75" x14ac:dyDescent="0.25">
      <c r="A52" s="7">
        <v>2023</v>
      </c>
      <c r="B52" s="13">
        <v>45264</v>
      </c>
      <c r="C52" s="115"/>
      <c r="D52" s="7">
        <v>49</v>
      </c>
      <c r="F52" s="5">
        <v>0.64</v>
      </c>
      <c r="G52" s="5">
        <v>0.63</v>
      </c>
      <c r="H52" s="5">
        <v>0.79</v>
      </c>
      <c r="I52" s="5">
        <v>1.1100000000000001</v>
      </c>
      <c r="J52" s="6">
        <v>0.7</v>
      </c>
      <c r="L52" s="8">
        <f t="shared" si="23"/>
        <v>0.75</v>
      </c>
      <c r="M52" s="8">
        <f t="shared" si="16"/>
        <v>0.75</v>
      </c>
      <c r="N52" s="9">
        <v>0.88</v>
      </c>
      <c r="O52" s="9">
        <v>0.95</v>
      </c>
      <c r="Q52" s="1"/>
      <c r="R52" s="1"/>
      <c r="S52" s="1"/>
      <c r="T52" s="1"/>
      <c r="U52" s="4"/>
      <c r="AA52" s="2"/>
      <c r="AB52" s="2"/>
      <c r="AC52">
        <f t="shared" si="6"/>
        <v>0</v>
      </c>
      <c r="AD52" s="1" t="e">
        <f t="shared" si="24"/>
        <v>#DIV/0!</v>
      </c>
      <c r="AF52">
        <f t="shared" si="31"/>
        <v>698.75</v>
      </c>
      <c r="AG52">
        <f t="shared" si="31"/>
        <v>295.25</v>
      </c>
      <c r="AH52">
        <f t="shared" si="28"/>
        <v>994</v>
      </c>
      <c r="AI52" s="1">
        <f t="shared" si="1"/>
        <v>0.29703219315895374</v>
      </c>
      <c r="AK52" s="110">
        <f>'QC Data 2023'!K52</f>
        <v>34.5</v>
      </c>
      <c r="AL52" s="1" t="e">
        <f t="shared" si="26"/>
        <v>#DIV/0!</v>
      </c>
      <c r="AM52">
        <f t="shared" si="22"/>
        <v>1087.92</v>
      </c>
      <c r="AN52" s="1">
        <f t="shared" si="2"/>
        <v>1.5569516994633275</v>
      </c>
      <c r="AO52">
        <v>15</v>
      </c>
      <c r="AP52">
        <f t="shared" si="13"/>
        <v>735</v>
      </c>
      <c r="AZ52" s="69">
        <v>2023</v>
      </c>
      <c r="BA52" s="70" t="s">
        <v>8</v>
      </c>
      <c r="BB52" s="70">
        <v>0</v>
      </c>
      <c r="BC52" s="70">
        <v>1</v>
      </c>
      <c r="BD52" s="70">
        <v>1</v>
      </c>
      <c r="BE52" s="70">
        <f t="shared" ref="BE52:BE63" si="32">SUM(BB52:BD52)</f>
        <v>2</v>
      </c>
      <c r="BF52" s="78">
        <v>5390</v>
      </c>
      <c r="BG52" s="7">
        <f t="shared" si="29"/>
        <v>1</v>
      </c>
      <c r="BH52" s="28">
        <f t="shared" si="30"/>
        <v>53583.5</v>
      </c>
      <c r="BI52" s="29">
        <f t="shared" si="19"/>
        <v>3.6454108833741925</v>
      </c>
      <c r="BJ52" s="7">
        <v>1</v>
      </c>
      <c r="BU52" s="7">
        <v>170</v>
      </c>
      <c r="BV52" t="s">
        <v>173</v>
      </c>
      <c r="BW52" s="7"/>
    </row>
    <row r="53" spans="1:75" x14ac:dyDescent="0.25">
      <c r="A53" s="7">
        <v>2023</v>
      </c>
      <c r="B53" s="13">
        <v>45271</v>
      </c>
      <c r="C53" s="116" t="s">
        <v>19</v>
      </c>
      <c r="D53" s="7">
        <v>50</v>
      </c>
      <c r="F53" s="5">
        <v>1.29</v>
      </c>
      <c r="G53" s="5">
        <v>0.69</v>
      </c>
      <c r="H53" s="5">
        <v>0.99</v>
      </c>
      <c r="I53" s="5">
        <v>1</v>
      </c>
      <c r="J53" s="6">
        <v>0.85</v>
      </c>
      <c r="L53" s="8">
        <f t="shared" si="23"/>
        <v>0.76749999999999996</v>
      </c>
      <c r="M53" s="8">
        <f t="shared" si="16"/>
        <v>0.77875000000000005</v>
      </c>
      <c r="N53" s="9">
        <v>0.88</v>
      </c>
      <c r="O53" s="9">
        <v>0.95</v>
      </c>
      <c r="Q53" s="1"/>
      <c r="R53" s="1"/>
      <c r="S53" s="1"/>
      <c r="T53" s="1"/>
      <c r="U53" s="4"/>
      <c r="AA53" s="2"/>
      <c r="AB53" s="2"/>
      <c r="AC53">
        <f t="shared" si="6"/>
        <v>0</v>
      </c>
      <c r="AD53" s="1" t="e">
        <f t="shared" si="24"/>
        <v>#DIV/0!</v>
      </c>
      <c r="AF53">
        <f t="shared" si="31"/>
        <v>698.75</v>
      </c>
      <c r="AG53">
        <f t="shared" si="31"/>
        <v>295.25</v>
      </c>
      <c r="AH53">
        <f t="shared" si="28"/>
        <v>994</v>
      </c>
      <c r="AI53" s="1">
        <f t="shared" si="1"/>
        <v>0.29703219315895374</v>
      </c>
      <c r="AK53" s="110">
        <f>'QC Data 2023'!K53</f>
        <v>9</v>
      </c>
      <c r="AL53" s="1" t="e">
        <f t="shared" si="26"/>
        <v>#DIV/0!</v>
      </c>
      <c r="AM53">
        <f t="shared" si="22"/>
        <v>1096.92</v>
      </c>
      <c r="AN53" s="1">
        <f t="shared" si="2"/>
        <v>1.5698318425760287</v>
      </c>
      <c r="AO53">
        <v>15</v>
      </c>
      <c r="AP53">
        <f t="shared" si="13"/>
        <v>750</v>
      </c>
      <c r="AZ53" s="72">
        <v>2023</v>
      </c>
      <c r="BA53" s="7" t="s">
        <v>9</v>
      </c>
      <c r="BB53" s="7">
        <v>1</v>
      </c>
      <c r="BC53" s="7">
        <v>3</v>
      </c>
      <c r="BD53" s="7">
        <v>0</v>
      </c>
      <c r="BE53" s="7">
        <f t="shared" si="32"/>
        <v>4</v>
      </c>
      <c r="BF53" s="79">
        <v>5469.25</v>
      </c>
      <c r="BG53" s="7">
        <f t="shared" si="29"/>
        <v>2</v>
      </c>
      <c r="BH53" s="28">
        <f t="shared" si="30"/>
        <v>54019.75</v>
      </c>
      <c r="BI53" s="29">
        <f t="shared" si="19"/>
        <v>7.2333057563551373</v>
      </c>
      <c r="BJ53" s="7">
        <v>1</v>
      </c>
      <c r="BU53" s="7">
        <v>175</v>
      </c>
      <c r="BV53" t="s">
        <v>174</v>
      </c>
      <c r="BW53" s="7"/>
    </row>
    <row r="54" spans="1:75" x14ac:dyDescent="0.25">
      <c r="A54" s="7">
        <v>2023</v>
      </c>
      <c r="B54" s="13">
        <v>45278</v>
      </c>
      <c r="C54" s="118"/>
      <c r="D54" s="7">
        <v>51</v>
      </c>
      <c r="F54" s="5">
        <v>0.71</v>
      </c>
      <c r="G54" s="5">
        <v>0.67</v>
      </c>
      <c r="H54" s="5">
        <v>0.76</v>
      </c>
      <c r="I54" s="5">
        <v>1</v>
      </c>
      <c r="J54" s="6">
        <v>0.7</v>
      </c>
      <c r="L54" s="8">
        <f t="shared" si="23"/>
        <v>0.74750000000000005</v>
      </c>
      <c r="M54" s="8">
        <f t="shared" si="16"/>
        <v>0.7662500000000001</v>
      </c>
      <c r="N54" s="9">
        <v>0.88</v>
      </c>
      <c r="O54" s="9">
        <v>0.95</v>
      </c>
      <c r="Q54" s="1"/>
      <c r="R54" s="1"/>
      <c r="S54" s="1"/>
      <c r="T54" s="1"/>
      <c r="U54" s="4"/>
      <c r="AA54" s="2"/>
      <c r="AB54" s="2"/>
      <c r="AC54">
        <f t="shared" si="6"/>
        <v>0</v>
      </c>
      <c r="AD54" s="1" t="e">
        <f t="shared" si="24"/>
        <v>#DIV/0!</v>
      </c>
      <c r="AF54">
        <f t="shared" si="31"/>
        <v>698.75</v>
      </c>
      <c r="AG54">
        <f t="shared" si="31"/>
        <v>295.25</v>
      </c>
      <c r="AH54">
        <f t="shared" si="28"/>
        <v>994</v>
      </c>
      <c r="AI54" s="1">
        <f t="shared" si="1"/>
        <v>0.29703219315895374</v>
      </c>
      <c r="AK54" s="110">
        <f>'QC Data 2023'!K54</f>
        <v>18</v>
      </c>
      <c r="AL54" s="1" t="e">
        <f t="shared" si="26"/>
        <v>#DIV/0!</v>
      </c>
      <c r="AM54">
        <f t="shared" si="22"/>
        <v>1114.92</v>
      </c>
      <c r="AO54">
        <v>15</v>
      </c>
      <c r="AP54">
        <f t="shared" si="13"/>
        <v>765</v>
      </c>
      <c r="AZ54" s="72">
        <v>2023</v>
      </c>
      <c r="BA54" s="7" t="s">
        <v>10</v>
      </c>
      <c r="BB54" s="7">
        <v>0</v>
      </c>
      <c r="BC54" s="7">
        <v>0</v>
      </c>
      <c r="BD54" s="7">
        <v>1</v>
      </c>
      <c r="BE54" s="7">
        <f t="shared" si="32"/>
        <v>1</v>
      </c>
      <c r="BF54" s="79">
        <v>6230.75</v>
      </c>
      <c r="BG54" s="7">
        <f t="shared" ref="BG54:BG63" si="33">SUM(BB43:BB54)</f>
        <v>2</v>
      </c>
      <c r="BH54" s="28">
        <f t="shared" ref="BH54:BH63" si="34">SUM(BF43:BF54)</f>
        <v>55604.5</v>
      </c>
      <c r="BI54" s="29">
        <f t="shared" si="19"/>
        <v>7.031792491803567</v>
      </c>
      <c r="BJ54" s="7">
        <v>1</v>
      </c>
      <c r="BU54" s="7">
        <v>180</v>
      </c>
      <c r="BV54" t="s">
        <v>175</v>
      </c>
      <c r="BW54" s="7"/>
    </row>
    <row r="55" spans="1:75" x14ac:dyDescent="0.25">
      <c r="A55" s="7">
        <v>2023</v>
      </c>
      <c r="B55" s="13">
        <v>45285</v>
      </c>
      <c r="C55" s="117"/>
      <c r="D55" s="7">
        <v>52</v>
      </c>
      <c r="F55" s="5">
        <v>0.66</v>
      </c>
      <c r="G55" s="5">
        <v>0.77</v>
      </c>
      <c r="H55" s="5">
        <v>0.93</v>
      </c>
      <c r="I55" s="5">
        <v>1</v>
      </c>
      <c r="J55" s="6">
        <v>0.74</v>
      </c>
      <c r="L55" s="8">
        <f t="shared" si="23"/>
        <v>0.74750000000000005</v>
      </c>
      <c r="M55" s="8">
        <f t="shared" si="16"/>
        <v>0.76375000000000004</v>
      </c>
      <c r="N55" s="9">
        <v>0.88</v>
      </c>
      <c r="O55" s="9">
        <v>0.95</v>
      </c>
      <c r="Q55" s="1"/>
      <c r="R55" s="1"/>
      <c r="S55" s="1"/>
      <c r="T55" s="1"/>
      <c r="U55" s="4"/>
      <c r="AA55" s="2"/>
      <c r="AB55" s="2"/>
      <c r="AC55">
        <f t="shared" si="6"/>
        <v>0</v>
      </c>
      <c r="AD55" s="1" t="e">
        <f t="shared" si="24"/>
        <v>#DIV/0!</v>
      </c>
      <c r="AF55">
        <f t="shared" si="31"/>
        <v>698.75</v>
      </c>
      <c r="AG55">
        <f t="shared" si="31"/>
        <v>295.25</v>
      </c>
      <c r="AH55">
        <f t="shared" si="28"/>
        <v>994</v>
      </c>
      <c r="AI55" s="1">
        <f t="shared" si="1"/>
        <v>0.29703219315895374</v>
      </c>
      <c r="AK55" s="110">
        <f>'QC Data 2023'!K55</f>
        <v>0</v>
      </c>
      <c r="AL55" s="1" t="e">
        <f t="shared" si="26"/>
        <v>#DIV/0!</v>
      </c>
      <c r="AM55">
        <f t="shared" si="22"/>
        <v>1114.92</v>
      </c>
      <c r="AO55">
        <v>15</v>
      </c>
      <c r="AP55">
        <f t="shared" si="13"/>
        <v>780</v>
      </c>
      <c r="AZ55" s="72">
        <v>2023</v>
      </c>
      <c r="BA55" s="7" t="s">
        <v>11</v>
      </c>
      <c r="BB55" s="7">
        <v>0</v>
      </c>
      <c r="BC55" s="7">
        <v>0</v>
      </c>
      <c r="BD55" s="7">
        <v>1</v>
      </c>
      <c r="BE55" s="7">
        <f t="shared" si="32"/>
        <v>1</v>
      </c>
      <c r="BF55" s="79">
        <v>4990.75</v>
      </c>
      <c r="BG55" s="7">
        <f t="shared" si="33"/>
        <v>2</v>
      </c>
      <c r="BH55" s="28">
        <f t="shared" si="34"/>
        <v>57233.25</v>
      </c>
      <c r="BI55" s="29">
        <f t="shared" si="19"/>
        <v>6.8360584995706102</v>
      </c>
      <c r="BJ55" s="7">
        <v>1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E56" t="s">
        <v>335</v>
      </c>
      <c r="F56" s="5">
        <v>0.64</v>
      </c>
      <c r="G56" s="5">
        <v>0.71</v>
      </c>
      <c r="H56" s="5">
        <v>0.8</v>
      </c>
      <c r="I56" s="5">
        <v>0.77</v>
      </c>
      <c r="J56" s="6">
        <v>0.73</v>
      </c>
      <c r="L56" s="8">
        <f t="shared" si="23"/>
        <v>0.755</v>
      </c>
      <c r="M56" s="8">
        <f t="shared" si="16"/>
        <v>0.75249999999999995</v>
      </c>
      <c r="N56" s="9">
        <v>0.88</v>
      </c>
      <c r="O56" s="8">
        <v>0.95</v>
      </c>
      <c r="Q56" s="1"/>
      <c r="R56" s="1"/>
      <c r="S56" s="1"/>
      <c r="T56" s="1"/>
      <c r="U56" s="4"/>
      <c r="AA56" s="2"/>
      <c r="AB56" s="2"/>
      <c r="AC56">
        <f t="shared" si="6"/>
        <v>0</v>
      </c>
      <c r="AD56" s="1" t="e">
        <f t="shared" si="24"/>
        <v>#DIV/0!</v>
      </c>
      <c r="AF56">
        <f t="shared" si="31"/>
        <v>698.75</v>
      </c>
      <c r="AG56">
        <f t="shared" si="31"/>
        <v>295.25</v>
      </c>
      <c r="AH56">
        <f t="shared" si="28"/>
        <v>994</v>
      </c>
      <c r="AI56" s="1">
        <f t="shared" si="1"/>
        <v>0.29703219315895374</v>
      </c>
      <c r="AK56" s="110">
        <f>SUM(AK4:AK55)</f>
        <v>1114.92</v>
      </c>
      <c r="AL56" s="1" t="e">
        <f t="shared" si="26"/>
        <v>#DIV/0!</v>
      </c>
      <c r="AM56">
        <f t="shared" si="22"/>
        <v>2229.84</v>
      </c>
      <c r="AO56">
        <v>15</v>
      </c>
      <c r="AP56">
        <f t="shared" si="13"/>
        <v>795</v>
      </c>
      <c r="AZ56" s="72">
        <v>2023</v>
      </c>
      <c r="BA56" s="7" t="s">
        <v>12</v>
      </c>
      <c r="BB56" s="7">
        <v>0</v>
      </c>
      <c r="BC56" s="7">
        <v>0</v>
      </c>
      <c r="BD56" s="7">
        <v>0</v>
      </c>
      <c r="BE56" s="7">
        <f t="shared" si="32"/>
        <v>0</v>
      </c>
      <c r="BF56" s="79">
        <v>5013.25</v>
      </c>
      <c r="BG56" s="7">
        <f t="shared" si="33"/>
        <v>2</v>
      </c>
      <c r="BH56" s="28">
        <f t="shared" si="34"/>
        <v>58721.5</v>
      </c>
      <c r="BI56" s="29">
        <f t="shared" si="19"/>
        <v>6.6665000041665623</v>
      </c>
      <c r="BJ56" s="7">
        <v>1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AA57" s="2"/>
      <c r="AB57" s="2"/>
      <c r="AZ57" s="72">
        <v>2023</v>
      </c>
      <c r="BA57" s="7" t="s">
        <v>13</v>
      </c>
      <c r="BB57" s="7">
        <v>0</v>
      </c>
      <c r="BC57" s="7">
        <v>1</v>
      </c>
      <c r="BD57" s="7">
        <v>0</v>
      </c>
      <c r="BE57" s="7">
        <f t="shared" si="32"/>
        <v>1</v>
      </c>
      <c r="BF57" s="79">
        <v>4337.75</v>
      </c>
      <c r="BG57" s="7">
        <f t="shared" si="33"/>
        <v>2</v>
      </c>
      <c r="BH57" s="28">
        <f t="shared" si="34"/>
        <v>59161.25</v>
      </c>
      <c r="BI57" s="29">
        <f t="shared" si="19"/>
        <v>6.6179968150890325</v>
      </c>
      <c r="BJ57" s="7">
        <v>1</v>
      </c>
      <c r="BU57" s="7">
        <v>205</v>
      </c>
      <c r="BV57" t="s">
        <v>178</v>
      </c>
      <c r="BW57" s="7"/>
    </row>
    <row r="58" spans="1:75" x14ac:dyDescent="0.25">
      <c r="F58" s="91">
        <v>4032</v>
      </c>
      <c r="G58" s="91">
        <v>19262</v>
      </c>
      <c r="H58" s="91">
        <v>16570</v>
      </c>
      <c r="I58" s="91">
        <v>565</v>
      </c>
      <c r="J58" s="91">
        <f>SUM(F58:I58)</f>
        <v>40429</v>
      </c>
      <c r="Q58" s="1"/>
      <c r="R58" s="1"/>
      <c r="S58" s="1"/>
      <c r="T58" s="1"/>
      <c r="U58" s="4"/>
      <c r="AA58" s="2"/>
      <c r="AB58" s="2"/>
      <c r="AZ58" s="72">
        <v>2023</v>
      </c>
      <c r="BA58" s="7" t="s">
        <v>14</v>
      </c>
      <c r="BB58" s="7">
        <v>1</v>
      </c>
      <c r="BC58" s="7">
        <v>0</v>
      </c>
      <c r="BD58" s="7">
        <v>0</v>
      </c>
      <c r="BE58" s="7">
        <f t="shared" si="32"/>
        <v>1</v>
      </c>
      <c r="BF58" s="79">
        <v>3849.75</v>
      </c>
      <c r="BG58" s="7">
        <f t="shared" si="33"/>
        <v>3</v>
      </c>
      <c r="BH58" s="28">
        <f t="shared" si="34"/>
        <v>58981</v>
      </c>
      <c r="BI58" s="29">
        <f t="shared" si="19"/>
        <v>9.9566884054363527</v>
      </c>
      <c r="BJ58" s="7">
        <v>1</v>
      </c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AZ59" s="72">
        <v>2023</v>
      </c>
      <c r="BA59" s="7" t="s">
        <v>15</v>
      </c>
      <c r="BB59" s="7">
        <v>1</v>
      </c>
      <c r="BC59" s="7">
        <v>1</v>
      </c>
      <c r="BD59" s="7">
        <v>0</v>
      </c>
      <c r="BE59" s="7">
        <f t="shared" si="32"/>
        <v>2</v>
      </c>
      <c r="BF59" s="79">
        <v>5185.5</v>
      </c>
      <c r="BG59" s="7">
        <f t="shared" si="33"/>
        <v>4</v>
      </c>
      <c r="BH59" s="28">
        <f t="shared" si="34"/>
        <v>59127</v>
      </c>
      <c r="BI59" s="29">
        <f t="shared" si="19"/>
        <v>13.243498270068038</v>
      </c>
      <c r="BJ59" s="7">
        <v>1</v>
      </c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AZ60" s="72">
        <v>2023</v>
      </c>
      <c r="BA60" s="7" t="s">
        <v>16</v>
      </c>
      <c r="BB60" s="7">
        <v>0</v>
      </c>
      <c r="BC60" s="7">
        <v>0</v>
      </c>
      <c r="BD60" s="7">
        <v>0</v>
      </c>
      <c r="BE60" s="7">
        <f>SUM(BB60:BD60)</f>
        <v>0</v>
      </c>
      <c r="BF60" s="79">
        <v>4122.75</v>
      </c>
      <c r="BG60" s="7">
        <f t="shared" si="33"/>
        <v>4</v>
      </c>
      <c r="BH60" s="28">
        <f t="shared" si="34"/>
        <v>58484.75</v>
      </c>
      <c r="BI60" s="29">
        <f t="shared" si="19"/>
        <v>13.385816890391075</v>
      </c>
      <c r="BJ60" s="7">
        <v>1</v>
      </c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AZ61" s="72">
        <v>2023</v>
      </c>
      <c r="BA61" s="7" t="s">
        <v>17</v>
      </c>
      <c r="BB61" s="7">
        <v>0</v>
      </c>
      <c r="BC61" s="7">
        <v>0</v>
      </c>
      <c r="BD61" s="7">
        <v>0</v>
      </c>
      <c r="BE61" s="7">
        <f>SUM(BB61:BD61)</f>
        <v>0</v>
      </c>
      <c r="BF61" s="79">
        <v>5403.75</v>
      </c>
      <c r="BG61" s="7">
        <f t="shared" si="33"/>
        <v>3</v>
      </c>
      <c r="BH61" s="28">
        <f t="shared" si="34"/>
        <v>58914.5</v>
      </c>
      <c r="BI61" s="29">
        <f t="shared" si="19"/>
        <v>9.9676880778144188</v>
      </c>
      <c r="BJ61" s="7">
        <v>1</v>
      </c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AZ62" s="72">
        <v>2023</v>
      </c>
      <c r="BA62" s="7" t="s">
        <v>18</v>
      </c>
      <c r="BB62" s="7">
        <v>0</v>
      </c>
      <c r="BC62" s="7">
        <v>0</v>
      </c>
      <c r="BD62" s="7">
        <v>1</v>
      </c>
      <c r="BE62" s="7">
        <f t="shared" si="32"/>
        <v>1</v>
      </c>
      <c r="BF62" s="79">
        <v>5218.25</v>
      </c>
      <c r="BG62" s="7">
        <f t="shared" si="33"/>
        <v>3</v>
      </c>
      <c r="BH62" s="28">
        <f t="shared" si="34"/>
        <v>59525.75</v>
      </c>
      <c r="BI62" s="29">
        <f t="shared" si="19"/>
        <v>9.8674878609342045</v>
      </c>
      <c r="BJ62" s="7">
        <v>1</v>
      </c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AZ63" s="75">
        <v>2023</v>
      </c>
      <c r="BA63" s="76" t="s">
        <v>19</v>
      </c>
      <c r="BB63" s="76">
        <v>0</v>
      </c>
      <c r="BC63" s="76">
        <v>0</v>
      </c>
      <c r="BD63" s="76">
        <v>0</v>
      </c>
      <c r="BE63" s="76">
        <f t="shared" si="32"/>
        <v>0</v>
      </c>
      <c r="BF63" s="80">
        <v>4308.25</v>
      </c>
      <c r="BG63" s="7">
        <f t="shared" si="33"/>
        <v>3</v>
      </c>
      <c r="BH63" s="28">
        <f t="shared" si="34"/>
        <v>59520</v>
      </c>
      <c r="BI63" s="29">
        <f t="shared" si="19"/>
        <v>9.8684210526315788</v>
      </c>
      <c r="BJ63" s="7">
        <v>1</v>
      </c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BU64" s="7">
        <v>240</v>
      </c>
      <c r="BV64" t="s">
        <v>185</v>
      </c>
      <c r="BW64" s="7"/>
    </row>
    <row r="65" spans="5:75" x14ac:dyDescent="0.25">
      <c r="Q65" s="1"/>
      <c r="R65" s="1"/>
      <c r="S65" s="1"/>
      <c r="T65" s="1"/>
      <c r="U65" s="4"/>
      <c r="AA65" s="2"/>
      <c r="AB65" s="2"/>
      <c r="BU65" s="7">
        <v>245</v>
      </c>
      <c r="BV65" t="s">
        <v>186</v>
      </c>
      <c r="BW65" s="7"/>
    </row>
    <row r="66" spans="5:75" x14ac:dyDescent="0.25">
      <c r="Q66" s="1"/>
      <c r="R66" s="1"/>
      <c r="S66" s="1"/>
      <c r="T66" s="1"/>
      <c r="U66" s="4"/>
      <c r="AA66" s="2"/>
      <c r="AB66" s="2"/>
      <c r="BM66" s="46" t="s">
        <v>108</v>
      </c>
      <c r="BU66" s="7">
        <v>250</v>
      </c>
      <c r="BV66" t="s">
        <v>187</v>
      </c>
      <c r="BW66" s="7"/>
    </row>
    <row r="67" spans="5:75" x14ac:dyDescent="0.25">
      <c r="Q67" s="1"/>
      <c r="R67" s="1"/>
      <c r="S67" s="1"/>
      <c r="T67" s="1"/>
      <c r="U67" s="4"/>
      <c r="AA67" s="2"/>
      <c r="AB67" s="2"/>
      <c r="BU67" s="7">
        <v>252</v>
      </c>
      <c r="BV67" t="s">
        <v>188</v>
      </c>
      <c r="BW67" s="7"/>
    </row>
    <row r="68" spans="5:75" x14ac:dyDescent="0.25">
      <c r="AA68" s="2"/>
      <c r="AB68" s="2"/>
      <c r="BM68" s="47" t="s">
        <v>4</v>
      </c>
      <c r="BN68" s="47" t="s">
        <v>100</v>
      </c>
      <c r="BO68" s="105" t="s">
        <v>101</v>
      </c>
      <c r="BP68" s="47" t="s">
        <v>109</v>
      </c>
      <c r="BU68" s="7">
        <v>255</v>
      </c>
      <c r="BV68" t="s">
        <v>189</v>
      </c>
      <c r="BW68" s="7"/>
    </row>
    <row r="69" spans="5:75" x14ac:dyDescent="0.25">
      <c r="AA69" s="2"/>
      <c r="AB69" s="2"/>
      <c r="BM69" s="47">
        <f>BP40</f>
        <v>26</v>
      </c>
      <c r="BN69" s="47">
        <f>BN40</f>
        <v>15</v>
      </c>
      <c r="BO69" s="105">
        <f>BO40</f>
        <v>11</v>
      </c>
      <c r="BP69" s="48">
        <f>BQ40</f>
        <v>0.57692307692307687</v>
      </c>
      <c r="BU69" s="7">
        <v>257</v>
      </c>
      <c r="BV69" t="s">
        <v>190</v>
      </c>
      <c r="BW69" s="7"/>
    </row>
    <row r="70" spans="5:75" x14ac:dyDescent="0.25">
      <c r="AA70" s="2"/>
      <c r="AB70" s="2"/>
      <c r="AZ70" s="7">
        <v>2023</v>
      </c>
      <c r="BA70" s="7" t="s">
        <v>49</v>
      </c>
      <c r="BB70" s="7">
        <f>SUM(BB52:BB53)</f>
        <v>1</v>
      </c>
      <c r="BC70" s="7">
        <f>SUM(BC52:BC53)</f>
        <v>4</v>
      </c>
      <c r="BD70" s="7">
        <f>SUM(BD52:BD53)</f>
        <v>1</v>
      </c>
      <c r="BE70" s="7">
        <f>SUM(BE52:BE53)</f>
        <v>6</v>
      </c>
      <c r="BF70" s="119">
        <f>SUM(BF52:BF53)</f>
        <v>10859.25</v>
      </c>
      <c r="BU70" s="7">
        <v>260</v>
      </c>
      <c r="BV70" t="s">
        <v>191</v>
      </c>
      <c r="BW70" s="7"/>
    </row>
    <row r="71" spans="5:75" x14ac:dyDescent="0.25">
      <c r="AZ71" s="7">
        <v>2022</v>
      </c>
      <c r="BA71" s="7" t="s">
        <v>49</v>
      </c>
      <c r="BB71" s="7">
        <f>SUM(BB40:BB41)</f>
        <v>0</v>
      </c>
      <c r="BC71" s="7">
        <f>SUM(BC40:BC41)</f>
        <v>1</v>
      </c>
      <c r="BD71" s="7">
        <f>SUM(BD40:BD41)</f>
        <v>2</v>
      </c>
      <c r="BE71" s="7">
        <f>SUM(BE40:BE41)</f>
        <v>3</v>
      </c>
      <c r="BF71" s="119">
        <f>SUM(BF40:BF41)</f>
        <v>9716</v>
      </c>
      <c r="BU71" s="7">
        <v>261</v>
      </c>
      <c r="BV71" t="s">
        <v>192</v>
      </c>
      <c r="BW71" s="7"/>
    </row>
    <row r="72" spans="5:75" x14ac:dyDescent="0.25">
      <c r="AZ72" s="7">
        <v>2021</v>
      </c>
      <c r="BA72" s="7" t="s">
        <v>49</v>
      </c>
      <c r="BB72" s="7">
        <f>SUM(BB28:BB29)</f>
        <v>0</v>
      </c>
      <c r="BC72" s="7">
        <f>SUM(BC28:BC29)</f>
        <v>0</v>
      </c>
      <c r="BD72" s="7">
        <f>SUM(BD28:BD29)</f>
        <v>1</v>
      </c>
      <c r="BE72" s="7">
        <f>SUM(BE28:BE29)</f>
        <v>1</v>
      </c>
      <c r="BF72" s="119">
        <f>SUM(BF28:BF29)</f>
        <v>6331.75</v>
      </c>
      <c r="BU72" s="7">
        <v>262</v>
      </c>
      <c r="BV72" t="s">
        <v>193</v>
      </c>
      <c r="BW72" s="7"/>
    </row>
    <row r="73" spans="5:75" x14ac:dyDescent="0.25">
      <c r="AZ73" s="7">
        <v>2020</v>
      </c>
      <c r="BA73" s="7" t="s">
        <v>49</v>
      </c>
      <c r="BB73" s="7">
        <f>SUM(BB16:BB17)</f>
        <v>0</v>
      </c>
      <c r="BC73" s="7">
        <f>SUM(BC16:BC17)</f>
        <v>1</v>
      </c>
      <c r="BD73" s="7">
        <f>SUM(BD16:BD17)</f>
        <v>1</v>
      </c>
      <c r="BE73" s="7">
        <f>SUM(BE16:BE17)</f>
        <v>2</v>
      </c>
      <c r="BF73" s="119">
        <f>SUM(BF16:BF17)</f>
        <v>7502</v>
      </c>
      <c r="BU73" s="7">
        <v>265</v>
      </c>
      <c r="BV73" t="s">
        <v>194</v>
      </c>
      <c r="BW73" s="7"/>
    </row>
    <row r="74" spans="5:75" x14ac:dyDescent="0.25">
      <c r="AZ74" s="7"/>
      <c r="BA74" s="7"/>
      <c r="BB74" s="7"/>
      <c r="BC74" s="7"/>
      <c r="BD74" s="7"/>
      <c r="BE74" s="7"/>
      <c r="BF74" s="119"/>
      <c r="BU74" s="7">
        <v>270</v>
      </c>
      <c r="BV74" t="s">
        <v>195</v>
      </c>
      <c r="BW74" s="7"/>
    </row>
    <row r="75" spans="5:75" x14ac:dyDescent="0.25">
      <c r="BF75" s="119"/>
      <c r="BU75" s="7">
        <v>272</v>
      </c>
      <c r="BV75" t="s">
        <v>196</v>
      </c>
      <c r="BW75" s="7"/>
    </row>
    <row r="76" spans="5:75" x14ac:dyDescent="0.25">
      <c r="AZ76" t="s">
        <v>78</v>
      </c>
      <c r="BB76" s="7">
        <f>SUM(BB34:BB45)</f>
        <v>0</v>
      </c>
      <c r="BC76" s="7">
        <f>SUM(BC34:BC45)</f>
        <v>12</v>
      </c>
      <c r="BD76" s="7">
        <f>SUM(BD34:BD45)</f>
        <v>8</v>
      </c>
      <c r="BE76" s="7">
        <f>SUM(BE34:BE45)</f>
        <v>20</v>
      </c>
      <c r="BF76" s="119">
        <f>SUM(BF34:BF45)</f>
        <v>50352</v>
      </c>
      <c r="BU76" s="7">
        <v>275</v>
      </c>
      <c r="BV76" t="s">
        <v>197</v>
      </c>
      <c r="BW76" s="7"/>
    </row>
    <row r="77" spans="5:75" x14ac:dyDescent="0.25">
      <c r="E77" t="s">
        <v>341</v>
      </c>
      <c r="I77" s="91">
        <v>42677</v>
      </c>
      <c r="BU77" s="7">
        <v>280</v>
      </c>
      <c r="BV77" t="s">
        <v>198</v>
      </c>
      <c r="BW77" s="7"/>
    </row>
    <row r="78" spans="5:75" x14ac:dyDescent="0.25">
      <c r="E78" t="s">
        <v>342</v>
      </c>
      <c r="I78" s="1">
        <v>0.73</v>
      </c>
      <c r="BU78" s="7">
        <v>282</v>
      </c>
      <c r="BV78" t="s">
        <v>199</v>
      </c>
      <c r="BW78" s="7"/>
    </row>
    <row r="79" spans="5:75" x14ac:dyDescent="0.25">
      <c r="E79" t="s">
        <v>343</v>
      </c>
      <c r="I79" s="91">
        <f>I77*I78</f>
        <v>31154.21</v>
      </c>
      <c r="BU79" s="7">
        <v>285</v>
      </c>
      <c r="BV79" t="s">
        <v>200</v>
      </c>
      <c r="BW79" s="7"/>
    </row>
    <row r="80" spans="5:75" x14ac:dyDescent="0.25">
      <c r="BU80" s="7">
        <v>290</v>
      </c>
      <c r="BV80" t="s">
        <v>201</v>
      </c>
      <c r="BW80" s="7"/>
    </row>
    <row r="81" spans="5:75" x14ac:dyDescent="0.25">
      <c r="E81" t="s">
        <v>344</v>
      </c>
      <c r="I81" s="1">
        <v>0.85</v>
      </c>
      <c r="BU81" s="7">
        <v>292</v>
      </c>
      <c r="BV81" t="s">
        <v>202</v>
      </c>
      <c r="BW81" s="7"/>
    </row>
    <row r="82" spans="5:75" x14ac:dyDescent="0.25">
      <c r="E82" t="s">
        <v>345</v>
      </c>
      <c r="I82" s="91">
        <f>I79/I81</f>
        <v>36652.01176470588</v>
      </c>
      <c r="AZ82">
        <v>33242</v>
      </c>
      <c r="BU82" s="7">
        <v>295</v>
      </c>
      <c r="BV82" t="s">
        <v>203</v>
      </c>
      <c r="BW82" s="7"/>
    </row>
    <row r="83" spans="5:75" x14ac:dyDescent="0.25">
      <c r="I83" s="91"/>
      <c r="BU83" s="7">
        <v>300</v>
      </c>
      <c r="BV83" t="s">
        <v>204</v>
      </c>
      <c r="BW83" s="7"/>
    </row>
    <row r="84" spans="5:75" x14ac:dyDescent="0.25">
      <c r="E84" t="s">
        <v>346</v>
      </c>
      <c r="I84" s="91">
        <f>I77-I82</f>
        <v>6024.9882352941204</v>
      </c>
      <c r="BU84" s="7">
        <v>305</v>
      </c>
      <c r="BV84" t="s">
        <v>205</v>
      </c>
      <c r="BW84" s="7"/>
    </row>
    <row r="85" spans="5:75" x14ac:dyDescent="0.25">
      <c r="BU85" s="7">
        <v>310</v>
      </c>
      <c r="BV85" t="s">
        <v>206</v>
      </c>
      <c r="BW85" s="7"/>
    </row>
    <row r="86" spans="5:75" x14ac:dyDescent="0.25">
      <c r="E86" t="s">
        <v>347</v>
      </c>
      <c r="I86" s="120">
        <f>I84*30</f>
        <v>180749.64705882361</v>
      </c>
      <c r="BU86" s="7">
        <v>315</v>
      </c>
      <c r="BV86" t="s">
        <v>207</v>
      </c>
      <c r="BW86" s="7"/>
    </row>
    <row r="87" spans="5:75" x14ac:dyDescent="0.25">
      <c r="BU87" s="7">
        <v>320</v>
      </c>
      <c r="BV87" t="s">
        <v>208</v>
      </c>
      <c r="BW87" s="7"/>
    </row>
    <row r="88" spans="5:75" x14ac:dyDescent="0.25">
      <c r="BU88" s="7">
        <v>325</v>
      </c>
      <c r="BV88" t="s">
        <v>209</v>
      </c>
      <c r="BW88" s="7"/>
    </row>
    <row r="89" spans="5:75" x14ac:dyDescent="0.25">
      <c r="BU89" s="7">
        <v>326</v>
      </c>
      <c r="BV89" t="s">
        <v>210</v>
      </c>
      <c r="BW89" s="7"/>
    </row>
    <row r="90" spans="5:75" x14ac:dyDescent="0.25">
      <c r="BU90" s="7">
        <v>350</v>
      </c>
      <c r="BV90" t="s">
        <v>211</v>
      </c>
      <c r="BW90" s="7"/>
    </row>
    <row r="91" spans="5:75" x14ac:dyDescent="0.25">
      <c r="BU91" s="7">
        <v>355</v>
      </c>
      <c r="BV91" t="s">
        <v>212</v>
      </c>
      <c r="BW91" s="7"/>
    </row>
    <row r="92" spans="5:75" x14ac:dyDescent="0.25">
      <c r="BU92" s="7">
        <v>360</v>
      </c>
      <c r="BV92" t="s">
        <v>213</v>
      </c>
      <c r="BW92" s="7"/>
    </row>
    <row r="93" spans="5:75" x14ac:dyDescent="0.25">
      <c r="BU93" s="7">
        <v>365</v>
      </c>
      <c r="BV93" t="s">
        <v>214</v>
      </c>
      <c r="BW93" s="7"/>
    </row>
    <row r="94" spans="5:75" x14ac:dyDescent="0.25">
      <c r="BU94" s="7">
        <v>366</v>
      </c>
      <c r="BV94" t="s">
        <v>215</v>
      </c>
      <c r="BW94" s="7"/>
    </row>
    <row r="95" spans="5:75" x14ac:dyDescent="0.25">
      <c r="BU95" s="7">
        <v>370</v>
      </c>
      <c r="BV95" t="s">
        <v>216</v>
      </c>
      <c r="BW95" s="7"/>
    </row>
    <row r="96" spans="5:75" x14ac:dyDescent="0.25">
      <c r="BU96" s="7">
        <v>375</v>
      </c>
      <c r="BV96" t="s">
        <v>217</v>
      </c>
      <c r="BW96" s="7"/>
    </row>
    <row r="97" spans="73:75" x14ac:dyDescent="0.25">
      <c r="BU97" s="7">
        <v>380</v>
      </c>
      <c r="BV97" t="s">
        <v>218</v>
      </c>
      <c r="BW97" s="7"/>
    </row>
    <row r="98" spans="73:75" x14ac:dyDescent="0.25">
      <c r="BU98" s="7">
        <v>382</v>
      </c>
      <c r="BV98" t="s">
        <v>219</v>
      </c>
      <c r="BW98" s="7"/>
    </row>
    <row r="99" spans="73:75" x14ac:dyDescent="0.25">
      <c r="BU99" s="7">
        <v>383</v>
      </c>
      <c r="BV99" t="s">
        <v>220</v>
      </c>
      <c r="BW99" s="7"/>
    </row>
    <row r="100" spans="73:75" x14ac:dyDescent="0.25">
      <c r="BU100" s="7">
        <v>385</v>
      </c>
      <c r="BV100" t="s">
        <v>221</v>
      </c>
      <c r="BW100" s="7"/>
    </row>
    <row r="101" spans="73:75" x14ac:dyDescent="0.25">
      <c r="BU101" s="7">
        <v>390</v>
      </c>
      <c r="BV101" t="s">
        <v>222</v>
      </c>
      <c r="BW101" s="7"/>
    </row>
    <row r="102" spans="73:75" x14ac:dyDescent="0.25">
      <c r="BU102" s="7">
        <v>395</v>
      </c>
      <c r="BV102" t="s">
        <v>223</v>
      </c>
      <c r="BW102" s="7"/>
    </row>
    <row r="103" spans="73:75" x14ac:dyDescent="0.25">
      <c r="BU103" s="7">
        <v>450</v>
      </c>
      <c r="BV103" t="s">
        <v>224</v>
      </c>
      <c r="BW103" s="7"/>
    </row>
    <row r="104" spans="73:75" x14ac:dyDescent="0.25">
      <c r="BU104" s="7">
        <v>455</v>
      </c>
      <c r="BV104" t="s">
        <v>225</v>
      </c>
      <c r="BW104" s="7"/>
    </row>
    <row r="105" spans="73:75" x14ac:dyDescent="0.25">
      <c r="BU105" s="7">
        <v>460</v>
      </c>
      <c r="BV105" t="s">
        <v>226</v>
      </c>
      <c r="BW105" s="7"/>
    </row>
    <row r="106" spans="73:75" x14ac:dyDescent="0.25">
      <c r="BU106" s="7">
        <v>465</v>
      </c>
      <c r="BV106" t="s">
        <v>227</v>
      </c>
      <c r="BW106" s="7"/>
    </row>
    <row r="107" spans="73:75" x14ac:dyDescent="0.25">
      <c r="BU107" s="7">
        <v>470</v>
      </c>
      <c r="BV107" t="s">
        <v>228</v>
      </c>
      <c r="BW107" s="7"/>
    </row>
    <row r="108" spans="73:75" x14ac:dyDescent="0.25">
      <c r="BU108" s="7">
        <v>475</v>
      </c>
      <c r="BV108" t="s">
        <v>229</v>
      </c>
      <c r="BW108" s="7"/>
    </row>
    <row r="109" spans="73:75" x14ac:dyDescent="0.25">
      <c r="BU109" s="7">
        <v>477</v>
      </c>
      <c r="BV109" t="s">
        <v>230</v>
      </c>
      <c r="BW109" s="7"/>
    </row>
    <row r="110" spans="73:75" x14ac:dyDescent="0.25">
      <c r="BU110" s="7">
        <v>478</v>
      </c>
      <c r="BV110" t="s">
        <v>231</v>
      </c>
      <c r="BW110" s="7"/>
    </row>
    <row r="111" spans="73:75" x14ac:dyDescent="0.25">
      <c r="BU111" s="7">
        <v>479</v>
      </c>
      <c r="BV111" t="s">
        <v>232</v>
      </c>
      <c r="BW111" s="7"/>
    </row>
    <row r="112" spans="73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1">
    <mergeCell ref="AK2:AP2"/>
    <mergeCell ref="BG2:BJ2"/>
    <mergeCell ref="BL2:BR2"/>
    <mergeCell ref="BU2:BZ2"/>
    <mergeCell ref="AZ1:BF1"/>
    <mergeCell ref="AF2:AI2"/>
    <mergeCell ref="F2:J2"/>
    <mergeCell ref="L2:O2"/>
    <mergeCell ref="Q2:U2"/>
    <mergeCell ref="W2:Y2"/>
    <mergeCell ref="AA2:AD2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4483-9F46-43F0-B13D-75494862E4FA}">
  <sheetPr>
    <pageSetUpPr fitToPage="1"/>
  </sheetPr>
  <dimension ref="A2:AF62"/>
  <sheetViews>
    <sheetView topLeftCell="A26" workbookViewId="0">
      <selection sqref="A1:XFD1048576"/>
    </sheetView>
  </sheetViews>
  <sheetFormatPr defaultRowHeight="15" x14ac:dyDescent="0.25"/>
  <cols>
    <col min="2" max="2" width="10.7109375" bestFit="1" customWidth="1"/>
    <col min="7" max="7" width="9.42578125" customWidth="1"/>
    <col min="10" max="10" width="3.85546875" customWidth="1"/>
    <col min="14" max="14" width="9.5703125" bestFit="1" customWidth="1"/>
    <col min="15" max="15" width="2.7109375" customWidth="1"/>
    <col min="18" max="18" width="10.5703125" bestFit="1" customWidth="1"/>
    <col min="20" max="20" width="2.140625" customWidth="1"/>
    <col min="25" max="25" width="11.7109375" customWidth="1"/>
    <col min="26" max="26" width="2.42578125" customWidth="1"/>
  </cols>
  <sheetData>
    <row r="2" spans="1:32" x14ac:dyDescent="0.25">
      <c r="F2" s="181" t="s">
        <v>307</v>
      </c>
      <c r="G2" s="182"/>
      <c r="H2" s="182"/>
      <c r="I2" s="183"/>
      <c r="K2" s="181" t="s">
        <v>320</v>
      </c>
      <c r="L2" s="182"/>
      <c r="M2" s="182"/>
      <c r="N2" s="183"/>
      <c r="P2" s="181" t="s">
        <v>321</v>
      </c>
      <c r="Q2" s="182"/>
      <c r="R2" s="182"/>
      <c r="S2" s="183"/>
      <c r="U2" s="181" t="s">
        <v>318</v>
      </c>
      <c r="V2" s="182"/>
      <c r="W2" s="182"/>
      <c r="X2" s="182"/>
      <c r="Y2" s="183"/>
    </row>
    <row r="3" spans="1:32" x14ac:dyDescent="0.25">
      <c r="A3" s="7" t="s">
        <v>32</v>
      </c>
      <c r="B3" s="7" t="s">
        <v>33</v>
      </c>
      <c r="C3" s="7" t="s">
        <v>31</v>
      </c>
      <c r="D3" s="7" t="s">
        <v>34</v>
      </c>
      <c r="F3" s="7" t="s">
        <v>309</v>
      </c>
      <c r="G3" s="7" t="s">
        <v>308</v>
      </c>
      <c r="H3" s="7" t="s">
        <v>310</v>
      </c>
      <c r="I3" s="47" t="s">
        <v>4</v>
      </c>
      <c r="K3" s="7" t="s">
        <v>315</v>
      </c>
      <c r="L3" s="7" t="s">
        <v>316</v>
      </c>
      <c r="M3" s="7" t="s">
        <v>317</v>
      </c>
      <c r="N3" s="7" t="s">
        <v>4</v>
      </c>
      <c r="P3" s="7" t="s">
        <v>315</v>
      </c>
      <c r="Q3" s="7" t="s">
        <v>316</v>
      </c>
      <c r="R3" s="7" t="s">
        <v>317</v>
      </c>
      <c r="S3" s="7" t="s">
        <v>4</v>
      </c>
      <c r="T3" s="7"/>
      <c r="U3" s="7" t="s">
        <v>315</v>
      </c>
      <c r="V3" s="7" t="s">
        <v>316</v>
      </c>
      <c r="W3" s="7" t="s">
        <v>317</v>
      </c>
      <c r="X3" s="7" t="s">
        <v>4</v>
      </c>
      <c r="Y3" s="7" t="s">
        <v>4</v>
      </c>
      <c r="AB3" s="7" t="s">
        <v>315</v>
      </c>
      <c r="AC3" s="7" t="s">
        <v>316</v>
      </c>
      <c r="AD3" s="7" t="s">
        <v>317</v>
      </c>
      <c r="AE3" s="7" t="s">
        <v>4</v>
      </c>
      <c r="AF3" s="7" t="s">
        <v>7</v>
      </c>
    </row>
    <row r="4" spans="1:32" x14ac:dyDescent="0.25">
      <c r="A4" s="7">
        <v>2023</v>
      </c>
      <c r="B4" s="13">
        <v>44928</v>
      </c>
      <c r="C4" s="115"/>
      <c r="D4" s="7">
        <v>1</v>
      </c>
      <c r="F4" s="88">
        <v>2</v>
      </c>
      <c r="G4" s="88">
        <v>0</v>
      </c>
      <c r="H4" s="88">
        <v>0</v>
      </c>
      <c r="I4" s="89">
        <f>F4+G4+H4</f>
        <v>2</v>
      </c>
      <c r="K4" s="7">
        <v>11.17</v>
      </c>
      <c r="L4" s="7">
        <v>0</v>
      </c>
      <c r="M4" s="7">
        <v>0</v>
      </c>
      <c r="N4" s="7">
        <f>SUM(K4:M4)</f>
        <v>11.17</v>
      </c>
      <c r="P4" s="92">
        <v>0</v>
      </c>
      <c r="Q4" s="92">
        <v>0</v>
      </c>
      <c r="R4" s="92">
        <v>0</v>
      </c>
      <c r="S4" s="92">
        <f>SUM(P4:R4)</f>
        <v>0</v>
      </c>
      <c r="U4" s="92">
        <f t="shared" ref="U4:W9" si="0">(K4*70)+P4</f>
        <v>781.9</v>
      </c>
      <c r="V4" s="92">
        <f t="shared" si="0"/>
        <v>0</v>
      </c>
      <c r="W4" s="92">
        <f t="shared" si="0"/>
        <v>0</v>
      </c>
      <c r="X4" s="92">
        <f>SUM(U4:W4)</f>
        <v>781.9</v>
      </c>
      <c r="Y4" s="92">
        <v>1500</v>
      </c>
      <c r="AA4" s="7" t="s">
        <v>8</v>
      </c>
      <c r="AB4" s="93">
        <f>U4+U5+U6+U7</f>
        <v>7554.4</v>
      </c>
      <c r="AC4" s="93">
        <f>V4+V5+V6+V7</f>
        <v>0</v>
      </c>
      <c r="AD4" s="93">
        <f>W4+W5+W6+W7</f>
        <v>0</v>
      </c>
      <c r="AE4" s="93">
        <f>SUM(AB4:AD4)</f>
        <v>7554.4</v>
      </c>
      <c r="AF4" s="93">
        <v>6500</v>
      </c>
    </row>
    <row r="5" spans="1:32" x14ac:dyDescent="0.25">
      <c r="A5" s="7">
        <v>2023</v>
      </c>
      <c r="B5" s="13">
        <v>44935</v>
      </c>
      <c r="C5" s="116"/>
      <c r="D5" s="7">
        <v>2</v>
      </c>
      <c r="F5" s="88">
        <v>0</v>
      </c>
      <c r="G5" s="88">
        <v>2</v>
      </c>
      <c r="H5" s="88">
        <v>4</v>
      </c>
      <c r="I5" s="89">
        <f t="shared" ref="I5:I55" si="1">F5+G5+H5</f>
        <v>6</v>
      </c>
      <c r="K5" s="7">
        <v>5.75</v>
      </c>
      <c r="L5" s="7">
        <v>0</v>
      </c>
      <c r="M5" s="7">
        <v>0</v>
      </c>
      <c r="N5" s="7">
        <f t="shared" ref="N5:N55" si="2">SUM(K5:M5)</f>
        <v>5.75</v>
      </c>
      <c r="P5" s="92">
        <v>0</v>
      </c>
      <c r="Q5" s="92">
        <v>0</v>
      </c>
      <c r="R5" s="92">
        <v>0</v>
      </c>
      <c r="S5" s="92">
        <f t="shared" ref="S5:S55" si="3">SUM(P5:R5)</f>
        <v>0</v>
      </c>
      <c r="U5" s="92">
        <f t="shared" si="0"/>
        <v>402.5</v>
      </c>
      <c r="V5" s="92">
        <f t="shared" si="0"/>
        <v>0</v>
      </c>
      <c r="W5" s="92">
        <f t="shared" si="0"/>
        <v>0</v>
      </c>
      <c r="X5" s="92">
        <f t="shared" ref="X5:X55" si="4">SUM(U5:W5)</f>
        <v>402.5</v>
      </c>
      <c r="Y5" s="92">
        <v>1500</v>
      </c>
      <c r="AA5" s="7" t="s">
        <v>9</v>
      </c>
      <c r="AB5" s="93">
        <f>U8+U9+U10+U11</f>
        <v>3307.5</v>
      </c>
      <c r="AC5" s="93">
        <f>V8+V9+V10+V11</f>
        <v>4637.5</v>
      </c>
      <c r="AD5" s="93">
        <f>W8+W9+W10+W11</f>
        <v>7315</v>
      </c>
      <c r="AE5" s="93">
        <f t="shared" ref="AE5:AE15" si="5">SUM(AB5:AD5)</f>
        <v>15260</v>
      </c>
      <c r="AF5" s="93">
        <v>6500</v>
      </c>
    </row>
    <row r="6" spans="1:32" x14ac:dyDescent="0.25">
      <c r="A6" s="7">
        <v>2023</v>
      </c>
      <c r="B6" s="13">
        <v>44942</v>
      </c>
      <c r="C6" s="116" t="s">
        <v>8</v>
      </c>
      <c r="D6" s="7">
        <v>3</v>
      </c>
      <c r="F6" s="88">
        <v>0</v>
      </c>
      <c r="G6" s="88">
        <v>1</v>
      </c>
      <c r="H6" s="88">
        <v>0</v>
      </c>
      <c r="I6" s="89">
        <f t="shared" si="1"/>
        <v>1</v>
      </c>
      <c r="K6" s="7">
        <v>75.75</v>
      </c>
      <c r="L6" s="7">
        <v>0</v>
      </c>
      <c r="M6" s="7">
        <v>0</v>
      </c>
      <c r="N6" s="7">
        <f t="shared" si="2"/>
        <v>75.75</v>
      </c>
      <c r="P6" s="92">
        <v>0</v>
      </c>
      <c r="Q6" s="92">
        <v>0</v>
      </c>
      <c r="R6" s="92">
        <v>0</v>
      </c>
      <c r="S6" s="92">
        <f t="shared" si="3"/>
        <v>0</v>
      </c>
      <c r="U6" s="92">
        <f t="shared" si="0"/>
        <v>5302.5</v>
      </c>
      <c r="V6" s="92">
        <f t="shared" si="0"/>
        <v>0</v>
      </c>
      <c r="W6" s="92">
        <f t="shared" si="0"/>
        <v>0</v>
      </c>
      <c r="X6" s="92">
        <f t="shared" si="4"/>
        <v>5302.5</v>
      </c>
      <c r="Y6" s="92">
        <v>1500</v>
      </c>
      <c r="AA6" s="7" t="s">
        <v>10</v>
      </c>
      <c r="AB6" s="93">
        <f>U12+U13+U14+U15+U16</f>
        <v>8260</v>
      </c>
      <c r="AC6" s="93">
        <f>V12+V13+V14+V15+V16</f>
        <v>560</v>
      </c>
      <c r="AD6" s="93">
        <f>W12+W13+W14+W15+W16</f>
        <v>2415</v>
      </c>
      <c r="AE6" s="93">
        <f t="shared" si="5"/>
        <v>11235</v>
      </c>
      <c r="AF6" s="93">
        <v>6500</v>
      </c>
    </row>
    <row r="7" spans="1:32" x14ac:dyDescent="0.25">
      <c r="A7" s="7">
        <v>2023</v>
      </c>
      <c r="B7" s="13">
        <v>44949</v>
      </c>
      <c r="C7" s="116"/>
      <c r="D7" s="7">
        <v>4</v>
      </c>
      <c r="F7" s="88">
        <v>0</v>
      </c>
      <c r="G7" s="88">
        <v>5</v>
      </c>
      <c r="H7" s="88">
        <v>0</v>
      </c>
      <c r="I7" s="89">
        <f t="shared" si="1"/>
        <v>5</v>
      </c>
      <c r="K7" s="97">
        <v>15.25</v>
      </c>
      <c r="L7" s="88">
        <v>0</v>
      </c>
      <c r="M7" s="88">
        <v>0</v>
      </c>
      <c r="N7" s="7">
        <f t="shared" si="2"/>
        <v>15.25</v>
      </c>
      <c r="P7" s="92">
        <v>0</v>
      </c>
      <c r="Q7" s="92">
        <v>0</v>
      </c>
      <c r="R7" s="92">
        <v>0</v>
      </c>
      <c r="S7" s="92">
        <f t="shared" si="3"/>
        <v>0</v>
      </c>
      <c r="U7" s="92">
        <f t="shared" si="0"/>
        <v>1067.5</v>
      </c>
      <c r="V7" s="92">
        <f t="shared" si="0"/>
        <v>0</v>
      </c>
      <c r="W7" s="92">
        <f t="shared" si="0"/>
        <v>0</v>
      </c>
      <c r="X7" s="92">
        <f t="shared" si="4"/>
        <v>1067.5</v>
      </c>
      <c r="Y7" s="92">
        <v>1500</v>
      </c>
      <c r="AA7" s="7" t="s">
        <v>11</v>
      </c>
      <c r="AB7" s="93">
        <f>U17+U18+U19+U20</f>
        <v>4795</v>
      </c>
      <c r="AC7" s="93">
        <f>V17+V18+V19+V20</f>
        <v>0</v>
      </c>
      <c r="AD7" s="93">
        <f>W17+W18+W19+W20</f>
        <v>0</v>
      </c>
      <c r="AE7" s="93">
        <f t="shared" si="5"/>
        <v>4795</v>
      </c>
      <c r="AF7" s="93">
        <v>6500</v>
      </c>
    </row>
    <row r="8" spans="1:32" x14ac:dyDescent="0.25">
      <c r="A8" s="7">
        <v>2023</v>
      </c>
      <c r="B8" s="13">
        <v>44956</v>
      </c>
      <c r="C8" s="117"/>
      <c r="D8" s="7">
        <v>5</v>
      </c>
      <c r="F8" s="88">
        <v>9</v>
      </c>
      <c r="G8" s="88">
        <v>2</v>
      </c>
      <c r="H8" s="88">
        <v>2</v>
      </c>
      <c r="I8" s="89">
        <f t="shared" si="1"/>
        <v>13</v>
      </c>
      <c r="K8" s="7">
        <v>22.75</v>
      </c>
      <c r="L8" s="7">
        <v>6</v>
      </c>
      <c r="M8" s="7">
        <v>0</v>
      </c>
      <c r="N8" s="7">
        <f t="shared" si="2"/>
        <v>28.75</v>
      </c>
      <c r="P8" s="92">
        <v>0</v>
      </c>
      <c r="Q8" s="92">
        <v>0</v>
      </c>
      <c r="R8" s="92">
        <v>0</v>
      </c>
      <c r="S8" s="92">
        <f t="shared" si="3"/>
        <v>0</v>
      </c>
      <c r="U8" s="92">
        <f t="shared" si="0"/>
        <v>1592.5</v>
      </c>
      <c r="V8" s="92">
        <f t="shared" si="0"/>
        <v>420</v>
      </c>
      <c r="W8" s="92">
        <f t="shared" si="0"/>
        <v>0</v>
      </c>
      <c r="X8" s="92">
        <f t="shared" si="4"/>
        <v>2012.5</v>
      </c>
      <c r="Y8" s="92">
        <v>1500</v>
      </c>
      <c r="AA8" s="7" t="s">
        <v>12</v>
      </c>
      <c r="AB8" s="93">
        <f>U21+U22+U23+U24+U25</f>
        <v>1015</v>
      </c>
      <c r="AC8" s="93">
        <f>V21+V22+V23+V24+V25</f>
        <v>0</v>
      </c>
      <c r="AD8" s="93">
        <f>W21+W22+W23+W24+W25</f>
        <v>1260</v>
      </c>
      <c r="AE8" s="93">
        <f t="shared" si="5"/>
        <v>2275</v>
      </c>
      <c r="AF8" s="93">
        <v>6500</v>
      </c>
    </row>
    <row r="9" spans="1:32" x14ac:dyDescent="0.25">
      <c r="A9" s="7">
        <v>2023</v>
      </c>
      <c r="B9" s="13">
        <v>44963</v>
      </c>
      <c r="C9" s="115"/>
      <c r="D9" s="7">
        <v>6</v>
      </c>
      <c r="F9" s="88">
        <v>0</v>
      </c>
      <c r="G9" s="88">
        <v>0</v>
      </c>
      <c r="H9" s="88">
        <v>1</v>
      </c>
      <c r="I9" s="89">
        <f t="shared" si="1"/>
        <v>1</v>
      </c>
      <c r="K9" s="7">
        <v>6.5</v>
      </c>
      <c r="L9" s="7">
        <v>2</v>
      </c>
      <c r="M9" s="7">
        <v>0</v>
      </c>
      <c r="N9" s="7">
        <f t="shared" si="2"/>
        <v>8.5</v>
      </c>
      <c r="P9" s="92">
        <v>0</v>
      </c>
      <c r="Q9" s="92">
        <v>0</v>
      </c>
      <c r="R9" s="92">
        <v>0</v>
      </c>
      <c r="S9" s="92">
        <f t="shared" si="3"/>
        <v>0</v>
      </c>
      <c r="U9" s="92">
        <f t="shared" si="0"/>
        <v>455</v>
      </c>
      <c r="V9" s="92">
        <f t="shared" si="0"/>
        <v>140</v>
      </c>
      <c r="W9" s="92">
        <f t="shared" si="0"/>
        <v>0</v>
      </c>
      <c r="X9" s="92">
        <f t="shared" si="4"/>
        <v>595</v>
      </c>
      <c r="Y9" s="92">
        <v>1500</v>
      </c>
      <c r="AA9" s="7" t="s">
        <v>13</v>
      </c>
      <c r="AB9" s="93">
        <f>U26+U27+U28+U29</f>
        <v>7140</v>
      </c>
      <c r="AC9" s="93">
        <f>V26+V27+V28+V29</f>
        <v>140</v>
      </c>
      <c r="AD9" s="93">
        <f>W26+W27+W28+W29</f>
        <v>815</v>
      </c>
      <c r="AE9" s="93">
        <f t="shared" si="5"/>
        <v>8095</v>
      </c>
      <c r="AF9" s="93">
        <v>6500</v>
      </c>
    </row>
    <row r="10" spans="1:32" x14ac:dyDescent="0.25">
      <c r="A10" s="7">
        <v>2023</v>
      </c>
      <c r="B10" s="13">
        <v>44970</v>
      </c>
      <c r="C10" s="116" t="s">
        <v>9</v>
      </c>
      <c r="D10" s="7">
        <v>7</v>
      </c>
      <c r="F10" s="88">
        <v>0</v>
      </c>
      <c r="G10" s="88">
        <v>0</v>
      </c>
      <c r="H10" s="88">
        <v>1</v>
      </c>
      <c r="I10" s="89">
        <f t="shared" si="1"/>
        <v>1</v>
      </c>
      <c r="K10" s="7">
        <v>8</v>
      </c>
      <c r="L10" s="7">
        <v>4</v>
      </c>
      <c r="M10" s="7">
        <v>104.5</v>
      </c>
      <c r="N10" s="7">
        <f t="shared" si="2"/>
        <v>116.5</v>
      </c>
      <c r="P10" s="92">
        <v>0</v>
      </c>
      <c r="Q10" s="92">
        <v>0</v>
      </c>
      <c r="R10" s="92">
        <v>0</v>
      </c>
      <c r="S10" s="92">
        <f t="shared" si="3"/>
        <v>0</v>
      </c>
      <c r="U10" s="92">
        <f t="shared" ref="U10:U55" si="6">(K10*70)+P10</f>
        <v>560</v>
      </c>
      <c r="V10" s="92">
        <f t="shared" ref="V10:V55" si="7">(L10*70)+Q10</f>
        <v>280</v>
      </c>
      <c r="W10" s="92">
        <f t="shared" ref="W10:W55" si="8">(M10*70)+R10</f>
        <v>7315</v>
      </c>
      <c r="X10" s="92">
        <f t="shared" si="4"/>
        <v>8155</v>
      </c>
      <c r="Y10" s="92">
        <v>1500</v>
      </c>
      <c r="AA10" s="7" t="s">
        <v>14</v>
      </c>
      <c r="AB10" s="93">
        <f>U30+U31+U32+U33</f>
        <v>2275</v>
      </c>
      <c r="AC10" s="93">
        <f>V30+V31+V32+V33</f>
        <v>0</v>
      </c>
      <c r="AD10" s="93">
        <f>W30+W31+W32+W33</f>
        <v>945</v>
      </c>
      <c r="AE10" s="93">
        <f t="shared" si="5"/>
        <v>3220</v>
      </c>
      <c r="AF10" s="93">
        <v>6500</v>
      </c>
    </row>
    <row r="11" spans="1:32" x14ac:dyDescent="0.25">
      <c r="A11" s="7">
        <v>2023</v>
      </c>
      <c r="B11" s="13">
        <v>44977</v>
      </c>
      <c r="C11" s="116"/>
      <c r="D11" s="7">
        <v>8</v>
      </c>
      <c r="F11" s="88">
        <v>0</v>
      </c>
      <c r="G11" s="88">
        <v>0</v>
      </c>
      <c r="H11" s="88">
        <v>2</v>
      </c>
      <c r="I11" s="89">
        <f t="shared" si="1"/>
        <v>2</v>
      </c>
      <c r="K11" s="88">
        <v>10</v>
      </c>
      <c r="L11" s="88">
        <v>54.25</v>
      </c>
      <c r="M11" s="88">
        <v>0</v>
      </c>
      <c r="N11" s="7">
        <f t="shared" si="2"/>
        <v>64.25</v>
      </c>
      <c r="P11" s="92">
        <v>0</v>
      </c>
      <c r="Q11" s="92">
        <v>0</v>
      </c>
      <c r="R11" s="92">
        <v>0</v>
      </c>
      <c r="S11" s="92">
        <f t="shared" si="3"/>
        <v>0</v>
      </c>
      <c r="U11" s="92">
        <f t="shared" si="6"/>
        <v>700</v>
      </c>
      <c r="V11" s="92">
        <f t="shared" si="7"/>
        <v>3797.5</v>
      </c>
      <c r="W11" s="92">
        <f t="shared" si="8"/>
        <v>0</v>
      </c>
      <c r="X11" s="92">
        <f t="shared" si="4"/>
        <v>4497.5</v>
      </c>
      <c r="Y11" s="92">
        <v>1500</v>
      </c>
      <c r="AA11" s="7" t="s">
        <v>15</v>
      </c>
      <c r="AB11" s="93">
        <f>U34+U35+U36+U37+U38</f>
        <v>17955</v>
      </c>
      <c r="AC11" s="93">
        <f>V34+V35+V36+V37+V38</f>
        <v>0</v>
      </c>
      <c r="AD11" s="93">
        <f>W34+W35+W36+W37+W38</f>
        <v>0</v>
      </c>
      <c r="AE11" s="93">
        <f t="shared" si="5"/>
        <v>17955</v>
      </c>
      <c r="AF11" s="93">
        <v>6500</v>
      </c>
    </row>
    <row r="12" spans="1:32" x14ac:dyDescent="0.25">
      <c r="A12" s="7">
        <v>2023</v>
      </c>
      <c r="B12" s="13">
        <v>44984</v>
      </c>
      <c r="C12" s="117"/>
      <c r="D12" s="7">
        <v>9</v>
      </c>
      <c r="F12" s="88">
        <v>5</v>
      </c>
      <c r="G12" s="88">
        <v>0</v>
      </c>
      <c r="H12" s="88">
        <v>2</v>
      </c>
      <c r="I12" s="89">
        <f t="shared" si="1"/>
        <v>7</v>
      </c>
      <c r="K12" s="7">
        <v>1</v>
      </c>
      <c r="L12" s="7">
        <v>0</v>
      </c>
      <c r="M12" s="7">
        <v>26</v>
      </c>
      <c r="N12" s="7">
        <f t="shared" si="2"/>
        <v>27</v>
      </c>
      <c r="P12" s="92">
        <v>0</v>
      </c>
      <c r="Q12" s="92">
        <v>0</v>
      </c>
      <c r="R12" s="92">
        <v>0</v>
      </c>
      <c r="S12" s="92">
        <f t="shared" si="3"/>
        <v>0</v>
      </c>
      <c r="U12" s="92">
        <f t="shared" si="6"/>
        <v>70</v>
      </c>
      <c r="V12" s="92">
        <f t="shared" si="7"/>
        <v>0</v>
      </c>
      <c r="W12" s="92">
        <f t="shared" si="8"/>
        <v>1820</v>
      </c>
      <c r="X12" s="92">
        <f t="shared" si="4"/>
        <v>1890</v>
      </c>
      <c r="Y12" s="92">
        <v>1500</v>
      </c>
      <c r="AA12" s="7" t="s">
        <v>16</v>
      </c>
      <c r="AB12" s="93">
        <f>U39+U40+U41+U42</f>
        <v>13877.5</v>
      </c>
      <c r="AC12" s="93">
        <f>V39+V40+V41+V42</f>
        <v>0</v>
      </c>
      <c r="AD12" s="93">
        <f>W39+W40+W41+W42</f>
        <v>1050</v>
      </c>
      <c r="AE12" s="93">
        <f t="shared" si="5"/>
        <v>14927.5</v>
      </c>
      <c r="AF12" s="93">
        <v>6500</v>
      </c>
    </row>
    <row r="13" spans="1:32" x14ac:dyDescent="0.25">
      <c r="A13" s="7">
        <v>2023</v>
      </c>
      <c r="B13" s="13">
        <v>44991</v>
      </c>
      <c r="C13" s="115"/>
      <c r="D13" s="7">
        <v>10</v>
      </c>
      <c r="F13" s="88">
        <v>0</v>
      </c>
      <c r="G13" s="88">
        <v>0</v>
      </c>
      <c r="H13" s="88">
        <v>0</v>
      </c>
      <c r="I13" s="89">
        <f t="shared" si="1"/>
        <v>0</v>
      </c>
      <c r="K13" s="7">
        <v>0</v>
      </c>
      <c r="L13" s="7">
        <v>0</v>
      </c>
      <c r="M13" s="7">
        <v>8.5</v>
      </c>
      <c r="N13" s="7">
        <f t="shared" si="2"/>
        <v>8.5</v>
      </c>
      <c r="P13" s="92">
        <v>0</v>
      </c>
      <c r="Q13" s="92">
        <v>0</v>
      </c>
      <c r="R13" s="92">
        <v>0</v>
      </c>
      <c r="S13" s="92">
        <f t="shared" si="3"/>
        <v>0</v>
      </c>
      <c r="U13" s="92">
        <f t="shared" si="6"/>
        <v>0</v>
      </c>
      <c r="V13" s="92">
        <f t="shared" si="7"/>
        <v>0</v>
      </c>
      <c r="W13" s="92">
        <f t="shared" si="8"/>
        <v>595</v>
      </c>
      <c r="X13" s="92">
        <f t="shared" si="4"/>
        <v>595</v>
      </c>
      <c r="Y13" s="92">
        <v>1500</v>
      </c>
      <c r="AA13" s="7" t="s">
        <v>17</v>
      </c>
      <c r="AB13" s="93">
        <f>U43+U44+U45+U46</f>
        <v>3815</v>
      </c>
      <c r="AC13" s="93">
        <f>V43+V44+V45+V46</f>
        <v>210</v>
      </c>
      <c r="AD13" s="93">
        <f>W43+W44+W45+W46</f>
        <v>0</v>
      </c>
      <c r="AE13" s="93">
        <f t="shared" si="5"/>
        <v>4025</v>
      </c>
      <c r="AF13" s="93">
        <v>6500</v>
      </c>
    </row>
    <row r="14" spans="1:32" x14ac:dyDescent="0.25">
      <c r="A14" s="7">
        <v>2023</v>
      </c>
      <c r="B14" s="13">
        <v>44998</v>
      </c>
      <c r="C14" s="116" t="s">
        <v>10</v>
      </c>
      <c r="D14" s="7">
        <v>11</v>
      </c>
      <c r="F14" s="88">
        <v>0</v>
      </c>
      <c r="G14" s="88">
        <v>2</v>
      </c>
      <c r="H14" s="88">
        <v>6</v>
      </c>
      <c r="I14" s="89">
        <f t="shared" si="1"/>
        <v>8</v>
      </c>
      <c r="K14" s="7">
        <v>5</v>
      </c>
      <c r="L14" s="7">
        <v>8</v>
      </c>
      <c r="M14" s="7">
        <v>0</v>
      </c>
      <c r="N14" s="7">
        <f t="shared" si="2"/>
        <v>13</v>
      </c>
      <c r="P14" s="92">
        <v>0</v>
      </c>
      <c r="Q14" s="92">
        <v>0</v>
      </c>
      <c r="R14" s="92">
        <v>0</v>
      </c>
      <c r="S14" s="92">
        <f t="shared" si="3"/>
        <v>0</v>
      </c>
      <c r="U14" s="92">
        <f t="shared" si="6"/>
        <v>350</v>
      </c>
      <c r="V14" s="92">
        <f t="shared" si="7"/>
        <v>560</v>
      </c>
      <c r="W14" s="92">
        <f t="shared" si="8"/>
        <v>0</v>
      </c>
      <c r="X14" s="92">
        <f t="shared" si="4"/>
        <v>910</v>
      </c>
      <c r="Y14" s="92">
        <v>1500</v>
      </c>
      <c r="AA14" s="7" t="s">
        <v>18</v>
      </c>
      <c r="AB14" s="93">
        <f>U47+U48+U49+U50+U51</f>
        <v>3745</v>
      </c>
      <c r="AC14" s="93">
        <f>V47+V48+V49+V50+V51</f>
        <v>0</v>
      </c>
      <c r="AD14" s="93">
        <f>W47+W48+W49+W50+W51</f>
        <v>0</v>
      </c>
      <c r="AE14" s="93">
        <f t="shared" si="5"/>
        <v>3745</v>
      </c>
      <c r="AF14" s="93">
        <v>6500</v>
      </c>
    </row>
    <row r="15" spans="1:32" x14ac:dyDescent="0.25">
      <c r="A15" s="7">
        <v>2023</v>
      </c>
      <c r="B15" s="13">
        <v>45005</v>
      </c>
      <c r="C15" s="118"/>
      <c r="D15" s="7">
        <v>12</v>
      </c>
      <c r="F15" s="88">
        <v>0</v>
      </c>
      <c r="G15" s="88">
        <v>0</v>
      </c>
      <c r="H15" s="88">
        <v>5</v>
      </c>
      <c r="I15" s="89">
        <f t="shared" si="1"/>
        <v>5</v>
      </c>
      <c r="K15" s="7">
        <v>35.5</v>
      </c>
      <c r="L15" s="7">
        <v>0</v>
      </c>
      <c r="M15" s="7">
        <v>0</v>
      </c>
      <c r="N15" s="7">
        <f t="shared" si="2"/>
        <v>35.5</v>
      </c>
      <c r="P15" s="92">
        <v>0</v>
      </c>
      <c r="Q15" s="92">
        <v>0</v>
      </c>
      <c r="R15" s="92">
        <v>0</v>
      </c>
      <c r="S15" s="92">
        <f t="shared" si="3"/>
        <v>0</v>
      </c>
      <c r="U15" s="92">
        <f t="shared" si="6"/>
        <v>2485</v>
      </c>
      <c r="V15" s="92">
        <f t="shared" si="7"/>
        <v>0</v>
      </c>
      <c r="W15" s="92">
        <f t="shared" si="8"/>
        <v>0</v>
      </c>
      <c r="X15" s="92">
        <f t="shared" si="4"/>
        <v>2485</v>
      </c>
      <c r="Y15" s="92">
        <v>1500</v>
      </c>
      <c r="AA15" s="7" t="s">
        <v>19</v>
      </c>
      <c r="AB15" s="93">
        <f>U52+U53+U54+U55</f>
        <v>4305</v>
      </c>
      <c r="AC15" s="93">
        <f>V52+V53+V54+V55</f>
        <v>0</v>
      </c>
      <c r="AD15" s="93">
        <f>W52+W53+W54+W55</f>
        <v>0</v>
      </c>
      <c r="AE15" s="93">
        <f t="shared" si="5"/>
        <v>4305</v>
      </c>
      <c r="AF15" s="93">
        <v>6500</v>
      </c>
    </row>
    <row r="16" spans="1:32" x14ac:dyDescent="0.25">
      <c r="A16" s="7">
        <v>2023</v>
      </c>
      <c r="B16" s="13">
        <v>45012</v>
      </c>
      <c r="C16" s="117"/>
      <c r="D16" s="7">
        <v>13</v>
      </c>
      <c r="F16" s="88">
        <v>0</v>
      </c>
      <c r="G16" s="88">
        <v>0</v>
      </c>
      <c r="H16" s="88">
        <v>0</v>
      </c>
      <c r="I16" s="89">
        <f t="shared" si="1"/>
        <v>0</v>
      </c>
      <c r="K16" s="7">
        <v>76.5</v>
      </c>
      <c r="L16" s="7">
        <v>0</v>
      </c>
      <c r="M16" s="7">
        <v>0</v>
      </c>
      <c r="N16" s="7">
        <f t="shared" si="2"/>
        <v>76.5</v>
      </c>
      <c r="P16" s="92">
        <v>0</v>
      </c>
      <c r="Q16" s="92">
        <v>0</v>
      </c>
      <c r="R16" s="92">
        <v>0</v>
      </c>
      <c r="S16" s="92">
        <f t="shared" si="3"/>
        <v>0</v>
      </c>
      <c r="U16" s="92">
        <f t="shared" si="6"/>
        <v>5355</v>
      </c>
      <c r="V16" s="92">
        <f t="shared" si="7"/>
        <v>0</v>
      </c>
      <c r="W16" s="92">
        <f t="shared" si="8"/>
        <v>0</v>
      </c>
      <c r="X16" s="92">
        <f t="shared" si="4"/>
        <v>5355</v>
      </c>
      <c r="Y16" s="92">
        <v>1500</v>
      </c>
    </row>
    <row r="17" spans="1:27" x14ac:dyDescent="0.25">
      <c r="A17" s="7">
        <v>2023</v>
      </c>
      <c r="B17" s="13">
        <v>45019</v>
      </c>
      <c r="C17" s="115"/>
      <c r="D17" s="7">
        <v>14</v>
      </c>
      <c r="F17" s="88">
        <v>0</v>
      </c>
      <c r="G17" s="88">
        <v>0</v>
      </c>
      <c r="H17" s="88">
        <v>0</v>
      </c>
      <c r="I17" s="89">
        <f t="shared" si="1"/>
        <v>0</v>
      </c>
      <c r="K17" s="7">
        <v>28.5</v>
      </c>
      <c r="L17" s="7">
        <v>0</v>
      </c>
      <c r="M17" s="7">
        <v>0</v>
      </c>
      <c r="N17" s="7">
        <f t="shared" si="2"/>
        <v>28.5</v>
      </c>
      <c r="P17" s="92">
        <v>0</v>
      </c>
      <c r="Q17" s="92">
        <v>0</v>
      </c>
      <c r="R17" s="92">
        <v>0</v>
      </c>
      <c r="S17" s="92">
        <f t="shared" si="3"/>
        <v>0</v>
      </c>
      <c r="U17" s="92">
        <f t="shared" si="6"/>
        <v>1995</v>
      </c>
      <c r="V17" s="92">
        <f t="shared" si="7"/>
        <v>0</v>
      </c>
      <c r="W17" s="92">
        <f t="shared" si="8"/>
        <v>0</v>
      </c>
      <c r="X17" s="92">
        <f t="shared" si="4"/>
        <v>1995</v>
      </c>
      <c r="Y17" s="92">
        <v>1500</v>
      </c>
    </row>
    <row r="18" spans="1:27" x14ac:dyDescent="0.25">
      <c r="A18" s="7">
        <v>2023</v>
      </c>
      <c r="B18" s="13">
        <v>45026</v>
      </c>
      <c r="C18" s="116"/>
      <c r="D18" s="7">
        <v>15</v>
      </c>
      <c r="F18" s="88">
        <v>1</v>
      </c>
      <c r="G18" s="88">
        <v>0</v>
      </c>
      <c r="H18" s="88">
        <v>0</v>
      </c>
      <c r="I18" s="89">
        <f t="shared" si="1"/>
        <v>1</v>
      </c>
      <c r="K18" s="7">
        <v>5</v>
      </c>
      <c r="L18" s="7">
        <v>0</v>
      </c>
      <c r="M18" s="7">
        <v>0</v>
      </c>
      <c r="N18" s="7">
        <f t="shared" si="2"/>
        <v>5</v>
      </c>
      <c r="P18" s="92">
        <v>0</v>
      </c>
      <c r="Q18" s="92">
        <v>0</v>
      </c>
      <c r="R18" s="92">
        <v>0</v>
      </c>
      <c r="S18" s="92">
        <f t="shared" si="3"/>
        <v>0</v>
      </c>
      <c r="U18" s="92">
        <f t="shared" si="6"/>
        <v>350</v>
      </c>
      <c r="V18" s="92">
        <f t="shared" si="7"/>
        <v>0</v>
      </c>
      <c r="W18" s="92">
        <f t="shared" si="8"/>
        <v>0</v>
      </c>
      <c r="X18" s="92">
        <f t="shared" si="4"/>
        <v>350</v>
      </c>
      <c r="Y18" s="92">
        <v>1500</v>
      </c>
    </row>
    <row r="19" spans="1:27" x14ac:dyDescent="0.25">
      <c r="A19" s="7">
        <v>2023</v>
      </c>
      <c r="B19" s="13">
        <v>45033</v>
      </c>
      <c r="C19" s="116" t="s">
        <v>11</v>
      </c>
      <c r="D19" s="7">
        <v>16</v>
      </c>
      <c r="F19" s="88">
        <v>2</v>
      </c>
      <c r="G19" s="88">
        <v>0</v>
      </c>
      <c r="H19" s="88">
        <v>4</v>
      </c>
      <c r="I19" s="89">
        <f t="shared" si="1"/>
        <v>6</v>
      </c>
      <c r="K19" s="7">
        <v>3</v>
      </c>
      <c r="L19" s="7">
        <v>0</v>
      </c>
      <c r="M19" s="7">
        <v>0</v>
      </c>
      <c r="N19" s="7">
        <f t="shared" si="2"/>
        <v>3</v>
      </c>
      <c r="P19" s="92">
        <v>0</v>
      </c>
      <c r="Q19" s="92">
        <v>0</v>
      </c>
      <c r="R19" s="92">
        <v>0</v>
      </c>
      <c r="S19" s="92">
        <f t="shared" si="3"/>
        <v>0</v>
      </c>
      <c r="U19" s="92">
        <f t="shared" si="6"/>
        <v>210</v>
      </c>
      <c r="V19" s="92">
        <f t="shared" si="7"/>
        <v>0</v>
      </c>
      <c r="W19" s="92">
        <f t="shared" si="8"/>
        <v>0</v>
      </c>
      <c r="X19" s="92">
        <f t="shared" si="4"/>
        <v>210</v>
      </c>
      <c r="Y19" s="92">
        <v>1500</v>
      </c>
    </row>
    <row r="20" spans="1:27" x14ac:dyDescent="0.25">
      <c r="A20" s="7">
        <v>2023</v>
      </c>
      <c r="B20" s="13">
        <v>45040</v>
      </c>
      <c r="C20" s="116"/>
      <c r="D20" s="7">
        <v>17</v>
      </c>
      <c r="F20" s="88">
        <v>0</v>
      </c>
      <c r="G20" s="88">
        <v>0</v>
      </c>
      <c r="H20" s="88">
        <v>2</v>
      </c>
      <c r="I20" s="89">
        <f t="shared" si="1"/>
        <v>2</v>
      </c>
      <c r="K20" s="7">
        <v>32</v>
      </c>
      <c r="L20" s="7">
        <v>0</v>
      </c>
      <c r="M20" s="7">
        <v>0</v>
      </c>
      <c r="N20" s="7">
        <f t="shared" si="2"/>
        <v>32</v>
      </c>
      <c r="P20" s="92">
        <v>0</v>
      </c>
      <c r="Q20" s="92">
        <v>0</v>
      </c>
      <c r="R20" s="92">
        <v>0</v>
      </c>
      <c r="S20" s="92">
        <f t="shared" si="3"/>
        <v>0</v>
      </c>
      <c r="U20" s="92">
        <f t="shared" si="6"/>
        <v>2240</v>
      </c>
      <c r="V20" s="92">
        <f t="shared" si="7"/>
        <v>0</v>
      </c>
      <c r="W20" s="92">
        <f t="shared" si="8"/>
        <v>0</v>
      </c>
      <c r="X20" s="92">
        <f t="shared" si="4"/>
        <v>2240</v>
      </c>
      <c r="Y20" s="92">
        <v>1500</v>
      </c>
    </row>
    <row r="21" spans="1:27" x14ac:dyDescent="0.25">
      <c r="A21" s="7">
        <v>2023</v>
      </c>
      <c r="B21" s="13">
        <v>45047</v>
      </c>
      <c r="C21" s="117"/>
      <c r="D21" s="7">
        <v>18</v>
      </c>
      <c r="F21" s="88">
        <v>0</v>
      </c>
      <c r="G21" s="88">
        <v>0</v>
      </c>
      <c r="H21" s="88">
        <v>1</v>
      </c>
      <c r="I21" s="89">
        <f t="shared" si="1"/>
        <v>1</v>
      </c>
      <c r="K21" s="7">
        <v>0</v>
      </c>
      <c r="L21" s="7">
        <v>0</v>
      </c>
      <c r="M21" s="7">
        <v>0</v>
      </c>
      <c r="N21" s="7">
        <f t="shared" si="2"/>
        <v>0</v>
      </c>
      <c r="P21" s="92">
        <v>0</v>
      </c>
      <c r="Q21" s="92">
        <v>0</v>
      </c>
      <c r="R21" s="92">
        <v>0</v>
      </c>
      <c r="S21" s="92">
        <f t="shared" si="3"/>
        <v>0</v>
      </c>
      <c r="U21" s="92">
        <f t="shared" si="6"/>
        <v>0</v>
      </c>
      <c r="V21" s="92">
        <f t="shared" si="7"/>
        <v>0</v>
      </c>
      <c r="W21" s="92">
        <f t="shared" si="8"/>
        <v>0</v>
      </c>
      <c r="X21" s="92">
        <f t="shared" si="4"/>
        <v>0</v>
      </c>
      <c r="Y21" s="92">
        <v>1500</v>
      </c>
    </row>
    <row r="22" spans="1:27" x14ac:dyDescent="0.25">
      <c r="A22" s="7">
        <v>2023</v>
      </c>
      <c r="B22" s="13">
        <v>45054</v>
      </c>
      <c r="C22" s="115"/>
      <c r="D22" s="7">
        <v>19</v>
      </c>
      <c r="F22" s="88">
        <v>0</v>
      </c>
      <c r="G22" s="88">
        <v>1</v>
      </c>
      <c r="H22" s="88">
        <v>6</v>
      </c>
      <c r="I22" s="89">
        <f t="shared" si="1"/>
        <v>7</v>
      </c>
      <c r="K22" s="7">
        <v>5.5</v>
      </c>
      <c r="L22" s="7">
        <v>0</v>
      </c>
      <c r="M22" s="7">
        <v>0</v>
      </c>
      <c r="N22" s="7">
        <f t="shared" si="2"/>
        <v>5.5</v>
      </c>
      <c r="P22" s="92">
        <v>0</v>
      </c>
      <c r="Q22" s="92">
        <v>0</v>
      </c>
      <c r="R22" s="92">
        <v>0</v>
      </c>
      <c r="S22" s="92">
        <f t="shared" si="3"/>
        <v>0</v>
      </c>
      <c r="U22" s="92">
        <f t="shared" si="6"/>
        <v>385</v>
      </c>
      <c r="V22" s="92">
        <f t="shared" si="7"/>
        <v>0</v>
      </c>
      <c r="W22" s="92">
        <f t="shared" si="8"/>
        <v>0</v>
      </c>
      <c r="X22" s="92">
        <f t="shared" si="4"/>
        <v>385</v>
      </c>
      <c r="Y22" s="92">
        <v>1500</v>
      </c>
    </row>
    <row r="23" spans="1:27" x14ac:dyDescent="0.25">
      <c r="A23" s="7">
        <v>2023</v>
      </c>
      <c r="B23" s="13">
        <v>45061</v>
      </c>
      <c r="C23" s="116" t="s">
        <v>12</v>
      </c>
      <c r="D23" s="7">
        <v>20</v>
      </c>
      <c r="F23" s="88">
        <v>0</v>
      </c>
      <c r="G23" s="88">
        <v>0</v>
      </c>
      <c r="H23" s="88">
        <v>0</v>
      </c>
      <c r="I23" s="89">
        <f t="shared" si="1"/>
        <v>0</v>
      </c>
      <c r="K23" s="7">
        <v>8</v>
      </c>
      <c r="L23" s="7">
        <v>0</v>
      </c>
      <c r="M23" s="7">
        <v>10</v>
      </c>
      <c r="N23" s="7">
        <f t="shared" si="2"/>
        <v>18</v>
      </c>
      <c r="P23" s="92">
        <v>0</v>
      </c>
      <c r="Q23" s="92">
        <v>0</v>
      </c>
      <c r="R23" s="92">
        <v>0</v>
      </c>
      <c r="S23" s="92">
        <f t="shared" si="3"/>
        <v>0</v>
      </c>
      <c r="U23" s="92">
        <f t="shared" si="6"/>
        <v>560</v>
      </c>
      <c r="V23" s="92">
        <f t="shared" si="7"/>
        <v>0</v>
      </c>
      <c r="W23" s="92">
        <f t="shared" si="8"/>
        <v>700</v>
      </c>
      <c r="X23" s="92">
        <f t="shared" si="4"/>
        <v>1260</v>
      </c>
      <c r="Y23" s="92">
        <v>1500</v>
      </c>
    </row>
    <row r="24" spans="1:27" x14ac:dyDescent="0.25">
      <c r="A24" s="7">
        <v>2023</v>
      </c>
      <c r="B24" s="13">
        <v>45068</v>
      </c>
      <c r="C24" s="116"/>
      <c r="D24" s="7">
        <v>21</v>
      </c>
      <c r="F24" s="88">
        <v>0</v>
      </c>
      <c r="G24" s="88">
        <v>2</v>
      </c>
      <c r="H24" s="88">
        <v>0</v>
      </c>
      <c r="I24" s="89">
        <f t="shared" si="1"/>
        <v>2</v>
      </c>
      <c r="K24" s="7">
        <v>1</v>
      </c>
      <c r="L24" s="7">
        <v>0</v>
      </c>
      <c r="M24" s="7">
        <v>0</v>
      </c>
      <c r="N24" s="7">
        <f t="shared" si="2"/>
        <v>1</v>
      </c>
      <c r="P24" s="92">
        <v>0</v>
      </c>
      <c r="Q24" s="92">
        <v>0</v>
      </c>
      <c r="R24" s="92">
        <v>0</v>
      </c>
      <c r="S24" s="92">
        <f t="shared" si="3"/>
        <v>0</v>
      </c>
      <c r="U24" s="92">
        <f t="shared" si="6"/>
        <v>70</v>
      </c>
      <c r="V24" s="92">
        <f t="shared" si="7"/>
        <v>0</v>
      </c>
      <c r="W24" s="92">
        <f t="shared" si="8"/>
        <v>0</v>
      </c>
      <c r="X24" s="92">
        <f t="shared" si="4"/>
        <v>70</v>
      </c>
      <c r="Y24" s="92">
        <v>1500</v>
      </c>
    </row>
    <row r="25" spans="1:27" x14ac:dyDescent="0.25">
      <c r="A25" s="7">
        <v>2023</v>
      </c>
      <c r="B25" s="13">
        <v>45075</v>
      </c>
      <c r="C25" s="117"/>
      <c r="D25" s="7">
        <v>22</v>
      </c>
      <c r="F25" s="88">
        <v>0</v>
      </c>
      <c r="G25" s="88">
        <v>0</v>
      </c>
      <c r="H25" s="88">
        <v>2</v>
      </c>
      <c r="I25" s="89">
        <f t="shared" si="1"/>
        <v>2</v>
      </c>
      <c r="K25" s="7">
        <v>0</v>
      </c>
      <c r="L25" s="7">
        <v>0</v>
      </c>
      <c r="M25" s="7">
        <v>8</v>
      </c>
      <c r="N25" s="7">
        <f t="shared" si="2"/>
        <v>8</v>
      </c>
      <c r="P25" s="92">
        <v>0</v>
      </c>
      <c r="Q25" s="92">
        <v>0</v>
      </c>
      <c r="R25" s="92">
        <v>0</v>
      </c>
      <c r="S25" s="92">
        <f t="shared" si="3"/>
        <v>0</v>
      </c>
      <c r="U25" s="92">
        <f t="shared" si="6"/>
        <v>0</v>
      </c>
      <c r="V25" s="92">
        <f t="shared" si="7"/>
        <v>0</v>
      </c>
      <c r="W25" s="92">
        <f t="shared" si="8"/>
        <v>560</v>
      </c>
      <c r="X25" s="92">
        <f t="shared" si="4"/>
        <v>560</v>
      </c>
      <c r="Y25" s="92">
        <v>1500</v>
      </c>
    </row>
    <row r="26" spans="1:27" x14ac:dyDescent="0.25">
      <c r="A26" s="7">
        <v>2023</v>
      </c>
      <c r="B26" s="13">
        <v>45082</v>
      </c>
      <c r="C26" s="115"/>
      <c r="D26" s="7">
        <v>23</v>
      </c>
      <c r="F26" s="88">
        <v>1</v>
      </c>
      <c r="G26" s="88">
        <v>1</v>
      </c>
      <c r="H26" s="88">
        <v>2</v>
      </c>
      <c r="I26" s="89">
        <f t="shared" si="1"/>
        <v>4</v>
      </c>
      <c r="K26" s="7">
        <v>5.5</v>
      </c>
      <c r="L26" s="7">
        <v>0</v>
      </c>
      <c r="M26" s="7">
        <v>4.5</v>
      </c>
      <c r="N26" s="7">
        <f t="shared" si="2"/>
        <v>10</v>
      </c>
      <c r="P26" s="92">
        <v>0</v>
      </c>
      <c r="Q26" s="92">
        <v>0</v>
      </c>
      <c r="R26" s="92">
        <v>0</v>
      </c>
      <c r="S26" s="92">
        <f t="shared" si="3"/>
        <v>0</v>
      </c>
      <c r="U26" s="92">
        <f t="shared" si="6"/>
        <v>385</v>
      </c>
      <c r="V26" s="92">
        <f t="shared" si="7"/>
        <v>0</v>
      </c>
      <c r="W26" s="92">
        <f t="shared" si="8"/>
        <v>315</v>
      </c>
      <c r="X26" s="92">
        <f t="shared" si="4"/>
        <v>700</v>
      </c>
      <c r="Y26" s="92">
        <v>1500</v>
      </c>
    </row>
    <row r="27" spans="1:27" x14ac:dyDescent="0.25">
      <c r="A27" s="7">
        <v>2023</v>
      </c>
      <c r="B27" s="13">
        <v>45089</v>
      </c>
      <c r="C27" s="116" t="s">
        <v>13</v>
      </c>
      <c r="D27" s="7">
        <v>24</v>
      </c>
      <c r="F27" s="88">
        <v>1</v>
      </c>
      <c r="G27" s="88">
        <v>0</v>
      </c>
      <c r="H27" s="88">
        <v>4</v>
      </c>
      <c r="I27" s="89">
        <f t="shared" si="1"/>
        <v>5</v>
      </c>
      <c r="K27" s="7">
        <v>36</v>
      </c>
      <c r="L27" s="7">
        <v>2</v>
      </c>
      <c r="M27" s="7">
        <v>0</v>
      </c>
      <c r="N27" s="7">
        <f t="shared" si="2"/>
        <v>38</v>
      </c>
      <c r="P27" s="92">
        <v>0</v>
      </c>
      <c r="Q27" s="92">
        <v>0</v>
      </c>
      <c r="R27" s="92">
        <v>0</v>
      </c>
      <c r="S27" s="92">
        <f t="shared" si="3"/>
        <v>0</v>
      </c>
      <c r="U27" s="92">
        <f t="shared" si="6"/>
        <v>2520</v>
      </c>
      <c r="V27" s="92">
        <f t="shared" si="7"/>
        <v>140</v>
      </c>
      <c r="W27" s="92">
        <v>500</v>
      </c>
      <c r="X27" s="92">
        <f t="shared" si="4"/>
        <v>3160</v>
      </c>
      <c r="Y27" s="92">
        <v>1500</v>
      </c>
    </row>
    <row r="28" spans="1:27" x14ac:dyDescent="0.25">
      <c r="A28" s="7">
        <v>2023</v>
      </c>
      <c r="B28" s="13">
        <v>45096</v>
      </c>
      <c r="C28" s="118"/>
      <c r="D28" s="7">
        <v>25</v>
      </c>
      <c r="F28" s="88">
        <v>0</v>
      </c>
      <c r="G28" s="88">
        <v>0</v>
      </c>
      <c r="H28" s="88">
        <v>2</v>
      </c>
      <c r="I28" s="89">
        <f t="shared" si="1"/>
        <v>2</v>
      </c>
      <c r="K28" s="7">
        <v>37</v>
      </c>
      <c r="L28" s="7">
        <v>0</v>
      </c>
      <c r="M28" s="7">
        <v>0</v>
      </c>
      <c r="N28" s="7">
        <f t="shared" si="2"/>
        <v>37</v>
      </c>
      <c r="P28" s="92">
        <v>0</v>
      </c>
      <c r="Q28" s="92">
        <v>0</v>
      </c>
      <c r="R28" s="92">
        <v>0</v>
      </c>
      <c r="S28" s="92">
        <f t="shared" si="3"/>
        <v>0</v>
      </c>
      <c r="U28" s="92">
        <f t="shared" si="6"/>
        <v>2590</v>
      </c>
      <c r="V28" s="92">
        <f t="shared" si="7"/>
        <v>0</v>
      </c>
      <c r="W28" s="92">
        <f t="shared" si="8"/>
        <v>0</v>
      </c>
      <c r="X28" s="92">
        <f t="shared" si="4"/>
        <v>2590</v>
      </c>
      <c r="Y28" s="92">
        <v>1500</v>
      </c>
    </row>
    <row r="29" spans="1:27" x14ac:dyDescent="0.25">
      <c r="A29" s="7">
        <v>2023</v>
      </c>
      <c r="B29" s="13">
        <v>45103</v>
      </c>
      <c r="C29" s="117"/>
      <c r="D29" s="7">
        <v>26</v>
      </c>
      <c r="F29" s="88">
        <v>0</v>
      </c>
      <c r="G29" s="88">
        <v>0</v>
      </c>
      <c r="H29" s="88">
        <v>0</v>
      </c>
      <c r="I29" s="89">
        <f t="shared" si="1"/>
        <v>0</v>
      </c>
      <c r="K29" s="7">
        <v>23.5</v>
      </c>
      <c r="L29" s="7">
        <v>0</v>
      </c>
      <c r="M29" s="7">
        <v>0</v>
      </c>
      <c r="N29" s="7">
        <f t="shared" si="2"/>
        <v>23.5</v>
      </c>
      <c r="P29" s="92">
        <v>0</v>
      </c>
      <c r="Q29" s="92">
        <v>0</v>
      </c>
      <c r="R29" s="92">
        <v>0</v>
      </c>
      <c r="S29" s="92">
        <f t="shared" si="3"/>
        <v>0</v>
      </c>
      <c r="U29" s="92">
        <f t="shared" si="6"/>
        <v>1645</v>
      </c>
      <c r="V29" s="92">
        <f t="shared" si="7"/>
        <v>0</v>
      </c>
      <c r="W29" s="92">
        <f t="shared" si="8"/>
        <v>0</v>
      </c>
      <c r="X29" s="92">
        <f t="shared" si="4"/>
        <v>1645</v>
      </c>
      <c r="Y29" s="92">
        <v>1500</v>
      </c>
    </row>
    <row r="30" spans="1:27" x14ac:dyDescent="0.25">
      <c r="A30" s="7">
        <v>2023</v>
      </c>
      <c r="B30" s="13">
        <v>45110</v>
      </c>
      <c r="C30" s="115"/>
      <c r="D30" s="7">
        <v>27</v>
      </c>
      <c r="F30" s="90">
        <v>0</v>
      </c>
      <c r="G30" s="90">
        <v>0</v>
      </c>
      <c r="H30" s="90">
        <v>0</v>
      </c>
      <c r="I30" s="89">
        <f t="shared" si="1"/>
        <v>0</v>
      </c>
      <c r="K30" s="7">
        <v>21</v>
      </c>
      <c r="L30" s="7">
        <v>0</v>
      </c>
      <c r="M30" s="7">
        <v>0</v>
      </c>
      <c r="N30" s="7">
        <f t="shared" si="2"/>
        <v>21</v>
      </c>
      <c r="P30" s="92">
        <v>0</v>
      </c>
      <c r="Q30" s="92">
        <v>0</v>
      </c>
      <c r="R30" s="92">
        <v>0</v>
      </c>
      <c r="S30" s="92">
        <f t="shared" si="3"/>
        <v>0</v>
      </c>
      <c r="U30" s="92">
        <f t="shared" si="6"/>
        <v>1470</v>
      </c>
      <c r="V30" s="92">
        <f t="shared" si="7"/>
        <v>0</v>
      </c>
      <c r="W30" s="92">
        <f t="shared" si="8"/>
        <v>0</v>
      </c>
      <c r="X30" s="92">
        <f t="shared" si="4"/>
        <v>1470</v>
      </c>
      <c r="Y30" s="92">
        <v>1500</v>
      </c>
    </row>
    <row r="31" spans="1:27" x14ac:dyDescent="0.25">
      <c r="A31" s="7">
        <v>2023</v>
      </c>
      <c r="B31" s="13">
        <v>45117</v>
      </c>
      <c r="C31" s="116"/>
      <c r="D31" s="7">
        <v>28</v>
      </c>
      <c r="F31" s="88">
        <v>0</v>
      </c>
      <c r="G31" s="88">
        <v>0</v>
      </c>
      <c r="H31" s="88">
        <v>1</v>
      </c>
      <c r="I31" s="89">
        <f t="shared" si="1"/>
        <v>1</v>
      </c>
      <c r="K31" s="7">
        <v>0.5</v>
      </c>
      <c r="L31" s="7">
        <v>0</v>
      </c>
      <c r="M31" s="7">
        <v>0</v>
      </c>
      <c r="N31" s="7">
        <f t="shared" si="2"/>
        <v>0.5</v>
      </c>
      <c r="P31" s="92">
        <v>0</v>
      </c>
      <c r="Q31" s="92">
        <v>0</v>
      </c>
      <c r="R31" s="92">
        <v>0</v>
      </c>
      <c r="S31" s="92">
        <f t="shared" si="3"/>
        <v>0</v>
      </c>
      <c r="U31" s="92">
        <f t="shared" si="6"/>
        <v>35</v>
      </c>
      <c r="V31" s="92">
        <f t="shared" si="7"/>
        <v>0</v>
      </c>
      <c r="W31" s="92">
        <f t="shared" si="8"/>
        <v>0</v>
      </c>
      <c r="X31" s="92">
        <f t="shared" si="4"/>
        <v>35</v>
      </c>
      <c r="Y31" s="92">
        <v>1500</v>
      </c>
    </row>
    <row r="32" spans="1:27" x14ac:dyDescent="0.25">
      <c r="A32" s="7">
        <v>2023</v>
      </c>
      <c r="B32" s="13">
        <v>45124</v>
      </c>
      <c r="C32" s="116" t="s">
        <v>14</v>
      </c>
      <c r="D32" s="7">
        <v>29</v>
      </c>
      <c r="F32" s="88">
        <v>0</v>
      </c>
      <c r="G32" s="88">
        <v>0</v>
      </c>
      <c r="H32" s="88">
        <v>0</v>
      </c>
      <c r="I32" s="89">
        <f t="shared" si="1"/>
        <v>0</v>
      </c>
      <c r="K32" s="7">
        <v>0</v>
      </c>
      <c r="L32" s="7">
        <v>0</v>
      </c>
      <c r="M32" s="7">
        <v>13.5</v>
      </c>
      <c r="N32" s="7">
        <f t="shared" si="2"/>
        <v>13.5</v>
      </c>
      <c r="P32" s="92">
        <v>0</v>
      </c>
      <c r="Q32" s="92">
        <v>0</v>
      </c>
      <c r="R32" s="92">
        <v>0</v>
      </c>
      <c r="S32" s="92">
        <f t="shared" si="3"/>
        <v>0</v>
      </c>
      <c r="U32" s="92">
        <f t="shared" si="6"/>
        <v>0</v>
      </c>
      <c r="V32" s="92">
        <f t="shared" si="7"/>
        <v>0</v>
      </c>
      <c r="W32" s="92">
        <f t="shared" si="8"/>
        <v>945</v>
      </c>
      <c r="X32" s="92">
        <f t="shared" si="4"/>
        <v>945</v>
      </c>
      <c r="Y32" s="92">
        <v>1500</v>
      </c>
      <c r="AA32" t="s">
        <v>327</v>
      </c>
    </row>
    <row r="33" spans="1:25" x14ac:dyDescent="0.25">
      <c r="A33" s="7">
        <v>2023</v>
      </c>
      <c r="B33" s="13">
        <v>45131</v>
      </c>
      <c r="C33" s="116"/>
      <c r="D33" s="7">
        <v>30</v>
      </c>
      <c r="F33" s="88">
        <v>0</v>
      </c>
      <c r="G33" s="88">
        <v>0</v>
      </c>
      <c r="H33" s="88">
        <v>0</v>
      </c>
      <c r="I33" s="89">
        <f t="shared" si="1"/>
        <v>0</v>
      </c>
      <c r="K33" s="7">
        <v>11</v>
      </c>
      <c r="L33" s="7">
        <v>0</v>
      </c>
      <c r="M33" s="7">
        <v>0</v>
      </c>
      <c r="N33" s="7">
        <f>SUM(K33:M33)</f>
        <v>11</v>
      </c>
      <c r="P33" s="92">
        <v>0</v>
      </c>
      <c r="Q33" s="92">
        <v>0</v>
      </c>
      <c r="R33" s="92">
        <v>0</v>
      </c>
      <c r="S33" s="92">
        <f t="shared" si="3"/>
        <v>0</v>
      </c>
      <c r="U33" s="92">
        <f t="shared" si="6"/>
        <v>770</v>
      </c>
      <c r="V33" s="92">
        <f t="shared" si="7"/>
        <v>0</v>
      </c>
      <c r="W33" s="92">
        <f t="shared" si="8"/>
        <v>0</v>
      </c>
      <c r="X33" s="92">
        <f t="shared" si="4"/>
        <v>770</v>
      </c>
      <c r="Y33" s="92">
        <v>1500</v>
      </c>
    </row>
    <row r="34" spans="1:25" x14ac:dyDescent="0.25">
      <c r="A34" s="7">
        <v>2023</v>
      </c>
      <c r="B34" s="13">
        <v>45138</v>
      </c>
      <c r="C34" s="117"/>
      <c r="D34" s="7">
        <v>31</v>
      </c>
      <c r="F34" s="88">
        <v>0</v>
      </c>
      <c r="G34" s="88">
        <v>2</v>
      </c>
      <c r="H34" s="88">
        <v>0</v>
      </c>
      <c r="I34" s="89">
        <f t="shared" si="1"/>
        <v>2</v>
      </c>
      <c r="K34" s="7">
        <v>18</v>
      </c>
      <c r="L34" s="7">
        <v>0</v>
      </c>
      <c r="M34" s="7">
        <v>0</v>
      </c>
      <c r="N34" s="7">
        <f t="shared" si="2"/>
        <v>18</v>
      </c>
      <c r="P34" s="92">
        <v>0</v>
      </c>
      <c r="Q34" s="92">
        <v>0</v>
      </c>
      <c r="R34" s="92">
        <v>0</v>
      </c>
      <c r="S34" s="92">
        <f t="shared" si="3"/>
        <v>0</v>
      </c>
      <c r="U34" s="92">
        <f t="shared" si="6"/>
        <v>1260</v>
      </c>
      <c r="V34" s="92">
        <f t="shared" si="7"/>
        <v>0</v>
      </c>
      <c r="W34" s="92">
        <f t="shared" si="8"/>
        <v>0</v>
      </c>
      <c r="X34" s="92">
        <f t="shared" si="4"/>
        <v>1260</v>
      </c>
      <c r="Y34" s="92">
        <v>1500</v>
      </c>
    </row>
    <row r="35" spans="1:25" x14ac:dyDescent="0.25">
      <c r="A35" s="7">
        <v>2023</v>
      </c>
      <c r="B35" s="13">
        <v>45145</v>
      </c>
      <c r="C35" s="115"/>
      <c r="D35" s="7">
        <v>32</v>
      </c>
      <c r="F35" s="88">
        <v>0</v>
      </c>
      <c r="G35" s="88">
        <v>0</v>
      </c>
      <c r="H35" s="88">
        <v>2</v>
      </c>
      <c r="I35" s="89">
        <f t="shared" si="1"/>
        <v>2</v>
      </c>
      <c r="K35" s="7">
        <v>18</v>
      </c>
      <c r="L35" s="7">
        <v>0</v>
      </c>
      <c r="M35" s="7">
        <v>0</v>
      </c>
      <c r="N35" s="7">
        <f t="shared" si="2"/>
        <v>18</v>
      </c>
      <c r="P35" s="92">
        <v>0</v>
      </c>
      <c r="Q35" s="92">
        <v>0</v>
      </c>
      <c r="R35" s="92">
        <v>0</v>
      </c>
      <c r="S35" s="92">
        <f t="shared" si="3"/>
        <v>0</v>
      </c>
      <c r="U35" s="92">
        <f t="shared" si="6"/>
        <v>1260</v>
      </c>
      <c r="V35" s="92">
        <f t="shared" si="7"/>
        <v>0</v>
      </c>
      <c r="W35" s="92">
        <f t="shared" si="8"/>
        <v>0</v>
      </c>
      <c r="X35" s="92">
        <f t="shared" si="4"/>
        <v>1260</v>
      </c>
      <c r="Y35" s="92">
        <v>1500</v>
      </c>
    </row>
    <row r="36" spans="1:25" x14ac:dyDescent="0.25">
      <c r="A36" s="7">
        <v>2023</v>
      </c>
      <c r="B36" s="13">
        <v>45152</v>
      </c>
      <c r="C36" s="116" t="s">
        <v>15</v>
      </c>
      <c r="D36" s="7">
        <v>33</v>
      </c>
      <c r="F36" s="88">
        <v>0</v>
      </c>
      <c r="G36" s="88">
        <v>0</v>
      </c>
      <c r="H36" s="88">
        <v>20</v>
      </c>
      <c r="I36" s="89">
        <f t="shared" si="1"/>
        <v>20</v>
      </c>
      <c r="K36" s="7">
        <v>49</v>
      </c>
      <c r="L36" s="7">
        <v>0</v>
      </c>
      <c r="M36" s="7">
        <v>0</v>
      </c>
      <c r="N36" s="7">
        <f t="shared" si="2"/>
        <v>49</v>
      </c>
      <c r="P36" s="92">
        <v>0</v>
      </c>
      <c r="Q36" s="92">
        <v>0</v>
      </c>
      <c r="R36" s="92">
        <v>0</v>
      </c>
      <c r="S36" s="92">
        <f t="shared" si="3"/>
        <v>0</v>
      </c>
      <c r="U36" s="92">
        <f t="shared" si="6"/>
        <v>3430</v>
      </c>
      <c r="V36" s="92">
        <f t="shared" si="7"/>
        <v>0</v>
      </c>
      <c r="W36" s="92">
        <f t="shared" si="8"/>
        <v>0</v>
      </c>
      <c r="X36" s="92">
        <f t="shared" si="4"/>
        <v>3430</v>
      </c>
      <c r="Y36" s="92">
        <v>1500</v>
      </c>
    </row>
    <row r="37" spans="1:25" x14ac:dyDescent="0.25">
      <c r="A37" s="7">
        <v>2023</v>
      </c>
      <c r="B37" s="13">
        <v>45159</v>
      </c>
      <c r="C37" s="116"/>
      <c r="D37" s="7">
        <v>34</v>
      </c>
      <c r="F37" s="88">
        <v>0</v>
      </c>
      <c r="G37" s="88">
        <v>0</v>
      </c>
      <c r="H37" s="88">
        <v>12</v>
      </c>
      <c r="I37" s="89">
        <f t="shared" si="1"/>
        <v>12</v>
      </c>
      <c r="K37" s="7">
        <v>39</v>
      </c>
      <c r="L37" s="7">
        <v>0</v>
      </c>
      <c r="M37" s="7">
        <v>0</v>
      </c>
      <c r="N37" s="7">
        <f t="shared" si="2"/>
        <v>39</v>
      </c>
      <c r="P37" s="92">
        <v>0</v>
      </c>
      <c r="Q37" s="92">
        <v>0</v>
      </c>
      <c r="R37" s="92">
        <v>0</v>
      </c>
      <c r="S37" s="92">
        <f t="shared" si="3"/>
        <v>0</v>
      </c>
      <c r="U37" s="92">
        <f t="shared" si="6"/>
        <v>2730</v>
      </c>
      <c r="V37" s="92">
        <f t="shared" si="7"/>
        <v>0</v>
      </c>
      <c r="W37" s="92">
        <f t="shared" si="8"/>
        <v>0</v>
      </c>
      <c r="X37" s="92">
        <f t="shared" si="4"/>
        <v>2730</v>
      </c>
      <c r="Y37" s="92">
        <v>1500</v>
      </c>
    </row>
    <row r="38" spans="1:25" x14ac:dyDescent="0.25">
      <c r="A38" s="7">
        <v>2023</v>
      </c>
      <c r="B38" s="13">
        <v>45166</v>
      </c>
      <c r="C38" s="117"/>
      <c r="D38" s="7">
        <v>35</v>
      </c>
      <c r="F38" s="88">
        <v>0</v>
      </c>
      <c r="G38" s="88">
        <v>0</v>
      </c>
      <c r="H38" s="88">
        <v>13</v>
      </c>
      <c r="I38" s="89">
        <f t="shared" si="1"/>
        <v>13</v>
      </c>
      <c r="K38" s="7">
        <v>132.5</v>
      </c>
      <c r="L38" s="7">
        <v>0</v>
      </c>
      <c r="M38" s="7">
        <v>0</v>
      </c>
      <c r="N38" s="7">
        <f t="shared" si="2"/>
        <v>132.5</v>
      </c>
      <c r="P38" s="92">
        <v>0</v>
      </c>
      <c r="Q38" s="92">
        <v>0</v>
      </c>
      <c r="R38" s="92">
        <v>0</v>
      </c>
      <c r="S38" s="92">
        <f t="shared" si="3"/>
        <v>0</v>
      </c>
      <c r="U38" s="92">
        <f t="shared" si="6"/>
        <v>9275</v>
      </c>
      <c r="V38" s="92">
        <f t="shared" si="7"/>
        <v>0</v>
      </c>
      <c r="W38" s="92">
        <f t="shared" si="8"/>
        <v>0</v>
      </c>
      <c r="X38" s="92">
        <f t="shared" si="4"/>
        <v>9275</v>
      </c>
      <c r="Y38" s="92">
        <v>1500</v>
      </c>
    </row>
    <row r="39" spans="1:25" x14ac:dyDescent="0.25">
      <c r="A39" s="7">
        <v>2023</v>
      </c>
      <c r="B39" s="13">
        <v>45173</v>
      </c>
      <c r="C39" s="115"/>
      <c r="D39" s="7">
        <v>36</v>
      </c>
      <c r="F39" s="88">
        <v>0</v>
      </c>
      <c r="G39" s="88">
        <v>0</v>
      </c>
      <c r="H39" s="88">
        <v>0</v>
      </c>
      <c r="I39" s="89">
        <f t="shared" si="1"/>
        <v>0</v>
      </c>
      <c r="K39" s="7">
        <v>65.5</v>
      </c>
      <c r="L39" s="7">
        <v>0</v>
      </c>
      <c r="M39" s="7">
        <v>0</v>
      </c>
      <c r="N39" s="7">
        <f t="shared" si="2"/>
        <v>65.5</v>
      </c>
      <c r="P39" s="92">
        <v>0</v>
      </c>
      <c r="Q39" s="92">
        <v>0</v>
      </c>
      <c r="R39" s="92">
        <v>0</v>
      </c>
      <c r="S39" s="92">
        <f t="shared" si="3"/>
        <v>0</v>
      </c>
      <c r="U39" s="92">
        <f t="shared" si="6"/>
        <v>4585</v>
      </c>
      <c r="V39" s="92">
        <f t="shared" si="7"/>
        <v>0</v>
      </c>
      <c r="W39" s="92">
        <f t="shared" si="8"/>
        <v>0</v>
      </c>
      <c r="X39" s="92">
        <f t="shared" si="4"/>
        <v>4585</v>
      </c>
      <c r="Y39" s="92">
        <v>1500</v>
      </c>
    </row>
    <row r="40" spans="1:25" x14ac:dyDescent="0.25">
      <c r="A40" s="7">
        <v>2023</v>
      </c>
      <c r="B40" s="13">
        <v>45180</v>
      </c>
      <c r="C40" s="116" t="s">
        <v>16</v>
      </c>
      <c r="D40" s="7">
        <v>37</v>
      </c>
      <c r="F40" s="88">
        <v>0</v>
      </c>
      <c r="G40" s="88">
        <v>0</v>
      </c>
      <c r="H40" s="88">
        <v>0</v>
      </c>
      <c r="I40" s="89">
        <f t="shared" si="1"/>
        <v>0</v>
      </c>
      <c r="K40" s="7">
        <v>22.75</v>
      </c>
      <c r="L40" s="7">
        <v>0</v>
      </c>
      <c r="M40" s="7">
        <v>15</v>
      </c>
      <c r="N40" s="7">
        <f>SUM(K40:M40)</f>
        <v>37.75</v>
      </c>
      <c r="P40" s="92">
        <v>0</v>
      </c>
      <c r="Q40" s="92">
        <v>0</v>
      </c>
      <c r="R40" s="92">
        <v>0</v>
      </c>
      <c r="S40" s="92">
        <f t="shared" si="3"/>
        <v>0</v>
      </c>
      <c r="U40" s="92">
        <f t="shared" si="6"/>
        <v>1592.5</v>
      </c>
      <c r="V40" s="92">
        <f t="shared" si="7"/>
        <v>0</v>
      </c>
      <c r="W40" s="92">
        <f t="shared" si="8"/>
        <v>1050</v>
      </c>
      <c r="X40" s="92">
        <f t="shared" si="4"/>
        <v>2642.5</v>
      </c>
      <c r="Y40" s="92">
        <v>1500</v>
      </c>
    </row>
    <row r="41" spans="1:25" x14ac:dyDescent="0.25">
      <c r="A41" s="7">
        <v>2023</v>
      </c>
      <c r="B41" s="13">
        <v>45187</v>
      </c>
      <c r="C41" s="118"/>
      <c r="D41" s="7">
        <v>38</v>
      </c>
      <c r="F41" s="88">
        <v>0</v>
      </c>
      <c r="G41" s="88">
        <v>0</v>
      </c>
      <c r="H41" s="88">
        <v>3</v>
      </c>
      <c r="I41" s="89">
        <f t="shared" si="1"/>
        <v>3</v>
      </c>
      <c r="K41" s="7">
        <v>77.5</v>
      </c>
      <c r="L41" s="7">
        <v>0</v>
      </c>
      <c r="M41" s="7">
        <v>0</v>
      </c>
      <c r="N41" s="7">
        <f t="shared" si="2"/>
        <v>77.5</v>
      </c>
      <c r="P41" s="92">
        <v>0</v>
      </c>
      <c r="Q41" s="92">
        <v>0</v>
      </c>
      <c r="R41" s="92">
        <v>0</v>
      </c>
      <c r="S41" s="92">
        <f t="shared" si="3"/>
        <v>0</v>
      </c>
      <c r="U41" s="92">
        <f t="shared" si="6"/>
        <v>5425</v>
      </c>
      <c r="V41" s="92">
        <f t="shared" si="7"/>
        <v>0</v>
      </c>
      <c r="W41" s="92">
        <f t="shared" si="8"/>
        <v>0</v>
      </c>
      <c r="X41" s="92">
        <f t="shared" si="4"/>
        <v>5425</v>
      </c>
      <c r="Y41" s="92">
        <v>1500</v>
      </c>
    </row>
    <row r="42" spans="1:25" x14ac:dyDescent="0.25">
      <c r="A42" s="7">
        <v>2023</v>
      </c>
      <c r="B42" s="13">
        <v>45194</v>
      </c>
      <c r="C42" s="117"/>
      <c r="D42" s="7">
        <v>39</v>
      </c>
      <c r="F42" s="88">
        <v>0</v>
      </c>
      <c r="G42" s="88">
        <v>0</v>
      </c>
      <c r="H42" s="88">
        <v>0</v>
      </c>
      <c r="I42" s="89">
        <f t="shared" si="1"/>
        <v>0</v>
      </c>
      <c r="K42" s="7">
        <v>32.5</v>
      </c>
      <c r="L42" s="7">
        <v>0</v>
      </c>
      <c r="M42" s="7">
        <v>0</v>
      </c>
      <c r="N42" s="7">
        <f t="shared" si="2"/>
        <v>32.5</v>
      </c>
      <c r="P42" s="92">
        <v>0</v>
      </c>
      <c r="Q42" s="92">
        <v>0</v>
      </c>
      <c r="R42" s="92">
        <v>0</v>
      </c>
      <c r="S42" s="92">
        <f t="shared" si="3"/>
        <v>0</v>
      </c>
      <c r="U42" s="92">
        <f t="shared" si="6"/>
        <v>2275</v>
      </c>
      <c r="V42" s="92">
        <f t="shared" si="7"/>
        <v>0</v>
      </c>
      <c r="W42" s="92">
        <f t="shared" si="8"/>
        <v>0</v>
      </c>
      <c r="X42" s="92">
        <f t="shared" si="4"/>
        <v>2275</v>
      </c>
      <c r="Y42" s="92">
        <v>1500</v>
      </c>
    </row>
    <row r="43" spans="1:25" x14ac:dyDescent="0.25">
      <c r="A43" s="7">
        <v>2023</v>
      </c>
      <c r="B43" s="13">
        <v>45201</v>
      </c>
      <c r="C43" s="115"/>
      <c r="D43" s="7">
        <v>40</v>
      </c>
      <c r="F43" s="88">
        <v>0</v>
      </c>
      <c r="G43" s="88">
        <v>0</v>
      </c>
      <c r="H43" s="88">
        <v>0</v>
      </c>
      <c r="I43" s="89">
        <f t="shared" si="1"/>
        <v>0</v>
      </c>
      <c r="K43" s="7">
        <v>8.5</v>
      </c>
      <c r="L43" s="7">
        <v>0</v>
      </c>
      <c r="M43" s="7">
        <v>0</v>
      </c>
      <c r="N43" s="7">
        <f t="shared" si="2"/>
        <v>8.5</v>
      </c>
      <c r="P43" s="92">
        <v>0</v>
      </c>
      <c r="Q43" s="92">
        <v>0</v>
      </c>
      <c r="R43" s="92">
        <v>0</v>
      </c>
      <c r="S43" s="92">
        <f t="shared" si="3"/>
        <v>0</v>
      </c>
      <c r="U43" s="92">
        <f t="shared" si="6"/>
        <v>595</v>
      </c>
      <c r="V43" s="92">
        <f t="shared" si="7"/>
        <v>0</v>
      </c>
      <c r="W43" s="92">
        <f t="shared" si="8"/>
        <v>0</v>
      </c>
      <c r="X43" s="92">
        <f t="shared" si="4"/>
        <v>595</v>
      </c>
      <c r="Y43" s="92">
        <v>1500</v>
      </c>
    </row>
    <row r="44" spans="1:25" x14ac:dyDescent="0.25">
      <c r="A44" s="7">
        <v>2023</v>
      </c>
      <c r="B44" s="13">
        <v>45208</v>
      </c>
      <c r="C44" s="116"/>
      <c r="D44" s="7">
        <v>41</v>
      </c>
      <c r="F44" s="88">
        <v>0</v>
      </c>
      <c r="G44" s="88">
        <v>0</v>
      </c>
      <c r="H44" s="88">
        <v>0</v>
      </c>
      <c r="I44" s="89">
        <f t="shared" si="1"/>
        <v>0</v>
      </c>
      <c r="K44" s="7">
        <v>21.5</v>
      </c>
      <c r="L44" s="7">
        <v>0</v>
      </c>
      <c r="M44" s="7">
        <v>0</v>
      </c>
      <c r="N44" s="7">
        <f t="shared" si="2"/>
        <v>21.5</v>
      </c>
      <c r="P44" s="92">
        <v>0</v>
      </c>
      <c r="Q44" s="92">
        <v>0</v>
      </c>
      <c r="R44" s="92">
        <v>0</v>
      </c>
      <c r="S44" s="92">
        <f t="shared" si="3"/>
        <v>0</v>
      </c>
      <c r="U44" s="92">
        <f t="shared" si="6"/>
        <v>1505</v>
      </c>
      <c r="V44" s="92">
        <f t="shared" si="7"/>
        <v>0</v>
      </c>
      <c r="W44" s="92">
        <f t="shared" si="8"/>
        <v>0</v>
      </c>
      <c r="X44" s="92">
        <f t="shared" si="4"/>
        <v>1505</v>
      </c>
      <c r="Y44" s="92">
        <v>1500</v>
      </c>
    </row>
    <row r="45" spans="1:25" x14ac:dyDescent="0.25">
      <c r="A45" s="7">
        <v>2023</v>
      </c>
      <c r="B45" s="13">
        <v>45215</v>
      </c>
      <c r="C45" s="116" t="s">
        <v>17</v>
      </c>
      <c r="D45" s="7">
        <v>42</v>
      </c>
      <c r="F45" s="88">
        <v>0</v>
      </c>
      <c r="G45" s="88">
        <v>3</v>
      </c>
      <c r="H45" s="88">
        <v>2</v>
      </c>
      <c r="I45" s="89">
        <f>F45+G45+H45</f>
        <v>5</v>
      </c>
      <c r="K45" s="7">
        <v>4.5</v>
      </c>
      <c r="L45" s="7">
        <v>3</v>
      </c>
      <c r="M45" s="7">
        <v>0</v>
      </c>
      <c r="N45" s="7">
        <f t="shared" si="2"/>
        <v>7.5</v>
      </c>
      <c r="P45" s="92">
        <v>0</v>
      </c>
      <c r="Q45" s="92">
        <v>0</v>
      </c>
      <c r="R45" s="92">
        <v>0</v>
      </c>
      <c r="S45" s="92">
        <f t="shared" si="3"/>
        <v>0</v>
      </c>
      <c r="U45" s="92">
        <f t="shared" si="6"/>
        <v>315</v>
      </c>
      <c r="V45" s="92">
        <f t="shared" si="7"/>
        <v>210</v>
      </c>
      <c r="W45" s="92">
        <f t="shared" si="8"/>
        <v>0</v>
      </c>
      <c r="X45" s="92">
        <f t="shared" si="4"/>
        <v>525</v>
      </c>
      <c r="Y45" s="92">
        <v>1500</v>
      </c>
    </row>
    <row r="46" spans="1:25" x14ac:dyDescent="0.25">
      <c r="A46" s="7">
        <v>2023</v>
      </c>
      <c r="B46" s="13">
        <v>45222</v>
      </c>
      <c r="C46" s="116"/>
      <c r="D46" s="7">
        <v>43</v>
      </c>
      <c r="F46" s="88">
        <v>0</v>
      </c>
      <c r="G46" s="88">
        <v>0</v>
      </c>
      <c r="H46" s="88">
        <v>3</v>
      </c>
      <c r="I46" s="89">
        <f t="shared" si="1"/>
        <v>3</v>
      </c>
      <c r="K46" s="7">
        <v>20</v>
      </c>
      <c r="L46" s="7">
        <v>0</v>
      </c>
      <c r="M46" s="7">
        <v>0</v>
      </c>
      <c r="N46" s="7">
        <f t="shared" si="2"/>
        <v>20</v>
      </c>
      <c r="P46" s="92">
        <v>0</v>
      </c>
      <c r="Q46" s="92">
        <v>0</v>
      </c>
      <c r="R46" s="92">
        <v>0</v>
      </c>
      <c r="S46" s="92">
        <f t="shared" si="3"/>
        <v>0</v>
      </c>
      <c r="U46" s="92">
        <f t="shared" si="6"/>
        <v>1400</v>
      </c>
      <c r="V46" s="92">
        <f t="shared" si="7"/>
        <v>0</v>
      </c>
      <c r="W46" s="92">
        <f t="shared" si="8"/>
        <v>0</v>
      </c>
      <c r="X46" s="92">
        <f t="shared" si="4"/>
        <v>1400</v>
      </c>
      <c r="Y46" s="92">
        <v>1500</v>
      </c>
    </row>
    <row r="47" spans="1:25" x14ac:dyDescent="0.25">
      <c r="A47" s="7">
        <v>2023</v>
      </c>
      <c r="B47" s="13">
        <v>45229</v>
      </c>
      <c r="C47" s="117"/>
      <c r="D47" s="7">
        <v>44</v>
      </c>
      <c r="F47" s="88">
        <v>6</v>
      </c>
      <c r="G47" s="88">
        <v>7</v>
      </c>
      <c r="H47" s="88">
        <v>6</v>
      </c>
      <c r="I47" s="89">
        <f t="shared" si="1"/>
        <v>19</v>
      </c>
      <c r="K47" s="7">
        <v>12</v>
      </c>
      <c r="L47" s="7">
        <v>0</v>
      </c>
      <c r="M47" s="7">
        <v>0</v>
      </c>
      <c r="N47" s="7">
        <f t="shared" si="2"/>
        <v>12</v>
      </c>
      <c r="P47" s="92">
        <v>0</v>
      </c>
      <c r="Q47" s="92">
        <v>0</v>
      </c>
      <c r="R47" s="92">
        <v>0</v>
      </c>
      <c r="S47" s="92">
        <f t="shared" si="3"/>
        <v>0</v>
      </c>
      <c r="U47" s="92">
        <f t="shared" si="6"/>
        <v>840</v>
      </c>
      <c r="V47" s="92">
        <f t="shared" si="7"/>
        <v>0</v>
      </c>
      <c r="W47" s="92">
        <f t="shared" si="8"/>
        <v>0</v>
      </c>
      <c r="X47" s="92">
        <f t="shared" si="4"/>
        <v>840</v>
      </c>
      <c r="Y47" s="92">
        <v>1500</v>
      </c>
    </row>
    <row r="48" spans="1:25" x14ac:dyDescent="0.25">
      <c r="A48" s="7">
        <v>2023</v>
      </c>
      <c r="B48" s="13">
        <v>45236</v>
      </c>
      <c r="C48" s="115"/>
      <c r="D48" s="7">
        <v>45</v>
      </c>
      <c r="F48" s="88">
        <v>0</v>
      </c>
      <c r="G48" s="88">
        <v>0</v>
      </c>
      <c r="H48" s="88">
        <v>3</v>
      </c>
      <c r="I48" s="89">
        <f t="shared" si="1"/>
        <v>3</v>
      </c>
      <c r="K48" s="7">
        <v>2</v>
      </c>
      <c r="L48" s="7">
        <v>0</v>
      </c>
      <c r="M48" s="7">
        <v>0</v>
      </c>
      <c r="N48" s="7">
        <f t="shared" si="2"/>
        <v>2</v>
      </c>
      <c r="P48" s="92">
        <v>0</v>
      </c>
      <c r="Q48" s="92">
        <v>0</v>
      </c>
      <c r="R48" s="92">
        <v>0</v>
      </c>
      <c r="S48" s="92">
        <f t="shared" si="3"/>
        <v>0</v>
      </c>
      <c r="U48" s="92">
        <f t="shared" si="6"/>
        <v>140</v>
      </c>
      <c r="V48" s="92">
        <f t="shared" si="7"/>
        <v>0</v>
      </c>
      <c r="W48" s="92">
        <f t="shared" si="8"/>
        <v>0</v>
      </c>
      <c r="X48" s="92">
        <f t="shared" si="4"/>
        <v>140</v>
      </c>
      <c r="Y48" s="92">
        <v>1500</v>
      </c>
    </row>
    <row r="49" spans="1:25" x14ac:dyDescent="0.25">
      <c r="A49" s="7">
        <v>2023</v>
      </c>
      <c r="B49" s="13">
        <v>45243</v>
      </c>
      <c r="C49" s="116" t="s">
        <v>18</v>
      </c>
      <c r="D49" s="7">
        <v>46</v>
      </c>
      <c r="F49" s="88">
        <v>7</v>
      </c>
      <c r="G49" s="88">
        <v>7</v>
      </c>
      <c r="H49" s="88">
        <v>4</v>
      </c>
      <c r="I49" s="89">
        <f t="shared" si="1"/>
        <v>18</v>
      </c>
      <c r="K49" s="7">
        <v>28</v>
      </c>
      <c r="L49" s="7">
        <v>0</v>
      </c>
      <c r="M49" s="7">
        <v>0</v>
      </c>
      <c r="N49" s="7">
        <f t="shared" si="2"/>
        <v>28</v>
      </c>
      <c r="P49" s="92">
        <v>0</v>
      </c>
      <c r="Q49" s="92">
        <v>0</v>
      </c>
      <c r="R49" s="92">
        <v>0</v>
      </c>
      <c r="S49" s="92">
        <f t="shared" si="3"/>
        <v>0</v>
      </c>
      <c r="U49" s="92">
        <f t="shared" si="6"/>
        <v>1960</v>
      </c>
      <c r="V49" s="92">
        <f t="shared" si="7"/>
        <v>0</v>
      </c>
      <c r="W49" s="92">
        <f t="shared" si="8"/>
        <v>0</v>
      </c>
      <c r="X49" s="92">
        <f t="shared" si="4"/>
        <v>1960</v>
      </c>
      <c r="Y49" s="92">
        <v>1500</v>
      </c>
    </row>
    <row r="50" spans="1:25" x14ac:dyDescent="0.25">
      <c r="A50" s="7">
        <v>2023</v>
      </c>
      <c r="B50" s="13">
        <v>45250</v>
      </c>
      <c r="C50" s="116"/>
      <c r="D50" s="7">
        <v>47</v>
      </c>
      <c r="F50" s="88">
        <v>8</v>
      </c>
      <c r="G50" s="88">
        <v>4</v>
      </c>
      <c r="H50" s="88">
        <v>4</v>
      </c>
      <c r="I50" s="89">
        <f t="shared" si="1"/>
        <v>16</v>
      </c>
      <c r="K50" s="7">
        <v>2.5</v>
      </c>
      <c r="L50" s="7">
        <v>0</v>
      </c>
      <c r="M50" s="7">
        <v>0</v>
      </c>
      <c r="N50" s="7">
        <f t="shared" si="2"/>
        <v>2.5</v>
      </c>
      <c r="P50" s="92">
        <v>0</v>
      </c>
      <c r="Q50" s="92">
        <v>0</v>
      </c>
      <c r="R50" s="92">
        <v>0</v>
      </c>
      <c r="S50" s="92">
        <f t="shared" si="3"/>
        <v>0</v>
      </c>
      <c r="U50" s="92">
        <f t="shared" si="6"/>
        <v>175</v>
      </c>
      <c r="V50" s="92">
        <f t="shared" si="7"/>
        <v>0</v>
      </c>
      <c r="W50" s="92">
        <f t="shared" si="8"/>
        <v>0</v>
      </c>
      <c r="X50" s="92">
        <f t="shared" si="4"/>
        <v>175</v>
      </c>
      <c r="Y50" s="92">
        <v>1500</v>
      </c>
    </row>
    <row r="51" spans="1:25" x14ac:dyDescent="0.25">
      <c r="A51" s="7">
        <v>2023</v>
      </c>
      <c r="B51" s="13">
        <v>45257</v>
      </c>
      <c r="C51" s="117"/>
      <c r="D51" s="7">
        <v>48</v>
      </c>
      <c r="F51" s="88">
        <v>0</v>
      </c>
      <c r="G51" s="88">
        <v>0</v>
      </c>
      <c r="H51" s="88">
        <v>0</v>
      </c>
      <c r="I51" s="89">
        <f t="shared" si="1"/>
        <v>0</v>
      </c>
      <c r="K51" s="7">
        <v>9</v>
      </c>
      <c r="L51" s="7">
        <v>0</v>
      </c>
      <c r="M51" s="7">
        <v>0</v>
      </c>
      <c r="N51" s="7">
        <f t="shared" si="2"/>
        <v>9</v>
      </c>
      <c r="P51" s="92">
        <v>0</v>
      </c>
      <c r="Q51" s="92">
        <v>0</v>
      </c>
      <c r="R51" s="92">
        <v>0</v>
      </c>
      <c r="S51" s="92">
        <f t="shared" si="3"/>
        <v>0</v>
      </c>
      <c r="U51" s="92">
        <f t="shared" si="6"/>
        <v>630</v>
      </c>
      <c r="V51" s="92">
        <f t="shared" si="7"/>
        <v>0</v>
      </c>
      <c r="W51" s="92">
        <f t="shared" si="8"/>
        <v>0</v>
      </c>
      <c r="X51" s="92">
        <f t="shared" si="4"/>
        <v>630</v>
      </c>
      <c r="Y51" s="92">
        <v>1500</v>
      </c>
    </row>
    <row r="52" spans="1:25" x14ac:dyDescent="0.25">
      <c r="A52" s="7">
        <v>2023</v>
      </c>
      <c r="B52" s="13">
        <v>45264</v>
      </c>
      <c r="C52" s="115"/>
      <c r="D52" s="7">
        <v>49</v>
      </c>
      <c r="F52" s="88">
        <v>0</v>
      </c>
      <c r="G52" s="88">
        <v>0</v>
      </c>
      <c r="H52" s="88">
        <v>0</v>
      </c>
      <c r="I52" s="89">
        <f t="shared" si="1"/>
        <v>0</v>
      </c>
      <c r="K52" s="7">
        <v>34.5</v>
      </c>
      <c r="L52" s="7">
        <v>0</v>
      </c>
      <c r="M52" s="7">
        <v>0</v>
      </c>
      <c r="N52" s="7">
        <f t="shared" si="2"/>
        <v>34.5</v>
      </c>
      <c r="P52" s="92">
        <v>0</v>
      </c>
      <c r="Q52" s="92">
        <v>0</v>
      </c>
      <c r="R52" s="92">
        <v>0</v>
      </c>
      <c r="S52" s="92">
        <f t="shared" si="3"/>
        <v>0</v>
      </c>
      <c r="U52" s="92">
        <f t="shared" si="6"/>
        <v>2415</v>
      </c>
      <c r="V52" s="92">
        <f t="shared" si="7"/>
        <v>0</v>
      </c>
      <c r="W52" s="92">
        <f t="shared" si="8"/>
        <v>0</v>
      </c>
      <c r="X52" s="92">
        <f t="shared" si="4"/>
        <v>2415</v>
      </c>
      <c r="Y52" s="92">
        <v>1500</v>
      </c>
    </row>
    <row r="53" spans="1:25" x14ac:dyDescent="0.25">
      <c r="A53" s="7">
        <v>2023</v>
      </c>
      <c r="B53" s="13">
        <v>45271</v>
      </c>
      <c r="C53" s="116" t="s">
        <v>19</v>
      </c>
      <c r="D53" s="7">
        <v>50</v>
      </c>
      <c r="F53" s="88">
        <v>0</v>
      </c>
      <c r="G53" s="88">
        <v>0</v>
      </c>
      <c r="H53" s="88">
        <v>3</v>
      </c>
      <c r="I53" s="89">
        <f t="shared" si="1"/>
        <v>3</v>
      </c>
      <c r="K53" s="7">
        <v>9</v>
      </c>
      <c r="L53" s="7">
        <v>0</v>
      </c>
      <c r="M53" s="7">
        <v>0</v>
      </c>
      <c r="N53" s="7">
        <f t="shared" si="2"/>
        <v>9</v>
      </c>
      <c r="P53" s="92">
        <v>0</v>
      </c>
      <c r="Q53" s="92">
        <v>0</v>
      </c>
      <c r="R53" s="92">
        <v>0</v>
      </c>
      <c r="S53" s="92">
        <f t="shared" si="3"/>
        <v>0</v>
      </c>
      <c r="U53" s="92">
        <f t="shared" si="6"/>
        <v>630</v>
      </c>
      <c r="V53" s="92">
        <f t="shared" si="7"/>
        <v>0</v>
      </c>
      <c r="W53" s="92">
        <f t="shared" si="8"/>
        <v>0</v>
      </c>
      <c r="X53" s="92">
        <f t="shared" si="4"/>
        <v>630</v>
      </c>
      <c r="Y53" s="92">
        <v>1500</v>
      </c>
    </row>
    <row r="54" spans="1:25" x14ac:dyDescent="0.25">
      <c r="A54" s="7">
        <v>2023</v>
      </c>
      <c r="B54" s="13">
        <v>45278</v>
      </c>
      <c r="C54" s="118"/>
      <c r="D54" s="7">
        <v>51</v>
      </c>
      <c r="F54" s="88">
        <v>0</v>
      </c>
      <c r="G54" s="88">
        <v>0</v>
      </c>
      <c r="H54" s="88">
        <v>4</v>
      </c>
      <c r="I54" s="89">
        <f t="shared" si="1"/>
        <v>4</v>
      </c>
      <c r="K54" s="7">
        <v>18</v>
      </c>
      <c r="L54" s="7">
        <v>0</v>
      </c>
      <c r="M54" s="7">
        <v>0</v>
      </c>
      <c r="N54" s="7">
        <f t="shared" si="2"/>
        <v>18</v>
      </c>
      <c r="P54" s="92">
        <v>0</v>
      </c>
      <c r="Q54" s="92">
        <v>0</v>
      </c>
      <c r="R54" s="92">
        <v>0</v>
      </c>
      <c r="S54" s="92">
        <f t="shared" si="3"/>
        <v>0</v>
      </c>
      <c r="U54" s="92">
        <f t="shared" si="6"/>
        <v>1260</v>
      </c>
      <c r="V54" s="92">
        <f t="shared" si="7"/>
        <v>0</v>
      </c>
      <c r="W54" s="92">
        <f t="shared" si="8"/>
        <v>0</v>
      </c>
      <c r="X54" s="92">
        <f t="shared" si="4"/>
        <v>1260</v>
      </c>
      <c r="Y54" s="92">
        <v>1500</v>
      </c>
    </row>
    <row r="55" spans="1:25" x14ac:dyDescent="0.25">
      <c r="A55" s="7">
        <v>2023</v>
      </c>
      <c r="B55" s="13">
        <v>45285</v>
      </c>
      <c r="C55" s="117"/>
      <c r="D55" s="7">
        <v>52</v>
      </c>
      <c r="F55" s="88">
        <v>0</v>
      </c>
      <c r="G55" s="88">
        <v>0</v>
      </c>
      <c r="H55" s="88">
        <v>0</v>
      </c>
      <c r="I55" s="89">
        <f t="shared" si="1"/>
        <v>0</v>
      </c>
      <c r="K55" s="7">
        <v>0</v>
      </c>
      <c r="L55" s="7">
        <v>0</v>
      </c>
      <c r="M55" s="7">
        <v>0</v>
      </c>
      <c r="N55" s="7">
        <f t="shared" si="2"/>
        <v>0</v>
      </c>
      <c r="P55" s="92">
        <v>0</v>
      </c>
      <c r="Q55" s="92">
        <v>0</v>
      </c>
      <c r="R55" s="92">
        <v>0</v>
      </c>
      <c r="S55" s="92">
        <f t="shared" si="3"/>
        <v>0</v>
      </c>
      <c r="U55" s="92">
        <f t="shared" si="6"/>
        <v>0</v>
      </c>
      <c r="V55" s="92">
        <f t="shared" si="7"/>
        <v>0</v>
      </c>
      <c r="W55" s="92">
        <f t="shared" si="8"/>
        <v>0</v>
      </c>
      <c r="X55" s="92">
        <f t="shared" si="4"/>
        <v>0</v>
      </c>
      <c r="Y55" s="92">
        <v>1500</v>
      </c>
    </row>
    <row r="56" spans="1:25" x14ac:dyDescent="0.25">
      <c r="A56" s="7"/>
      <c r="B56" s="13"/>
      <c r="D56" s="7"/>
      <c r="E56" t="s">
        <v>4</v>
      </c>
      <c r="F56" s="88">
        <f>SUM(F4:F55)</f>
        <v>42</v>
      </c>
      <c r="G56" s="88">
        <f>SUM(G4:G55)</f>
        <v>39</v>
      </c>
      <c r="H56" s="88">
        <f>SUM(H4:H55)</f>
        <v>126</v>
      </c>
      <c r="I56" s="89">
        <f>SUM(I4:I55)</f>
        <v>207</v>
      </c>
      <c r="K56" s="112">
        <f>SUM(K4:K55)</f>
        <v>1114.92</v>
      </c>
      <c r="L56" s="112">
        <f>SUM(L4:L55)</f>
        <v>79.25</v>
      </c>
      <c r="M56" s="112">
        <f>SUM(M4:M55)</f>
        <v>190</v>
      </c>
      <c r="N56" s="113">
        <f>SUM(N4:N55)</f>
        <v>1384.17</v>
      </c>
      <c r="P56" s="92"/>
      <c r="Q56" s="92"/>
      <c r="R56" s="92"/>
      <c r="S56" s="92"/>
      <c r="U56" s="92">
        <f>SUM(U4:U55)</f>
        <v>78044.399999999994</v>
      </c>
      <c r="V56" s="92">
        <f>SUM(V4:V55)</f>
        <v>5547.5</v>
      </c>
      <c r="W56" s="92">
        <f>SUM(W4:W55)</f>
        <v>13800</v>
      </c>
      <c r="X56" s="92">
        <f>SUM(X4:X55)</f>
        <v>97391.9</v>
      </c>
      <c r="Y56" s="92">
        <f>SUM(Y4:Y55)</f>
        <v>78000</v>
      </c>
    </row>
    <row r="57" spans="1:25" x14ac:dyDescent="0.25">
      <c r="F57" s="91"/>
      <c r="G57" s="91"/>
      <c r="H57" s="91"/>
      <c r="I57" s="91"/>
    </row>
    <row r="59" spans="1:25" x14ac:dyDescent="0.25">
      <c r="U59" t="s">
        <v>23</v>
      </c>
      <c r="V59" s="93">
        <v>60000</v>
      </c>
      <c r="X59" t="s">
        <v>314</v>
      </c>
      <c r="Y59" s="93">
        <f>X56</f>
        <v>97391.9</v>
      </c>
    </row>
    <row r="60" spans="1:25" x14ac:dyDescent="0.25">
      <c r="U60" t="s">
        <v>24</v>
      </c>
      <c r="V60" s="93">
        <v>15000</v>
      </c>
      <c r="X60" t="s">
        <v>106</v>
      </c>
      <c r="Y60" s="93">
        <v>2000</v>
      </c>
    </row>
    <row r="61" spans="1:25" x14ac:dyDescent="0.25">
      <c r="U61" t="s">
        <v>25</v>
      </c>
      <c r="V61" s="93">
        <v>15000</v>
      </c>
      <c r="X61" t="s">
        <v>107</v>
      </c>
      <c r="Y61" s="93">
        <f>(V62*2)-Y59</f>
        <v>82608.100000000006</v>
      </c>
    </row>
    <row r="62" spans="1:25" x14ac:dyDescent="0.25">
      <c r="U62" t="s">
        <v>26</v>
      </c>
      <c r="V62" s="93">
        <v>90000</v>
      </c>
    </row>
  </sheetData>
  <mergeCells count="4">
    <mergeCell ref="F2:I2"/>
    <mergeCell ref="K2:N2"/>
    <mergeCell ref="P2:S2"/>
    <mergeCell ref="U2:Y2"/>
  </mergeCells>
  <printOptions horizontalCentered="1"/>
  <pageMargins left="0.2" right="0.2" top="0.75" bottom="0.75" header="0.3" footer="0.3"/>
  <pageSetup paperSize="122" scale="75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EBAE-E205-46F6-9C00-D6A7DF05CDF8}">
  <dimension ref="A2:BZ176"/>
  <sheetViews>
    <sheetView topLeftCell="R1" workbookViewId="0">
      <selection activeCell="AM56" sqref="AM56"/>
    </sheetView>
  </sheetViews>
  <sheetFormatPr defaultRowHeight="15" x14ac:dyDescent="0.25"/>
  <cols>
    <col min="2" max="2" width="12.85546875" customWidth="1"/>
    <col min="5" max="10" width="9.140625" customWidth="1"/>
    <col min="11" max="11" width="2.85546875" customWidth="1"/>
    <col min="12" max="15" width="9.140625" customWidth="1"/>
    <col min="16" max="16" width="2.5703125" customWidth="1"/>
    <col min="17" max="21" width="9.140625" customWidth="1"/>
    <col min="22" max="22" width="2.42578125" customWidth="1"/>
    <col min="23" max="25" width="9.140625" customWidth="1"/>
    <col min="26" max="26" width="2.7109375" customWidth="1"/>
    <col min="27" max="30" width="9.140625" customWidth="1"/>
    <col min="31" max="31" width="2.85546875" customWidth="1"/>
    <col min="32" max="35" width="9.14062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41</v>
      </c>
      <c r="AB2" s="178"/>
      <c r="AC2" s="178"/>
      <c r="AD2" s="179"/>
      <c r="AF2" s="177" t="s">
        <v>42</v>
      </c>
      <c r="AG2" s="178"/>
      <c r="AH2" s="178"/>
      <c r="AI2" s="179"/>
      <c r="AK2" s="177" t="s">
        <v>48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331</v>
      </c>
      <c r="O3" t="s">
        <v>7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7" t="s">
        <v>46</v>
      </c>
      <c r="AP3" s="7" t="s">
        <v>47</v>
      </c>
      <c r="AR3" t="s">
        <v>31</v>
      </c>
      <c r="AS3" t="s">
        <v>29</v>
      </c>
      <c r="AT3" t="s">
        <v>30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2022</v>
      </c>
      <c r="B4" s="13">
        <v>44564</v>
      </c>
      <c r="C4" s="13"/>
      <c r="D4" s="7">
        <v>1</v>
      </c>
      <c r="F4" s="5">
        <v>0.9</v>
      </c>
      <c r="G4" s="5">
        <v>1.01</v>
      </c>
      <c r="H4" s="5">
        <v>0.96</v>
      </c>
      <c r="I4" s="5">
        <v>1</v>
      </c>
      <c r="J4" s="6">
        <v>0.98</v>
      </c>
      <c r="K4" s="7"/>
      <c r="L4" s="7"/>
      <c r="M4" s="7"/>
      <c r="N4" s="9">
        <v>0.84</v>
      </c>
      <c r="O4" s="9">
        <v>0.95</v>
      </c>
      <c r="Q4" s="1"/>
      <c r="R4" s="1"/>
      <c r="S4" s="1"/>
      <c r="T4" s="1"/>
      <c r="U4" s="4"/>
      <c r="V4" s="4"/>
      <c r="W4" t="s">
        <v>8</v>
      </c>
      <c r="X4" s="5"/>
      <c r="Y4" s="5">
        <v>0.95</v>
      </c>
      <c r="AA4">
        <v>698.75</v>
      </c>
      <c r="AB4">
        <v>295.25</v>
      </c>
      <c r="AC4">
        <f>AA4+AB4</f>
        <v>994</v>
      </c>
      <c r="AD4" s="1">
        <f t="shared" ref="AD4:AD32" si="0">AB4/AC4</f>
        <v>0.29703219315895374</v>
      </c>
      <c r="AF4">
        <f>AA4</f>
        <v>698.75</v>
      </c>
      <c r="AG4">
        <f>AB4</f>
        <v>295.25</v>
      </c>
      <c r="AH4">
        <f>SUM(AF4:AG4)</f>
        <v>994</v>
      </c>
      <c r="AI4" s="1">
        <f t="shared" ref="AI4:AI56" si="1">AG4/AH4</f>
        <v>0.29703219315895374</v>
      </c>
      <c r="AK4" s="110">
        <v>25</v>
      </c>
      <c r="AL4" s="1">
        <f>AK4/AA4</f>
        <v>3.5778175313059032E-2</v>
      </c>
      <c r="AM4">
        <f>AK4</f>
        <v>25</v>
      </c>
      <c r="AN4" s="1">
        <f t="shared" ref="AN4:AN53" si="2">AM4/AF4</f>
        <v>3.5778175313059032E-2</v>
      </c>
      <c r="AO4">
        <v>15</v>
      </c>
      <c r="AP4">
        <f>AO4</f>
        <v>15</v>
      </c>
      <c r="AR4" t="s">
        <v>8</v>
      </c>
      <c r="AS4" s="110">
        <f>AK4+AK5+AK6+AK7</f>
        <v>29.5</v>
      </c>
      <c r="AT4">
        <v>50</v>
      </c>
      <c r="AU4">
        <f>AS4</f>
        <v>29.5</v>
      </c>
      <c r="AV4">
        <f>AT4</f>
        <v>50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3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4">VLOOKUP(BU4,Operation,2)</f>
        <v>Weld all Outside Seams</v>
      </c>
      <c r="BW4" s="65">
        <v>942.98291999726723</v>
      </c>
      <c r="BX4" s="65">
        <v>1390</v>
      </c>
      <c r="BY4" s="1">
        <f t="shared" ref="BY4:BY13" si="5">BW4/BX4</f>
        <v>0.67840497841530012</v>
      </c>
      <c r="BZ4" s="66">
        <f>BX4-BW4</f>
        <v>447.01708000273277</v>
      </c>
    </row>
    <row r="5" spans="1:78" x14ac:dyDescent="0.25">
      <c r="A5" s="7">
        <v>2022</v>
      </c>
      <c r="B5" s="13">
        <v>44571</v>
      </c>
      <c r="C5" s="13"/>
      <c r="D5" s="7">
        <v>2</v>
      </c>
      <c r="F5" s="5">
        <v>0.79</v>
      </c>
      <c r="G5" s="5">
        <v>1.1299999999999999</v>
      </c>
      <c r="H5" s="5">
        <v>1.1100000000000001</v>
      </c>
      <c r="I5" s="5">
        <v>0.98</v>
      </c>
      <c r="J5" s="6">
        <v>1.03</v>
      </c>
      <c r="K5" s="7"/>
      <c r="L5" s="7"/>
      <c r="M5" s="7"/>
      <c r="N5" s="9">
        <v>0.84</v>
      </c>
      <c r="O5" s="9">
        <v>0.95</v>
      </c>
      <c r="Q5" s="1"/>
      <c r="R5" s="1"/>
      <c r="S5" s="1"/>
      <c r="T5" s="1"/>
      <c r="U5" s="4"/>
      <c r="V5" s="4"/>
      <c r="W5" t="s">
        <v>9</v>
      </c>
      <c r="X5" s="5"/>
      <c r="Y5" s="5">
        <v>0.95</v>
      </c>
      <c r="AC5">
        <f t="shared" ref="AC5:AC56" si="6">AA5+AB5</f>
        <v>0</v>
      </c>
      <c r="AD5" s="1" t="e">
        <f t="shared" si="0"/>
        <v>#DIV/0!</v>
      </c>
      <c r="AF5">
        <f>AF4+AA5</f>
        <v>698.75</v>
      </c>
      <c r="AG5">
        <f>AG4+AB5</f>
        <v>295.25</v>
      </c>
      <c r="AH5">
        <f>AH4+AC5</f>
        <v>994</v>
      </c>
      <c r="AI5" s="1">
        <f t="shared" si="1"/>
        <v>0.29703219315895374</v>
      </c>
      <c r="AK5" s="110">
        <v>2.5</v>
      </c>
      <c r="AL5" s="1" t="e">
        <f t="shared" ref="AL5:AL33" si="7">AK5/AA5</f>
        <v>#DIV/0!</v>
      </c>
      <c r="AM5">
        <f t="shared" ref="AM5:AM27" si="8">AM4+AK5</f>
        <v>27.5</v>
      </c>
      <c r="AN5" s="1">
        <f t="shared" si="2"/>
        <v>3.9355992844364938E-2</v>
      </c>
      <c r="AO5">
        <v>15</v>
      </c>
      <c r="AP5">
        <f>AP4+AO5</f>
        <v>30</v>
      </c>
      <c r="AR5" t="s">
        <v>9</v>
      </c>
      <c r="AS5" s="110">
        <f>AK8+AK9+AK10+AK11</f>
        <v>13</v>
      </c>
      <c r="AT5">
        <v>50</v>
      </c>
      <c r="AU5" s="110">
        <f>AU4+AS5</f>
        <v>42.5</v>
      </c>
      <c r="AV5">
        <f>AV4+AT5</f>
        <v>100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3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4"/>
        <v>Tack Shell Courses</v>
      </c>
      <c r="BW5" s="65">
        <v>558</v>
      </c>
      <c r="BX5" s="65">
        <v>994.5</v>
      </c>
      <c r="BY5" s="1">
        <f t="shared" si="5"/>
        <v>0.56108597285067874</v>
      </c>
      <c r="BZ5" s="66">
        <f t="shared" ref="BZ5:BZ13" si="11">BX5-BW5</f>
        <v>436.5</v>
      </c>
    </row>
    <row r="6" spans="1:78" x14ac:dyDescent="0.25">
      <c r="A6" s="7">
        <v>2022</v>
      </c>
      <c r="B6" s="13">
        <v>44578</v>
      </c>
      <c r="C6" s="13" t="s">
        <v>8</v>
      </c>
      <c r="D6" s="7">
        <v>3</v>
      </c>
      <c r="F6" s="5">
        <v>0.71</v>
      </c>
      <c r="G6" s="5">
        <v>1.1599999999999999</v>
      </c>
      <c r="H6" s="5">
        <v>1.02</v>
      </c>
      <c r="I6" s="5">
        <v>0.73</v>
      </c>
      <c r="J6" s="6">
        <v>1.06</v>
      </c>
      <c r="K6" s="7"/>
      <c r="L6" s="7"/>
      <c r="M6" s="7"/>
      <c r="N6" s="9">
        <v>0.84</v>
      </c>
      <c r="O6" s="9">
        <v>0.95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C6">
        <f t="shared" si="6"/>
        <v>0</v>
      </c>
      <c r="AD6" s="1" t="e">
        <f t="shared" si="0"/>
        <v>#DIV/0!</v>
      </c>
      <c r="AF6">
        <f t="shared" ref="AF6:AH21" si="12">AF5+AA6</f>
        <v>698.75</v>
      </c>
      <c r="AG6">
        <f t="shared" si="12"/>
        <v>295.25</v>
      </c>
      <c r="AH6">
        <f t="shared" si="12"/>
        <v>994</v>
      </c>
      <c r="AI6" s="1">
        <f t="shared" si="1"/>
        <v>0.29703219315895374</v>
      </c>
      <c r="AK6" s="110">
        <v>0.5</v>
      </c>
      <c r="AL6" s="1" t="e">
        <f t="shared" si="7"/>
        <v>#DIV/0!</v>
      </c>
      <c r="AM6">
        <f t="shared" si="8"/>
        <v>28</v>
      </c>
      <c r="AN6" s="1">
        <f t="shared" si="2"/>
        <v>4.007155635062612E-2</v>
      </c>
      <c r="AO6">
        <v>15</v>
      </c>
      <c r="AP6">
        <f t="shared" ref="AP6:AP56" si="13">AP5+AO6</f>
        <v>45</v>
      </c>
      <c r="AR6" t="s">
        <v>10</v>
      </c>
      <c r="AS6" s="110">
        <f>AK12+AK13+AK14+AK15+AK16</f>
        <v>7.5</v>
      </c>
      <c r="AT6">
        <v>50</v>
      </c>
      <c r="AU6" s="110">
        <f t="shared" ref="AU6:AU15" si="14">AU5+AS6</f>
        <v>50</v>
      </c>
      <c r="AV6">
        <f t="shared" ref="AV6:AV15" si="15">AV5+AT6</f>
        <v>150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3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4"/>
        <v>Install Internal Parts</v>
      </c>
      <c r="BW6" s="65">
        <v>479.33818042422695</v>
      </c>
      <c r="BX6" s="65">
        <v>808</v>
      </c>
      <c r="BY6" s="1">
        <f t="shared" si="5"/>
        <v>0.59324032230721158</v>
      </c>
      <c r="BZ6" s="66">
        <f t="shared" si="11"/>
        <v>328.66181957577305</v>
      </c>
    </row>
    <row r="7" spans="1:78" x14ac:dyDescent="0.25">
      <c r="A7" s="7">
        <v>2022</v>
      </c>
      <c r="B7" s="13">
        <v>44585</v>
      </c>
      <c r="C7" s="13"/>
      <c r="D7" s="7">
        <v>4</v>
      </c>
      <c r="F7" s="5">
        <v>0.8</v>
      </c>
      <c r="G7" s="5">
        <v>0.91</v>
      </c>
      <c r="H7" s="5">
        <v>1.01</v>
      </c>
      <c r="I7" s="5">
        <v>1.2</v>
      </c>
      <c r="J7" s="6">
        <v>0.93</v>
      </c>
      <c r="K7" s="7"/>
      <c r="L7" s="8">
        <f t="shared" ref="L7:L27" si="16">AVERAGE(J4:J7)</f>
        <v>1</v>
      </c>
      <c r="M7" s="7"/>
      <c r="N7" s="9">
        <v>0.84</v>
      </c>
      <c r="O7" s="9">
        <v>0.95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C7">
        <f t="shared" si="6"/>
        <v>0</v>
      </c>
      <c r="AD7" s="1" t="e">
        <f t="shared" si="0"/>
        <v>#DIV/0!</v>
      </c>
      <c r="AF7">
        <f t="shared" si="12"/>
        <v>698.75</v>
      </c>
      <c r="AG7">
        <f t="shared" si="12"/>
        <v>295.25</v>
      </c>
      <c r="AH7">
        <f t="shared" si="12"/>
        <v>994</v>
      </c>
      <c r="AI7" s="1">
        <f t="shared" si="1"/>
        <v>0.29703219315895374</v>
      </c>
      <c r="AK7" s="110">
        <v>1.5</v>
      </c>
      <c r="AL7" s="1" t="e">
        <f t="shared" si="7"/>
        <v>#DIV/0!</v>
      </c>
      <c r="AM7">
        <f t="shared" si="8"/>
        <v>29.5</v>
      </c>
      <c r="AN7" s="1">
        <f t="shared" si="2"/>
        <v>4.2218246869409663E-2</v>
      </c>
      <c r="AO7">
        <v>15</v>
      </c>
      <c r="AP7">
        <f t="shared" si="13"/>
        <v>60</v>
      </c>
      <c r="AR7" t="s">
        <v>11</v>
      </c>
      <c r="AS7" s="110">
        <f>AK17+AK18+AK19+AK20</f>
        <v>103.5</v>
      </c>
      <c r="AT7">
        <v>50</v>
      </c>
      <c r="AU7" s="110">
        <f t="shared" si="14"/>
        <v>153.5</v>
      </c>
      <c r="AV7">
        <f t="shared" si="15"/>
        <v>200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3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4"/>
        <v>BI, SQ, T&amp;C Shells</v>
      </c>
      <c r="BW7" s="65">
        <v>971.16692466460245</v>
      </c>
      <c r="BX7" s="65">
        <v>1271</v>
      </c>
      <c r="BY7" s="1">
        <f t="shared" si="5"/>
        <v>0.76409671492100906</v>
      </c>
      <c r="BZ7" s="66">
        <f t="shared" si="11"/>
        <v>299.83307533539755</v>
      </c>
    </row>
    <row r="8" spans="1:78" x14ac:dyDescent="0.25">
      <c r="A8" s="7">
        <v>2022</v>
      </c>
      <c r="B8" s="13">
        <v>44592</v>
      </c>
      <c r="C8" s="13"/>
      <c r="D8" s="7">
        <v>5</v>
      </c>
      <c r="F8" s="5">
        <v>0.85</v>
      </c>
      <c r="G8" s="5">
        <v>0.99</v>
      </c>
      <c r="H8" s="5">
        <v>0.99</v>
      </c>
      <c r="I8" s="5">
        <v>1.19</v>
      </c>
      <c r="J8" s="6">
        <v>0.97</v>
      </c>
      <c r="K8" s="7"/>
      <c r="L8" s="8">
        <f t="shared" si="16"/>
        <v>0.99750000000000005</v>
      </c>
      <c r="M8" s="7"/>
      <c r="N8" s="9">
        <v>0.84</v>
      </c>
      <c r="O8" s="9">
        <v>0.95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2"/>
      <c r="AB8" s="2"/>
      <c r="AC8">
        <f t="shared" si="6"/>
        <v>0</v>
      </c>
      <c r="AD8" s="1" t="e">
        <f t="shared" si="0"/>
        <v>#DIV/0!</v>
      </c>
      <c r="AF8">
        <f t="shared" si="12"/>
        <v>698.75</v>
      </c>
      <c r="AG8">
        <f t="shared" si="12"/>
        <v>295.25</v>
      </c>
      <c r="AH8">
        <f t="shared" si="12"/>
        <v>994</v>
      </c>
      <c r="AI8" s="1">
        <f t="shared" si="1"/>
        <v>0.29703219315895374</v>
      </c>
      <c r="AK8" s="110">
        <v>2</v>
      </c>
      <c r="AL8" s="1" t="e">
        <f t="shared" si="7"/>
        <v>#DIV/0!</v>
      </c>
      <c r="AM8">
        <f t="shared" si="8"/>
        <v>31.5</v>
      </c>
      <c r="AN8" s="1">
        <f t="shared" si="2"/>
        <v>4.5080500894454381E-2</v>
      </c>
      <c r="AO8">
        <v>15</v>
      </c>
      <c r="AP8">
        <f t="shared" si="13"/>
        <v>75</v>
      </c>
      <c r="AR8" t="s">
        <v>12</v>
      </c>
      <c r="AS8" s="110">
        <f>AK21+AK22+AK23+AK24</f>
        <v>26.5</v>
      </c>
      <c r="AT8">
        <v>50</v>
      </c>
      <c r="AU8" s="110">
        <f t="shared" si="14"/>
        <v>180</v>
      </c>
      <c r="AV8">
        <f t="shared" si="15"/>
        <v>250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3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4"/>
        <v>Move Tank to Detail Rolls</v>
      </c>
      <c r="BW8" s="65">
        <v>164.14545454545456</v>
      </c>
      <c r="BX8" s="65">
        <v>461.5</v>
      </c>
      <c r="BY8" s="1">
        <f t="shared" si="5"/>
        <v>0.35567812469220922</v>
      </c>
      <c r="BZ8" s="66">
        <f t="shared" si="11"/>
        <v>297.35454545454547</v>
      </c>
    </row>
    <row r="9" spans="1:78" x14ac:dyDescent="0.25">
      <c r="A9" s="7">
        <v>2022</v>
      </c>
      <c r="B9" s="13">
        <v>44599</v>
      </c>
      <c r="C9" s="13"/>
      <c r="D9" s="7">
        <v>6</v>
      </c>
      <c r="F9" s="5">
        <v>1.06</v>
      </c>
      <c r="G9" s="5">
        <v>0.96</v>
      </c>
      <c r="H9" s="5">
        <v>1.02</v>
      </c>
      <c r="I9" s="5">
        <v>0.43</v>
      </c>
      <c r="J9" s="6">
        <v>0.99</v>
      </c>
      <c r="K9" s="7"/>
      <c r="L9" s="8">
        <f>AVERAGE(J6:J9)</f>
        <v>0.98750000000000004</v>
      </c>
      <c r="M9" s="7"/>
      <c r="N9" s="9">
        <v>0.84</v>
      </c>
      <c r="O9" s="9">
        <v>0.95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2"/>
      <c r="AB9" s="2"/>
      <c r="AC9">
        <f t="shared" si="6"/>
        <v>0</v>
      </c>
      <c r="AD9" s="1" t="e">
        <f t="shared" si="0"/>
        <v>#DIV/0!</v>
      </c>
      <c r="AF9">
        <f t="shared" si="12"/>
        <v>698.75</v>
      </c>
      <c r="AG9">
        <f t="shared" si="12"/>
        <v>295.25</v>
      </c>
      <c r="AH9">
        <f t="shared" si="12"/>
        <v>994</v>
      </c>
      <c r="AI9" s="1">
        <f t="shared" si="1"/>
        <v>0.29703219315895374</v>
      </c>
      <c r="AK9" s="110">
        <v>4</v>
      </c>
      <c r="AL9" s="1" t="e">
        <f t="shared" si="7"/>
        <v>#DIV/0!</v>
      </c>
      <c r="AM9">
        <f t="shared" si="8"/>
        <v>35.5</v>
      </c>
      <c r="AN9" s="1">
        <f t="shared" si="2"/>
        <v>5.0805008944543831E-2</v>
      </c>
      <c r="AO9">
        <v>15</v>
      </c>
      <c r="AP9">
        <f t="shared" si="13"/>
        <v>90</v>
      </c>
      <c r="AR9" t="s">
        <v>13</v>
      </c>
      <c r="AS9" s="110">
        <f>AK25+AK26+AK27+AK28+AK29</f>
        <v>35.5</v>
      </c>
      <c r="AT9">
        <v>50</v>
      </c>
      <c r="AU9" s="110">
        <f t="shared" si="14"/>
        <v>215.5</v>
      </c>
      <c r="AV9">
        <f t="shared" si="15"/>
        <v>300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3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4"/>
        <v>B&amp;C parts-lugs, supp, etc</v>
      </c>
      <c r="BW9" s="65">
        <v>769.92174030985382</v>
      </c>
      <c r="BX9" s="65">
        <v>1061</v>
      </c>
      <c r="BY9" s="1">
        <f t="shared" si="5"/>
        <v>0.72565668266715722</v>
      </c>
      <c r="BZ9" s="66">
        <f t="shared" si="11"/>
        <v>291.07825969014618</v>
      </c>
    </row>
    <row r="10" spans="1:78" x14ac:dyDescent="0.25">
      <c r="A10" s="7">
        <v>2022</v>
      </c>
      <c r="B10" s="13">
        <v>44606</v>
      </c>
      <c r="C10" s="13" t="s">
        <v>9</v>
      </c>
      <c r="D10" s="7">
        <v>7</v>
      </c>
      <c r="F10" s="5">
        <v>0.94</v>
      </c>
      <c r="G10" s="5">
        <v>1.1299999999999999</v>
      </c>
      <c r="H10" s="5">
        <v>1.1200000000000001</v>
      </c>
      <c r="I10" s="5">
        <v>0.68</v>
      </c>
      <c r="J10" s="34">
        <v>1.08</v>
      </c>
      <c r="K10" s="7"/>
      <c r="L10" s="8">
        <f t="shared" si="16"/>
        <v>0.99249999999999994</v>
      </c>
      <c r="M10" s="7"/>
      <c r="N10" s="9">
        <v>0.84</v>
      </c>
      <c r="O10" s="9">
        <v>0.95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/>
      <c r="AB10" s="2"/>
      <c r="AC10">
        <f t="shared" si="6"/>
        <v>0</v>
      </c>
      <c r="AD10" s="1" t="e">
        <f t="shared" si="0"/>
        <v>#DIV/0!</v>
      </c>
      <c r="AF10">
        <f t="shared" si="12"/>
        <v>698.75</v>
      </c>
      <c r="AG10">
        <f t="shared" si="12"/>
        <v>295.25</v>
      </c>
      <c r="AH10">
        <f t="shared" si="12"/>
        <v>994</v>
      </c>
      <c r="AI10" s="1">
        <f t="shared" si="1"/>
        <v>0.29703219315895374</v>
      </c>
      <c r="AK10" s="110">
        <v>3.5</v>
      </c>
      <c r="AL10" s="1" t="e">
        <f t="shared" si="7"/>
        <v>#DIV/0!</v>
      </c>
      <c r="AM10">
        <f t="shared" si="8"/>
        <v>39</v>
      </c>
      <c r="AN10" s="1">
        <f t="shared" si="2"/>
        <v>5.5813953488372092E-2</v>
      </c>
      <c r="AO10">
        <v>15</v>
      </c>
      <c r="AP10">
        <f t="shared" si="13"/>
        <v>105</v>
      </c>
      <c r="AR10" t="s">
        <v>14</v>
      </c>
      <c r="AS10" s="110">
        <f>AK30+AK31+AK32+AK33</f>
        <v>35.833300000000001</v>
      </c>
      <c r="AT10">
        <v>50</v>
      </c>
      <c r="AU10" s="110">
        <f t="shared" si="14"/>
        <v>251.33330000000001</v>
      </c>
      <c r="AV10">
        <f t="shared" si="15"/>
        <v>350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3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4"/>
        <v>Fit Bottom Head to Shell</v>
      </c>
      <c r="BW10" s="65">
        <v>732.67698412698417</v>
      </c>
      <c r="BX10" s="65">
        <v>1012</v>
      </c>
      <c r="BY10" s="1">
        <f t="shared" si="5"/>
        <v>0.7239891147499844</v>
      </c>
      <c r="BZ10" s="66">
        <f t="shared" si="11"/>
        <v>279.32301587301583</v>
      </c>
    </row>
    <row r="11" spans="1:78" x14ac:dyDescent="0.25">
      <c r="A11" s="7">
        <v>2022</v>
      </c>
      <c r="B11" s="13">
        <v>44613</v>
      </c>
      <c r="C11" s="13"/>
      <c r="D11" s="7">
        <v>8</v>
      </c>
      <c r="F11" s="5">
        <v>0.96</v>
      </c>
      <c r="G11" s="5">
        <v>1.1100000000000001</v>
      </c>
      <c r="H11" s="5">
        <v>1.04</v>
      </c>
      <c r="I11" s="5">
        <v>1.4</v>
      </c>
      <c r="J11" s="6">
        <v>1.08</v>
      </c>
      <c r="K11" s="7"/>
      <c r="L11" s="8">
        <f t="shared" si="16"/>
        <v>1.03</v>
      </c>
      <c r="M11" s="8">
        <f t="shared" ref="M11:M56" si="17">AVERAGE(J4:J11)</f>
        <v>1.0150000000000001</v>
      </c>
      <c r="N11" s="9">
        <v>0.84</v>
      </c>
      <c r="O11" s="9">
        <v>0.95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2"/>
      <c r="AB11" s="2"/>
      <c r="AC11">
        <f t="shared" si="6"/>
        <v>0</v>
      </c>
      <c r="AD11" s="1" t="e">
        <f t="shared" si="0"/>
        <v>#DIV/0!</v>
      </c>
      <c r="AF11">
        <f t="shared" si="12"/>
        <v>698.75</v>
      </c>
      <c r="AG11">
        <f t="shared" si="12"/>
        <v>295.25</v>
      </c>
      <c r="AH11">
        <f t="shared" si="12"/>
        <v>994</v>
      </c>
      <c r="AI11" s="1">
        <f t="shared" si="1"/>
        <v>0.29703219315895374</v>
      </c>
      <c r="AK11" s="110">
        <v>3.5</v>
      </c>
      <c r="AL11" s="1" t="e">
        <f t="shared" si="7"/>
        <v>#DIV/0!</v>
      </c>
      <c r="AM11">
        <f t="shared" si="8"/>
        <v>42.5</v>
      </c>
      <c r="AN11" s="1">
        <f t="shared" si="2"/>
        <v>6.0822898032200361E-2</v>
      </c>
      <c r="AO11">
        <v>15</v>
      </c>
      <c r="AP11">
        <f t="shared" si="13"/>
        <v>120</v>
      </c>
      <c r="AR11" t="s">
        <v>15</v>
      </c>
      <c r="AS11" s="110">
        <f>AK34+AK35+AK36+AK37</f>
        <v>11.8299</v>
      </c>
      <c r="AT11">
        <v>50</v>
      </c>
      <c r="AU11" s="110">
        <f t="shared" si="14"/>
        <v>263.16320000000002</v>
      </c>
      <c r="AV11">
        <f t="shared" si="15"/>
        <v>400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3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4"/>
        <v>Weld Shell Nozz &amp; M/Ws</v>
      </c>
      <c r="BW11" s="65">
        <v>974.8</v>
      </c>
      <c r="BX11" s="65">
        <v>1225.25</v>
      </c>
      <c r="BY11" s="1">
        <f t="shared" si="5"/>
        <v>0.79559273617629056</v>
      </c>
      <c r="BZ11" s="66">
        <f t="shared" si="11"/>
        <v>250.45000000000005</v>
      </c>
    </row>
    <row r="12" spans="1:78" x14ac:dyDescent="0.25">
      <c r="A12" s="7">
        <v>2022</v>
      </c>
      <c r="B12" s="13">
        <v>44620</v>
      </c>
      <c r="C12" s="13"/>
      <c r="D12" s="7">
        <v>9</v>
      </c>
      <c r="F12" s="5">
        <v>1.05</v>
      </c>
      <c r="G12" s="5">
        <v>1.04</v>
      </c>
      <c r="H12" s="5">
        <v>1.0900000000000001</v>
      </c>
      <c r="I12" s="5">
        <v>1.0900000000000001</v>
      </c>
      <c r="J12" s="6">
        <v>1.05</v>
      </c>
      <c r="K12" s="7"/>
      <c r="L12" s="8">
        <f t="shared" si="16"/>
        <v>1.05</v>
      </c>
      <c r="M12" s="8">
        <f t="shared" si="17"/>
        <v>1.0237500000000002</v>
      </c>
      <c r="N12" s="9">
        <v>0.84</v>
      </c>
      <c r="O12" s="9">
        <v>0.95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2"/>
      <c r="AB12" s="2"/>
      <c r="AC12">
        <f t="shared" si="6"/>
        <v>0</v>
      </c>
      <c r="AD12" s="1" t="e">
        <f t="shared" si="0"/>
        <v>#DIV/0!</v>
      </c>
      <c r="AF12">
        <f t="shared" si="12"/>
        <v>698.75</v>
      </c>
      <c r="AG12">
        <f t="shared" si="12"/>
        <v>295.25</v>
      </c>
      <c r="AH12">
        <f t="shared" si="12"/>
        <v>994</v>
      </c>
      <c r="AI12" s="1">
        <f t="shared" si="1"/>
        <v>0.29703219315895374</v>
      </c>
      <c r="AK12" s="110">
        <v>0.5</v>
      </c>
      <c r="AL12" s="1" t="e">
        <f t="shared" si="7"/>
        <v>#DIV/0!</v>
      </c>
      <c r="AM12">
        <f t="shared" si="8"/>
        <v>43</v>
      </c>
      <c r="AN12" s="1">
        <f t="shared" si="2"/>
        <v>6.1538461538461542E-2</v>
      </c>
      <c r="AO12">
        <v>15</v>
      </c>
      <c r="AP12">
        <f t="shared" si="13"/>
        <v>135</v>
      </c>
      <c r="AR12" t="s">
        <v>16</v>
      </c>
      <c r="AS12" s="110">
        <f>AK38+AK39+AK40+AK41+AK42</f>
        <v>43.582999999999998</v>
      </c>
      <c r="AT12">
        <v>50</v>
      </c>
      <c r="AU12" s="110">
        <f t="shared" si="14"/>
        <v>306.74620000000004</v>
      </c>
      <c r="AV12">
        <f t="shared" si="15"/>
        <v>450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3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4"/>
        <v>Build Nozzles-Weld</v>
      </c>
      <c r="BW12" s="65">
        <v>958.03205989859259</v>
      </c>
      <c r="BX12" s="65">
        <v>1184.75</v>
      </c>
      <c r="BY12" s="1">
        <f t="shared" si="5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2022</v>
      </c>
      <c r="B13" s="13">
        <v>44627</v>
      </c>
      <c r="C13" s="13"/>
      <c r="D13" s="7">
        <v>10</v>
      </c>
      <c r="F13" s="33">
        <v>0.81</v>
      </c>
      <c r="G13" s="33">
        <v>1.05</v>
      </c>
      <c r="H13" s="33">
        <v>1.0900000000000001</v>
      </c>
      <c r="I13" s="33">
        <v>1</v>
      </c>
      <c r="J13" s="34">
        <v>1.04</v>
      </c>
      <c r="K13" s="7"/>
      <c r="L13" s="8">
        <f t="shared" si="16"/>
        <v>1.0625</v>
      </c>
      <c r="M13" s="8">
        <f t="shared" si="17"/>
        <v>1.0249999999999999</v>
      </c>
      <c r="N13" s="9">
        <v>0.84</v>
      </c>
      <c r="O13" s="35">
        <v>0.95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2"/>
      <c r="AB13" s="2"/>
      <c r="AC13">
        <f t="shared" si="6"/>
        <v>0</v>
      </c>
      <c r="AD13" s="36" t="e">
        <f t="shared" si="0"/>
        <v>#DIV/0!</v>
      </c>
      <c r="AF13">
        <f t="shared" si="12"/>
        <v>698.75</v>
      </c>
      <c r="AG13">
        <f t="shared" si="12"/>
        <v>295.25</v>
      </c>
      <c r="AH13">
        <f t="shared" si="12"/>
        <v>994</v>
      </c>
      <c r="AI13" s="36">
        <f>AG13/AH13</f>
        <v>0.29703219315895374</v>
      </c>
      <c r="AK13" s="110">
        <v>3</v>
      </c>
      <c r="AL13" s="36" t="e">
        <f t="shared" si="7"/>
        <v>#DIV/0!</v>
      </c>
      <c r="AM13">
        <f t="shared" si="8"/>
        <v>46</v>
      </c>
      <c r="AN13" s="36">
        <f t="shared" si="2"/>
        <v>6.5831842576028629E-2</v>
      </c>
      <c r="AO13">
        <v>15</v>
      </c>
      <c r="AP13">
        <f t="shared" si="13"/>
        <v>150</v>
      </c>
      <c r="AR13" t="s">
        <v>17</v>
      </c>
      <c r="AS13">
        <f>AK43+AK44+AK45+AK46</f>
        <v>112.83</v>
      </c>
      <c r="AT13">
        <v>50</v>
      </c>
      <c r="AU13" s="110">
        <f t="shared" si="14"/>
        <v>419.57620000000003</v>
      </c>
      <c r="AV13">
        <f t="shared" si="15"/>
        <v>500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3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4"/>
        <v>Fit Top to Shell-Weld</v>
      </c>
      <c r="BW13" s="65">
        <v>539.9</v>
      </c>
      <c r="BX13" s="65">
        <v>753.75</v>
      </c>
      <c r="BY13" s="36">
        <f t="shared" si="5"/>
        <v>0.71628524046434494</v>
      </c>
      <c r="BZ13" s="66">
        <f t="shared" si="11"/>
        <v>213.85000000000002</v>
      </c>
    </row>
    <row r="14" spans="1:78" x14ac:dyDescent="0.25">
      <c r="A14" s="7">
        <v>2022</v>
      </c>
      <c r="B14" s="13">
        <v>44634</v>
      </c>
      <c r="C14" s="13" t="s">
        <v>10</v>
      </c>
      <c r="D14" s="7">
        <v>11</v>
      </c>
      <c r="F14" s="5">
        <v>1</v>
      </c>
      <c r="G14" s="5">
        <v>0.79</v>
      </c>
      <c r="H14" s="5">
        <v>0.9</v>
      </c>
      <c r="I14" s="5">
        <v>1</v>
      </c>
      <c r="J14" s="6">
        <v>0.88</v>
      </c>
      <c r="K14" s="7"/>
      <c r="L14" s="8">
        <f t="shared" si="16"/>
        <v>1.0125</v>
      </c>
      <c r="M14" s="8">
        <f t="shared" si="17"/>
        <v>1.0024999999999999</v>
      </c>
      <c r="N14" s="9">
        <v>0.84</v>
      </c>
      <c r="O14" s="9">
        <v>0.95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/>
      <c r="AB14" s="2"/>
      <c r="AC14">
        <f t="shared" si="6"/>
        <v>0</v>
      </c>
      <c r="AD14" s="1" t="e">
        <f t="shared" si="0"/>
        <v>#DIV/0!</v>
      </c>
      <c r="AF14">
        <f t="shared" si="12"/>
        <v>698.75</v>
      </c>
      <c r="AG14">
        <f t="shared" si="12"/>
        <v>295.25</v>
      </c>
      <c r="AH14">
        <f t="shared" si="12"/>
        <v>994</v>
      </c>
      <c r="AI14" s="1">
        <f t="shared" si="1"/>
        <v>0.29703219315895374</v>
      </c>
      <c r="AK14" s="110">
        <v>2</v>
      </c>
      <c r="AL14" s="1" t="e">
        <f t="shared" si="7"/>
        <v>#DIV/0!</v>
      </c>
      <c r="AM14">
        <f t="shared" si="8"/>
        <v>48</v>
      </c>
      <c r="AN14" s="1">
        <f t="shared" si="2"/>
        <v>6.869409660107334E-2</v>
      </c>
      <c r="AO14">
        <v>15</v>
      </c>
      <c r="AP14">
        <f t="shared" si="13"/>
        <v>165</v>
      </c>
      <c r="AR14" t="s">
        <v>18</v>
      </c>
      <c r="AS14">
        <f>AK47+AK48+AK49+AK50</f>
        <v>52.58</v>
      </c>
      <c r="AT14">
        <v>50</v>
      </c>
      <c r="AU14" s="110">
        <f t="shared" si="14"/>
        <v>472.15620000000001</v>
      </c>
      <c r="AV14">
        <f t="shared" si="15"/>
        <v>550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3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2022</v>
      </c>
      <c r="B15" s="13">
        <v>44641</v>
      </c>
      <c r="D15" s="7">
        <v>12</v>
      </c>
      <c r="F15" s="5">
        <v>0.68</v>
      </c>
      <c r="G15" s="5">
        <v>0.64</v>
      </c>
      <c r="H15" s="5">
        <v>1.02</v>
      </c>
      <c r="I15" s="5">
        <v>1</v>
      </c>
      <c r="J15" s="6">
        <v>0.9</v>
      </c>
      <c r="L15" s="8">
        <f t="shared" si="16"/>
        <v>0.96749999999999992</v>
      </c>
      <c r="M15" s="8">
        <f t="shared" si="17"/>
        <v>0.99875000000000003</v>
      </c>
      <c r="N15" s="9">
        <v>0.84</v>
      </c>
      <c r="O15" s="9">
        <v>0.95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/>
      <c r="AB15" s="2"/>
      <c r="AC15">
        <f t="shared" si="6"/>
        <v>0</v>
      </c>
      <c r="AD15" s="1" t="e">
        <f t="shared" si="0"/>
        <v>#DIV/0!</v>
      </c>
      <c r="AF15">
        <f t="shared" si="12"/>
        <v>698.75</v>
      </c>
      <c r="AG15">
        <f t="shared" si="12"/>
        <v>295.25</v>
      </c>
      <c r="AH15">
        <f t="shared" si="12"/>
        <v>994</v>
      </c>
      <c r="AI15" s="1">
        <f t="shared" si="1"/>
        <v>0.29703219315895374</v>
      </c>
      <c r="AK15" s="110">
        <v>0</v>
      </c>
      <c r="AL15" s="1" t="e">
        <f t="shared" si="7"/>
        <v>#DIV/0!</v>
      </c>
      <c r="AM15">
        <f t="shared" si="8"/>
        <v>48</v>
      </c>
      <c r="AN15" s="1">
        <f t="shared" si="2"/>
        <v>6.869409660107334E-2</v>
      </c>
      <c r="AO15">
        <v>15</v>
      </c>
      <c r="AP15">
        <f t="shared" si="13"/>
        <v>180</v>
      </c>
      <c r="AR15" t="s">
        <v>19</v>
      </c>
      <c r="AS15">
        <f>AK51+AK52+AK53+AK54+AK55</f>
        <v>46.5</v>
      </c>
      <c r="AT15">
        <v>50</v>
      </c>
      <c r="AU15" s="110">
        <f t="shared" si="14"/>
        <v>518.65620000000001</v>
      </c>
      <c r="AV15">
        <f t="shared" si="15"/>
        <v>600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3"/>
        <v>0</v>
      </c>
      <c r="BF15" s="77">
        <f>3063.25+238</f>
        <v>3301.25</v>
      </c>
      <c r="BG15" s="7">
        <f t="shared" ref="BG15:BG33" si="18">SUM(BB4:BB15)</f>
        <v>2</v>
      </c>
      <c r="BH15" s="28">
        <f t="shared" ref="BH15:BH27" si="19">SUM(BF4:BF15)</f>
        <v>46931.5</v>
      </c>
      <c r="BI15" s="29">
        <f>BG15*200000/BH15</f>
        <v>8.5230602047665212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2022</v>
      </c>
      <c r="B16" s="13">
        <v>44648</v>
      </c>
      <c r="C16" s="13"/>
      <c r="D16" s="7">
        <v>13</v>
      </c>
      <c r="F16" s="5">
        <v>1.33</v>
      </c>
      <c r="G16" s="5">
        <v>0.82</v>
      </c>
      <c r="H16" s="5">
        <v>0.92</v>
      </c>
      <c r="I16" s="5">
        <v>1.5</v>
      </c>
      <c r="J16" s="6">
        <v>0.89</v>
      </c>
      <c r="L16" s="8">
        <f t="shared" si="16"/>
        <v>0.92749999999999999</v>
      </c>
      <c r="M16" s="8">
        <f t="shared" si="17"/>
        <v>0.98875000000000002</v>
      </c>
      <c r="N16" s="9">
        <v>0.84</v>
      </c>
      <c r="O16" s="9">
        <v>0.95</v>
      </c>
      <c r="Q16" s="1"/>
      <c r="R16" s="1"/>
      <c r="S16" s="1"/>
      <c r="T16" s="1"/>
      <c r="U16" s="4"/>
      <c r="V16" s="4"/>
      <c r="W16" s="4"/>
      <c r="X16" s="4"/>
      <c r="Y16" s="4"/>
      <c r="AA16" s="2"/>
      <c r="AB16" s="2"/>
      <c r="AC16">
        <f t="shared" si="6"/>
        <v>0</v>
      </c>
      <c r="AD16" s="1" t="e">
        <f t="shared" si="0"/>
        <v>#DIV/0!</v>
      </c>
      <c r="AF16">
        <f t="shared" si="12"/>
        <v>698.75</v>
      </c>
      <c r="AG16">
        <f t="shared" si="12"/>
        <v>295.25</v>
      </c>
      <c r="AH16">
        <f t="shared" si="12"/>
        <v>994</v>
      </c>
      <c r="AI16" s="1">
        <f t="shared" si="1"/>
        <v>0.29703219315895374</v>
      </c>
      <c r="AK16" s="110">
        <v>2</v>
      </c>
      <c r="AL16" s="1" t="e">
        <f t="shared" si="7"/>
        <v>#DIV/0!</v>
      </c>
      <c r="AM16">
        <f t="shared" si="8"/>
        <v>50</v>
      </c>
      <c r="AN16" s="1">
        <f t="shared" si="2"/>
        <v>7.1556350626118065E-2</v>
      </c>
      <c r="AO16">
        <v>15</v>
      </c>
      <c r="AP16">
        <f t="shared" si="13"/>
        <v>195</v>
      </c>
      <c r="AZ16" s="69">
        <v>2020</v>
      </c>
      <c r="BA16" s="70" t="s">
        <v>8</v>
      </c>
      <c r="BB16" s="70">
        <v>0</v>
      </c>
      <c r="BC16" s="70">
        <v>1</v>
      </c>
      <c r="BD16" s="70">
        <v>0</v>
      </c>
      <c r="BE16" s="70">
        <f t="shared" si="3"/>
        <v>1</v>
      </c>
      <c r="BF16" s="78">
        <f>3060.5+785.25</f>
        <v>3845.75</v>
      </c>
      <c r="BG16" s="7">
        <f t="shared" si="18"/>
        <v>2</v>
      </c>
      <c r="BH16" s="28">
        <f t="shared" si="19"/>
        <v>47165</v>
      </c>
      <c r="BI16" s="29">
        <f t="shared" ref="BI16:BI39" si="20">BG16*200000/BH16</f>
        <v>8.4808650482349197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2022</v>
      </c>
      <c r="B17" s="13">
        <v>44655</v>
      </c>
      <c r="C17" s="13"/>
      <c r="D17" s="7">
        <v>14</v>
      </c>
      <c r="F17" s="33">
        <v>1</v>
      </c>
      <c r="G17" s="33">
        <v>0.73</v>
      </c>
      <c r="H17" s="33">
        <v>0.97</v>
      </c>
      <c r="I17" s="33">
        <v>1</v>
      </c>
      <c r="J17" s="34">
        <v>0.85</v>
      </c>
      <c r="L17" s="8">
        <f t="shared" si="16"/>
        <v>0.88</v>
      </c>
      <c r="M17" s="8">
        <f t="shared" si="17"/>
        <v>0.97124999999999995</v>
      </c>
      <c r="N17" s="9">
        <v>0.84</v>
      </c>
      <c r="O17" s="35">
        <v>0.95</v>
      </c>
      <c r="Q17" s="36"/>
      <c r="R17" s="36"/>
      <c r="S17" s="36"/>
      <c r="T17" s="36"/>
      <c r="U17" s="99"/>
      <c r="V17" s="99"/>
      <c r="W17" s="99"/>
      <c r="X17" s="99"/>
      <c r="Y17" s="99"/>
      <c r="AA17" s="2"/>
      <c r="AB17" s="2"/>
      <c r="AC17">
        <f t="shared" si="6"/>
        <v>0</v>
      </c>
      <c r="AD17" s="36" t="e">
        <f t="shared" si="0"/>
        <v>#DIV/0!</v>
      </c>
      <c r="AF17">
        <f t="shared" si="12"/>
        <v>698.75</v>
      </c>
      <c r="AG17">
        <f t="shared" si="12"/>
        <v>295.25</v>
      </c>
      <c r="AH17">
        <f t="shared" si="12"/>
        <v>994</v>
      </c>
      <c r="AI17" s="36">
        <f t="shared" si="1"/>
        <v>0.29703219315895374</v>
      </c>
      <c r="AK17" s="111">
        <v>13</v>
      </c>
      <c r="AL17" s="36" t="e">
        <f t="shared" si="7"/>
        <v>#DIV/0!</v>
      </c>
      <c r="AM17">
        <f t="shared" si="8"/>
        <v>63</v>
      </c>
      <c r="AN17" s="36">
        <f t="shared" si="2"/>
        <v>9.0161001788908762E-2</v>
      </c>
      <c r="AO17">
        <v>15</v>
      </c>
      <c r="AP17">
        <f t="shared" si="13"/>
        <v>210</v>
      </c>
      <c r="AR17" t="s">
        <v>49</v>
      </c>
      <c r="AS17">
        <f>SUM(AS4:AS16)</f>
        <v>518.65620000000001</v>
      </c>
      <c r="AT17">
        <f>SUM(AT4:AT16)</f>
        <v>600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3"/>
        <v>1</v>
      </c>
      <c r="BF17" s="79">
        <f>3042.5+613.75</f>
        <v>3656.25</v>
      </c>
      <c r="BG17" s="7">
        <f t="shared" si="18"/>
        <v>2</v>
      </c>
      <c r="BH17" s="28">
        <f t="shared" si="19"/>
        <v>47923.75</v>
      </c>
      <c r="BI17" s="29">
        <f t="shared" si="20"/>
        <v>8.3465922428858335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2022</v>
      </c>
      <c r="B18" s="13">
        <v>44662</v>
      </c>
      <c r="C18" s="13"/>
      <c r="D18" s="7">
        <v>15</v>
      </c>
      <c r="F18" s="33">
        <v>1</v>
      </c>
      <c r="G18" s="33">
        <v>0.68</v>
      </c>
      <c r="H18" s="33">
        <v>0.99</v>
      </c>
      <c r="I18" s="33">
        <v>1</v>
      </c>
      <c r="J18" s="34">
        <v>0.83</v>
      </c>
      <c r="L18" s="8">
        <f t="shared" si="16"/>
        <v>0.86750000000000005</v>
      </c>
      <c r="M18" s="8">
        <f t="shared" si="17"/>
        <v>0.94</v>
      </c>
      <c r="N18" s="9">
        <v>0.84</v>
      </c>
      <c r="O18" s="35">
        <v>0.95</v>
      </c>
      <c r="Q18" s="36"/>
      <c r="R18" s="36"/>
      <c r="S18" s="36"/>
      <c r="T18" s="36"/>
      <c r="U18" s="99"/>
      <c r="AA18" s="2"/>
      <c r="AB18" s="2"/>
      <c r="AC18">
        <f t="shared" si="6"/>
        <v>0</v>
      </c>
      <c r="AD18" s="36" t="e">
        <f t="shared" si="0"/>
        <v>#DIV/0!</v>
      </c>
      <c r="AF18">
        <f t="shared" si="12"/>
        <v>698.75</v>
      </c>
      <c r="AG18">
        <f t="shared" si="12"/>
        <v>295.25</v>
      </c>
      <c r="AH18">
        <f t="shared" si="12"/>
        <v>994</v>
      </c>
      <c r="AI18" s="36">
        <f t="shared" si="1"/>
        <v>0.29703219315895374</v>
      </c>
      <c r="AK18" s="111">
        <v>58</v>
      </c>
      <c r="AL18" s="36" t="e">
        <f t="shared" si="7"/>
        <v>#DIV/0!</v>
      </c>
      <c r="AM18">
        <f t="shared" si="8"/>
        <v>121</v>
      </c>
      <c r="AN18" s="36">
        <f t="shared" si="2"/>
        <v>0.17316636851520573</v>
      </c>
      <c r="AO18">
        <v>15</v>
      </c>
      <c r="AP18">
        <f t="shared" si="13"/>
        <v>225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3"/>
        <v>1</v>
      </c>
      <c r="BF18" s="79">
        <f>3452.5+791.25</f>
        <v>4243.75</v>
      </c>
      <c r="BG18" s="7">
        <f t="shared" si="18"/>
        <v>2</v>
      </c>
      <c r="BH18" s="28">
        <f t="shared" si="19"/>
        <v>49039.5</v>
      </c>
      <c r="BI18" s="29">
        <f t="shared" si="20"/>
        <v>8.1566900151918347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2022</v>
      </c>
      <c r="B19" s="13">
        <v>44669</v>
      </c>
      <c r="C19" s="13" t="s">
        <v>11</v>
      </c>
      <c r="D19" s="7">
        <v>16</v>
      </c>
      <c r="F19" s="33">
        <v>0.94</v>
      </c>
      <c r="G19" s="33">
        <v>0.88</v>
      </c>
      <c r="H19" s="33">
        <v>1.04</v>
      </c>
      <c r="I19" s="33">
        <v>0.75</v>
      </c>
      <c r="J19" s="34">
        <v>0.95</v>
      </c>
      <c r="L19" s="8">
        <f t="shared" si="16"/>
        <v>0.87999999999999989</v>
      </c>
      <c r="M19" s="8">
        <f t="shared" si="17"/>
        <v>0.92374999999999996</v>
      </c>
      <c r="N19" s="9">
        <v>0.84</v>
      </c>
      <c r="O19" s="35">
        <v>0.95</v>
      </c>
      <c r="Q19" s="36"/>
      <c r="R19" s="36"/>
      <c r="S19" s="36"/>
      <c r="T19" s="36"/>
      <c r="U19" s="99"/>
      <c r="AA19" s="2"/>
      <c r="AB19" s="2"/>
      <c r="AC19">
        <f t="shared" si="6"/>
        <v>0</v>
      </c>
      <c r="AD19" s="36" t="e">
        <f t="shared" si="0"/>
        <v>#DIV/0!</v>
      </c>
      <c r="AF19">
        <f t="shared" si="12"/>
        <v>698.75</v>
      </c>
      <c r="AG19">
        <f t="shared" si="12"/>
        <v>295.25</v>
      </c>
      <c r="AH19">
        <f t="shared" si="12"/>
        <v>994</v>
      </c>
      <c r="AI19" s="36">
        <f t="shared" si="1"/>
        <v>0.29703219315895374</v>
      </c>
      <c r="AK19" s="111">
        <v>20</v>
      </c>
      <c r="AL19" s="36" t="e">
        <f t="shared" si="7"/>
        <v>#DIV/0!</v>
      </c>
      <c r="AM19">
        <f t="shared" si="8"/>
        <v>141</v>
      </c>
      <c r="AN19" s="36">
        <f t="shared" si="2"/>
        <v>0.20178890876565295</v>
      </c>
      <c r="AO19">
        <v>15</v>
      </c>
      <c r="AP19">
        <f t="shared" si="13"/>
        <v>240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3"/>
        <v>2</v>
      </c>
      <c r="BF19" s="79">
        <f>3935.5+777</f>
        <v>4712.5</v>
      </c>
      <c r="BG19" s="7">
        <f t="shared" si="18"/>
        <v>2</v>
      </c>
      <c r="BH19" s="28">
        <f t="shared" si="19"/>
        <v>49970.75</v>
      </c>
      <c r="BI19" s="29">
        <f t="shared" si="20"/>
        <v>8.0046827394025506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2022</v>
      </c>
      <c r="B20" s="13">
        <v>44676</v>
      </c>
      <c r="C20" s="13"/>
      <c r="D20" s="7">
        <v>17</v>
      </c>
      <c r="F20" s="33">
        <v>0.95</v>
      </c>
      <c r="G20" s="33">
        <v>0.73</v>
      </c>
      <c r="H20" s="33">
        <v>1.07</v>
      </c>
      <c r="I20" s="33">
        <v>1</v>
      </c>
      <c r="J20" s="34">
        <v>0.87</v>
      </c>
      <c r="L20" s="8">
        <f t="shared" si="16"/>
        <v>0.875</v>
      </c>
      <c r="M20" s="8">
        <f t="shared" si="17"/>
        <v>0.90125</v>
      </c>
      <c r="N20" s="9">
        <v>0.84</v>
      </c>
      <c r="O20" s="35">
        <v>0.95</v>
      </c>
      <c r="Q20" s="36"/>
      <c r="R20" s="36"/>
      <c r="S20" s="36"/>
      <c r="T20" s="36"/>
      <c r="U20" s="99"/>
      <c r="AA20" s="2"/>
      <c r="AB20" s="2"/>
      <c r="AC20">
        <f t="shared" si="6"/>
        <v>0</v>
      </c>
      <c r="AD20" s="36" t="e">
        <f t="shared" si="0"/>
        <v>#DIV/0!</v>
      </c>
      <c r="AF20">
        <f t="shared" si="12"/>
        <v>698.75</v>
      </c>
      <c r="AG20">
        <f t="shared" si="12"/>
        <v>295.25</v>
      </c>
      <c r="AH20">
        <f t="shared" si="12"/>
        <v>994</v>
      </c>
      <c r="AI20" s="36">
        <f t="shared" si="1"/>
        <v>0.29703219315895374</v>
      </c>
      <c r="AK20" s="111">
        <v>12.5</v>
      </c>
      <c r="AL20" s="36" t="e">
        <f t="shared" si="7"/>
        <v>#DIV/0!</v>
      </c>
      <c r="AM20">
        <f t="shared" si="8"/>
        <v>153.5</v>
      </c>
      <c r="AN20" s="36">
        <f t="shared" si="2"/>
        <v>0.21967799642218247</v>
      </c>
      <c r="AO20">
        <v>15</v>
      </c>
      <c r="AP20">
        <f t="shared" si="13"/>
        <v>255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3"/>
        <v>0</v>
      </c>
      <c r="BF20" s="79">
        <f>3541+676</f>
        <v>4217</v>
      </c>
      <c r="BG20" s="7">
        <f t="shared" si="18"/>
        <v>2</v>
      </c>
      <c r="BH20" s="28">
        <f t="shared" si="19"/>
        <v>50305.5</v>
      </c>
      <c r="BI20" s="29">
        <f t="shared" si="20"/>
        <v>7.9514168430887278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2022</v>
      </c>
      <c r="B21" s="13">
        <v>44683</v>
      </c>
      <c r="C21" s="13"/>
      <c r="D21" s="7">
        <v>18</v>
      </c>
      <c r="F21" s="33">
        <v>0.72</v>
      </c>
      <c r="G21" s="33">
        <v>0.97</v>
      </c>
      <c r="H21" s="33">
        <v>1</v>
      </c>
      <c r="I21" s="33">
        <v>1</v>
      </c>
      <c r="J21" s="34">
        <v>0.95</v>
      </c>
      <c r="L21" s="8">
        <f t="shared" si="16"/>
        <v>0.89999999999999991</v>
      </c>
      <c r="M21" s="8">
        <f t="shared" si="17"/>
        <v>0.89</v>
      </c>
      <c r="N21" s="9">
        <v>0.84</v>
      </c>
      <c r="O21" s="35">
        <v>0.95</v>
      </c>
      <c r="Q21" s="36"/>
      <c r="R21" s="36"/>
      <c r="S21" s="36"/>
      <c r="T21" s="36"/>
      <c r="U21" s="99"/>
      <c r="AA21" s="2"/>
      <c r="AB21" s="2"/>
      <c r="AC21">
        <f t="shared" si="6"/>
        <v>0</v>
      </c>
      <c r="AD21" s="36" t="e">
        <f t="shared" si="0"/>
        <v>#DIV/0!</v>
      </c>
      <c r="AF21">
        <f t="shared" si="12"/>
        <v>698.75</v>
      </c>
      <c r="AG21">
        <f t="shared" si="12"/>
        <v>295.25</v>
      </c>
      <c r="AH21">
        <f t="shared" si="12"/>
        <v>994</v>
      </c>
      <c r="AI21" s="36">
        <f t="shared" si="1"/>
        <v>0.29703219315895374</v>
      </c>
      <c r="AK21" s="110">
        <v>13.5</v>
      </c>
      <c r="AL21" s="36" t="e">
        <f t="shared" si="7"/>
        <v>#DIV/0!</v>
      </c>
      <c r="AM21">
        <f t="shared" si="8"/>
        <v>167</v>
      </c>
      <c r="AN21" s="36">
        <f t="shared" si="2"/>
        <v>0.23899821109123434</v>
      </c>
      <c r="AO21">
        <v>15</v>
      </c>
      <c r="AP21">
        <f t="shared" si="13"/>
        <v>270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3"/>
        <v>4</v>
      </c>
      <c r="BF21" s="79">
        <v>4153</v>
      </c>
      <c r="BG21" s="7">
        <f t="shared" si="18"/>
        <v>1</v>
      </c>
      <c r="BH21" s="28">
        <f t="shared" si="19"/>
        <v>50629</v>
      </c>
      <c r="BI21" s="29">
        <f t="shared" si="20"/>
        <v>3.9503051610736928</v>
      </c>
      <c r="BJ21" s="7">
        <v>4</v>
      </c>
      <c r="BL21" s="72">
        <v>2021</v>
      </c>
      <c r="BM21" s="7" t="s">
        <v>13</v>
      </c>
      <c r="BR21" s="100">
        <v>0.95</v>
      </c>
    </row>
    <row r="22" spans="1:75" x14ac:dyDescent="0.25">
      <c r="A22" s="7">
        <v>2022</v>
      </c>
      <c r="B22" s="13">
        <v>44690</v>
      </c>
      <c r="C22" s="13"/>
      <c r="D22" s="7">
        <v>19</v>
      </c>
      <c r="F22" s="33">
        <v>0.69</v>
      </c>
      <c r="G22" s="33">
        <v>0.78</v>
      </c>
      <c r="H22" s="33">
        <v>1.07</v>
      </c>
      <c r="I22" s="33">
        <v>1.04</v>
      </c>
      <c r="J22" s="34">
        <v>0.82</v>
      </c>
      <c r="L22" s="8">
        <f t="shared" si="16"/>
        <v>0.89749999999999985</v>
      </c>
      <c r="M22" s="8">
        <f t="shared" si="17"/>
        <v>0.88250000000000006</v>
      </c>
      <c r="N22" s="9">
        <v>0.84</v>
      </c>
      <c r="O22" s="35">
        <v>0.95</v>
      </c>
      <c r="Q22" s="36"/>
      <c r="R22" s="36"/>
      <c r="S22" s="36"/>
      <c r="T22" s="36"/>
      <c r="U22" s="99"/>
      <c r="AA22" s="2"/>
      <c r="AB22" s="2"/>
      <c r="AC22">
        <f t="shared" si="6"/>
        <v>0</v>
      </c>
      <c r="AD22" s="36" t="e">
        <f t="shared" si="0"/>
        <v>#DIV/0!</v>
      </c>
      <c r="AF22">
        <f t="shared" ref="AF22:AH37" si="21">AF21+AA22</f>
        <v>698.75</v>
      </c>
      <c r="AG22">
        <f t="shared" si="21"/>
        <v>295.25</v>
      </c>
      <c r="AH22">
        <f t="shared" si="21"/>
        <v>994</v>
      </c>
      <c r="AI22" s="36">
        <f t="shared" si="1"/>
        <v>0.29703219315895374</v>
      </c>
      <c r="AK22" s="110">
        <v>4</v>
      </c>
      <c r="AL22" s="36" t="e">
        <f t="shared" si="7"/>
        <v>#DIV/0!</v>
      </c>
      <c r="AM22">
        <f t="shared" si="8"/>
        <v>171</v>
      </c>
      <c r="AN22" s="36">
        <f t="shared" si="2"/>
        <v>0.24472271914132379</v>
      </c>
      <c r="AO22">
        <v>15</v>
      </c>
      <c r="AP22">
        <f t="shared" si="13"/>
        <v>285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3"/>
        <v>4</v>
      </c>
      <c r="BF22" s="79">
        <v>3759.75</v>
      </c>
      <c r="BG22" s="7">
        <f t="shared" si="18"/>
        <v>1</v>
      </c>
      <c r="BH22" s="28">
        <f t="shared" si="19"/>
        <v>50113.25</v>
      </c>
      <c r="BI22" s="29">
        <f t="shared" si="20"/>
        <v>3.9909604745252003</v>
      </c>
      <c r="BJ22" s="7">
        <v>4</v>
      </c>
      <c r="BL22" s="72">
        <v>2021</v>
      </c>
      <c r="BM22" s="7" t="s">
        <v>14</v>
      </c>
      <c r="BR22" s="100">
        <v>0.95</v>
      </c>
      <c r="BW22" s="7"/>
    </row>
    <row r="23" spans="1:75" x14ac:dyDescent="0.25">
      <c r="A23" s="7">
        <v>2022</v>
      </c>
      <c r="B23" s="13">
        <v>44697</v>
      </c>
      <c r="C23" s="13" t="s">
        <v>12</v>
      </c>
      <c r="D23" s="7">
        <v>20</v>
      </c>
      <c r="F23" s="33">
        <v>0.81</v>
      </c>
      <c r="G23" s="33">
        <v>0.91</v>
      </c>
      <c r="H23" s="33">
        <v>1.03</v>
      </c>
      <c r="I23" s="33">
        <v>1</v>
      </c>
      <c r="J23" s="34">
        <v>0.94</v>
      </c>
      <c r="L23" s="8">
        <f t="shared" si="16"/>
        <v>0.89499999999999991</v>
      </c>
      <c r="M23" s="8">
        <f t="shared" si="17"/>
        <v>0.88749999999999996</v>
      </c>
      <c r="N23" s="9">
        <v>0.84</v>
      </c>
      <c r="O23" s="35">
        <v>0.95</v>
      </c>
      <c r="Q23" s="36"/>
      <c r="R23" s="36"/>
      <c r="S23" s="36"/>
      <c r="T23" s="36"/>
      <c r="U23" s="99"/>
      <c r="AA23" s="2"/>
      <c r="AB23" s="2"/>
      <c r="AC23">
        <f t="shared" si="6"/>
        <v>0</v>
      </c>
      <c r="AD23" s="36" t="e">
        <f t="shared" si="0"/>
        <v>#DIV/0!</v>
      </c>
      <c r="AF23">
        <f t="shared" si="21"/>
        <v>698.75</v>
      </c>
      <c r="AG23">
        <f t="shared" si="21"/>
        <v>295.25</v>
      </c>
      <c r="AH23">
        <f t="shared" si="21"/>
        <v>994</v>
      </c>
      <c r="AI23" s="36">
        <f t="shared" si="1"/>
        <v>0.29703219315895374</v>
      </c>
      <c r="AK23" s="111">
        <v>8.5</v>
      </c>
      <c r="AL23" s="36" t="e">
        <f t="shared" si="7"/>
        <v>#DIV/0!</v>
      </c>
      <c r="AM23">
        <f t="shared" si="8"/>
        <v>179.5</v>
      </c>
      <c r="AN23" s="36">
        <f t="shared" si="2"/>
        <v>0.25688729874776384</v>
      </c>
      <c r="AO23">
        <v>15</v>
      </c>
      <c r="AP23">
        <f t="shared" si="13"/>
        <v>300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3"/>
        <v>2</v>
      </c>
      <c r="BF23" s="79">
        <v>4286</v>
      </c>
      <c r="BG23" s="7">
        <f t="shared" si="18"/>
        <v>1</v>
      </c>
      <c r="BH23" s="28">
        <f t="shared" si="19"/>
        <v>49842.5</v>
      </c>
      <c r="BI23" s="29">
        <f t="shared" si="20"/>
        <v>4.0126398154185683</v>
      </c>
      <c r="BJ23" s="7">
        <v>4</v>
      </c>
      <c r="BL23" s="72">
        <v>2021</v>
      </c>
      <c r="BM23" s="7" t="s">
        <v>15</v>
      </c>
      <c r="BR23" s="100">
        <v>0.95</v>
      </c>
      <c r="BW23" s="7"/>
    </row>
    <row r="24" spans="1:75" x14ac:dyDescent="0.25">
      <c r="A24" s="7">
        <v>2022</v>
      </c>
      <c r="B24" s="13">
        <v>44704</v>
      </c>
      <c r="C24" s="13"/>
      <c r="D24" s="7">
        <v>21</v>
      </c>
      <c r="F24" s="33">
        <v>0.84</v>
      </c>
      <c r="G24" s="33">
        <v>0.92</v>
      </c>
      <c r="H24" s="33">
        <v>1</v>
      </c>
      <c r="I24" s="33">
        <v>0.75</v>
      </c>
      <c r="J24" s="34">
        <v>0.92</v>
      </c>
      <c r="L24" s="8">
        <f t="shared" si="16"/>
        <v>0.90749999999999997</v>
      </c>
      <c r="M24" s="8">
        <f t="shared" si="17"/>
        <v>0.8912500000000001</v>
      </c>
      <c r="N24" s="9">
        <v>0.84</v>
      </c>
      <c r="O24" s="35">
        <v>0.95</v>
      </c>
      <c r="Q24" s="36"/>
      <c r="R24" s="36"/>
      <c r="S24" s="36"/>
      <c r="T24" s="36"/>
      <c r="U24" s="99"/>
      <c r="AA24" s="2"/>
      <c r="AB24" s="2"/>
      <c r="AC24">
        <f t="shared" si="6"/>
        <v>0</v>
      </c>
      <c r="AD24" s="36" t="e">
        <f t="shared" si="0"/>
        <v>#DIV/0!</v>
      </c>
      <c r="AF24">
        <f t="shared" si="21"/>
        <v>698.75</v>
      </c>
      <c r="AG24">
        <f t="shared" si="21"/>
        <v>295.25</v>
      </c>
      <c r="AH24">
        <f t="shared" si="21"/>
        <v>994</v>
      </c>
      <c r="AI24" s="36">
        <f t="shared" si="1"/>
        <v>0.29703219315895374</v>
      </c>
      <c r="AK24" s="110">
        <v>0.5</v>
      </c>
      <c r="AL24" s="36" t="e">
        <f t="shared" si="7"/>
        <v>#DIV/0!</v>
      </c>
      <c r="AM24">
        <f t="shared" si="8"/>
        <v>180</v>
      </c>
      <c r="AN24" s="36">
        <f t="shared" si="2"/>
        <v>0.25760286225402507</v>
      </c>
      <c r="AO24">
        <v>15</v>
      </c>
      <c r="AP24">
        <f t="shared" si="13"/>
        <v>315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3"/>
        <v>2</v>
      </c>
      <c r="BF24" s="79">
        <v>4497</v>
      </c>
      <c r="BG24" s="7">
        <f t="shared" si="18"/>
        <v>1</v>
      </c>
      <c r="BH24" s="28">
        <f t="shared" si="19"/>
        <v>50126</v>
      </c>
      <c r="BI24" s="29">
        <f t="shared" si="20"/>
        <v>3.9899453377488729</v>
      </c>
      <c r="BJ24" s="7">
        <v>4</v>
      </c>
      <c r="BL24" s="72">
        <v>2021</v>
      </c>
      <c r="BM24" s="7" t="s">
        <v>16</v>
      </c>
      <c r="BR24" s="100">
        <v>0.95</v>
      </c>
      <c r="BW24" s="7"/>
    </row>
    <row r="25" spans="1:75" x14ac:dyDescent="0.25">
      <c r="A25" s="7">
        <v>2022</v>
      </c>
      <c r="B25" s="13">
        <v>44711</v>
      </c>
      <c r="C25" s="13"/>
      <c r="D25" s="7">
        <v>22</v>
      </c>
      <c r="F25" s="33">
        <v>0.97</v>
      </c>
      <c r="G25" s="33">
        <v>0.96</v>
      </c>
      <c r="H25" s="33">
        <v>1.04</v>
      </c>
      <c r="I25" s="33">
        <v>1</v>
      </c>
      <c r="J25" s="34">
        <v>1</v>
      </c>
      <c r="L25" s="8">
        <f t="shared" si="16"/>
        <v>0.91999999999999993</v>
      </c>
      <c r="M25" s="8">
        <f t="shared" si="17"/>
        <v>0.90999999999999992</v>
      </c>
      <c r="N25" s="9">
        <v>0.84</v>
      </c>
      <c r="O25" s="35">
        <v>0.95</v>
      </c>
      <c r="Q25" s="36"/>
      <c r="R25" s="36"/>
      <c r="S25" s="36"/>
      <c r="T25" s="36"/>
      <c r="U25" s="99"/>
      <c r="AA25" s="2"/>
      <c r="AB25" s="2"/>
      <c r="AC25">
        <f t="shared" si="6"/>
        <v>0</v>
      </c>
      <c r="AD25" s="36" t="e">
        <f t="shared" si="0"/>
        <v>#DIV/0!</v>
      </c>
      <c r="AF25">
        <f t="shared" si="21"/>
        <v>698.75</v>
      </c>
      <c r="AG25">
        <f t="shared" si="21"/>
        <v>295.25</v>
      </c>
      <c r="AH25">
        <f t="shared" si="21"/>
        <v>994</v>
      </c>
      <c r="AI25" s="36">
        <f t="shared" si="1"/>
        <v>0.29703219315895374</v>
      </c>
      <c r="AK25" s="110">
        <v>2.5</v>
      </c>
      <c r="AL25" s="36" t="e">
        <f t="shared" si="7"/>
        <v>#DIV/0!</v>
      </c>
      <c r="AM25">
        <f t="shared" si="8"/>
        <v>182.5</v>
      </c>
      <c r="AN25" s="36">
        <f t="shared" si="2"/>
        <v>0.26118067978533094</v>
      </c>
      <c r="AO25">
        <v>15</v>
      </c>
      <c r="AP25">
        <f t="shared" si="13"/>
        <v>330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3"/>
        <v>1</v>
      </c>
      <c r="BF25" s="79">
        <v>4461.75</v>
      </c>
      <c r="BG25" s="7">
        <f t="shared" si="18"/>
        <v>0</v>
      </c>
      <c r="BH25" s="28">
        <f t="shared" si="19"/>
        <v>48874.75</v>
      </c>
      <c r="BI25" s="29">
        <f t="shared" si="20"/>
        <v>0</v>
      </c>
      <c r="BJ25" s="7">
        <v>4</v>
      </c>
      <c r="BL25" s="72">
        <v>2021</v>
      </c>
      <c r="BM25" s="7" t="s">
        <v>17</v>
      </c>
      <c r="BR25" s="100">
        <v>0.95</v>
      </c>
      <c r="BW25" s="7"/>
    </row>
    <row r="26" spans="1:75" ht="15.75" customHeight="1" x14ac:dyDescent="0.25">
      <c r="A26" s="7">
        <v>2022</v>
      </c>
      <c r="B26" s="13">
        <v>44718</v>
      </c>
      <c r="C26" s="13"/>
      <c r="D26" s="7">
        <v>23</v>
      </c>
      <c r="F26" s="5">
        <v>0.82</v>
      </c>
      <c r="G26" s="5">
        <v>1.08</v>
      </c>
      <c r="H26" s="5">
        <v>0.94</v>
      </c>
      <c r="I26" s="5">
        <v>1</v>
      </c>
      <c r="J26" s="6">
        <v>0.98</v>
      </c>
      <c r="L26" s="8">
        <f t="shared" si="16"/>
        <v>0.96</v>
      </c>
      <c r="M26" s="8">
        <f t="shared" si="17"/>
        <v>0.92874999999999996</v>
      </c>
      <c r="N26" s="9">
        <v>0.84</v>
      </c>
      <c r="O26" s="9">
        <v>0.95</v>
      </c>
      <c r="Q26" s="1"/>
      <c r="R26" s="1"/>
      <c r="S26" s="1"/>
      <c r="T26" s="1"/>
      <c r="U26" s="4"/>
      <c r="AA26" s="2"/>
      <c r="AB26" s="2"/>
      <c r="AC26">
        <f t="shared" si="6"/>
        <v>0</v>
      </c>
      <c r="AD26" s="1" t="e">
        <f t="shared" si="0"/>
        <v>#DIV/0!</v>
      </c>
      <c r="AF26">
        <f t="shared" si="21"/>
        <v>698.75</v>
      </c>
      <c r="AG26">
        <f t="shared" si="21"/>
        <v>295.25</v>
      </c>
      <c r="AH26">
        <f t="shared" si="21"/>
        <v>994</v>
      </c>
      <c r="AI26" s="1">
        <f t="shared" si="1"/>
        <v>0.29703219315895374</v>
      </c>
      <c r="AK26" s="110">
        <v>13</v>
      </c>
      <c r="AL26" s="1" t="e">
        <f t="shared" si="7"/>
        <v>#DIV/0!</v>
      </c>
      <c r="AM26">
        <f t="shared" si="8"/>
        <v>195.5</v>
      </c>
      <c r="AN26" s="1">
        <f t="shared" si="2"/>
        <v>0.27978533094812164</v>
      </c>
      <c r="AO26">
        <v>15</v>
      </c>
      <c r="AP26">
        <f t="shared" si="13"/>
        <v>345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3"/>
        <v>2</v>
      </c>
      <c r="BF26" s="73">
        <v>3802.25</v>
      </c>
      <c r="BG26" s="7">
        <f t="shared" si="18"/>
        <v>0</v>
      </c>
      <c r="BH26" s="28">
        <f t="shared" si="19"/>
        <v>48936.25</v>
      </c>
      <c r="BI26" s="29">
        <f t="shared" si="20"/>
        <v>0</v>
      </c>
      <c r="BJ26" s="7">
        <v>4</v>
      </c>
      <c r="BL26" s="72">
        <v>2021</v>
      </c>
      <c r="BM26" s="7" t="s">
        <v>18</v>
      </c>
      <c r="BR26" s="85">
        <v>0.95</v>
      </c>
      <c r="BW26" s="7"/>
    </row>
    <row r="27" spans="1:75" ht="15.75" customHeight="1" x14ac:dyDescent="0.25">
      <c r="A27" s="7">
        <v>2022</v>
      </c>
      <c r="B27" s="13">
        <v>44725</v>
      </c>
      <c r="C27" s="13" t="s">
        <v>13</v>
      </c>
      <c r="D27" s="7">
        <v>24</v>
      </c>
      <c r="F27" s="5">
        <v>0.88</v>
      </c>
      <c r="G27" s="5">
        <v>1.0900000000000001</v>
      </c>
      <c r="H27" s="5">
        <v>0.9</v>
      </c>
      <c r="I27" s="5">
        <v>1</v>
      </c>
      <c r="J27" s="6">
        <v>1.01</v>
      </c>
      <c r="L27" s="8">
        <f t="shared" si="16"/>
        <v>0.97750000000000004</v>
      </c>
      <c r="M27" s="8">
        <f t="shared" si="17"/>
        <v>0.93625000000000003</v>
      </c>
      <c r="N27" s="9">
        <v>0.84</v>
      </c>
      <c r="O27" s="9">
        <v>0.95</v>
      </c>
      <c r="Q27" s="1"/>
      <c r="R27" s="1"/>
      <c r="S27" s="1"/>
      <c r="T27" s="1"/>
      <c r="U27" s="4"/>
      <c r="AA27" s="2"/>
      <c r="AB27" s="2"/>
      <c r="AC27">
        <f t="shared" si="6"/>
        <v>0</v>
      </c>
      <c r="AD27" s="1" t="e">
        <f t="shared" si="0"/>
        <v>#DIV/0!</v>
      </c>
      <c r="AF27">
        <f t="shared" si="21"/>
        <v>698.75</v>
      </c>
      <c r="AG27">
        <f t="shared" si="21"/>
        <v>295.25</v>
      </c>
      <c r="AH27">
        <f t="shared" si="21"/>
        <v>994</v>
      </c>
      <c r="AI27" s="1">
        <f t="shared" si="1"/>
        <v>0.29703219315895374</v>
      </c>
      <c r="AK27" s="110">
        <v>1</v>
      </c>
      <c r="AL27" s="1" t="e">
        <f t="shared" si="7"/>
        <v>#DIV/0!</v>
      </c>
      <c r="AM27">
        <f t="shared" si="8"/>
        <v>196.5</v>
      </c>
      <c r="AN27" s="1">
        <f t="shared" si="2"/>
        <v>0.28121645796064398</v>
      </c>
      <c r="AO27">
        <v>15</v>
      </c>
      <c r="AP27">
        <f t="shared" si="13"/>
        <v>360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3"/>
        <v>1</v>
      </c>
      <c r="BF27" s="80">
        <v>3848.25</v>
      </c>
      <c r="BG27" s="7">
        <f t="shared" si="18"/>
        <v>0</v>
      </c>
      <c r="BH27" s="28">
        <f t="shared" si="19"/>
        <v>49483.25</v>
      </c>
      <c r="BI27" s="29">
        <f t="shared" si="20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W27" s="7"/>
    </row>
    <row r="28" spans="1:75" x14ac:dyDescent="0.25">
      <c r="A28" s="7">
        <v>2022</v>
      </c>
      <c r="B28" s="13">
        <v>44732</v>
      </c>
      <c r="D28" s="7">
        <v>25</v>
      </c>
      <c r="F28" s="5">
        <v>0.98</v>
      </c>
      <c r="G28" s="5">
        <v>0.94</v>
      </c>
      <c r="H28" s="5">
        <v>1</v>
      </c>
      <c r="I28" s="5">
        <v>1.04</v>
      </c>
      <c r="J28" s="6">
        <v>0.96</v>
      </c>
      <c r="L28" s="8">
        <f>AVERAGE(J25:J28)</f>
        <v>0.98750000000000004</v>
      </c>
      <c r="M28" s="8">
        <f t="shared" si="17"/>
        <v>0.9474999999999999</v>
      </c>
      <c r="N28" s="9">
        <v>0.84</v>
      </c>
      <c r="O28" s="9">
        <v>0.95</v>
      </c>
      <c r="Q28" s="1"/>
      <c r="R28" s="1"/>
      <c r="S28" s="1"/>
      <c r="T28" s="1"/>
      <c r="U28" s="4"/>
      <c r="AA28" s="2"/>
      <c r="AB28" s="2"/>
      <c r="AC28">
        <f t="shared" si="6"/>
        <v>0</v>
      </c>
      <c r="AD28" s="1" t="e">
        <f t="shared" si="0"/>
        <v>#DIV/0!</v>
      </c>
      <c r="AF28">
        <f t="shared" si="21"/>
        <v>698.75</v>
      </c>
      <c r="AG28">
        <f t="shared" si="21"/>
        <v>295.25</v>
      </c>
      <c r="AH28">
        <f t="shared" si="21"/>
        <v>994</v>
      </c>
      <c r="AI28" s="1">
        <f t="shared" si="1"/>
        <v>0.29703219315895374</v>
      </c>
      <c r="AK28" s="110">
        <v>16</v>
      </c>
      <c r="AL28" s="1" t="e">
        <f t="shared" si="7"/>
        <v>#DIV/0!</v>
      </c>
      <c r="AM28">
        <f>AM27+AK28</f>
        <v>212.5</v>
      </c>
      <c r="AN28" s="1">
        <f t="shared" si="2"/>
        <v>0.30411449016100178</v>
      </c>
      <c r="AO28">
        <v>15</v>
      </c>
      <c r="AP28">
        <f t="shared" si="13"/>
        <v>375</v>
      </c>
      <c r="AZ28" s="69">
        <v>2021</v>
      </c>
      <c r="BA28" s="70" t="s">
        <v>8</v>
      </c>
      <c r="BB28" s="70">
        <v>0</v>
      </c>
      <c r="BC28" s="70">
        <v>0</v>
      </c>
      <c r="BD28" s="70">
        <v>1</v>
      </c>
      <c r="BE28" s="70">
        <f>SUM(BB28:BD28)</f>
        <v>1</v>
      </c>
      <c r="BF28" s="78">
        <v>2984.25</v>
      </c>
      <c r="BG28" s="7">
        <f t="shared" si="18"/>
        <v>0</v>
      </c>
      <c r="BH28" s="28">
        <f t="shared" ref="BH28:BH33" si="22">SUM(BF17:BF28)</f>
        <v>48621.75</v>
      </c>
      <c r="BI28" s="29">
        <f t="shared" si="20"/>
        <v>0</v>
      </c>
      <c r="BJ28" s="7">
        <v>2</v>
      </c>
      <c r="BL28" s="7">
        <v>2022</v>
      </c>
      <c r="BM28" s="7" t="s">
        <v>8</v>
      </c>
      <c r="BO28" s="102">
        <v>3</v>
      </c>
      <c r="BR28" s="1"/>
      <c r="BU28" s="7"/>
      <c r="BW28" s="7"/>
    </row>
    <row r="29" spans="1:75" x14ac:dyDescent="0.25">
      <c r="A29" s="7">
        <v>2022</v>
      </c>
      <c r="B29" s="13">
        <v>44739</v>
      </c>
      <c r="C29" s="13"/>
      <c r="D29" s="7">
        <v>26</v>
      </c>
      <c r="F29" s="5">
        <v>0.97</v>
      </c>
      <c r="G29" s="5">
        <v>0.87</v>
      </c>
      <c r="H29" s="5">
        <v>1.01</v>
      </c>
      <c r="I29" s="5">
        <v>0.75</v>
      </c>
      <c r="J29" s="6">
        <v>0.92</v>
      </c>
      <c r="L29" s="8">
        <f>AVERAGE(J26:J29)</f>
        <v>0.96750000000000003</v>
      </c>
      <c r="M29" s="8">
        <f t="shared" si="17"/>
        <v>0.94374999999999998</v>
      </c>
      <c r="N29" s="9">
        <v>0.84</v>
      </c>
      <c r="O29" s="9">
        <v>0.95</v>
      </c>
      <c r="Q29" s="1"/>
      <c r="R29" s="1"/>
      <c r="S29" s="1"/>
      <c r="T29" s="1"/>
      <c r="U29" s="4"/>
      <c r="AA29" s="2"/>
      <c r="AB29" s="2"/>
      <c r="AC29">
        <f t="shared" si="6"/>
        <v>0</v>
      </c>
      <c r="AD29" s="1" t="e">
        <f t="shared" si="0"/>
        <v>#DIV/0!</v>
      </c>
      <c r="AF29">
        <f t="shared" si="21"/>
        <v>698.75</v>
      </c>
      <c r="AG29">
        <f t="shared" si="21"/>
        <v>295.25</v>
      </c>
      <c r="AH29">
        <f t="shared" si="21"/>
        <v>994</v>
      </c>
      <c r="AI29" s="1">
        <f t="shared" si="1"/>
        <v>0.29703219315895374</v>
      </c>
      <c r="AK29" s="110">
        <v>3</v>
      </c>
      <c r="AL29" s="1" t="e">
        <f t="shared" si="7"/>
        <v>#DIV/0!</v>
      </c>
      <c r="AM29">
        <f>AM28+AK29</f>
        <v>215.5</v>
      </c>
      <c r="AN29" s="1">
        <f t="shared" si="2"/>
        <v>0.30840787119856888</v>
      </c>
      <c r="AO29">
        <v>15</v>
      </c>
      <c r="AP29">
        <f t="shared" si="13"/>
        <v>390</v>
      </c>
      <c r="AZ29" s="72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>SUM(BB29:BD29)</f>
        <v>0</v>
      </c>
      <c r="BF29" s="79">
        <v>3347.5</v>
      </c>
      <c r="BG29" s="7">
        <f t="shared" si="18"/>
        <v>0</v>
      </c>
      <c r="BH29" s="28">
        <f t="shared" si="22"/>
        <v>48313</v>
      </c>
      <c r="BI29" s="29">
        <f t="shared" si="20"/>
        <v>0</v>
      </c>
      <c r="BJ29" s="7">
        <v>2</v>
      </c>
      <c r="BL29" s="7">
        <v>2022</v>
      </c>
      <c r="BM29" s="7" t="s">
        <v>9</v>
      </c>
      <c r="BR29" s="1"/>
      <c r="BU29" s="7"/>
      <c r="BW29" s="7"/>
    </row>
    <row r="30" spans="1:75" x14ac:dyDescent="0.25">
      <c r="A30" s="7">
        <v>2022</v>
      </c>
      <c r="B30" s="13">
        <v>44746</v>
      </c>
      <c r="C30" s="13"/>
      <c r="D30" s="7">
        <v>27</v>
      </c>
      <c r="F30" s="33">
        <v>1.06</v>
      </c>
      <c r="G30" s="33">
        <v>0.99</v>
      </c>
      <c r="H30" s="33">
        <v>0.96</v>
      </c>
      <c r="I30" s="33">
        <v>1.02</v>
      </c>
      <c r="J30" s="34">
        <v>0.99</v>
      </c>
      <c r="L30" s="8">
        <f>AVERAGE(J27:J30)</f>
        <v>0.97</v>
      </c>
      <c r="M30" s="8">
        <f t="shared" si="17"/>
        <v>0.96499999999999997</v>
      </c>
      <c r="N30" s="9">
        <v>0.84</v>
      </c>
      <c r="O30" s="35">
        <v>0.95</v>
      </c>
      <c r="Q30" s="1"/>
      <c r="R30" s="1"/>
      <c r="S30" s="1"/>
      <c r="T30" s="1"/>
      <c r="U30" s="4"/>
      <c r="AA30" s="2"/>
      <c r="AB30" s="2"/>
      <c r="AC30">
        <f t="shared" si="6"/>
        <v>0</v>
      </c>
      <c r="AD30" s="1" t="e">
        <f t="shared" si="0"/>
        <v>#DIV/0!</v>
      </c>
      <c r="AF30">
        <f t="shared" si="21"/>
        <v>698.75</v>
      </c>
      <c r="AG30">
        <f t="shared" si="21"/>
        <v>295.25</v>
      </c>
      <c r="AH30">
        <f t="shared" si="21"/>
        <v>994</v>
      </c>
      <c r="AI30" s="1">
        <f t="shared" si="1"/>
        <v>0.29703219315895374</v>
      </c>
      <c r="AK30" s="110">
        <v>3.5</v>
      </c>
      <c r="AL30" s="1" t="e">
        <f t="shared" si="7"/>
        <v>#DIV/0!</v>
      </c>
      <c r="AM30">
        <f>AM29+AK30</f>
        <v>219</v>
      </c>
      <c r="AN30" s="1">
        <f t="shared" si="2"/>
        <v>0.31341681574239716</v>
      </c>
      <c r="AO30">
        <v>15</v>
      </c>
      <c r="AP30">
        <f t="shared" si="13"/>
        <v>405</v>
      </c>
      <c r="AZ30" s="72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ref="BE30:BE51" si="23">SUM(BB30:BD30)</f>
        <v>3</v>
      </c>
      <c r="BF30" s="79">
        <v>3695.25</v>
      </c>
      <c r="BG30" s="7">
        <f t="shared" si="18"/>
        <v>0</v>
      </c>
      <c r="BH30" s="28">
        <f t="shared" si="22"/>
        <v>47764.5</v>
      </c>
      <c r="BI30" s="29">
        <f t="shared" si="20"/>
        <v>0</v>
      </c>
      <c r="BJ30" s="7">
        <v>2</v>
      </c>
      <c r="BL30" s="7">
        <v>2022</v>
      </c>
      <c r="BM30" s="7" t="s">
        <v>10</v>
      </c>
      <c r="BR30" s="1"/>
      <c r="BU30" s="7"/>
      <c r="BW30" s="7"/>
    </row>
    <row r="31" spans="1:75" x14ac:dyDescent="0.25">
      <c r="A31" s="7">
        <v>2022</v>
      </c>
      <c r="B31" s="13">
        <v>44753</v>
      </c>
      <c r="C31" s="13"/>
      <c r="D31" s="7">
        <v>28</v>
      </c>
      <c r="F31" s="5">
        <v>1.06</v>
      </c>
      <c r="G31" s="5">
        <v>0.84</v>
      </c>
      <c r="H31" s="5">
        <v>0.99</v>
      </c>
      <c r="I31" s="5">
        <v>1.08</v>
      </c>
      <c r="J31" s="6">
        <v>0.9</v>
      </c>
      <c r="L31" s="8">
        <f>AVERAGE(J28:J31)</f>
        <v>0.9425</v>
      </c>
      <c r="M31" s="8">
        <f t="shared" si="17"/>
        <v>0.96000000000000008</v>
      </c>
      <c r="N31" s="9">
        <v>0.84</v>
      </c>
      <c r="O31" s="9">
        <v>0.95</v>
      </c>
      <c r="Q31" s="1"/>
      <c r="R31" s="1"/>
      <c r="S31" s="1"/>
      <c r="T31" s="1"/>
      <c r="U31" s="4"/>
      <c r="AA31" s="2"/>
      <c r="AB31" s="2"/>
      <c r="AC31">
        <f t="shared" si="6"/>
        <v>0</v>
      </c>
      <c r="AD31" s="1" t="e">
        <f t="shared" si="0"/>
        <v>#DIV/0!</v>
      </c>
      <c r="AF31">
        <f t="shared" si="21"/>
        <v>698.75</v>
      </c>
      <c r="AG31">
        <f t="shared" si="21"/>
        <v>295.25</v>
      </c>
      <c r="AH31">
        <f t="shared" si="21"/>
        <v>994</v>
      </c>
      <c r="AI31" s="1">
        <f t="shared" si="1"/>
        <v>0.29703219315895374</v>
      </c>
      <c r="AK31" s="110">
        <v>0</v>
      </c>
      <c r="AL31" s="1" t="e">
        <f t="shared" si="7"/>
        <v>#DIV/0!</v>
      </c>
      <c r="AM31">
        <f t="shared" ref="AM31:AM56" si="24">AM30+AK31</f>
        <v>219</v>
      </c>
      <c r="AN31" s="1">
        <f t="shared" si="2"/>
        <v>0.31341681574239716</v>
      </c>
      <c r="AO31">
        <v>15</v>
      </c>
      <c r="AP31">
        <f t="shared" si="13"/>
        <v>420</v>
      </c>
      <c r="AZ31" s="72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3"/>
        <v>1</v>
      </c>
      <c r="BF31" s="79">
        <v>2841.5</v>
      </c>
      <c r="BG31" s="7">
        <f t="shared" si="18"/>
        <v>0</v>
      </c>
      <c r="BH31" s="28">
        <f t="shared" si="22"/>
        <v>45893.5</v>
      </c>
      <c r="BI31" s="29">
        <f t="shared" si="20"/>
        <v>0</v>
      </c>
      <c r="BJ31" s="7">
        <v>2</v>
      </c>
      <c r="BL31" s="7">
        <v>2022</v>
      </c>
      <c r="BM31" s="7" t="s">
        <v>11</v>
      </c>
      <c r="BR31" s="1"/>
      <c r="BU31" s="7"/>
      <c r="BW31" s="7"/>
    </row>
    <row r="32" spans="1:75" x14ac:dyDescent="0.25">
      <c r="A32" s="7">
        <v>2022</v>
      </c>
      <c r="B32" s="13">
        <v>44760</v>
      </c>
      <c r="C32" s="13" t="s">
        <v>14</v>
      </c>
      <c r="D32" s="7">
        <v>29</v>
      </c>
      <c r="F32" s="5">
        <v>1.27</v>
      </c>
      <c r="G32" s="5">
        <v>0.91</v>
      </c>
      <c r="H32" s="5">
        <v>1.1200000000000001</v>
      </c>
      <c r="I32" s="5">
        <v>1.32</v>
      </c>
      <c r="J32" s="6">
        <v>0.99</v>
      </c>
      <c r="L32" s="8">
        <f>AVERAGE(J29:J32)</f>
        <v>0.95</v>
      </c>
      <c r="M32" s="8">
        <f t="shared" si="17"/>
        <v>0.96875000000000011</v>
      </c>
      <c r="N32" s="9">
        <v>0.84</v>
      </c>
      <c r="O32" s="9">
        <v>0.95</v>
      </c>
      <c r="Q32" s="1"/>
      <c r="R32" s="1"/>
      <c r="S32" s="1"/>
      <c r="T32" s="1"/>
      <c r="U32" s="4"/>
      <c r="AA32" s="2"/>
      <c r="AB32" s="2"/>
      <c r="AC32">
        <f t="shared" si="6"/>
        <v>0</v>
      </c>
      <c r="AD32" s="1" t="e">
        <f t="shared" si="0"/>
        <v>#DIV/0!</v>
      </c>
      <c r="AF32">
        <f t="shared" si="21"/>
        <v>698.75</v>
      </c>
      <c r="AG32">
        <f t="shared" si="21"/>
        <v>295.25</v>
      </c>
      <c r="AH32">
        <f t="shared" si="21"/>
        <v>994</v>
      </c>
      <c r="AI32" s="1">
        <f t="shared" si="1"/>
        <v>0.29703219315895374</v>
      </c>
      <c r="AK32" s="110">
        <v>31</v>
      </c>
      <c r="AL32" s="1" t="e">
        <f t="shared" si="7"/>
        <v>#DIV/0!</v>
      </c>
      <c r="AM32">
        <f t="shared" si="24"/>
        <v>250</v>
      </c>
      <c r="AN32" s="1">
        <f t="shared" si="2"/>
        <v>0.35778175313059035</v>
      </c>
      <c r="AO32">
        <v>15</v>
      </c>
      <c r="AP32">
        <f t="shared" si="13"/>
        <v>435</v>
      </c>
      <c r="AZ32" s="72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3"/>
        <v>0</v>
      </c>
      <c r="BF32" s="79">
        <v>2637.75</v>
      </c>
      <c r="BG32" s="7">
        <f t="shared" si="18"/>
        <v>0</v>
      </c>
      <c r="BH32" s="28">
        <f t="shared" si="22"/>
        <v>44314.25</v>
      </c>
      <c r="BI32" s="29">
        <f t="shared" si="20"/>
        <v>0</v>
      </c>
      <c r="BJ32" s="7">
        <v>2</v>
      </c>
      <c r="BL32" s="7">
        <v>2022</v>
      </c>
      <c r="BM32" s="7" t="s">
        <v>12</v>
      </c>
      <c r="BR32" s="1"/>
      <c r="BU32" s="7"/>
      <c r="BW32" s="7"/>
    </row>
    <row r="33" spans="1:75" x14ac:dyDescent="0.25">
      <c r="A33" s="7">
        <v>2022</v>
      </c>
      <c r="B33" s="13">
        <v>44767</v>
      </c>
      <c r="C33" s="13"/>
      <c r="D33" s="7">
        <v>30</v>
      </c>
      <c r="F33" s="5">
        <v>0.92</v>
      </c>
      <c r="G33" s="5">
        <v>0.91</v>
      </c>
      <c r="H33" s="5">
        <v>1.0900000000000001</v>
      </c>
      <c r="I33" s="5">
        <v>0.91</v>
      </c>
      <c r="J33" s="6">
        <v>0.96</v>
      </c>
      <c r="L33" s="8">
        <f t="shared" ref="L33:L56" si="25">AVERAGE(J30:J33)</f>
        <v>0.96</v>
      </c>
      <c r="M33" s="8">
        <f t="shared" si="17"/>
        <v>0.96375000000000011</v>
      </c>
      <c r="N33" s="9">
        <v>0.84</v>
      </c>
      <c r="O33" s="9">
        <v>0.95</v>
      </c>
      <c r="Q33" s="1"/>
      <c r="R33" s="1"/>
      <c r="S33" s="1"/>
      <c r="T33" s="1"/>
      <c r="U33" s="4"/>
      <c r="AA33" s="2"/>
      <c r="AB33" s="2"/>
      <c r="AC33">
        <f t="shared" si="6"/>
        <v>0</v>
      </c>
      <c r="AD33" s="1" t="e">
        <f t="shared" ref="AD33:AD56" si="26">AB47/AC33</f>
        <v>#DIV/0!</v>
      </c>
      <c r="AF33">
        <f t="shared" ref="AF33:AG48" si="27">AF32+AA47</f>
        <v>698.75</v>
      </c>
      <c r="AG33">
        <f t="shared" si="27"/>
        <v>295.25</v>
      </c>
      <c r="AH33">
        <f t="shared" si="21"/>
        <v>994</v>
      </c>
      <c r="AI33" s="1">
        <f t="shared" si="1"/>
        <v>0.29703219315895374</v>
      </c>
      <c r="AK33" s="110">
        <v>1.3332999999999999</v>
      </c>
      <c r="AL33" s="1" t="e">
        <f t="shared" si="7"/>
        <v>#DIV/0!</v>
      </c>
      <c r="AM33">
        <f t="shared" si="24"/>
        <v>251.33330000000001</v>
      </c>
      <c r="AN33" s="1">
        <f t="shared" si="2"/>
        <v>0.35968987477638642</v>
      </c>
      <c r="AO33">
        <v>15</v>
      </c>
      <c r="AP33">
        <f t="shared" si="13"/>
        <v>450</v>
      </c>
      <c r="AZ33" s="72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3"/>
        <v>2</v>
      </c>
      <c r="BF33" s="79">
        <v>4042.75</v>
      </c>
      <c r="BG33" s="7">
        <f t="shared" si="18"/>
        <v>0</v>
      </c>
      <c r="BH33" s="28">
        <f t="shared" si="22"/>
        <v>44204</v>
      </c>
      <c r="BI33" s="29">
        <f t="shared" si="20"/>
        <v>0</v>
      </c>
      <c r="BJ33" s="7">
        <v>2</v>
      </c>
      <c r="BL33" s="7">
        <v>2022</v>
      </c>
      <c r="BM33" s="7" t="s">
        <v>13</v>
      </c>
      <c r="BR33" s="1"/>
      <c r="BU33" s="7"/>
      <c r="BW33" s="7"/>
    </row>
    <row r="34" spans="1:75" x14ac:dyDescent="0.25">
      <c r="A34" s="7">
        <v>2022</v>
      </c>
      <c r="B34" s="13">
        <v>44774</v>
      </c>
      <c r="C34" s="13"/>
      <c r="D34" s="7">
        <v>31</v>
      </c>
      <c r="F34" s="5">
        <v>0.8</v>
      </c>
      <c r="G34" s="5">
        <v>1.04</v>
      </c>
      <c r="H34" s="5">
        <v>0.98</v>
      </c>
      <c r="I34" s="5">
        <v>1</v>
      </c>
      <c r="J34" s="6">
        <v>0.99</v>
      </c>
      <c r="L34" s="8">
        <f t="shared" si="25"/>
        <v>0.96</v>
      </c>
      <c r="M34" s="8">
        <f t="shared" si="17"/>
        <v>0.96500000000000008</v>
      </c>
      <c r="N34" s="9">
        <v>0.84</v>
      </c>
      <c r="O34" s="9">
        <v>0.95</v>
      </c>
      <c r="Q34" s="1"/>
      <c r="R34" s="1"/>
      <c r="S34" s="1"/>
      <c r="T34" s="1"/>
      <c r="U34" s="4"/>
      <c r="AA34" s="2"/>
      <c r="AB34" s="2"/>
      <c r="AC34">
        <f t="shared" si="6"/>
        <v>0</v>
      </c>
      <c r="AD34" s="1" t="e">
        <f t="shared" si="26"/>
        <v>#DIV/0!</v>
      </c>
      <c r="AF34">
        <f t="shared" si="27"/>
        <v>698.75</v>
      </c>
      <c r="AG34">
        <f t="shared" si="27"/>
        <v>295.25</v>
      </c>
      <c r="AH34">
        <f t="shared" si="21"/>
        <v>994</v>
      </c>
      <c r="AI34" s="1">
        <f t="shared" si="1"/>
        <v>0.29703219315895374</v>
      </c>
      <c r="AK34" s="110">
        <v>3.0832999999999999</v>
      </c>
      <c r="AL34" s="1" t="e">
        <f t="shared" ref="AL34:AL56" si="28">AK34/AA48</f>
        <v>#DIV/0!</v>
      </c>
      <c r="AM34">
        <f t="shared" si="24"/>
        <v>254.41660000000002</v>
      </c>
      <c r="AN34" s="1">
        <f t="shared" si="2"/>
        <v>0.36410246869409663</v>
      </c>
      <c r="AO34">
        <v>15</v>
      </c>
      <c r="AP34">
        <f t="shared" si="13"/>
        <v>465</v>
      </c>
      <c r="AZ34" s="72">
        <v>2021</v>
      </c>
      <c r="BA34" s="7" t="s">
        <v>14</v>
      </c>
      <c r="BB34" s="7">
        <v>0</v>
      </c>
      <c r="BC34" s="7">
        <v>1</v>
      </c>
      <c r="BD34" s="7">
        <v>0</v>
      </c>
      <c r="BE34" s="7">
        <f t="shared" si="23"/>
        <v>1</v>
      </c>
      <c r="BF34" s="79">
        <v>3331</v>
      </c>
      <c r="BG34" s="7">
        <f t="shared" ref="BG34:BG45" si="29">SUM(BB23:BB34)</f>
        <v>0</v>
      </c>
      <c r="BH34" s="28">
        <f t="shared" ref="BH34:BH39" si="30">SUM(BF23:BF34)</f>
        <v>43775.25</v>
      </c>
      <c r="BI34" s="29">
        <f t="shared" si="20"/>
        <v>0</v>
      </c>
      <c r="BJ34" s="7">
        <v>2</v>
      </c>
      <c r="BL34" s="7">
        <v>2022</v>
      </c>
      <c r="BM34" s="7" t="s">
        <v>14</v>
      </c>
      <c r="BR34" s="1"/>
      <c r="BU34" s="7"/>
      <c r="BW34" s="7"/>
    </row>
    <row r="35" spans="1:75" x14ac:dyDescent="0.25">
      <c r="A35" s="7">
        <v>2022</v>
      </c>
      <c r="B35" s="13">
        <v>44781</v>
      </c>
      <c r="C35" s="13"/>
      <c r="D35" s="7">
        <v>32</v>
      </c>
      <c r="F35" s="5">
        <v>0.84</v>
      </c>
      <c r="G35" s="5">
        <v>1.1299999999999999</v>
      </c>
      <c r="H35" s="5">
        <v>0.83</v>
      </c>
      <c r="I35" s="5">
        <v>1</v>
      </c>
      <c r="J35" s="6">
        <v>1.04</v>
      </c>
      <c r="L35" s="8">
        <f t="shared" si="25"/>
        <v>0.995</v>
      </c>
      <c r="M35" s="8">
        <f t="shared" si="17"/>
        <v>0.96875</v>
      </c>
      <c r="N35" s="9">
        <v>0.84</v>
      </c>
      <c r="O35" s="9">
        <v>0.95</v>
      </c>
      <c r="Q35" s="1"/>
      <c r="R35" s="1"/>
      <c r="S35" s="1"/>
      <c r="T35" s="1"/>
      <c r="U35" s="4"/>
      <c r="AA35" s="2"/>
      <c r="AB35" s="2"/>
      <c r="AC35">
        <f t="shared" si="6"/>
        <v>0</v>
      </c>
      <c r="AD35" s="1" t="e">
        <f t="shared" si="26"/>
        <v>#DIV/0!</v>
      </c>
      <c r="AF35">
        <f t="shared" si="27"/>
        <v>698.75</v>
      </c>
      <c r="AG35">
        <f t="shared" si="27"/>
        <v>295.25</v>
      </c>
      <c r="AH35">
        <f t="shared" si="21"/>
        <v>994</v>
      </c>
      <c r="AI35" s="1">
        <f t="shared" si="1"/>
        <v>0.29703219315895374</v>
      </c>
      <c r="AK35" s="110">
        <v>7.4133000000000004</v>
      </c>
      <c r="AL35" s="1" t="e">
        <f t="shared" si="28"/>
        <v>#DIV/0!</v>
      </c>
      <c r="AM35">
        <f t="shared" si="24"/>
        <v>261.82990000000001</v>
      </c>
      <c r="AN35" s="1">
        <f t="shared" si="2"/>
        <v>0.37471184257602863</v>
      </c>
      <c r="AO35">
        <v>15</v>
      </c>
      <c r="AP35">
        <f t="shared" si="13"/>
        <v>480</v>
      </c>
      <c r="AZ35" s="72">
        <v>2021</v>
      </c>
      <c r="BA35" s="7" t="s">
        <v>15</v>
      </c>
      <c r="BB35" s="7">
        <v>0</v>
      </c>
      <c r="BC35" s="108">
        <v>1</v>
      </c>
      <c r="BD35" s="108">
        <v>0</v>
      </c>
      <c r="BE35" s="7">
        <f t="shared" si="23"/>
        <v>1</v>
      </c>
      <c r="BF35" s="79">
        <v>3369</v>
      </c>
      <c r="BG35" s="7">
        <f t="shared" si="29"/>
        <v>0</v>
      </c>
      <c r="BH35" s="28">
        <f t="shared" si="30"/>
        <v>42858.25</v>
      </c>
      <c r="BI35" s="29">
        <f t="shared" si="20"/>
        <v>0</v>
      </c>
      <c r="BJ35" s="7">
        <v>2</v>
      </c>
      <c r="BL35" s="7">
        <v>2022</v>
      </c>
      <c r="BM35" s="7" t="s">
        <v>15</v>
      </c>
      <c r="BR35" s="1"/>
      <c r="BU35" t="s">
        <v>155</v>
      </c>
      <c r="BV35" t="s">
        <v>156</v>
      </c>
      <c r="BW35" s="7"/>
    </row>
    <row r="36" spans="1:75" x14ac:dyDescent="0.25">
      <c r="A36" s="7">
        <v>2022</v>
      </c>
      <c r="B36" s="13">
        <v>44788</v>
      </c>
      <c r="C36" s="13" t="s">
        <v>15</v>
      </c>
      <c r="D36" s="7">
        <v>33</v>
      </c>
      <c r="F36" s="5">
        <v>0.92</v>
      </c>
      <c r="G36" s="5">
        <v>1</v>
      </c>
      <c r="H36" s="5">
        <v>1.03</v>
      </c>
      <c r="I36" s="5">
        <v>0.94</v>
      </c>
      <c r="J36" s="6">
        <v>0.99</v>
      </c>
      <c r="L36" s="8">
        <f t="shared" si="25"/>
        <v>0.99500000000000011</v>
      </c>
      <c r="M36" s="8">
        <f t="shared" si="17"/>
        <v>0.97250000000000003</v>
      </c>
      <c r="N36" s="9">
        <v>0.84</v>
      </c>
      <c r="O36" s="9">
        <v>0.95</v>
      </c>
      <c r="Q36" s="1"/>
      <c r="R36" s="1"/>
      <c r="S36" s="1"/>
      <c r="T36" s="1"/>
      <c r="U36" s="4"/>
      <c r="AA36" s="2"/>
      <c r="AB36" s="2"/>
      <c r="AC36">
        <f t="shared" si="6"/>
        <v>0</v>
      </c>
      <c r="AD36" s="1" t="e">
        <f t="shared" si="26"/>
        <v>#DIV/0!</v>
      </c>
      <c r="AF36">
        <f t="shared" si="27"/>
        <v>698.75</v>
      </c>
      <c r="AG36">
        <f t="shared" si="27"/>
        <v>295.25</v>
      </c>
      <c r="AH36">
        <f t="shared" si="21"/>
        <v>994</v>
      </c>
      <c r="AI36" s="1">
        <f t="shared" si="1"/>
        <v>0.29703219315895374</v>
      </c>
      <c r="AK36" s="110">
        <v>1.3332999999999999</v>
      </c>
      <c r="AL36" s="1" t="e">
        <f t="shared" si="28"/>
        <v>#DIV/0!</v>
      </c>
      <c r="AM36">
        <f t="shared" si="24"/>
        <v>263.16320000000002</v>
      </c>
      <c r="AN36" s="1">
        <f t="shared" si="2"/>
        <v>0.3766199642218247</v>
      </c>
      <c r="AO36">
        <v>15</v>
      </c>
      <c r="AP36">
        <f t="shared" si="13"/>
        <v>495</v>
      </c>
      <c r="AZ36" s="72">
        <v>2021</v>
      </c>
      <c r="BA36" s="7" t="s">
        <v>16</v>
      </c>
      <c r="BB36" s="7">
        <v>0</v>
      </c>
      <c r="BC36" s="108">
        <v>1</v>
      </c>
      <c r="BD36" s="108">
        <v>0</v>
      </c>
      <c r="BE36" s="7">
        <f t="shared" si="23"/>
        <v>1</v>
      </c>
      <c r="BF36" s="79">
        <v>3255</v>
      </c>
      <c r="BG36" s="7">
        <f t="shared" si="29"/>
        <v>0</v>
      </c>
      <c r="BH36" s="28">
        <f t="shared" si="30"/>
        <v>41616.25</v>
      </c>
      <c r="BI36" s="29">
        <f t="shared" si="20"/>
        <v>0</v>
      </c>
      <c r="BJ36" s="7">
        <v>2</v>
      </c>
      <c r="BL36" s="7">
        <v>2022</v>
      </c>
      <c r="BM36" s="7" t="s">
        <v>16</v>
      </c>
      <c r="BR36" s="1"/>
      <c r="BU36" s="7">
        <v>100</v>
      </c>
      <c r="BV36" t="s">
        <v>157</v>
      </c>
      <c r="BW36" s="7"/>
    </row>
    <row r="37" spans="1:75" x14ac:dyDescent="0.25">
      <c r="A37" s="7">
        <v>2022</v>
      </c>
      <c r="B37" s="13">
        <v>44795</v>
      </c>
      <c r="C37" s="13"/>
      <c r="D37" s="7">
        <v>34</v>
      </c>
      <c r="F37" s="5">
        <v>0.95</v>
      </c>
      <c r="G37" s="5">
        <v>0.9</v>
      </c>
      <c r="H37" s="5">
        <v>0.91</v>
      </c>
      <c r="I37" s="5">
        <v>0.99</v>
      </c>
      <c r="J37" s="6">
        <v>0.9</v>
      </c>
      <c r="L37" s="8">
        <f t="shared" si="25"/>
        <v>0.98000000000000009</v>
      </c>
      <c r="M37" s="8">
        <f t="shared" si="17"/>
        <v>0.97000000000000008</v>
      </c>
      <c r="N37" s="9">
        <v>0.84</v>
      </c>
      <c r="O37" s="9">
        <v>0.95</v>
      </c>
      <c r="Q37" s="1"/>
      <c r="R37" s="1"/>
      <c r="S37" s="1"/>
      <c r="T37" s="1"/>
      <c r="U37" s="4"/>
      <c r="AA37" s="2"/>
      <c r="AB37" s="2"/>
      <c r="AC37">
        <f t="shared" si="6"/>
        <v>0</v>
      </c>
      <c r="AD37" s="1" t="e">
        <f t="shared" si="26"/>
        <v>#DIV/0!</v>
      </c>
      <c r="AF37">
        <f t="shared" si="27"/>
        <v>698.75</v>
      </c>
      <c r="AG37">
        <f t="shared" si="27"/>
        <v>295.25</v>
      </c>
      <c r="AH37">
        <f t="shared" si="21"/>
        <v>994</v>
      </c>
      <c r="AI37" s="1">
        <f t="shared" si="1"/>
        <v>0.29703219315895374</v>
      </c>
      <c r="AK37" s="110">
        <v>0</v>
      </c>
      <c r="AL37" s="1" t="e">
        <f t="shared" si="28"/>
        <v>#DIV/0!</v>
      </c>
      <c r="AM37">
        <f t="shared" si="24"/>
        <v>263.16320000000002</v>
      </c>
      <c r="AN37" s="1">
        <f t="shared" si="2"/>
        <v>0.3766199642218247</v>
      </c>
      <c r="AO37">
        <v>15</v>
      </c>
      <c r="AP37">
        <f t="shared" si="13"/>
        <v>510</v>
      </c>
      <c r="AZ37" s="72">
        <v>2021</v>
      </c>
      <c r="BA37" s="7" t="s">
        <v>17</v>
      </c>
      <c r="BB37" s="7">
        <v>0</v>
      </c>
      <c r="BC37" s="114">
        <v>1</v>
      </c>
      <c r="BD37" s="108">
        <v>2</v>
      </c>
      <c r="BE37" s="7">
        <f t="shared" si="23"/>
        <v>3</v>
      </c>
      <c r="BF37" s="79">
        <v>5129</v>
      </c>
      <c r="BG37" s="7">
        <f t="shared" si="29"/>
        <v>0</v>
      </c>
      <c r="BH37" s="28">
        <f t="shared" si="30"/>
        <v>42283.5</v>
      </c>
      <c r="BI37" s="29">
        <f t="shared" si="20"/>
        <v>0</v>
      </c>
      <c r="BJ37" s="7">
        <v>2</v>
      </c>
      <c r="BL37" s="7">
        <v>2022</v>
      </c>
      <c r="BM37" s="7" t="s">
        <v>17</v>
      </c>
      <c r="BR37" s="1"/>
      <c r="BU37" s="7">
        <v>105</v>
      </c>
      <c r="BV37" t="s">
        <v>158</v>
      </c>
      <c r="BW37" s="7"/>
    </row>
    <row r="38" spans="1:75" x14ac:dyDescent="0.25">
      <c r="A38" s="7">
        <v>2022</v>
      </c>
      <c r="B38" s="13">
        <v>44802</v>
      </c>
      <c r="C38" s="13"/>
      <c r="D38" s="7">
        <v>35</v>
      </c>
      <c r="F38" s="5">
        <v>1.1200000000000001</v>
      </c>
      <c r="G38" s="5">
        <v>0.92</v>
      </c>
      <c r="H38" s="5">
        <v>1.02</v>
      </c>
      <c r="I38" s="5">
        <v>1</v>
      </c>
      <c r="J38" s="6">
        <v>0.97</v>
      </c>
      <c r="L38" s="8">
        <f t="shared" si="25"/>
        <v>0.97500000000000009</v>
      </c>
      <c r="M38" s="8">
        <f t="shared" si="17"/>
        <v>0.96750000000000003</v>
      </c>
      <c r="N38" s="9">
        <v>0.84</v>
      </c>
      <c r="O38" s="9">
        <v>0.95</v>
      </c>
      <c r="Q38" s="1"/>
      <c r="R38" s="1"/>
      <c r="S38" s="1"/>
      <c r="T38" s="1"/>
      <c r="U38" s="4"/>
      <c r="AA38" s="2"/>
      <c r="AB38" s="2"/>
      <c r="AC38">
        <f t="shared" si="6"/>
        <v>0</v>
      </c>
      <c r="AD38" s="1" t="e">
        <f t="shared" si="26"/>
        <v>#DIV/0!</v>
      </c>
      <c r="AF38">
        <f t="shared" si="27"/>
        <v>698.75</v>
      </c>
      <c r="AG38">
        <f t="shared" si="27"/>
        <v>295.25</v>
      </c>
      <c r="AH38">
        <f t="shared" ref="AH38:AH56" si="31">AH37+AC38</f>
        <v>994</v>
      </c>
      <c r="AI38" s="1">
        <f t="shared" si="1"/>
        <v>0.29703219315895374</v>
      </c>
      <c r="AK38" s="110">
        <v>3.5830000000000002</v>
      </c>
      <c r="AL38" s="1" t="e">
        <f t="shared" si="28"/>
        <v>#DIV/0!</v>
      </c>
      <c r="AM38">
        <f t="shared" si="24"/>
        <v>266.74620000000004</v>
      </c>
      <c r="AN38" s="1">
        <f t="shared" si="2"/>
        <v>0.3817476923076924</v>
      </c>
      <c r="AO38">
        <v>15</v>
      </c>
      <c r="AP38">
        <f t="shared" si="13"/>
        <v>525</v>
      </c>
      <c r="AZ38" s="72">
        <v>2021</v>
      </c>
      <c r="BA38" s="7" t="s">
        <v>18</v>
      </c>
      <c r="BB38" s="7">
        <v>0</v>
      </c>
      <c r="BC38" s="108">
        <v>1</v>
      </c>
      <c r="BD38" s="108">
        <v>2</v>
      </c>
      <c r="BE38" s="7">
        <f t="shared" si="23"/>
        <v>3</v>
      </c>
      <c r="BF38" s="79">
        <v>5102</v>
      </c>
      <c r="BG38" s="7">
        <f t="shared" si="29"/>
        <v>0</v>
      </c>
      <c r="BH38" s="28">
        <f t="shared" si="30"/>
        <v>43583.25</v>
      </c>
      <c r="BI38" s="29">
        <f t="shared" si="20"/>
        <v>0</v>
      </c>
      <c r="BJ38" s="7">
        <v>2</v>
      </c>
      <c r="BL38" s="7">
        <v>2022</v>
      </c>
      <c r="BM38" s="7" t="s">
        <v>18</v>
      </c>
      <c r="BR38" s="1"/>
      <c r="BU38" s="7">
        <v>107</v>
      </c>
      <c r="BV38" t="s">
        <v>159</v>
      </c>
      <c r="BW38" s="7"/>
    </row>
    <row r="39" spans="1:75" x14ac:dyDescent="0.25">
      <c r="A39" s="7">
        <v>2022</v>
      </c>
      <c r="B39" s="13">
        <v>44809</v>
      </c>
      <c r="C39" s="13"/>
      <c r="D39" s="7">
        <v>36</v>
      </c>
      <c r="F39" s="5">
        <v>1.1200000000000001</v>
      </c>
      <c r="G39" s="5">
        <v>0.95</v>
      </c>
      <c r="H39" s="5">
        <v>0.78</v>
      </c>
      <c r="I39" s="5">
        <v>1.5</v>
      </c>
      <c r="J39" s="6">
        <v>0.91</v>
      </c>
      <c r="L39" s="8">
        <f t="shared" si="25"/>
        <v>0.94250000000000012</v>
      </c>
      <c r="M39" s="8">
        <f t="shared" si="17"/>
        <v>0.96875</v>
      </c>
      <c r="N39" s="9">
        <v>0.84</v>
      </c>
      <c r="O39" s="9">
        <v>0.95</v>
      </c>
      <c r="Q39" s="1"/>
      <c r="R39" s="1"/>
      <c r="S39" s="1"/>
      <c r="T39" s="1"/>
      <c r="U39" s="4"/>
      <c r="AA39" s="2"/>
      <c r="AB39" s="2"/>
      <c r="AC39">
        <f t="shared" si="6"/>
        <v>0</v>
      </c>
      <c r="AD39" s="1" t="e">
        <f t="shared" si="26"/>
        <v>#DIV/0!</v>
      </c>
      <c r="AF39">
        <f t="shared" si="27"/>
        <v>698.75</v>
      </c>
      <c r="AG39">
        <f t="shared" si="27"/>
        <v>295.25</v>
      </c>
      <c r="AH39">
        <f t="shared" si="31"/>
        <v>994</v>
      </c>
      <c r="AI39" s="1">
        <f t="shared" si="1"/>
        <v>0.29703219315895374</v>
      </c>
      <c r="AK39">
        <v>7.5</v>
      </c>
      <c r="AL39" s="1" t="e">
        <f t="shared" si="28"/>
        <v>#DIV/0!</v>
      </c>
      <c r="AM39">
        <f t="shared" si="24"/>
        <v>274.24620000000004</v>
      </c>
      <c r="AN39" s="1">
        <f t="shared" si="2"/>
        <v>0.39248114490161007</v>
      </c>
      <c r="AO39">
        <v>15</v>
      </c>
      <c r="AP39">
        <f t="shared" si="13"/>
        <v>540</v>
      </c>
      <c r="AZ39" s="75">
        <v>2021</v>
      </c>
      <c r="BA39" s="76" t="s">
        <v>19</v>
      </c>
      <c r="BB39" s="76">
        <v>0</v>
      </c>
      <c r="BC39" s="109">
        <v>1</v>
      </c>
      <c r="BD39" s="109">
        <v>0</v>
      </c>
      <c r="BE39" s="76">
        <f t="shared" si="23"/>
        <v>1</v>
      </c>
      <c r="BF39" s="80">
        <v>5019</v>
      </c>
      <c r="BG39" s="7">
        <f t="shared" si="29"/>
        <v>0</v>
      </c>
      <c r="BH39" s="28">
        <f t="shared" si="30"/>
        <v>44754</v>
      </c>
      <c r="BI39" s="29">
        <f t="shared" si="20"/>
        <v>0</v>
      </c>
      <c r="BJ39" s="7">
        <v>2</v>
      </c>
      <c r="BL39" s="7">
        <v>2022</v>
      </c>
      <c r="BM39" s="7" t="s">
        <v>19</v>
      </c>
      <c r="BR39" s="1"/>
      <c r="BU39" s="7">
        <v>110</v>
      </c>
      <c r="BV39" t="s">
        <v>160</v>
      </c>
      <c r="BW39" s="7"/>
    </row>
    <row r="40" spans="1:75" x14ac:dyDescent="0.25">
      <c r="A40" s="7">
        <v>2022</v>
      </c>
      <c r="B40" s="13">
        <v>44816</v>
      </c>
      <c r="C40" s="13" t="s">
        <v>16</v>
      </c>
      <c r="D40" s="7">
        <v>37</v>
      </c>
      <c r="F40" s="5">
        <v>0.8</v>
      </c>
      <c r="G40" s="5">
        <v>0.84</v>
      </c>
      <c r="H40" s="5">
        <v>0.77</v>
      </c>
      <c r="I40" s="5">
        <v>1</v>
      </c>
      <c r="J40" s="6">
        <v>0.81</v>
      </c>
      <c r="L40" s="8">
        <f t="shared" si="25"/>
        <v>0.89750000000000008</v>
      </c>
      <c r="M40" s="8">
        <f t="shared" si="17"/>
        <v>0.94625000000000004</v>
      </c>
      <c r="N40" s="9">
        <v>0.84</v>
      </c>
      <c r="O40" s="9">
        <v>0.95</v>
      </c>
      <c r="Q40" s="1"/>
      <c r="R40" s="1"/>
      <c r="S40" s="1"/>
      <c r="T40" s="1"/>
      <c r="U40" s="4"/>
      <c r="AA40" s="2"/>
      <c r="AB40" s="2"/>
      <c r="AC40">
        <f t="shared" si="6"/>
        <v>0</v>
      </c>
      <c r="AD40" s="1" t="e">
        <f t="shared" si="26"/>
        <v>#DIV/0!</v>
      </c>
      <c r="AF40">
        <f t="shared" si="27"/>
        <v>698.75</v>
      </c>
      <c r="AG40">
        <f t="shared" si="27"/>
        <v>295.25</v>
      </c>
      <c r="AH40">
        <f t="shared" si="31"/>
        <v>994</v>
      </c>
      <c r="AI40" s="1">
        <f t="shared" si="1"/>
        <v>0.29703219315895374</v>
      </c>
      <c r="AK40">
        <v>8</v>
      </c>
      <c r="AL40" s="1" t="e">
        <f t="shared" si="28"/>
        <v>#DIV/0!</v>
      </c>
      <c r="AM40">
        <f t="shared" si="24"/>
        <v>282.24620000000004</v>
      </c>
      <c r="AN40" s="1">
        <f t="shared" si="2"/>
        <v>0.40393016100178897</v>
      </c>
      <c r="AO40">
        <v>15</v>
      </c>
      <c r="AP40">
        <f t="shared" si="13"/>
        <v>555</v>
      </c>
      <c r="AZ40" s="7">
        <v>2022</v>
      </c>
      <c r="BA40" s="7" t="s">
        <v>8</v>
      </c>
      <c r="BB40" s="7">
        <v>0</v>
      </c>
      <c r="BC40" s="7">
        <v>1</v>
      </c>
      <c r="BD40" s="7">
        <v>1</v>
      </c>
      <c r="BE40" s="7">
        <f t="shared" si="23"/>
        <v>2</v>
      </c>
      <c r="BF40" s="30">
        <v>4683</v>
      </c>
      <c r="BG40" s="7">
        <f t="shared" si="29"/>
        <v>0</v>
      </c>
      <c r="BH40" s="28">
        <f t="shared" ref="BH40:BH45" si="32">SUM(BF29:BF40)</f>
        <v>46452.75</v>
      </c>
      <c r="BI40" s="29">
        <f t="shared" ref="BI40:BI45" si="33">BG40*200000/BH40</f>
        <v>0</v>
      </c>
      <c r="BJ40" s="7">
        <v>2</v>
      </c>
      <c r="BL40" s="7">
        <v>2022</v>
      </c>
      <c r="BM40" s="7" t="s">
        <v>49</v>
      </c>
      <c r="BN40">
        <f>SUM(BN16:BN27)</f>
        <v>15</v>
      </c>
      <c r="BO40" s="102">
        <f>SUM(BO16:BO27)</f>
        <v>11</v>
      </c>
      <c r="BP40">
        <f>BN40+BO40</f>
        <v>26</v>
      </c>
      <c r="BQ40" s="1">
        <f>BN40/BP40</f>
        <v>0.57692307692307687</v>
      </c>
      <c r="BR40" s="1">
        <v>0.95</v>
      </c>
      <c r="BU40" s="7">
        <v>115</v>
      </c>
      <c r="BV40" t="s">
        <v>161</v>
      </c>
      <c r="BW40" s="7"/>
    </row>
    <row r="41" spans="1:75" x14ac:dyDescent="0.25">
      <c r="A41" s="7">
        <v>2022</v>
      </c>
      <c r="B41" s="13">
        <v>44823</v>
      </c>
      <c r="D41" s="7">
        <v>38</v>
      </c>
      <c r="F41" s="5">
        <v>0.8</v>
      </c>
      <c r="G41" s="5">
        <v>0.84</v>
      </c>
      <c r="H41" s="5">
        <v>0.77</v>
      </c>
      <c r="I41" s="5">
        <v>1</v>
      </c>
      <c r="J41" s="6">
        <v>0.81</v>
      </c>
      <c r="L41" s="8">
        <f t="shared" si="25"/>
        <v>0.875</v>
      </c>
      <c r="M41" s="8">
        <f t="shared" si="17"/>
        <v>0.92750000000000021</v>
      </c>
      <c r="N41" s="9">
        <v>0.84</v>
      </c>
      <c r="O41" s="9">
        <v>0.95</v>
      </c>
      <c r="Q41" s="1"/>
      <c r="R41" s="1"/>
      <c r="S41" s="1"/>
      <c r="T41" s="1"/>
      <c r="U41" s="4"/>
      <c r="AA41" s="2"/>
      <c r="AB41" s="2"/>
      <c r="AC41">
        <f t="shared" si="6"/>
        <v>0</v>
      </c>
      <c r="AD41" s="1" t="e">
        <f t="shared" si="26"/>
        <v>#DIV/0!</v>
      </c>
      <c r="AF41">
        <f t="shared" si="27"/>
        <v>698.75</v>
      </c>
      <c r="AG41">
        <f t="shared" si="27"/>
        <v>295.25</v>
      </c>
      <c r="AH41">
        <f t="shared" si="31"/>
        <v>994</v>
      </c>
      <c r="AI41" s="1">
        <f t="shared" si="1"/>
        <v>0.29703219315895374</v>
      </c>
      <c r="AK41">
        <v>22</v>
      </c>
      <c r="AL41" s="1" t="e">
        <f t="shared" si="28"/>
        <v>#DIV/0!</v>
      </c>
      <c r="AM41">
        <f t="shared" si="24"/>
        <v>304.24620000000004</v>
      </c>
      <c r="AN41" s="1">
        <f t="shared" si="2"/>
        <v>0.43541495527728091</v>
      </c>
      <c r="AO41">
        <v>15</v>
      </c>
      <c r="AP41">
        <f t="shared" si="13"/>
        <v>570</v>
      </c>
      <c r="AZ41" s="7">
        <v>2022</v>
      </c>
      <c r="BA41" s="7" t="s">
        <v>9</v>
      </c>
      <c r="BB41" s="7">
        <v>0</v>
      </c>
      <c r="BC41" s="7">
        <v>0</v>
      </c>
      <c r="BD41" s="7">
        <v>1</v>
      </c>
      <c r="BE41" s="7">
        <f t="shared" si="23"/>
        <v>1</v>
      </c>
      <c r="BF41" s="30">
        <v>5033</v>
      </c>
      <c r="BG41" s="7">
        <f t="shared" si="29"/>
        <v>0</v>
      </c>
      <c r="BH41" s="28">
        <f t="shared" si="32"/>
        <v>48138.25</v>
      </c>
      <c r="BI41" s="29">
        <f t="shared" si="33"/>
        <v>0</v>
      </c>
      <c r="BJ41" s="7">
        <v>2</v>
      </c>
      <c r="BL41" t="s">
        <v>78</v>
      </c>
      <c r="BN41">
        <f>SUM(BN5:BN16)</f>
        <v>110</v>
      </c>
      <c r="BO41" s="102">
        <f>SUM(BO5:BO16)</f>
        <v>25</v>
      </c>
      <c r="BP41">
        <f>BN41+BO41</f>
        <v>135</v>
      </c>
      <c r="BQ41" s="1">
        <f>BN41/BP41</f>
        <v>0.81481481481481477</v>
      </c>
      <c r="BR41" s="1">
        <v>0.95</v>
      </c>
      <c r="BU41" s="7">
        <v>120</v>
      </c>
      <c r="BV41" t="s">
        <v>162</v>
      </c>
      <c r="BW41" s="7"/>
    </row>
    <row r="42" spans="1:75" x14ac:dyDescent="0.25">
      <c r="A42" s="7">
        <v>2022</v>
      </c>
      <c r="B42" s="13">
        <v>44830</v>
      </c>
      <c r="C42" s="13"/>
      <c r="D42" s="7">
        <v>39</v>
      </c>
      <c r="F42" s="5">
        <v>0.88</v>
      </c>
      <c r="G42" s="5">
        <v>0.83</v>
      </c>
      <c r="H42" s="5">
        <v>0.89</v>
      </c>
      <c r="I42" s="5">
        <v>1.2</v>
      </c>
      <c r="J42" s="6">
        <v>0.86</v>
      </c>
      <c r="L42" s="8">
        <f t="shared" si="25"/>
        <v>0.84750000000000003</v>
      </c>
      <c r="M42" s="8">
        <f t="shared" si="17"/>
        <v>0.91125000000000023</v>
      </c>
      <c r="N42" s="9">
        <v>0.84</v>
      </c>
      <c r="O42" s="9">
        <v>0.95</v>
      </c>
      <c r="Q42" s="1"/>
      <c r="R42" s="1"/>
      <c r="S42" s="1"/>
      <c r="T42" s="1"/>
      <c r="U42" s="4"/>
      <c r="AA42" s="2"/>
      <c r="AB42" s="2"/>
      <c r="AC42">
        <f t="shared" si="6"/>
        <v>0</v>
      </c>
      <c r="AD42" s="1" t="e">
        <f t="shared" si="26"/>
        <v>#DIV/0!</v>
      </c>
      <c r="AF42">
        <f t="shared" si="27"/>
        <v>698.75</v>
      </c>
      <c r="AG42">
        <f t="shared" si="27"/>
        <v>295.25</v>
      </c>
      <c r="AH42">
        <f t="shared" si="31"/>
        <v>994</v>
      </c>
      <c r="AI42" s="1">
        <f t="shared" si="1"/>
        <v>0.29703219315895374</v>
      </c>
      <c r="AK42">
        <v>2.5</v>
      </c>
      <c r="AL42" s="1" t="e">
        <f t="shared" si="28"/>
        <v>#DIV/0!</v>
      </c>
      <c r="AM42">
        <f t="shared" si="24"/>
        <v>306.74620000000004</v>
      </c>
      <c r="AN42" s="1">
        <f t="shared" si="2"/>
        <v>0.43899277280858684</v>
      </c>
      <c r="AO42">
        <v>15</v>
      </c>
      <c r="AP42">
        <f t="shared" si="13"/>
        <v>585</v>
      </c>
      <c r="AZ42" s="7">
        <v>2022</v>
      </c>
      <c r="BA42" s="7" t="s">
        <v>10</v>
      </c>
      <c r="BB42" s="7">
        <v>0</v>
      </c>
      <c r="BC42" s="7">
        <v>1</v>
      </c>
      <c r="BD42" s="7">
        <v>1</v>
      </c>
      <c r="BE42" s="7">
        <f t="shared" si="23"/>
        <v>2</v>
      </c>
      <c r="BF42" s="30">
        <v>4646</v>
      </c>
      <c r="BG42" s="7">
        <f t="shared" si="29"/>
        <v>0</v>
      </c>
      <c r="BH42" s="28">
        <f t="shared" si="32"/>
        <v>49089</v>
      </c>
      <c r="BI42" s="29">
        <f t="shared" si="33"/>
        <v>0</v>
      </c>
      <c r="BJ42" s="7">
        <v>2</v>
      </c>
      <c r="BU42" s="7">
        <v>125</v>
      </c>
      <c r="BV42" t="s">
        <v>163</v>
      </c>
      <c r="BW42" s="7"/>
    </row>
    <row r="43" spans="1:75" x14ac:dyDescent="0.25">
      <c r="A43" s="7">
        <v>2022</v>
      </c>
      <c r="B43" s="13">
        <v>44837</v>
      </c>
      <c r="C43" s="13"/>
      <c r="D43" s="7">
        <v>40</v>
      </c>
      <c r="F43" s="5">
        <v>0.73</v>
      </c>
      <c r="G43" s="5">
        <v>0.73</v>
      </c>
      <c r="H43" s="5">
        <v>0.86</v>
      </c>
      <c r="I43" s="5">
        <v>1.1399999999999999</v>
      </c>
      <c r="J43" s="6">
        <v>0.77</v>
      </c>
      <c r="L43" s="8">
        <f t="shared" si="25"/>
        <v>0.8125</v>
      </c>
      <c r="M43" s="8">
        <f t="shared" si="17"/>
        <v>0.87750000000000017</v>
      </c>
      <c r="N43" s="9">
        <v>0.84</v>
      </c>
      <c r="O43" s="9">
        <v>0.95</v>
      </c>
      <c r="Q43" s="1"/>
      <c r="R43" s="1"/>
      <c r="S43" s="1"/>
      <c r="T43" s="1"/>
      <c r="U43" s="4"/>
      <c r="AA43" s="2"/>
      <c r="AB43" s="2"/>
      <c r="AC43">
        <f t="shared" si="6"/>
        <v>0</v>
      </c>
      <c r="AD43" s="1" t="e">
        <f t="shared" si="26"/>
        <v>#DIV/0!</v>
      </c>
      <c r="AF43">
        <f t="shared" si="27"/>
        <v>698.75</v>
      </c>
      <c r="AG43">
        <f t="shared" si="27"/>
        <v>295.25</v>
      </c>
      <c r="AH43">
        <f t="shared" si="31"/>
        <v>994</v>
      </c>
      <c r="AI43" s="1">
        <f t="shared" si="1"/>
        <v>0.29703219315895374</v>
      </c>
      <c r="AK43">
        <v>0</v>
      </c>
      <c r="AL43" s="1" t="e">
        <f t="shared" si="28"/>
        <v>#DIV/0!</v>
      </c>
      <c r="AM43">
        <f t="shared" si="24"/>
        <v>306.74620000000004</v>
      </c>
      <c r="AN43" s="1">
        <f t="shared" si="2"/>
        <v>0.43899277280858684</v>
      </c>
      <c r="AO43">
        <v>15</v>
      </c>
      <c r="AP43">
        <f t="shared" si="13"/>
        <v>600</v>
      </c>
      <c r="AZ43" s="7">
        <v>2022</v>
      </c>
      <c r="BA43" s="7" t="s">
        <v>11</v>
      </c>
      <c r="BB43" s="7">
        <v>0</v>
      </c>
      <c r="BC43" s="7">
        <v>0</v>
      </c>
      <c r="BD43" s="7">
        <v>0</v>
      </c>
      <c r="BE43" s="7">
        <f t="shared" si="23"/>
        <v>0</v>
      </c>
      <c r="BF43" s="30">
        <v>3362</v>
      </c>
      <c r="BG43" s="7">
        <f t="shared" si="29"/>
        <v>0</v>
      </c>
      <c r="BH43" s="28">
        <f t="shared" si="32"/>
        <v>49609.5</v>
      </c>
      <c r="BI43" s="29">
        <f t="shared" si="33"/>
        <v>0</v>
      </c>
      <c r="BJ43" s="7">
        <v>2</v>
      </c>
      <c r="BM43" s="7" t="s">
        <v>25</v>
      </c>
      <c r="BN43">
        <v>80</v>
      </c>
      <c r="BU43" s="7">
        <v>130</v>
      </c>
      <c r="BV43" t="s">
        <v>164</v>
      </c>
      <c r="BW43" s="7"/>
    </row>
    <row r="44" spans="1:75" x14ac:dyDescent="0.25">
      <c r="A44" s="7">
        <v>2022</v>
      </c>
      <c r="B44" s="13">
        <v>44844</v>
      </c>
      <c r="C44" s="13"/>
      <c r="D44" s="7">
        <v>41</v>
      </c>
      <c r="F44" s="5">
        <v>0.52</v>
      </c>
      <c r="G44" s="5">
        <v>0.76</v>
      </c>
      <c r="H44" s="5">
        <v>0.74</v>
      </c>
      <c r="I44" s="5">
        <v>1.0900000000000001</v>
      </c>
      <c r="J44" s="6">
        <v>0.73</v>
      </c>
      <c r="L44" s="8">
        <f t="shared" si="25"/>
        <v>0.79249999999999998</v>
      </c>
      <c r="M44" s="8">
        <f t="shared" si="17"/>
        <v>0.8450000000000002</v>
      </c>
      <c r="N44" s="9">
        <v>0.84</v>
      </c>
      <c r="O44" s="9">
        <v>0.95</v>
      </c>
      <c r="Q44" s="1"/>
      <c r="R44" s="1"/>
      <c r="S44" s="1"/>
      <c r="T44" s="1"/>
      <c r="U44" s="4"/>
      <c r="AA44" s="2"/>
      <c r="AB44" s="2"/>
      <c r="AC44">
        <f t="shared" si="6"/>
        <v>0</v>
      </c>
      <c r="AD44" s="1" t="e">
        <f t="shared" si="26"/>
        <v>#DIV/0!</v>
      </c>
      <c r="AF44">
        <f t="shared" si="27"/>
        <v>698.75</v>
      </c>
      <c r="AG44">
        <f t="shared" si="27"/>
        <v>295.25</v>
      </c>
      <c r="AH44">
        <f t="shared" si="31"/>
        <v>994</v>
      </c>
      <c r="AI44" s="1">
        <f t="shared" si="1"/>
        <v>0.29703219315895374</v>
      </c>
      <c r="AK44">
        <v>16.5</v>
      </c>
      <c r="AL44" s="1" t="e">
        <f t="shared" si="28"/>
        <v>#DIV/0!</v>
      </c>
      <c r="AM44">
        <f t="shared" si="24"/>
        <v>323.24620000000004</v>
      </c>
      <c r="AN44" s="1">
        <f t="shared" si="2"/>
        <v>0.46260636851520581</v>
      </c>
      <c r="AO44">
        <v>15</v>
      </c>
      <c r="AP44">
        <f t="shared" si="13"/>
        <v>615</v>
      </c>
      <c r="AZ44" s="7">
        <v>2022</v>
      </c>
      <c r="BA44" s="7" t="s">
        <v>12</v>
      </c>
      <c r="BB44" s="7">
        <v>0</v>
      </c>
      <c r="BC44" s="7">
        <v>2</v>
      </c>
      <c r="BD44" s="7">
        <v>0</v>
      </c>
      <c r="BE44" s="7">
        <f t="shared" si="23"/>
        <v>2</v>
      </c>
      <c r="BF44" s="30">
        <v>3525</v>
      </c>
      <c r="BG44" s="7">
        <f t="shared" si="29"/>
        <v>0</v>
      </c>
      <c r="BH44" s="28">
        <f t="shared" si="32"/>
        <v>50496.75</v>
      </c>
      <c r="BI44" s="29">
        <f t="shared" si="33"/>
        <v>0</v>
      </c>
      <c r="BJ44" s="7">
        <v>2</v>
      </c>
      <c r="BM44" s="7" t="s">
        <v>105</v>
      </c>
      <c r="BN44">
        <v>15</v>
      </c>
      <c r="BU44" s="7">
        <v>135</v>
      </c>
      <c r="BV44" t="s">
        <v>165</v>
      </c>
      <c r="BW44" s="7"/>
    </row>
    <row r="45" spans="1:75" x14ac:dyDescent="0.25">
      <c r="A45" s="7">
        <v>2022</v>
      </c>
      <c r="B45" s="13">
        <v>44851</v>
      </c>
      <c r="C45" s="13" t="s">
        <v>17</v>
      </c>
      <c r="D45" s="7">
        <v>42</v>
      </c>
      <c r="F45" s="5">
        <v>0.86</v>
      </c>
      <c r="G45" s="5">
        <v>0.71</v>
      </c>
      <c r="H45" s="5">
        <v>0.78</v>
      </c>
      <c r="I45" s="5">
        <v>1</v>
      </c>
      <c r="J45" s="6">
        <v>0.75</v>
      </c>
      <c r="L45" s="8">
        <f t="shared" si="25"/>
        <v>0.77749999999999997</v>
      </c>
      <c r="M45" s="8">
        <f t="shared" si="17"/>
        <v>0.82625000000000015</v>
      </c>
      <c r="N45" s="9">
        <v>0.84</v>
      </c>
      <c r="O45" s="9">
        <v>0.95</v>
      </c>
      <c r="Q45" s="1"/>
      <c r="R45" s="1"/>
      <c r="S45" s="1"/>
      <c r="T45" s="1"/>
      <c r="U45" s="4"/>
      <c r="AA45" s="2"/>
      <c r="AB45" s="2"/>
      <c r="AC45">
        <f t="shared" si="6"/>
        <v>0</v>
      </c>
      <c r="AD45" s="1" t="e">
        <f t="shared" si="26"/>
        <v>#DIV/0!</v>
      </c>
      <c r="AF45">
        <f t="shared" si="27"/>
        <v>698.75</v>
      </c>
      <c r="AG45">
        <f t="shared" si="27"/>
        <v>295.25</v>
      </c>
      <c r="AH45">
        <f t="shared" si="31"/>
        <v>994</v>
      </c>
      <c r="AI45" s="1">
        <f t="shared" si="1"/>
        <v>0.29703219315895374</v>
      </c>
      <c r="AK45">
        <v>52</v>
      </c>
      <c r="AL45" s="1" t="e">
        <f t="shared" si="28"/>
        <v>#DIV/0!</v>
      </c>
      <c r="AM45">
        <f t="shared" si="24"/>
        <v>375.24620000000004</v>
      </c>
      <c r="AN45" s="1">
        <f t="shared" si="2"/>
        <v>0.53702497316636855</v>
      </c>
      <c r="AO45">
        <v>15</v>
      </c>
      <c r="AP45">
        <f t="shared" si="13"/>
        <v>630</v>
      </c>
      <c r="AZ45" s="7">
        <v>2022</v>
      </c>
      <c r="BA45" s="7" t="s">
        <v>13</v>
      </c>
      <c r="BB45" s="7">
        <v>0</v>
      </c>
      <c r="BC45" s="7">
        <v>2</v>
      </c>
      <c r="BD45" s="7">
        <v>1</v>
      </c>
      <c r="BE45" s="7">
        <f t="shared" si="23"/>
        <v>3</v>
      </c>
      <c r="BF45" s="30">
        <v>3898</v>
      </c>
      <c r="BG45" s="7">
        <f t="shared" si="29"/>
        <v>0</v>
      </c>
      <c r="BH45" s="28">
        <f t="shared" si="32"/>
        <v>50352</v>
      </c>
      <c r="BI45" s="29">
        <f t="shared" si="33"/>
        <v>0</v>
      </c>
      <c r="BJ45" s="7">
        <v>2</v>
      </c>
      <c r="BM45" s="7" t="s">
        <v>104</v>
      </c>
      <c r="BN45">
        <v>5</v>
      </c>
      <c r="BU45" s="7">
        <v>140</v>
      </c>
      <c r="BV45" t="s">
        <v>166</v>
      </c>
      <c r="BW45" s="7"/>
    </row>
    <row r="46" spans="1:75" x14ac:dyDescent="0.25">
      <c r="A46" s="7">
        <v>2022</v>
      </c>
      <c r="B46" s="13">
        <v>44858</v>
      </c>
      <c r="C46" s="13"/>
      <c r="D46" s="7">
        <v>43</v>
      </c>
      <c r="F46" s="5">
        <v>0.88</v>
      </c>
      <c r="G46" s="5">
        <v>0.69</v>
      </c>
      <c r="H46" s="5">
        <v>0.97</v>
      </c>
      <c r="I46" s="5">
        <v>1</v>
      </c>
      <c r="J46" s="6">
        <v>0.8</v>
      </c>
      <c r="L46" s="8">
        <f t="shared" si="25"/>
        <v>0.76249999999999996</v>
      </c>
      <c r="M46" s="8">
        <f t="shared" si="17"/>
        <v>0.80500000000000005</v>
      </c>
      <c r="N46" s="9">
        <v>0.84</v>
      </c>
      <c r="O46" s="9">
        <v>0.95</v>
      </c>
      <c r="Q46" s="1"/>
      <c r="R46" s="1"/>
      <c r="S46" s="1"/>
      <c r="T46" s="1"/>
      <c r="U46" s="4"/>
      <c r="AA46" s="2"/>
      <c r="AB46" s="2"/>
      <c r="AC46">
        <f t="shared" si="6"/>
        <v>0</v>
      </c>
      <c r="AD46" s="1" t="e">
        <f t="shared" si="26"/>
        <v>#DIV/0!</v>
      </c>
      <c r="AF46">
        <f t="shared" si="27"/>
        <v>698.75</v>
      </c>
      <c r="AG46">
        <f t="shared" si="27"/>
        <v>295.25</v>
      </c>
      <c r="AH46">
        <f t="shared" si="31"/>
        <v>994</v>
      </c>
      <c r="AI46" s="1">
        <f t="shared" si="1"/>
        <v>0.29703219315895374</v>
      </c>
      <c r="AK46">
        <v>44.33</v>
      </c>
      <c r="AL46" s="1" t="e">
        <f t="shared" si="28"/>
        <v>#DIV/0!</v>
      </c>
      <c r="AM46">
        <f t="shared" si="24"/>
        <v>419.57620000000003</v>
      </c>
      <c r="AN46" s="1">
        <f t="shared" si="2"/>
        <v>0.60046683363148479</v>
      </c>
      <c r="AO46">
        <v>15</v>
      </c>
      <c r="AP46">
        <f t="shared" si="13"/>
        <v>645</v>
      </c>
      <c r="AZ46" s="7">
        <v>2022</v>
      </c>
      <c r="BA46" s="7" t="s">
        <v>14</v>
      </c>
      <c r="BB46" s="7">
        <v>0</v>
      </c>
      <c r="BC46" s="7">
        <v>0</v>
      </c>
      <c r="BD46" s="7">
        <v>0</v>
      </c>
      <c r="BE46" s="7">
        <f t="shared" si="23"/>
        <v>0</v>
      </c>
      <c r="BF46" s="30">
        <v>3333</v>
      </c>
      <c r="BG46" s="7">
        <f>SUM(BB35:BB46)</f>
        <v>0</v>
      </c>
      <c r="BH46" s="28">
        <f>SUM(BF35:BF46)</f>
        <v>50354</v>
      </c>
      <c r="BI46" s="29">
        <f>BG46*200000/BH46</f>
        <v>0</v>
      </c>
      <c r="BJ46" s="7">
        <v>2</v>
      </c>
      <c r="BM46" s="7" t="s">
        <v>26</v>
      </c>
      <c r="BN46">
        <v>100</v>
      </c>
      <c r="BU46" s="7">
        <v>145</v>
      </c>
      <c r="BV46" t="s">
        <v>167</v>
      </c>
      <c r="BW46" s="7"/>
    </row>
    <row r="47" spans="1:75" x14ac:dyDescent="0.25">
      <c r="A47" s="7">
        <v>2022</v>
      </c>
      <c r="B47" s="13">
        <v>44865</v>
      </c>
      <c r="C47" s="13"/>
      <c r="D47" s="7">
        <v>44</v>
      </c>
      <c r="F47" s="5">
        <v>0.6</v>
      </c>
      <c r="G47" s="5">
        <v>0.8</v>
      </c>
      <c r="H47" s="5">
        <v>0.97</v>
      </c>
      <c r="I47" s="5">
        <v>1</v>
      </c>
      <c r="J47" s="6">
        <v>0.84</v>
      </c>
      <c r="L47" s="8">
        <f t="shared" si="25"/>
        <v>0.78</v>
      </c>
      <c r="M47" s="8">
        <f t="shared" si="17"/>
        <v>0.79625000000000001</v>
      </c>
      <c r="N47" s="9">
        <v>0.84</v>
      </c>
      <c r="O47" s="9">
        <v>0.95</v>
      </c>
      <c r="Q47" s="1"/>
      <c r="R47" s="1"/>
      <c r="S47" s="1"/>
      <c r="T47" s="1"/>
      <c r="U47" s="4"/>
      <c r="AA47" s="2"/>
      <c r="AB47" s="2"/>
      <c r="AC47">
        <f t="shared" si="6"/>
        <v>0</v>
      </c>
      <c r="AD47" s="1" t="e">
        <f t="shared" si="26"/>
        <v>#DIV/0!</v>
      </c>
      <c r="AF47">
        <f t="shared" si="27"/>
        <v>698.75</v>
      </c>
      <c r="AG47">
        <f t="shared" si="27"/>
        <v>295.25</v>
      </c>
      <c r="AH47">
        <f t="shared" si="31"/>
        <v>994</v>
      </c>
      <c r="AI47" s="1">
        <f t="shared" si="1"/>
        <v>0.29703219315895374</v>
      </c>
      <c r="AK47">
        <v>4.5</v>
      </c>
      <c r="AL47" s="1" t="e">
        <f t="shared" si="28"/>
        <v>#DIV/0!</v>
      </c>
      <c r="AM47">
        <f t="shared" si="24"/>
        <v>424.07620000000003</v>
      </c>
      <c r="AN47" s="1">
        <f t="shared" si="2"/>
        <v>0.60690690518783541</v>
      </c>
      <c r="AO47">
        <v>15</v>
      </c>
      <c r="AP47">
        <f t="shared" si="13"/>
        <v>660</v>
      </c>
      <c r="AZ47" s="7">
        <v>2022</v>
      </c>
      <c r="BA47" s="7" t="s">
        <v>15</v>
      </c>
      <c r="BB47" s="7">
        <v>0</v>
      </c>
      <c r="BC47" s="7">
        <v>1</v>
      </c>
      <c r="BD47" s="7">
        <v>3</v>
      </c>
      <c r="BE47" s="7">
        <f t="shared" si="23"/>
        <v>4</v>
      </c>
      <c r="BF47" s="30">
        <v>4829</v>
      </c>
      <c r="BG47" s="7">
        <f>SUM(BB36:BB47)</f>
        <v>0</v>
      </c>
      <c r="BH47" s="28">
        <f>SUM(BF36:BF47)</f>
        <v>51814</v>
      </c>
      <c r="BI47" s="29">
        <f>BG47*200000/BH47</f>
        <v>0</v>
      </c>
      <c r="BJ47" s="7">
        <v>2</v>
      </c>
      <c r="BU47" s="7">
        <v>147</v>
      </c>
      <c r="BV47" t="s">
        <v>168</v>
      </c>
      <c r="BW47" s="7"/>
    </row>
    <row r="48" spans="1:75" x14ac:dyDescent="0.25">
      <c r="A48" s="7">
        <v>2022</v>
      </c>
      <c r="B48" s="13">
        <v>44872</v>
      </c>
      <c r="C48" s="13"/>
      <c r="D48" s="7">
        <v>45</v>
      </c>
      <c r="F48" s="5">
        <v>0.85</v>
      </c>
      <c r="G48" s="5">
        <v>0.93</v>
      </c>
      <c r="H48" s="5">
        <v>0.92</v>
      </c>
      <c r="I48" s="5">
        <v>1</v>
      </c>
      <c r="J48" s="6">
        <v>0.91</v>
      </c>
      <c r="L48" s="8">
        <f t="shared" si="25"/>
        <v>0.82500000000000007</v>
      </c>
      <c r="M48" s="8">
        <f t="shared" si="17"/>
        <v>0.80874999999999997</v>
      </c>
      <c r="N48" s="9">
        <v>0.84</v>
      </c>
      <c r="O48" s="9">
        <v>0.95</v>
      </c>
      <c r="Q48" s="1"/>
      <c r="R48" s="1"/>
      <c r="S48" s="1"/>
      <c r="T48" s="1"/>
      <c r="U48" s="4"/>
      <c r="AA48" s="2"/>
      <c r="AB48" s="2"/>
      <c r="AC48">
        <f t="shared" si="6"/>
        <v>0</v>
      </c>
      <c r="AD48" s="1" t="e">
        <f t="shared" si="26"/>
        <v>#DIV/0!</v>
      </c>
      <c r="AF48">
        <f t="shared" si="27"/>
        <v>698.75</v>
      </c>
      <c r="AG48">
        <f t="shared" si="27"/>
        <v>295.25</v>
      </c>
      <c r="AH48">
        <f t="shared" si="31"/>
        <v>994</v>
      </c>
      <c r="AI48" s="1">
        <f t="shared" si="1"/>
        <v>0.29703219315895374</v>
      </c>
      <c r="AK48">
        <v>21.08</v>
      </c>
      <c r="AL48" s="1" t="e">
        <f t="shared" si="28"/>
        <v>#DIV/0!</v>
      </c>
      <c r="AM48">
        <f t="shared" si="24"/>
        <v>445.15620000000001</v>
      </c>
      <c r="AN48" s="1">
        <f t="shared" si="2"/>
        <v>0.6370750626118068</v>
      </c>
      <c r="AO48">
        <v>15</v>
      </c>
      <c r="AP48">
        <f t="shared" si="13"/>
        <v>675</v>
      </c>
      <c r="AZ48" s="7">
        <v>2022</v>
      </c>
      <c r="BA48" s="7" t="s">
        <v>16</v>
      </c>
      <c r="BB48" s="7">
        <v>0</v>
      </c>
      <c r="BC48" s="7">
        <v>0</v>
      </c>
      <c r="BD48" s="7">
        <v>0</v>
      </c>
      <c r="BE48" s="7">
        <f t="shared" si="23"/>
        <v>0</v>
      </c>
      <c r="BF48" s="30"/>
      <c r="BG48" s="7"/>
      <c r="BH48" s="28"/>
      <c r="BI48" s="29"/>
      <c r="BJ48" s="7"/>
      <c r="BM48" s="7" t="s">
        <v>49</v>
      </c>
      <c r="BN48" s="45">
        <f>BQ40</f>
        <v>0.57692307692307687</v>
      </c>
      <c r="BU48" s="7">
        <v>150</v>
      </c>
      <c r="BV48" t="s">
        <v>169</v>
      </c>
      <c r="BW48" s="7"/>
    </row>
    <row r="49" spans="1:75" x14ac:dyDescent="0.25">
      <c r="A49" s="7">
        <v>2022</v>
      </c>
      <c r="B49" s="13">
        <v>44879</v>
      </c>
      <c r="C49" s="13" t="s">
        <v>18</v>
      </c>
      <c r="D49" s="7">
        <v>46</v>
      </c>
      <c r="F49" s="5">
        <v>0.81</v>
      </c>
      <c r="G49" s="5">
        <v>0.84</v>
      </c>
      <c r="H49" s="5">
        <v>0.92</v>
      </c>
      <c r="I49" s="5">
        <v>0.48</v>
      </c>
      <c r="J49" s="6">
        <v>0.86</v>
      </c>
      <c r="L49" s="8">
        <f t="shared" si="25"/>
        <v>0.85250000000000004</v>
      </c>
      <c r="M49" s="8">
        <f t="shared" si="17"/>
        <v>0.81500000000000006</v>
      </c>
      <c r="N49" s="9">
        <v>0.84</v>
      </c>
      <c r="O49" s="9">
        <v>0.95</v>
      </c>
      <c r="Q49" s="1"/>
      <c r="R49" s="1"/>
      <c r="S49" s="1"/>
      <c r="T49" s="1"/>
      <c r="U49" s="4"/>
      <c r="AA49" s="2"/>
      <c r="AB49" s="2"/>
      <c r="AC49">
        <f t="shared" si="6"/>
        <v>0</v>
      </c>
      <c r="AD49" s="1" t="e">
        <f t="shared" si="26"/>
        <v>#DIV/0!</v>
      </c>
      <c r="AF49">
        <f t="shared" ref="AF49:AG56" si="34">AF48+AA63</f>
        <v>698.75</v>
      </c>
      <c r="AG49">
        <f t="shared" si="34"/>
        <v>295.25</v>
      </c>
      <c r="AH49">
        <f t="shared" si="31"/>
        <v>994</v>
      </c>
      <c r="AI49" s="1">
        <f t="shared" si="1"/>
        <v>0.29703219315895374</v>
      </c>
      <c r="AK49">
        <v>7</v>
      </c>
      <c r="AL49" s="1" t="e">
        <f t="shared" si="28"/>
        <v>#DIV/0!</v>
      </c>
      <c r="AM49">
        <f t="shared" si="24"/>
        <v>452.15620000000001</v>
      </c>
      <c r="AN49" s="1">
        <f t="shared" si="2"/>
        <v>0.64709295169946335</v>
      </c>
      <c r="AO49">
        <v>15</v>
      </c>
      <c r="AP49">
        <f t="shared" si="13"/>
        <v>690</v>
      </c>
      <c r="AZ49" s="7">
        <v>2022</v>
      </c>
      <c r="BA49" s="7" t="s">
        <v>17</v>
      </c>
      <c r="BB49" s="7">
        <v>0</v>
      </c>
      <c r="BC49" s="7">
        <v>1</v>
      </c>
      <c r="BD49" s="7">
        <v>1</v>
      </c>
      <c r="BE49" s="7">
        <f t="shared" si="23"/>
        <v>2</v>
      </c>
      <c r="BF49" s="30"/>
      <c r="BG49" s="7"/>
      <c r="BH49" s="28"/>
      <c r="BI49" s="29"/>
      <c r="BJ49" s="7"/>
      <c r="BM49" s="7" t="s">
        <v>106</v>
      </c>
      <c r="BN49" s="45">
        <v>0.02</v>
      </c>
      <c r="BU49" s="7">
        <v>155</v>
      </c>
      <c r="BV49" t="s">
        <v>170</v>
      </c>
      <c r="BW49" s="7"/>
    </row>
    <row r="50" spans="1:75" x14ac:dyDescent="0.25">
      <c r="A50" s="7">
        <v>2022</v>
      </c>
      <c r="B50" s="13">
        <v>44886</v>
      </c>
      <c r="D50" s="7">
        <v>47</v>
      </c>
      <c r="F50" s="5">
        <v>0.71</v>
      </c>
      <c r="G50" s="5">
        <v>0.89</v>
      </c>
      <c r="H50" s="5">
        <v>0.78</v>
      </c>
      <c r="I50" s="5">
        <v>0.63</v>
      </c>
      <c r="J50" s="6">
        <v>0.81</v>
      </c>
      <c r="L50" s="8">
        <f t="shared" si="25"/>
        <v>0.85499999999999998</v>
      </c>
      <c r="M50" s="8">
        <f t="shared" si="17"/>
        <v>0.80875000000000008</v>
      </c>
      <c r="N50" s="9">
        <v>0.84</v>
      </c>
      <c r="O50" s="9">
        <v>0.95</v>
      </c>
      <c r="Q50" s="1"/>
      <c r="R50" s="1"/>
      <c r="S50" s="1"/>
      <c r="T50" s="1"/>
      <c r="U50" s="4"/>
      <c r="AA50" s="2"/>
      <c r="AB50" s="2"/>
      <c r="AC50">
        <f t="shared" si="6"/>
        <v>0</v>
      </c>
      <c r="AD50" s="1" t="e">
        <f t="shared" si="26"/>
        <v>#DIV/0!</v>
      </c>
      <c r="AF50">
        <f t="shared" si="34"/>
        <v>698.75</v>
      </c>
      <c r="AG50">
        <f t="shared" si="34"/>
        <v>295.25</v>
      </c>
      <c r="AH50">
        <f t="shared" si="31"/>
        <v>994</v>
      </c>
      <c r="AI50" s="1">
        <f t="shared" si="1"/>
        <v>0.29703219315895374</v>
      </c>
      <c r="AK50">
        <v>20</v>
      </c>
      <c r="AL50" s="1" t="e">
        <f t="shared" si="28"/>
        <v>#DIV/0!</v>
      </c>
      <c r="AM50">
        <f t="shared" si="24"/>
        <v>472.15620000000001</v>
      </c>
      <c r="AN50" s="1">
        <f t="shared" si="2"/>
        <v>0.67571549194991054</v>
      </c>
      <c r="AO50">
        <v>15</v>
      </c>
      <c r="AP50">
        <f t="shared" si="13"/>
        <v>705</v>
      </c>
      <c r="AZ50" s="7">
        <v>2022</v>
      </c>
      <c r="BA50" s="7" t="s">
        <v>18</v>
      </c>
      <c r="BB50" s="7">
        <v>0</v>
      </c>
      <c r="BC50" s="7">
        <v>1</v>
      </c>
      <c r="BD50" s="7">
        <v>0</v>
      </c>
      <c r="BE50" s="7">
        <f t="shared" si="23"/>
        <v>1</v>
      </c>
      <c r="BF50" s="30"/>
      <c r="BG50" s="7"/>
      <c r="BH50" s="28"/>
      <c r="BI50" s="29"/>
      <c r="BJ50" s="7"/>
      <c r="BM50" s="7" t="s">
        <v>107</v>
      </c>
      <c r="BN50" s="45">
        <f>2-BN48-BN49</f>
        <v>1.4030769230769231</v>
      </c>
      <c r="BU50" s="7">
        <v>160</v>
      </c>
      <c r="BV50" t="s">
        <v>171</v>
      </c>
      <c r="BW50" s="7"/>
    </row>
    <row r="51" spans="1:75" x14ac:dyDescent="0.25">
      <c r="A51" s="7">
        <v>2022</v>
      </c>
      <c r="B51" s="13">
        <v>44893</v>
      </c>
      <c r="C51" s="13"/>
      <c r="D51" s="7">
        <v>48</v>
      </c>
      <c r="F51" s="5">
        <v>0.89</v>
      </c>
      <c r="G51" s="5">
        <v>0.86</v>
      </c>
      <c r="H51" s="5">
        <v>0.81</v>
      </c>
      <c r="I51" s="5">
        <v>1</v>
      </c>
      <c r="J51" s="6">
        <v>0.83</v>
      </c>
      <c r="L51" s="8">
        <f t="shared" si="25"/>
        <v>0.85250000000000004</v>
      </c>
      <c r="M51" s="8">
        <f t="shared" si="17"/>
        <v>0.81625000000000014</v>
      </c>
      <c r="N51" s="9">
        <v>0.84</v>
      </c>
      <c r="O51" s="9">
        <v>0.95</v>
      </c>
      <c r="Q51" s="1"/>
      <c r="R51" s="1"/>
      <c r="S51" s="1"/>
      <c r="T51" s="1"/>
      <c r="U51" s="4"/>
      <c r="AA51" s="2"/>
      <c r="AB51" s="2"/>
      <c r="AC51">
        <f t="shared" si="6"/>
        <v>0</v>
      </c>
      <c r="AD51" s="1" t="e">
        <f t="shared" si="26"/>
        <v>#DIV/0!</v>
      </c>
      <c r="AF51">
        <f t="shared" si="34"/>
        <v>698.75</v>
      </c>
      <c r="AG51">
        <f t="shared" si="34"/>
        <v>295.25</v>
      </c>
      <c r="AH51">
        <f t="shared" si="31"/>
        <v>994</v>
      </c>
      <c r="AI51" s="1">
        <f t="shared" si="1"/>
        <v>0.29703219315895374</v>
      </c>
      <c r="AK51">
        <v>2</v>
      </c>
      <c r="AL51" s="1" t="e">
        <f t="shared" si="28"/>
        <v>#DIV/0!</v>
      </c>
      <c r="AM51">
        <f t="shared" si="24"/>
        <v>474.15620000000001</v>
      </c>
      <c r="AN51" s="1">
        <f t="shared" si="2"/>
        <v>0.67857774597495535</v>
      </c>
      <c r="AO51">
        <v>15</v>
      </c>
      <c r="AP51">
        <f t="shared" si="13"/>
        <v>720</v>
      </c>
      <c r="AZ51" s="7">
        <v>2022</v>
      </c>
      <c r="BA51" s="7" t="s">
        <v>19</v>
      </c>
      <c r="BB51" s="7">
        <v>0</v>
      </c>
      <c r="BC51" s="7">
        <v>1</v>
      </c>
      <c r="BD51" s="7">
        <v>0</v>
      </c>
      <c r="BE51" s="7">
        <f t="shared" si="23"/>
        <v>1</v>
      </c>
      <c r="BF51" s="30"/>
      <c r="BG51" s="7"/>
      <c r="BH51" s="28"/>
      <c r="BI51" s="29"/>
      <c r="BJ51" s="7"/>
      <c r="BU51" s="7">
        <v>165</v>
      </c>
      <c r="BV51" t="s">
        <v>172</v>
      </c>
      <c r="BW51" s="7"/>
    </row>
    <row r="52" spans="1:75" x14ac:dyDescent="0.25">
      <c r="A52" s="7">
        <v>2022</v>
      </c>
      <c r="B52" s="13">
        <v>44900</v>
      </c>
      <c r="C52" s="13"/>
      <c r="D52" s="7">
        <v>49</v>
      </c>
      <c r="F52" s="5">
        <v>0.71</v>
      </c>
      <c r="G52" s="5">
        <v>0.91</v>
      </c>
      <c r="H52" s="5">
        <v>0.98</v>
      </c>
      <c r="I52" s="5">
        <v>0.71</v>
      </c>
      <c r="J52" s="6">
        <v>0.88</v>
      </c>
      <c r="L52" s="8">
        <f t="shared" si="25"/>
        <v>0.84499999999999997</v>
      </c>
      <c r="M52" s="8">
        <f t="shared" si="17"/>
        <v>0.83500000000000008</v>
      </c>
      <c r="N52" s="9">
        <v>0.84</v>
      </c>
      <c r="O52" s="9">
        <v>0.95</v>
      </c>
      <c r="Q52" s="1"/>
      <c r="R52" s="1"/>
      <c r="S52" s="1"/>
      <c r="T52" s="1"/>
      <c r="U52" s="4"/>
      <c r="AA52" s="2"/>
      <c r="AB52" s="2"/>
      <c r="AC52">
        <f t="shared" si="6"/>
        <v>0</v>
      </c>
      <c r="AD52" s="1" t="e">
        <f t="shared" si="26"/>
        <v>#DIV/0!</v>
      </c>
      <c r="AF52">
        <f t="shared" si="34"/>
        <v>698.75</v>
      </c>
      <c r="AG52">
        <f t="shared" si="34"/>
        <v>295.25</v>
      </c>
      <c r="AH52">
        <f t="shared" si="31"/>
        <v>994</v>
      </c>
      <c r="AI52" s="1">
        <f t="shared" si="1"/>
        <v>0.29703219315895374</v>
      </c>
      <c r="AK52">
        <v>17.5</v>
      </c>
      <c r="AL52" s="1" t="e">
        <f t="shared" si="28"/>
        <v>#DIV/0!</v>
      </c>
      <c r="AM52">
        <f t="shared" si="24"/>
        <v>491.65620000000001</v>
      </c>
      <c r="AN52" s="1">
        <f t="shared" si="2"/>
        <v>0.70362246869409661</v>
      </c>
      <c r="AO52">
        <v>15</v>
      </c>
      <c r="AP52">
        <f t="shared" si="13"/>
        <v>735</v>
      </c>
      <c r="AZ52" s="7"/>
      <c r="BA52" s="7"/>
      <c r="BB52" s="7"/>
      <c r="BC52" s="7"/>
      <c r="BD52" s="7"/>
      <c r="BE52" s="7"/>
      <c r="BF52" s="30"/>
      <c r="BG52" s="7"/>
      <c r="BH52" s="28"/>
      <c r="BI52" s="29"/>
      <c r="BJ52" s="7"/>
      <c r="BU52" s="7">
        <v>170</v>
      </c>
      <c r="BV52" t="s">
        <v>173</v>
      </c>
      <c r="BW52" s="7"/>
    </row>
    <row r="53" spans="1:75" x14ac:dyDescent="0.25">
      <c r="A53" s="7">
        <v>2022</v>
      </c>
      <c r="B53" s="13">
        <v>44907</v>
      </c>
      <c r="C53" s="13" t="s">
        <v>19</v>
      </c>
      <c r="D53" s="7">
        <v>50</v>
      </c>
      <c r="F53" s="5">
        <v>0.79</v>
      </c>
      <c r="G53" s="5">
        <v>0.88</v>
      </c>
      <c r="H53" s="5">
        <v>1.01</v>
      </c>
      <c r="I53" s="5">
        <v>0.64</v>
      </c>
      <c r="J53" s="6">
        <v>0.88</v>
      </c>
      <c r="L53" s="8">
        <f t="shared" si="25"/>
        <v>0.85</v>
      </c>
      <c r="M53" s="8">
        <f t="shared" si="17"/>
        <v>0.85125000000000006</v>
      </c>
      <c r="N53" s="9">
        <v>0.84</v>
      </c>
      <c r="O53" s="9">
        <v>0.95</v>
      </c>
      <c r="Q53" s="1"/>
      <c r="R53" s="1"/>
      <c r="S53" s="1"/>
      <c r="T53" s="1"/>
      <c r="U53" s="4"/>
      <c r="AA53" s="2"/>
      <c r="AB53" s="2"/>
      <c r="AC53">
        <f t="shared" si="6"/>
        <v>0</v>
      </c>
      <c r="AD53" s="1" t="e">
        <f t="shared" si="26"/>
        <v>#DIV/0!</v>
      </c>
      <c r="AF53">
        <f t="shared" si="34"/>
        <v>698.75</v>
      </c>
      <c r="AG53">
        <f t="shared" si="34"/>
        <v>295.25</v>
      </c>
      <c r="AH53">
        <f t="shared" si="31"/>
        <v>994</v>
      </c>
      <c r="AI53" s="1">
        <f t="shared" si="1"/>
        <v>0.29703219315895374</v>
      </c>
      <c r="AK53">
        <v>11</v>
      </c>
      <c r="AL53" s="1" t="e">
        <f t="shared" si="28"/>
        <v>#DIV/0!</v>
      </c>
      <c r="AM53">
        <f t="shared" si="24"/>
        <v>502.65620000000001</v>
      </c>
      <c r="AN53" s="1">
        <f t="shared" si="2"/>
        <v>0.71936486583184256</v>
      </c>
      <c r="AO53">
        <v>15</v>
      </c>
      <c r="AP53">
        <f t="shared" si="13"/>
        <v>750</v>
      </c>
      <c r="AZ53" s="7"/>
      <c r="BA53" s="7"/>
      <c r="BB53" s="7"/>
      <c r="BC53" s="7"/>
      <c r="BD53" s="7"/>
      <c r="BE53" s="7"/>
      <c r="BF53" s="30"/>
      <c r="BG53" s="7"/>
      <c r="BH53" s="28"/>
      <c r="BI53" s="29"/>
      <c r="BJ53" s="7"/>
      <c r="BU53" s="7">
        <v>175</v>
      </c>
      <c r="BV53" t="s">
        <v>174</v>
      </c>
      <c r="BW53" s="7"/>
    </row>
    <row r="54" spans="1:75" x14ac:dyDescent="0.25">
      <c r="A54" s="7">
        <v>2022</v>
      </c>
      <c r="B54" s="13">
        <v>44914</v>
      </c>
      <c r="D54" s="7">
        <v>51</v>
      </c>
      <c r="F54" s="5">
        <v>0.5</v>
      </c>
      <c r="G54" s="5">
        <v>0.76</v>
      </c>
      <c r="H54" s="5">
        <v>0.87</v>
      </c>
      <c r="I54" s="5">
        <v>1</v>
      </c>
      <c r="J54" s="6">
        <v>0.8</v>
      </c>
      <c r="L54" s="8">
        <f t="shared" si="25"/>
        <v>0.84749999999999992</v>
      </c>
      <c r="M54" s="8">
        <f t="shared" si="17"/>
        <v>0.85124999999999995</v>
      </c>
      <c r="N54" s="9">
        <v>0.84</v>
      </c>
      <c r="O54" s="9">
        <v>0.95</v>
      </c>
      <c r="Q54" s="1"/>
      <c r="R54" s="1"/>
      <c r="S54" s="1"/>
      <c r="T54" s="1"/>
      <c r="U54" s="4"/>
      <c r="AA54" s="2"/>
      <c r="AB54" s="2"/>
      <c r="AC54">
        <f t="shared" si="6"/>
        <v>0</v>
      </c>
      <c r="AD54" s="1" t="e">
        <f t="shared" si="26"/>
        <v>#DIV/0!</v>
      </c>
      <c r="AF54">
        <f t="shared" si="34"/>
        <v>698.75</v>
      </c>
      <c r="AG54">
        <f t="shared" si="34"/>
        <v>295.25</v>
      </c>
      <c r="AH54">
        <f t="shared" si="31"/>
        <v>994</v>
      </c>
      <c r="AI54" s="1">
        <f t="shared" si="1"/>
        <v>0.29703219315895374</v>
      </c>
      <c r="AK54">
        <v>0</v>
      </c>
      <c r="AL54" s="1" t="e">
        <f t="shared" si="28"/>
        <v>#DIV/0!</v>
      </c>
      <c r="AM54">
        <f t="shared" si="24"/>
        <v>502.65620000000001</v>
      </c>
      <c r="AO54">
        <v>15</v>
      </c>
      <c r="AP54">
        <f t="shared" si="13"/>
        <v>765</v>
      </c>
      <c r="AZ54" s="7">
        <v>2022</v>
      </c>
      <c r="BA54" s="7" t="s">
        <v>49</v>
      </c>
      <c r="BB54" s="7">
        <f>SUM(BB40:BB51)</f>
        <v>0</v>
      </c>
      <c r="BC54" s="7">
        <f>SUM(BC40:BC51)</f>
        <v>10</v>
      </c>
      <c r="BD54" s="7">
        <f>SUM(BD40:BD51)</f>
        <v>8</v>
      </c>
      <c r="BE54" s="7">
        <f>SUM(BE40:BE51)</f>
        <v>18</v>
      </c>
      <c r="BF54" s="31">
        <f>SUM(BF40:BF51)</f>
        <v>33309</v>
      </c>
      <c r="BU54" s="7">
        <v>180</v>
      </c>
      <c r="BV54" t="s">
        <v>175</v>
      </c>
      <c r="BW54" s="7"/>
    </row>
    <row r="55" spans="1:75" x14ac:dyDescent="0.25">
      <c r="A55" s="7">
        <v>2022</v>
      </c>
      <c r="B55" s="13">
        <v>44921</v>
      </c>
      <c r="C55" s="13"/>
      <c r="D55" s="7">
        <v>52</v>
      </c>
      <c r="F55" s="5">
        <v>0.5</v>
      </c>
      <c r="G55" s="5">
        <v>0.76</v>
      </c>
      <c r="H55" s="5">
        <v>0.87</v>
      </c>
      <c r="I55" s="5">
        <v>1</v>
      </c>
      <c r="J55" s="6">
        <v>0.8</v>
      </c>
      <c r="L55" s="8">
        <f t="shared" si="25"/>
        <v>0.84000000000000008</v>
      </c>
      <c r="M55" s="8">
        <f t="shared" si="17"/>
        <v>0.84624999999999995</v>
      </c>
      <c r="N55" s="9">
        <v>0.84</v>
      </c>
      <c r="O55" s="9">
        <v>0.95</v>
      </c>
      <c r="Q55" s="1"/>
      <c r="R55" s="1"/>
      <c r="S55" s="1"/>
      <c r="T55" s="1"/>
      <c r="U55" s="4"/>
      <c r="AA55" s="2"/>
      <c r="AB55" s="2"/>
      <c r="AC55">
        <f t="shared" si="6"/>
        <v>0</v>
      </c>
      <c r="AD55" s="1" t="e">
        <f t="shared" si="26"/>
        <v>#DIV/0!</v>
      </c>
      <c r="AF55">
        <f t="shared" si="34"/>
        <v>698.75</v>
      </c>
      <c r="AG55">
        <f t="shared" si="34"/>
        <v>295.25</v>
      </c>
      <c r="AH55">
        <f t="shared" si="31"/>
        <v>994</v>
      </c>
      <c r="AI55" s="1">
        <f t="shared" si="1"/>
        <v>0.29703219315895374</v>
      </c>
      <c r="AK55">
        <v>16</v>
      </c>
      <c r="AL55" s="1" t="e">
        <f t="shared" si="28"/>
        <v>#DIV/0!</v>
      </c>
      <c r="AM55">
        <f t="shared" si="24"/>
        <v>518.65620000000001</v>
      </c>
      <c r="AO55">
        <v>15</v>
      </c>
      <c r="AP55">
        <f t="shared" si="13"/>
        <v>780</v>
      </c>
      <c r="AZ55" s="7">
        <v>2021</v>
      </c>
      <c r="BA55" s="7" t="s">
        <v>49</v>
      </c>
      <c r="BB55" s="7">
        <f>SUM(BB28:BB39)</f>
        <v>0</v>
      </c>
      <c r="BC55" s="7">
        <f>SUM(BC28:BC39)</f>
        <v>9</v>
      </c>
      <c r="BD55" s="7">
        <f>SUM(BD28:BD39)</f>
        <v>8</v>
      </c>
      <c r="BE55" s="7">
        <f>SUM(BE28:BE39)</f>
        <v>17</v>
      </c>
      <c r="BF55" s="31">
        <f>SUM(BF28:BF33)</f>
        <v>19549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F56" s="5">
        <v>0.8</v>
      </c>
      <c r="G56" s="5">
        <v>0.88</v>
      </c>
      <c r="H56" s="5">
        <v>0.91</v>
      </c>
      <c r="I56" s="5">
        <v>0.88</v>
      </c>
      <c r="J56" s="6">
        <v>0.88</v>
      </c>
      <c r="L56" s="8">
        <f t="shared" si="25"/>
        <v>0.84000000000000008</v>
      </c>
      <c r="M56" s="8">
        <f t="shared" si="17"/>
        <v>0.84249999999999992</v>
      </c>
      <c r="N56" s="8"/>
      <c r="O56" s="8">
        <v>0.95</v>
      </c>
      <c r="Q56" s="1"/>
      <c r="R56" s="1"/>
      <c r="S56" s="1"/>
      <c r="T56" s="1"/>
      <c r="U56" s="4"/>
      <c r="AA56" s="2"/>
      <c r="AB56" s="2"/>
      <c r="AC56">
        <f t="shared" si="6"/>
        <v>0</v>
      </c>
      <c r="AD56" s="1" t="e">
        <f t="shared" si="26"/>
        <v>#DIV/0!</v>
      </c>
      <c r="AF56">
        <f t="shared" si="34"/>
        <v>698.75</v>
      </c>
      <c r="AG56">
        <f t="shared" si="34"/>
        <v>295.25</v>
      </c>
      <c r="AH56">
        <f t="shared" si="31"/>
        <v>994</v>
      </c>
      <c r="AI56" s="1">
        <f t="shared" si="1"/>
        <v>0.29703219315895374</v>
      </c>
      <c r="AK56" s="110">
        <f>SUM(AK4:AK55)</f>
        <v>518.65620000000001</v>
      </c>
      <c r="AL56" s="1" t="e">
        <f t="shared" si="28"/>
        <v>#DIV/0!</v>
      </c>
      <c r="AM56">
        <f t="shared" si="24"/>
        <v>1037.3124</v>
      </c>
      <c r="AO56">
        <v>15</v>
      </c>
      <c r="AP56">
        <f t="shared" si="13"/>
        <v>795</v>
      </c>
      <c r="AZ56" s="7">
        <v>2020</v>
      </c>
      <c r="BA56" s="7" t="s">
        <v>49</v>
      </c>
      <c r="BB56" s="7">
        <f>SUM(BB16:BB21)</f>
        <v>0</v>
      </c>
      <c r="BC56" s="7">
        <f>SUM(BC16:BC21)</f>
        <v>3</v>
      </c>
      <c r="BD56" s="7">
        <f>SUM(BD16:BD21)</f>
        <v>6</v>
      </c>
      <c r="BE56" s="7">
        <f>SUM(BE16:BE21)</f>
        <v>9</v>
      </c>
      <c r="BF56" s="31">
        <f>SUM(BF16:BF21)</f>
        <v>24828.25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AA57" s="2"/>
      <c r="AB57" s="2"/>
      <c r="AZ57" s="7">
        <v>2019</v>
      </c>
      <c r="BA57" s="7" t="s">
        <v>49</v>
      </c>
      <c r="BB57" s="7">
        <f>BB4</f>
        <v>0</v>
      </c>
      <c r="BC57" s="7">
        <f>BC4</f>
        <v>0</v>
      </c>
      <c r="BD57" s="7">
        <f>BD4</f>
        <v>2</v>
      </c>
      <c r="BE57" s="7">
        <f>BE4</f>
        <v>2</v>
      </c>
      <c r="BF57" s="31">
        <f>BF4</f>
        <v>3612.25</v>
      </c>
      <c r="BU57" s="7">
        <v>205</v>
      </c>
      <c r="BV57" t="s">
        <v>178</v>
      </c>
      <c r="BW57" s="7"/>
    </row>
    <row r="58" spans="1:75" x14ac:dyDescent="0.25">
      <c r="Q58" s="1"/>
      <c r="R58" s="1"/>
      <c r="S58" s="1"/>
      <c r="T58" s="1"/>
      <c r="U58" s="4"/>
      <c r="AA58" s="2"/>
      <c r="AB58" s="2"/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AZ59" t="s">
        <v>78</v>
      </c>
      <c r="BB59" s="7">
        <f>SUM(BB34:BB45)</f>
        <v>0</v>
      </c>
      <c r="BC59" s="7">
        <f>SUM(BC34:BC45)</f>
        <v>12</v>
      </c>
      <c r="BD59" s="7">
        <f>SUM(BD34:BD45)</f>
        <v>8</v>
      </c>
      <c r="BE59" s="7">
        <f>SUM(BE34:BE45)</f>
        <v>20</v>
      </c>
      <c r="BF59" s="31">
        <f>SUM(BF34:BF45)</f>
        <v>50352</v>
      </c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BU64" s="7">
        <v>240</v>
      </c>
      <c r="BV64" t="s">
        <v>185</v>
      </c>
      <c r="BW64" s="7"/>
    </row>
    <row r="65" spans="17:75" x14ac:dyDescent="0.25">
      <c r="Q65" s="1"/>
      <c r="R65" s="1"/>
      <c r="S65" s="1"/>
      <c r="T65" s="1"/>
      <c r="U65" s="4"/>
      <c r="AA65" s="2"/>
      <c r="AB65" s="2"/>
      <c r="BU65" s="7">
        <v>245</v>
      </c>
      <c r="BV65" t="s">
        <v>186</v>
      </c>
      <c r="BW65" s="7"/>
    </row>
    <row r="66" spans="17:75" x14ac:dyDescent="0.25">
      <c r="Q66" s="1"/>
      <c r="R66" s="1"/>
      <c r="S66" s="1"/>
      <c r="T66" s="1"/>
      <c r="U66" s="4"/>
      <c r="AA66" s="2"/>
      <c r="AB66" s="2"/>
      <c r="BM66" s="46" t="s">
        <v>108</v>
      </c>
      <c r="BU66" s="7">
        <v>250</v>
      </c>
      <c r="BV66" t="s">
        <v>187</v>
      </c>
      <c r="BW66" s="7"/>
    </row>
    <row r="67" spans="17:75" x14ac:dyDescent="0.25">
      <c r="Q67" s="1"/>
      <c r="R67" s="1"/>
      <c r="S67" s="1"/>
      <c r="T67" s="1"/>
      <c r="U67" s="4"/>
      <c r="AA67" s="2"/>
      <c r="AB67" s="2"/>
      <c r="BU67" s="7">
        <v>252</v>
      </c>
      <c r="BV67" t="s">
        <v>188</v>
      </c>
      <c r="BW67" s="7"/>
    </row>
    <row r="68" spans="17:75" x14ac:dyDescent="0.25">
      <c r="AA68" s="2"/>
      <c r="AB68" s="2"/>
      <c r="BM68" s="47" t="s">
        <v>4</v>
      </c>
      <c r="BN68" s="47" t="s">
        <v>100</v>
      </c>
      <c r="BO68" s="105" t="s">
        <v>101</v>
      </c>
      <c r="BP68" s="47" t="s">
        <v>109</v>
      </c>
      <c r="BU68" s="7">
        <v>255</v>
      </c>
      <c r="BV68" t="s">
        <v>189</v>
      </c>
      <c r="BW68" s="7"/>
    </row>
    <row r="69" spans="17:75" x14ac:dyDescent="0.25">
      <c r="AA69" s="2"/>
      <c r="AB69" s="2"/>
      <c r="BM69" s="47">
        <f>BP40</f>
        <v>26</v>
      </c>
      <c r="BN69" s="47">
        <f>BN40</f>
        <v>15</v>
      </c>
      <c r="BO69" s="105">
        <f>BO40</f>
        <v>11</v>
      </c>
      <c r="BP69" s="48">
        <f>BQ40</f>
        <v>0.57692307692307687</v>
      </c>
      <c r="BU69" s="7">
        <v>257</v>
      </c>
      <c r="BV69" t="s">
        <v>190</v>
      </c>
      <c r="BW69" s="7"/>
    </row>
    <row r="70" spans="17:75" x14ac:dyDescent="0.25">
      <c r="AA70" s="2"/>
      <c r="AB70" s="2"/>
      <c r="BU70" s="7">
        <v>260</v>
      </c>
      <c r="BV70" t="s">
        <v>191</v>
      </c>
      <c r="BW70" s="7"/>
    </row>
    <row r="71" spans="17:75" x14ac:dyDescent="0.25">
      <c r="BU71" s="7">
        <v>261</v>
      </c>
      <c r="BV71" t="s">
        <v>192</v>
      </c>
      <c r="BW71" s="7"/>
    </row>
    <row r="72" spans="17:75" x14ac:dyDescent="0.25">
      <c r="BU72" s="7">
        <v>262</v>
      </c>
      <c r="BV72" t="s">
        <v>193</v>
      </c>
      <c r="BW72" s="7"/>
    </row>
    <row r="73" spans="17:75" x14ac:dyDescent="0.25">
      <c r="BU73" s="7">
        <v>265</v>
      </c>
      <c r="BV73" t="s">
        <v>194</v>
      </c>
      <c r="BW73" s="7"/>
    </row>
    <row r="74" spans="17:75" x14ac:dyDescent="0.25">
      <c r="BU74" s="7">
        <v>270</v>
      </c>
      <c r="BV74" t="s">
        <v>195</v>
      </c>
      <c r="BW74" s="7"/>
    </row>
    <row r="75" spans="17:75" x14ac:dyDescent="0.25">
      <c r="BU75" s="7">
        <v>272</v>
      </c>
      <c r="BV75" t="s">
        <v>196</v>
      </c>
      <c r="BW75" s="7"/>
    </row>
    <row r="76" spans="17:75" x14ac:dyDescent="0.25">
      <c r="BU76" s="7">
        <v>275</v>
      </c>
      <c r="BV76" t="s">
        <v>197</v>
      </c>
      <c r="BW76" s="7"/>
    </row>
    <row r="77" spans="17:75" x14ac:dyDescent="0.25">
      <c r="BU77" s="7">
        <v>280</v>
      </c>
      <c r="BV77" t="s">
        <v>198</v>
      </c>
      <c r="BW77" s="7"/>
    </row>
    <row r="78" spans="17:75" x14ac:dyDescent="0.25">
      <c r="BU78" s="7">
        <v>282</v>
      </c>
      <c r="BV78" t="s">
        <v>199</v>
      </c>
      <c r="BW78" s="7"/>
    </row>
    <row r="79" spans="17:75" x14ac:dyDescent="0.25">
      <c r="BU79" s="7">
        <v>285</v>
      </c>
      <c r="BV79" t="s">
        <v>200</v>
      </c>
      <c r="BW79" s="7"/>
    </row>
    <row r="80" spans="17:75" x14ac:dyDescent="0.25">
      <c r="BU80" s="7">
        <v>290</v>
      </c>
      <c r="BV80" t="s">
        <v>201</v>
      </c>
      <c r="BW80" s="7"/>
    </row>
    <row r="81" spans="73:75" x14ac:dyDescent="0.25">
      <c r="BU81" s="7">
        <v>292</v>
      </c>
      <c r="BV81" t="s">
        <v>202</v>
      </c>
      <c r="BW81" s="7"/>
    </row>
    <row r="82" spans="73:75" x14ac:dyDescent="0.25">
      <c r="BU82" s="7">
        <v>295</v>
      </c>
      <c r="BV82" t="s">
        <v>203</v>
      </c>
      <c r="BW82" s="7"/>
    </row>
    <row r="83" spans="73:75" x14ac:dyDescent="0.25">
      <c r="BU83" s="7">
        <v>300</v>
      </c>
      <c r="BV83" t="s">
        <v>204</v>
      </c>
      <c r="BW83" s="7"/>
    </row>
    <row r="84" spans="73:75" x14ac:dyDescent="0.25">
      <c r="BU84" s="7">
        <v>305</v>
      </c>
      <c r="BV84" t="s">
        <v>205</v>
      </c>
      <c r="BW84" s="7"/>
    </row>
    <row r="85" spans="73:75" x14ac:dyDescent="0.25">
      <c r="BU85" s="7">
        <v>310</v>
      </c>
      <c r="BV85" t="s">
        <v>206</v>
      </c>
      <c r="BW85" s="7"/>
    </row>
    <row r="86" spans="73:75" x14ac:dyDescent="0.25">
      <c r="BU86" s="7">
        <v>315</v>
      </c>
      <c r="BV86" t="s">
        <v>207</v>
      </c>
      <c r="BW86" s="7"/>
    </row>
    <row r="87" spans="73:75" x14ac:dyDescent="0.25">
      <c r="BU87" s="7">
        <v>320</v>
      </c>
      <c r="BV87" t="s">
        <v>208</v>
      </c>
      <c r="BW87" s="7"/>
    </row>
    <row r="88" spans="73:75" x14ac:dyDescent="0.25">
      <c r="BU88" s="7">
        <v>325</v>
      </c>
      <c r="BV88" t="s">
        <v>209</v>
      </c>
      <c r="BW88" s="7"/>
    </row>
    <row r="89" spans="73:75" x14ac:dyDescent="0.25">
      <c r="BU89" s="7">
        <v>326</v>
      </c>
      <c r="BV89" t="s">
        <v>210</v>
      </c>
      <c r="BW89" s="7"/>
    </row>
    <row r="90" spans="73:75" x14ac:dyDescent="0.25">
      <c r="BU90" s="7">
        <v>350</v>
      </c>
      <c r="BV90" t="s">
        <v>211</v>
      </c>
      <c r="BW90" s="7"/>
    </row>
    <row r="91" spans="73:75" x14ac:dyDescent="0.25">
      <c r="BU91" s="7">
        <v>355</v>
      </c>
      <c r="BV91" t="s">
        <v>212</v>
      </c>
      <c r="BW91" s="7"/>
    </row>
    <row r="92" spans="73:75" x14ac:dyDescent="0.25">
      <c r="BU92" s="7">
        <v>360</v>
      </c>
      <c r="BV92" t="s">
        <v>213</v>
      </c>
      <c r="BW92" s="7"/>
    </row>
    <row r="93" spans="73:75" x14ac:dyDescent="0.25">
      <c r="BU93" s="7">
        <v>365</v>
      </c>
      <c r="BV93" t="s">
        <v>214</v>
      </c>
      <c r="BW93" s="7"/>
    </row>
    <row r="94" spans="73:75" x14ac:dyDescent="0.25">
      <c r="BU94" s="7">
        <v>366</v>
      </c>
      <c r="BV94" t="s">
        <v>215</v>
      </c>
      <c r="BW94" s="7"/>
    </row>
    <row r="95" spans="73:75" x14ac:dyDescent="0.25">
      <c r="BU95" s="7">
        <v>370</v>
      </c>
      <c r="BV95" t="s">
        <v>216</v>
      </c>
      <c r="BW95" s="7"/>
    </row>
    <row r="96" spans="73:75" x14ac:dyDescent="0.25">
      <c r="BU96" s="7">
        <v>375</v>
      </c>
      <c r="BV96" t="s">
        <v>217</v>
      </c>
      <c r="BW96" s="7"/>
    </row>
    <row r="97" spans="73:75" x14ac:dyDescent="0.25">
      <c r="BU97" s="7">
        <v>380</v>
      </c>
      <c r="BV97" t="s">
        <v>218</v>
      </c>
      <c r="BW97" s="7"/>
    </row>
    <row r="98" spans="73:75" x14ac:dyDescent="0.25">
      <c r="BU98" s="7">
        <v>382</v>
      </c>
      <c r="BV98" t="s">
        <v>219</v>
      </c>
      <c r="BW98" s="7"/>
    </row>
    <row r="99" spans="73:75" x14ac:dyDescent="0.25">
      <c r="BU99" s="7">
        <v>383</v>
      </c>
      <c r="BV99" t="s">
        <v>220</v>
      </c>
      <c r="BW99" s="7"/>
    </row>
    <row r="100" spans="73:75" x14ac:dyDescent="0.25">
      <c r="BU100" s="7">
        <v>385</v>
      </c>
      <c r="BV100" t="s">
        <v>221</v>
      </c>
      <c r="BW100" s="7"/>
    </row>
    <row r="101" spans="73:75" x14ac:dyDescent="0.25">
      <c r="BU101" s="7">
        <v>390</v>
      </c>
      <c r="BV101" t="s">
        <v>222</v>
      </c>
      <c r="BW101" s="7"/>
    </row>
    <row r="102" spans="73:75" x14ac:dyDescent="0.25">
      <c r="BU102" s="7">
        <v>395</v>
      </c>
      <c r="BV102" t="s">
        <v>223</v>
      </c>
      <c r="BW102" s="7"/>
    </row>
    <row r="103" spans="73:75" x14ac:dyDescent="0.25">
      <c r="BU103" s="7">
        <v>450</v>
      </c>
      <c r="BV103" t="s">
        <v>224</v>
      </c>
      <c r="BW103" s="7"/>
    </row>
    <row r="104" spans="73:75" x14ac:dyDescent="0.25">
      <c r="BU104" s="7">
        <v>455</v>
      </c>
      <c r="BV104" t="s">
        <v>225</v>
      </c>
      <c r="BW104" s="7"/>
    </row>
    <row r="105" spans="73:75" x14ac:dyDescent="0.25">
      <c r="BU105" s="7">
        <v>460</v>
      </c>
      <c r="BV105" t="s">
        <v>226</v>
      </c>
      <c r="BW105" s="7"/>
    </row>
    <row r="106" spans="73:75" x14ac:dyDescent="0.25">
      <c r="BU106" s="7">
        <v>465</v>
      </c>
      <c r="BV106" t="s">
        <v>227</v>
      </c>
      <c r="BW106" s="7"/>
    </row>
    <row r="107" spans="73:75" x14ac:dyDescent="0.25">
      <c r="BU107" s="7">
        <v>470</v>
      </c>
      <c r="BV107" t="s">
        <v>228</v>
      </c>
      <c r="BW107" s="7"/>
    </row>
    <row r="108" spans="73:75" x14ac:dyDescent="0.25">
      <c r="BU108" s="7">
        <v>475</v>
      </c>
      <c r="BV108" t="s">
        <v>229</v>
      </c>
      <c r="BW108" s="7"/>
    </row>
    <row r="109" spans="73:75" x14ac:dyDescent="0.25">
      <c r="BU109" s="7">
        <v>477</v>
      </c>
      <c r="BV109" t="s">
        <v>230</v>
      </c>
      <c r="BW109" s="7"/>
    </row>
    <row r="110" spans="73:75" x14ac:dyDescent="0.25">
      <c r="BU110" s="7">
        <v>478</v>
      </c>
      <c r="BV110" t="s">
        <v>231</v>
      </c>
      <c r="BW110" s="7"/>
    </row>
    <row r="111" spans="73:75" x14ac:dyDescent="0.25">
      <c r="BU111" s="7">
        <v>479</v>
      </c>
      <c r="BV111" t="s">
        <v>232</v>
      </c>
      <c r="BW111" s="7"/>
    </row>
    <row r="112" spans="73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0">
    <mergeCell ref="AK2:AP2"/>
    <mergeCell ref="BG2:BJ2"/>
    <mergeCell ref="BL2:BR2"/>
    <mergeCell ref="BU2:BZ2"/>
    <mergeCell ref="F2:J2"/>
    <mergeCell ref="L2:O2"/>
    <mergeCell ref="Q2:U2"/>
    <mergeCell ref="W2:Y2"/>
    <mergeCell ref="AA2:AD2"/>
    <mergeCell ref="AF2:AI2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35BF-6CE0-4CAE-BC29-6190D58F525D}">
  <dimension ref="A2:BZ176"/>
  <sheetViews>
    <sheetView topLeftCell="AI1" workbookViewId="0">
      <pane ySplit="3" topLeftCell="A7" activePane="bottomLeft" state="frozen"/>
      <selection pane="bottomLeft" activeCell="J8" sqref="J8:J15"/>
    </sheetView>
  </sheetViews>
  <sheetFormatPr defaultRowHeight="15" x14ac:dyDescent="0.25"/>
  <cols>
    <col min="2" max="2" width="12.85546875" customWidth="1"/>
    <col min="11" max="11" width="2.85546875" customWidth="1"/>
    <col min="16" max="16" width="2.5703125" customWidth="1"/>
    <col min="22" max="22" width="2.42578125" customWidth="1"/>
    <col min="26" max="26" width="2.7109375" customWidth="1"/>
    <col min="31" max="31" width="2.85546875" customWidth="1"/>
    <col min="58" max="58" width="11.140625" customWidth="1"/>
    <col min="60" max="60" width="12" customWidth="1"/>
    <col min="67" max="67" width="9.140625" style="102"/>
    <col min="74" max="74" width="25.85546875" customWidth="1"/>
  </cols>
  <sheetData>
    <row r="2" spans="1:78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8"/>
      <c r="O2" s="179"/>
      <c r="Q2" s="177" t="s">
        <v>35</v>
      </c>
      <c r="R2" s="178"/>
      <c r="S2" s="178"/>
      <c r="T2" s="178"/>
      <c r="U2" s="179"/>
      <c r="V2" s="7"/>
      <c r="W2" s="177" t="s">
        <v>58</v>
      </c>
      <c r="X2" s="178"/>
      <c r="Y2" s="179"/>
      <c r="AA2" s="177" t="s">
        <v>41</v>
      </c>
      <c r="AB2" s="178"/>
      <c r="AC2" s="178"/>
      <c r="AD2" s="179"/>
      <c r="AF2" s="177" t="s">
        <v>42</v>
      </c>
      <c r="AG2" s="178"/>
      <c r="AH2" s="178"/>
      <c r="AI2" s="179"/>
      <c r="AK2" s="177" t="s">
        <v>48</v>
      </c>
      <c r="AL2" s="178"/>
      <c r="AM2" s="178"/>
      <c r="AN2" s="178"/>
      <c r="AO2" s="178"/>
      <c r="AP2" s="179"/>
      <c r="AR2" t="s">
        <v>28</v>
      </c>
      <c r="BB2" s="7"/>
      <c r="BC2" s="7"/>
      <c r="BD2" s="7"/>
      <c r="BE2" s="7"/>
      <c r="BF2" s="7" t="s">
        <v>4</v>
      </c>
      <c r="BG2" s="177" t="s">
        <v>81</v>
      </c>
      <c r="BH2" s="178"/>
      <c r="BI2" s="178"/>
      <c r="BJ2" s="179"/>
      <c r="BL2" s="177" t="s">
        <v>103</v>
      </c>
      <c r="BM2" s="178"/>
      <c r="BN2" s="178"/>
      <c r="BO2" s="178"/>
      <c r="BP2" s="178"/>
      <c r="BQ2" s="178"/>
      <c r="BR2" s="179"/>
      <c r="BU2" s="180"/>
      <c r="BV2" s="180"/>
      <c r="BW2" s="180"/>
      <c r="BX2" s="180"/>
      <c r="BY2" s="180"/>
      <c r="BZ2" s="180"/>
    </row>
    <row r="3" spans="1:78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306</v>
      </c>
      <c r="O3" t="s">
        <v>7</v>
      </c>
      <c r="Q3" t="s">
        <v>0</v>
      </c>
      <c r="R3" t="s">
        <v>1</v>
      </c>
      <c r="S3" t="s">
        <v>2</v>
      </c>
      <c r="T3" t="s">
        <v>3</v>
      </c>
      <c r="U3" s="3" t="s">
        <v>4</v>
      </c>
      <c r="V3" s="3"/>
      <c r="W3" t="s">
        <v>31</v>
      </c>
      <c r="X3" s="7" t="s">
        <v>29</v>
      </c>
      <c r="Y3" s="7" t="s">
        <v>7</v>
      </c>
      <c r="AA3" s="7" t="s">
        <v>40</v>
      </c>
      <c r="AB3" s="7" t="s">
        <v>5</v>
      </c>
      <c r="AC3" s="7" t="s">
        <v>4</v>
      </c>
      <c r="AD3" s="7" t="s">
        <v>6</v>
      </c>
      <c r="AF3" s="7" t="s">
        <v>40</v>
      </c>
      <c r="AG3" s="7" t="s">
        <v>5</v>
      </c>
      <c r="AH3" s="7" t="s">
        <v>4</v>
      </c>
      <c r="AI3" s="7" t="s">
        <v>6</v>
      </c>
      <c r="AK3" s="7" t="s">
        <v>44</v>
      </c>
      <c r="AL3" s="7" t="s">
        <v>43</v>
      </c>
      <c r="AM3" s="7" t="s">
        <v>45</v>
      </c>
      <c r="AN3" s="7" t="s">
        <v>43</v>
      </c>
      <c r="AO3" s="7" t="s">
        <v>46</v>
      </c>
      <c r="AP3" s="7" t="s">
        <v>47</v>
      </c>
      <c r="AR3" t="s">
        <v>31</v>
      </c>
      <c r="AS3" t="s">
        <v>29</v>
      </c>
      <c r="AT3" t="s">
        <v>30</v>
      </c>
      <c r="BA3" s="7" t="s">
        <v>31</v>
      </c>
      <c r="BB3" s="7" t="s">
        <v>77</v>
      </c>
      <c r="BC3" s="7" t="s">
        <v>85</v>
      </c>
      <c r="BD3" s="7" t="s">
        <v>83</v>
      </c>
      <c r="BE3" s="7" t="s">
        <v>4</v>
      </c>
      <c r="BF3" s="7" t="s">
        <v>80</v>
      </c>
      <c r="BG3" s="7" t="s">
        <v>77</v>
      </c>
      <c r="BH3" s="7" t="s">
        <v>80</v>
      </c>
      <c r="BI3" s="7" t="s">
        <v>79</v>
      </c>
      <c r="BJ3" s="7" t="s">
        <v>7</v>
      </c>
      <c r="BM3" s="7" t="s">
        <v>31</v>
      </c>
      <c r="BN3" s="7" t="s">
        <v>100</v>
      </c>
      <c r="BO3" s="102" t="s">
        <v>101</v>
      </c>
      <c r="BP3" s="7" t="s">
        <v>4</v>
      </c>
      <c r="BQ3" s="7" t="s">
        <v>102</v>
      </c>
      <c r="BR3" s="7" t="s">
        <v>104</v>
      </c>
      <c r="BU3" s="64" t="s">
        <v>149</v>
      </c>
      <c r="BV3" s="64" t="s">
        <v>150</v>
      </c>
      <c r="BW3" s="64" t="s">
        <v>151</v>
      </c>
      <c r="BX3" s="64" t="s">
        <v>152</v>
      </c>
      <c r="BY3" s="64" t="s">
        <v>153</v>
      </c>
      <c r="BZ3" s="64" t="s">
        <v>154</v>
      </c>
    </row>
    <row r="4" spans="1:78" x14ac:dyDescent="0.25">
      <c r="A4" s="7">
        <v>2021</v>
      </c>
      <c r="B4" s="13">
        <v>44200</v>
      </c>
      <c r="C4" s="13"/>
      <c r="D4" s="7">
        <v>1</v>
      </c>
      <c r="F4" s="5">
        <v>0.92</v>
      </c>
      <c r="G4" s="5">
        <v>1.02</v>
      </c>
      <c r="H4" s="5">
        <v>1.1599999999999999</v>
      </c>
      <c r="I4" s="5">
        <v>1.1399999999999999</v>
      </c>
      <c r="J4" s="6">
        <v>1.04</v>
      </c>
      <c r="K4" s="7"/>
      <c r="L4" s="7"/>
      <c r="M4" s="7"/>
      <c r="N4" s="9">
        <v>0.82</v>
      </c>
      <c r="O4" s="9">
        <v>0.95</v>
      </c>
      <c r="Q4" s="1"/>
      <c r="R4" s="1"/>
      <c r="S4" s="1"/>
      <c r="T4" s="1"/>
      <c r="U4" s="4"/>
      <c r="V4" s="4"/>
      <c r="W4" t="s">
        <v>8</v>
      </c>
      <c r="X4" s="5"/>
      <c r="Y4" s="5">
        <v>0.95</v>
      </c>
      <c r="AA4">
        <v>635.5</v>
      </c>
      <c r="AB4">
        <v>140</v>
      </c>
      <c r="AC4">
        <f t="shared" ref="AC4:AC32" si="0">SUM(AA4:AB4)</f>
        <v>775.5</v>
      </c>
      <c r="AD4" s="1">
        <f t="shared" ref="AD4:AD32" si="1">AB4/AC4</f>
        <v>0.18052869116698905</v>
      </c>
      <c r="AF4">
        <f>AA4</f>
        <v>635.5</v>
      </c>
      <c r="AG4">
        <f>AB4</f>
        <v>140</v>
      </c>
      <c r="AH4">
        <f>SUM(AF4:AG4)</f>
        <v>775.5</v>
      </c>
      <c r="AI4" s="1">
        <f t="shared" ref="AI4:AI27" si="2">AG4/AH4</f>
        <v>0.18052869116698905</v>
      </c>
      <c r="AK4">
        <v>37</v>
      </c>
      <c r="AL4" s="1">
        <f>AK4/AA4</f>
        <v>5.8221872541306056E-2</v>
      </c>
      <c r="AM4">
        <f>AK4</f>
        <v>37</v>
      </c>
      <c r="AN4" s="1">
        <f t="shared" ref="AN4:AN27" si="3">AM4/AF4</f>
        <v>5.8221872541306056E-2</v>
      </c>
      <c r="AO4">
        <v>15</v>
      </c>
      <c r="AP4">
        <f>AO4</f>
        <v>15</v>
      </c>
      <c r="AR4" t="s">
        <v>8</v>
      </c>
      <c r="AS4">
        <f>AK4+AK5+AK6+AK7</f>
        <v>68.5</v>
      </c>
      <c r="AT4">
        <v>65</v>
      </c>
      <c r="AU4">
        <f>AS4</f>
        <v>68.5</v>
      </c>
      <c r="AV4">
        <f>AT4</f>
        <v>65</v>
      </c>
      <c r="AZ4" s="69">
        <v>2019</v>
      </c>
      <c r="BA4" s="70" t="s">
        <v>8</v>
      </c>
      <c r="BB4" s="70">
        <v>0</v>
      </c>
      <c r="BC4" s="70">
        <v>0</v>
      </c>
      <c r="BD4" s="70">
        <v>2</v>
      </c>
      <c r="BE4" s="70">
        <f t="shared" ref="BE4:BE27" si="4">SUM(BB4:BD4)</f>
        <v>2</v>
      </c>
      <c r="BF4" s="71">
        <f>3316.25+296</f>
        <v>3612.25</v>
      </c>
      <c r="BI4" s="29">
        <v>17.261561200325811</v>
      </c>
      <c r="BL4" s="69">
        <v>2020</v>
      </c>
      <c r="BM4" s="70" t="s">
        <v>8</v>
      </c>
      <c r="BN4" s="81">
        <v>8</v>
      </c>
      <c r="BO4" s="103">
        <v>0</v>
      </c>
      <c r="BP4" s="81">
        <f>BN4+BO4</f>
        <v>8</v>
      </c>
      <c r="BQ4" s="82">
        <f>BN4/BP4</f>
        <v>1</v>
      </c>
      <c r="BR4" s="83">
        <v>0.95</v>
      </c>
      <c r="BU4" s="67">
        <v>645</v>
      </c>
      <c r="BV4" s="65" t="str">
        <f t="shared" ref="BV4:BV13" si="5">VLOOKUP(BU4,Operation,2)</f>
        <v>Weld all Outside Seams</v>
      </c>
      <c r="BW4" s="65">
        <v>942.98291999726723</v>
      </c>
      <c r="BX4" s="65">
        <v>1390</v>
      </c>
      <c r="BY4" s="1">
        <f t="shared" ref="BY4:BY13" si="6">BW4/BX4</f>
        <v>0.67840497841530012</v>
      </c>
      <c r="BZ4" s="66">
        <f>BX4-BW4</f>
        <v>447.01708000273277</v>
      </c>
    </row>
    <row r="5" spans="1:78" x14ac:dyDescent="0.25">
      <c r="A5" s="7">
        <v>2021</v>
      </c>
      <c r="B5" s="13">
        <v>44207</v>
      </c>
      <c r="C5" s="13"/>
      <c r="D5" s="7">
        <v>2</v>
      </c>
      <c r="F5" s="5">
        <v>0.7</v>
      </c>
      <c r="G5" s="5">
        <v>1.0900000000000001</v>
      </c>
      <c r="H5" s="5">
        <v>1.1200000000000001</v>
      </c>
      <c r="I5" s="5">
        <v>1.2</v>
      </c>
      <c r="J5" s="6">
        <v>1.01</v>
      </c>
      <c r="K5" s="7"/>
      <c r="L5" s="7"/>
      <c r="M5" s="7"/>
      <c r="N5" s="9">
        <v>0.82</v>
      </c>
      <c r="O5" s="9">
        <v>0.95</v>
      </c>
      <c r="Q5" s="1"/>
      <c r="R5" s="1"/>
      <c r="S5" s="1"/>
      <c r="T5" s="1"/>
      <c r="U5" s="4"/>
      <c r="V5" s="4"/>
      <c r="W5" t="s">
        <v>9</v>
      </c>
      <c r="X5" s="5"/>
      <c r="Y5" s="5">
        <v>0.95</v>
      </c>
      <c r="AA5">
        <v>576.75</v>
      </c>
      <c r="AB5">
        <v>144.25</v>
      </c>
      <c r="AC5">
        <f t="shared" si="0"/>
        <v>721</v>
      </c>
      <c r="AD5" s="1">
        <f t="shared" si="1"/>
        <v>0.20006934812760055</v>
      </c>
      <c r="AF5">
        <f>AF4+AA5</f>
        <v>1212.25</v>
      </c>
      <c r="AG5">
        <f>AG4+AB5</f>
        <v>284.25</v>
      </c>
      <c r="AH5">
        <f>AH4+AC5</f>
        <v>1496.5</v>
      </c>
      <c r="AI5" s="1">
        <f t="shared" si="2"/>
        <v>0.18994320080187102</v>
      </c>
      <c r="AK5">
        <v>2.5</v>
      </c>
      <c r="AL5" s="1">
        <f t="shared" ref="AL5:AL33" si="7">AK5/AA5</f>
        <v>4.3346337234503683E-3</v>
      </c>
      <c r="AM5">
        <f t="shared" ref="AM5:AM27" si="8">AM4+AK5</f>
        <v>39.5</v>
      </c>
      <c r="AN5" s="1">
        <f t="shared" si="3"/>
        <v>3.2584037945968237E-2</v>
      </c>
      <c r="AO5">
        <v>15</v>
      </c>
      <c r="AP5">
        <f>AP4+AO5</f>
        <v>30</v>
      </c>
      <c r="AR5" t="s">
        <v>9</v>
      </c>
      <c r="AS5">
        <f>AK8+AK9+AK10+AK11</f>
        <v>49.5</v>
      </c>
      <c r="AT5">
        <v>65</v>
      </c>
      <c r="AU5">
        <f>AU4+AS5</f>
        <v>118</v>
      </c>
      <c r="AV5">
        <f>AV4+AT5</f>
        <v>130</v>
      </c>
      <c r="AZ5" s="72">
        <v>2019</v>
      </c>
      <c r="BA5" s="7" t="s">
        <v>9</v>
      </c>
      <c r="BB5" s="7">
        <v>0</v>
      </c>
      <c r="BC5" s="7">
        <v>0</v>
      </c>
      <c r="BD5" s="7">
        <v>2</v>
      </c>
      <c r="BE5" s="7">
        <f t="shared" si="4"/>
        <v>2</v>
      </c>
      <c r="BF5" s="73">
        <v>2897.5</v>
      </c>
      <c r="BI5" s="29">
        <v>12.967645723918823</v>
      </c>
      <c r="BL5" s="72">
        <v>2020</v>
      </c>
      <c r="BM5" s="7" t="s">
        <v>9</v>
      </c>
      <c r="BN5">
        <v>2</v>
      </c>
      <c r="BO5" s="102">
        <v>2</v>
      </c>
      <c r="BP5">
        <f t="shared" ref="BP5:BP15" si="9">BN5+BO5</f>
        <v>4</v>
      </c>
      <c r="BQ5" s="84">
        <f t="shared" ref="BQ5:BQ15" si="10">BN5/BP5</f>
        <v>0.5</v>
      </c>
      <c r="BR5" s="85">
        <v>0.95</v>
      </c>
      <c r="BU5" s="67">
        <v>605</v>
      </c>
      <c r="BV5" s="65" t="str">
        <f t="shared" si="5"/>
        <v>Tack Shell Courses</v>
      </c>
      <c r="BW5" s="65">
        <v>558</v>
      </c>
      <c r="BX5" s="65">
        <v>994.5</v>
      </c>
      <c r="BY5" s="1">
        <f t="shared" si="6"/>
        <v>0.56108597285067874</v>
      </c>
      <c r="BZ5" s="66">
        <f t="shared" ref="BZ5:BZ13" si="11">BX5-BW5</f>
        <v>436.5</v>
      </c>
    </row>
    <row r="6" spans="1:78" x14ac:dyDescent="0.25">
      <c r="A6" s="7">
        <v>2021</v>
      </c>
      <c r="B6" s="13">
        <v>44214</v>
      </c>
      <c r="C6" s="13" t="s">
        <v>8</v>
      </c>
      <c r="D6" s="7">
        <v>3</v>
      </c>
      <c r="F6" s="5">
        <v>1.17</v>
      </c>
      <c r="G6" s="5">
        <v>1.02</v>
      </c>
      <c r="H6" s="5">
        <v>1.01</v>
      </c>
      <c r="I6" s="5">
        <v>0.48</v>
      </c>
      <c r="J6" s="6">
        <v>1</v>
      </c>
      <c r="K6" s="7"/>
      <c r="L6" s="7"/>
      <c r="M6" s="7"/>
      <c r="N6" s="9">
        <v>0.82</v>
      </c>
      <c r="O6" s="9">
        <v>0.95</v>
      </c>
      <c r="Q6" s="1"/>
      <c r="R6" s="1"/>
      <c r="S6" s="1"/>
      <c r="T6" s="1"/>
      <c r="U6" s="4"/>
      <c r="V6" s="4"/>
      <c r="W6" t="s">
        <v>10</v>
      </c>
      <c r="X6" s="5"/>
      <c r="Y6" s="5">
        <v>0.95</v>
      </c>
      <c r="AA6">
        <v>592</v>
      </c>
      <c r="AB6">
        <v>158.25</v>
      </c>
      <c r="AC6">
        <f t="shared" si="0"/>
        <v>750.25</v>
      </c>
      <c r="AD6" s="1">
        <f t="shared" si="1"/>
        <v>0.2109296901032989</v>
      </c>
      <c r="AF6">
        <f t="shared" ref="AF6:AH21" si="12">AF5+AA6</f>
        <v>1804.25</v>
      </c>
      <c r="AG6">
        <f t="shared" si="12"/>
        <v>442.5</v>
      </c>
      <c r="AH6">
        <f t="shared" si="12"/>
        <v>2246.75</v>
      </c>
      <c r="AI6" s="1">
        <f t="shared" si="2"/>
        <v>0.19695115166351396</v>
      </c>
      <c r="AK6">
        <v>29</v>
      </c>
      <c r="AL6" s="1">
        <f t="shared" si="7"/>
        <v>4.8986486486486486E-2</v>
      </c>
      <c r="AM6">
        <f t="shared" si="8"/>
        <v>68.5</v>
      </c>
      <c r="AN6" s="1">
        <f t="shared" si="3"/>
        <v>3.7965913814604409E-2</v>
      </c>
      <c r="AO6">
        <v>15</v>
      </c>
      <c r="AP6">
        <f t="shared" ref="AP6:AP27" si="13">AP5+AO6</f>
        <v>45</v>
      </c>
      <c r="AR6" t="s">
        <v>10</v>
      </c>
      <c r="AS6">
        <f>AK12+AK13+AK14+AK15+AK16</f>
        <v>33</v>
      </c>
      <c r="AT6">
        <v>65</v>
      </c>
      <c r="AU6">
        <f>AU5+AS6</f>
        <v>151</v>
      </c>
      <c r="AV6">
        <f t="shared" ref="AV6:AV15" si="14">AV5+AT6</f>
        <v>195</v>
      </c>
      <c r="AZ6" s="72">
        <v>2019</v>
      </c>
      <c r="BA6" s="7" t="s">
        <v>10</v>
      </c>
      <c r="BB6" s="7">
        <v>0</v>
      </c>
      <c r="BC6" s="7">
        <v>0</v>
      </c>
      <c r="BD6" s="7">
        <v>1</v>
      </c>
      <c r="BE6" s="7">
        <f t="shared" si="4"/>
        <v>1</v>
      </c>
      <c r="BF6" s="73">
        <f>3051.25+76.75</f>
        <v>3128</v>
      </c>
      <c r="BI6" s="29">
        <v>8.5594911382518308</v>
      </c>
      <c r="BL6" s="72">
        <v>2020</v>
      </c>
      <c r="BM6" s="7" t="s">
        <v>10</v>
      </c>
      <c r="BN6">
        <v>12</v>
      </c>
      <c r="BO6" s="102">
        <v>2</v>
      </c>
      <c r="BP6">
        <f t="shared" si="9"/>
        <v>14</v>
      </c>
      <c r="BQ6" s="84">
        <f t="shared" si="10"/>
        <v>0.8571428571428571</v>
      </c>
      <c r="BR6" s="85">
        <v>0.95</v>
      </c>
      <c r="BU6" s="67">
        <v>630</v>
      </c>
      <c r="BV6" s="65" t="str">
        <f t="shared" si="5"/>
        <v>Install Internal Parts</v>
      </c>
      <c r="BW6" s="65">
        <v>479.33818042422695</v>
      </c>
      <c r="BX6" s="65">
        <v>808</v>
      </c>
      <c r="BY6" s="1">
        <f t="shared" si="6"/>
        <v>0.59324032230721158</v>
      </c>
      <c r="BZ6" s="66">
        <f t="shared" si="11"/>
        <v>328.66181957577305</v>
      </c>
    </row>
    <row r="7" spans="1:78" x14ac:dyDescent="0.25">
      <c r="A7" s="7">
        <v>2021</v>
      </c>
      <c r="B7" s="13">
        <v>44221</v>
      </c>
      <c r="C7" s="13"/>
      <c r="D7" s="7">
        <v>4</v>
      </c>
      <c r="F7" s="5">
        <v>0.41</v>
      </c>
      <c r="G7" s="5">
        <v>0.91</v>
      </c>
      <c r="H7" s="5">
        <v>1.02</v>
      </c>
      <c r="I7" s="5">
        <v>0.6</v>
      </c>
      <c r="J7" s="6">
        <v>0.8</v>
      </c>
      <c r="K7" s="7"/>
      <c r="L7" s="8">
        <f t="shared" ref="L7:L27" si="15">AVERAGE(J4:J7)</f>
        <v>0.96249999999999991</v>
      </c>
      <c r="M7" s="7"/>
      <c r="N7" s="9">
        <v>0.82</v>
      </c>
      <c r="O7" s="9">
        <v>0.95</v>
      </c>
      <c r="Q7" s="1"/>
      <c r="R7" s="1"/>
      <c r="S7" s="1"/>
      <c r="T7" s="1"/>
      <c r="U7" s="4"/>
      <c r="V7" s="4"/>
      <c r="W7" t="s">
        <v>11</v>
      </c>
      <c r="X7" s="5"/>
      <c r="Y7" s="5">
        <v>0.95</v>
      </c>
      <c r="AA7">
        <v>592</v>
      </c>
      <c r="AB7">
        <v>140</v>
      </c>
      <c r="AC7">
        <f t="shared" si="0"/>
        <v>732</v>
      </c>
      <c r="AD7" s="1">
        <f t="shared" si="1"/>
        <v>0.19125683060109289</v>
      </c>
      <c r="AF7">
        <f t="shared" si="12"/>
        <v>2396.25</v>
      </c>
      <c r="AG7">
        <f t="shared" si="12"/>
        <v>582.5</v>
      </c>
      <c r="AH7">
        <f t="shared" si="12"/>
        <v>2978.75</v>
      </c>
      <c r="AI7" s="1">
        <f t="shared" si="2"/>
        <v>0.19555182543013008</v>
      </c>
      <c r="AK7">
        <v>0</v>
      </c>
      <c r="AL7" s="1">
        <f t="shared" si="7"/>
        <v>0</v>
      </c>
      <c r="AM7">
        <f t="shared" si="8"/>
        <v>68.5</v>
      </c>
      <c r="AN7" s="1">
        <f t="shared" si="3"/>
        <v>2.8586332811684923E-2</v>
      </c>
      <c r="AO7">
        <v>15</v>
      </c>
      <c r="AP7">
        <f t="shared" si="13"/>
        <v>60</v>
      </c>
      <c r="AR7" t="s">
        <v>11</v>
      </c>
      <c r="AS7">
        <f>AK17+AK18+AK19+AK20</f>
        <v>21</v>
      </c>
      <c r="AT7">
        <v>65</v>
      </c>
      <c r="AU7">
        <f>AU6+AS7</f>
        <v>172</v>
      </c>
      <c r="AV7">
        <f t="shared" si="14"/>
        <v>260</v>
      </c>
      <c r="AZ7" s="72">
        <v>2019</v>
      </c>
      <c r="BA7" s="7" t="s">
        <v>11</v>
      </c>
      <c r="BB7" s="7">
        <v>0</v>
      </c>
      <c r="BC7" s="7">
        <v>0</v>
      </c>
      <c r="BD7" s="7">
        <v>1</v>
      </c>
      <c r="BE7" s="7">
        <f t="shared" si="4"/>
        <v>1</v>
      </c>
      <c r="BF7" s="73">
        <f>3140+641.25</f>
        <v>3781.25</v>
      </c>
      <c r="BI7" s="29">
        <v>8.4889643463497446</v>
      </c>
      <c r="BL7" s="72">
        <v>2020</v>
      </c>
      <c r="BM7" s="7" t="s">
        <v>11</v>
      </c>
      <c r="BN7">
        <v>11</v>
      </c>
      <c r="BO7" s="102">
        <v>1</v>
      </c>
      <c r="BP7">
        <f t="shared" si="9"/>
        <v>12</v>
      </c>
      <c r="BQ7" s="84">
        <f t="shared" si="10"/>
        <v>0.91666666666666663</v>
      </c>
      <c r="BR7" s="85">
        <v>0.95</v>
      </c>
      <c r="BU7" s="67">
        <v>305</v>
      </c>
      <c r="BV7" s="65" t="str">
        <f t="shared" si="5"/>
        <v>BI, SQ, T&amp;C Shells</v>
      </c>
      <c r="BW7" s="65">
        <v>971.16692466460245</v>
      </c>
      <c r="BX7" s="65">
        <v>1271</v>
      </c>
      <c r="BY7" s="1">
        <f t="shared" si="6"/>
        <v>0.76409671492100906</v>
      </c>
      <c r="BZ7" s="66">
        <f t="shared" si="11"/>
        <v>299.83307533539755</v>
      </c>
    </row>
    <row r="8" spans="1:78" x14ac:dyDescent="0.25">
      <c r="A8" s="7">
        <v>2021</v>
      </c>
      <c r="B8" s="13">
        <v>44228</v>
      </c>
      <c r="C8" s="13"/>
      <c r="D8" s="7">
        <v>5</v>
      </c>
      <c r="F8" s="5">
        <v>0.66</v>
      </c>
      <c r="G8" s="5">
        <v>0.85</v>
      </c>
      <c r="H8" s="5">
        <v>1</v>
      </c>
      <c r="I8" s="5">
        <v>0.47</v>
      </c>
      <c r="J8" s="6">
        <v>0.84</v>
      </c>
      <c r="K8" s="7"/>
      <c r="L8" s="8">
        <f t="shared" si="15"/>
        <v>0.91249999999999987</v>
      </c>
      <c r="M8" s="7"/>
      <c r="N8" s="9">
        <v>0.82</v>
      </c>
      <c r="O8" s="9">
        <v>0.95</v>
      </c>
      <c r="Q8" s="1"/>
      <c r="R8" s="1"/>
      <c r="S8" s="1"/>
      <c r="T8" s="1"/>
      <c r="U8" s="4"/>
      <c r="V8" s="4"/>
      <c r="W8" t="s">
        <v>12</v>
      </c>
      <c r="X8" s="5"/>
      <c r="Y8" s="5">
        <v>0.95</v>
      </c>
      <c r="AA8" s="2">
        <v>496.5</v>
      </c>
      <c r="AB8" s="2">
        <v>290</v>
      </c>
      <c r="AC8" s="2">
        <f t="shared" si="0"/>
        <v>786.5</v>
      </c>
      <c r="AD8" s="1">
        <f t="shared" si="1"/>
        <v>0.3687221869040051</v>
      </c>
      <c r="AF8">
        <f t="shared" si="12"/>
        <v>2892.75</v>
      </c>
      <c r="AG8">
        <f t="shared" si="12"/>
        <v>872.5</v>
      </c>
      <c r="AH8">
        <f t="shared" si="12"/>
        <v>3765.25</v>
      </c>
      <c r="AI8" s="1">
        <f t="shared" si="2"/>
        <v>0.23172432109421684</v>
      </c>
      <c r="AK8">
        <v>0</v>
      </c>
      <c r="AL8" s="1">
        <f t="shared" si="7"/>
        <v>0</v>
      </c>
      <c r="AM8">
        <f t="shared" si="8"/>
        <v>68.5</v>
      </c>
      <c r="AN8" s="1">
        <f t="shared" si="3"/>
        <v>2.3679889378618962E-2</v>
      </c>
      <c r="AO8">
        <v>15</v>
      </c>
      <c r="AP8">
        <f t="shared" si="13"/>
        <v>75</v>
      </c>
      <c r="AR8" t="s">
        <v>12</v>
      </c>
      <c r="AS8">
        <f>AK21+AK22+AK23+AK24+AK25</f>
        <v>0</v>
      </c>
      <c r="AT8">
        <v>65</v>
      </c>
      <c r="AU8">
        <f>AU7+AS8</f>
        <v>172</v>
      </c>
      <c r="AV8">
        <f t="shared" si="14"/>
        <v>325</v>
      </c>
      <c r="AZ8" s="72">
        <v>2019</v>
      </c>
      <c r="BA8" s="7" t="s">
        <v>12</v>
      </c>
      <c r="BB8" s="7">
        <v>0</v>
      </c>
      <c r="BC8" s="7">
        <v>1</v>
      </c>
      <c r="BD8" s="7">
        <v>0</v>
      </c>
      <c r="BE8" s="7">
        <f t="shared" si="4"/>
        <v>1</v>
      </c>
      <c r="BF8" s="73">
        <f>3438.75+443.5</f>
        <v>3882.25</v>
      </c>
      <c r="BI8" s="29">
        <v>8.577662694136631</v>
      </c>
      <c r="BL8" s="72">
        <v>2020</v>
      </c>
      <c r="BM8" s="7" t="s">
        <v>12</v>
      </c>
      <c r="BN8">
        <v>16</v>
      </c>
      <c r="BO8" s="102">
        <v>5</v>
      </c>
      <c r="BP8">
        <f t="shared" si="9"/>
        <v>21</v>
      </c>
      <c r="BQ8" s="84">
        <f t="shared" si="10"/>
        <v>0.76190476190476186</v>
      </c>
      <c r="BR8" s="85">
        <v>0.95</v>
      </c>
      <c r="BU8" s="67">
        <v>800</v>
      </c>
      <c r="BV8" s="65" t="str">
        <f t="shared" si="5"/>
        <v>Move Tank to Detail Rolls</v>
      </c>
      <c r="BW8" s="65">
        <v>164.14545454545456</v>
      </c>
      <c r="BX8" s="65">
        <v>461.5</v>
      </c>
      <c r="BY8" s="1">
        <f t="shared" si="6"/>
        <v>0.35567812469220922</v>
      </c>
      <c r="BZ8" s="66">
        <f t="shared" si="11"/>
        <v>297.35454545454547</v>
      </c>
    </row>
    <row r="9" spans="1:78" x14ac:dyDescent="0.25">
      <c r="A9" s="7">
        <v>2021</v>
      </c>
      <c r="B9" s="13">
        <v>44235</v>
      </c>
      <c r="C9" s="13"/>
      <c r="D9" s="7">
        <v>6</v>
      </c>
      <c r="F9" s="5">
        <v>0.7</v>
      </c>
      <c r="G9" s="5">
        <v>1</v>
      </c>
      <c r="H9" s="5">
        <v>1.07</v>
      </c>
      <c r="I9" s="5">
        <v>0.46</v>
      </c>
      <c r="J9" s="6">
        <v>0.95</v>
      </c>
      <c r="K9" s="7"/>
      <c r="L9" s="8">
        <f>AVERAGE(J6:J9)</f>
        <v>0.89749999999999996</v>
      </c>
      <c r="M9" s="7"/>
      <c r="N9" s="9">
        <v>0.82</v>
      </c>
      <c r="O9" s="9">
        <v>0.95</v>
      </c>
      <c r="Q9" s="1"/>
      <c r="R9" s="1"/>
      <c r="S9" s="1"/>
      <c r="T9" s="1"/>
      <c r="U9" s="4"/>
      <c r="V9" s="4"/>
      <c r="W9" t="s">
        <v>13</v>
      </c>
      <c r="X9" s="33"/>
      <c r="Y9" s="5">
        <v>0.95</v>
      </c>
      <c r="AA9" s="2">
        <v>563.5</v>
      </c>
      <c r="AB9" s="2">
        <v>296.5</v>
      </c>
      <c r="AC9" s="2">
        <f t="shared" si="0"/>
        <v>860</v>
      </c>
      <c r="AD9" s="1">
        <f t="shared" si="1"/>
        <v>0.3447674418604651</v>
      </c>
      <c r="AF9">
        <f t="shared" si="12"/>
        <v>3456.25</v>
      </c>
      <c r="AG9">
        <f t="shared" si="12"/>
        <v>1169</v>
      </c>
      <c r="AH9">
        <f t="shared" si="12"/>
        <v>4625.25</v>
      </c>
      <c r="AI9" s="1">
        <f t="shared" si="2"/>
        <v>0.25274309496783959</v>
      </c>
      <c r="AK9">
        <v>12</v>
      </c>
      <c r="AL9" s="1">
        <f t="shared" si="7"/>
        <v>2.1295474711623779E-2</v>
      </c>
      <c r="AM9">
        <f t="shared" si="8"/>
        <v>80.5</v>
      </c>
      <c r="AN9" s="1">
        <f t="shared" si="3"/>
        <v>2.3291139240506329E-2</v>
      </c>
      <c r="AO9">
        <v>15</v>
      </c>
      <c r="AP9">
        <f t="shared" si="13"/>
        <v>90</v>
      </c>
      <c r="AR9" t="s">
        <v>13</v>
      </c>
      <c r="AS9">
        <f>AK25+AK26+AK27+AK28</f>
        <v>211</v>
      </c>
      <c r="AT9">
        <v>65</v>
      </c>
      <c r="AU9">
        <f>AU8+AS9</f>
        <v>383</v>
      </c>
      <c r="AV9">
        <f t="shared" si="14"/>
        <v>390</v>
      </c>
      <c r="AZ9" s="72">
        <v>2019</v>
      </c>
      <c r="BA9" s="7" t="s">
        <v>13</v>
      </c>
      <c r="BB9" s="7">
        <v>1</v>
      </c>
      <c r="BC9" s="7">
        <v>1</v>
      </c>
      <c r="BD9" s="7">
        <v>0</v>
      </c>
      <c r="BE9" s="7">
        <f t="shared" si="4"/>
        <v>2</v>
      </c>
      <c r="BF9" s="73">
        <f>3275+554.5</f>
        <v>3829.5</v>
      </c>
      <c r="BI9" s="29">
        <v>8.7407334567961943</v>
      </c>
      <c r="BL9" s="72">
        <v>2020</v>
      </c>
      <c r="BM9" s="7" t="s">
        <v>13</v>
      </c>
      <c r="BN9">
        <v>10</v>
      </c>
      <c r="BO9" s="102">
        <v>0</v>
      </c>
      <c r="BP9">
        <f t="shared" si="9"/>
        <v>10</v>
      </c>
      <c r="BQ9" s="84">
        <f t="shared" si="10"/>
        <v>1</v>
      </c>
      <c r="BR9" s="85">
        <v>0.95</v>
      </c>
      <c r="BU9" s="67">
        <v>155</v>
      </c>
      <c r="BV9" s="65" t="str">
        <f t="shared" si="5"/>
        <v>B&amp;C parts-lugs, supp, etc</v>
      </c>
      <c r="BW9" s="65">
        <v>769.92174030985382</v>
      </c>
      <c r="BX9" s="65">
        <v>1061</v>
      </c>
      <c r="BY9" s="1">
        <f t="shared" si="6"/>
        <v>0.72565668266715722</v>
      </c>
      <c r="BZ9" s="66">
        <f t="shared" si="11"/>
        <v>291.07825969014618</v>
      </c>
    </row>
    <row r="10" spans="1:78" x14ac:dyDescent="0.25">
      <c r="A10" s="7">
        <v>2021</v>
      </c>
      <c r="B10" s="13">
        <v>44242</v>
      </c>
      <c r="C10" s="13" t="s">
        <v>9</v>
      </c>
      <c r="D10" s="7">
        <v>7</v>
      </c>
      <c r="F10" s="5">
        <v>1.0900000000000001</v>
      </c>
      <c r="G10" s="5">
        <v>1.04</v>
      </c>
      <c r="H10" s="5">
        <v>0.98</v>
      </c>
      <c r="I10" s="5">
        <v>0.61</v>
      </c>
      <c r="J10" s="6">
        <v>1.01</v>
      </c>
      <c r="K10" s="7"/>
      <c r="L10" s="8">
        <f t="shared" si="15"/>
        <v>0.89999999999999991</v>
      </c>
      <c r="M10" s="7"/>
      <c r="N10" s="9">
        <v>0.82</v>
      </c>
      <c r="O10" s="9">
        <v>0.95</v>
      </c>
      <c r="Q10" s="1"/>
      <c r="R10" s="1"/>
      <c r="S10" s="1"/>
      <c r="T10" s="1"/>
      <c r="U10" s="4"/>
      <c r="V10" s="4"/>
      <c r="W10" t="s">
        <v>14</v>
      </c>
      <c r="X10" s="5"/>
      <c r="Y10" s="5">
        <v>0.95</v>
      </c>
      <c r="AA10" s="2">
        <v>627</v>
      </c>
      <c r="AB10" s="2">
        <v>227.5</v>
      </c>
      <c r="AC10" s="2">
        <f t="shared" si="0"/>
        <v>854.5</v>
      </c>
      <c r="AD10" s="1">
        <f t="shared" si="1"/>
        <v>0.26623756582796959</v>
      </c>
      <c r="AF10">
        <f t="shared" si="12"/>
        <v>4083.25</v>
      </c>
      <c r="AG10">
        <f t="shared" si="12"/>
        <v>1396.5</v>
      </c>
      <c r="AH10">
        <f t="shared" si="12"/>
        <v>5479.75</v>
      </c>
      <c r="AI10" s="1">
        <f t="shared" si="2"/>
        <v>0.25484739267302342</v>
      </c>
      <c r="AK10">
        <v>7</v>
      </c>
      <c r="AL10" s="1">
        <f t="shared" si="7"/>
        <v>1.1164274322169059E-2</v>
      </c>
      <c r="AM10">
        <f t="shared" si="8"/>
        <v>87.5</v>
      </c>
      <c r="AN10" s="1">
        <f t="shared" si="3"/>
        <v>2.1429008755280719E-2</v>
      </c>
      <c r="AO10">
        <v>15</v>
      </c>
      <c r="AP10">
        <f t="shared" si="13"/>
        <v>105</v>
      </c>
      <c r="AR10" t="s">
        <v>14</v>
      </c>
      <c r="AS10">
        <f>AK30+AK31+AK32+AK33</f>
        <v>62.5</v>
      </c>
      <c r="AT10">
        <v>65</v>
      </c>
      <c r="AU10">
        <f>AU9+AS10</f>
        <v>445.5</v>
      </c>
      <c r="AV10">
        <f t="shared" si="14"/>
        <v>455</v>
      </c>
      <c r="AZ10" s="72">
        <v>2019</v>
      </c>
      <c r="BA10" s="7" t="s">
        <v>14</v>
      </c>
      <c r="BB10" s="7">
        <v>0</v>
      </c>
      <c r="BC10" s="7">
        <v>0</v>
      </c>
      <c r="BD10" s="7">
        <v>1</v>
      </c>
      <c r="BE10" s="7">
        <f t="shared" si="4"/>
        <v>1</v>
      </c>
      <c r="BF10" s="73">
        <f>3731.5+544</f>
        <v>4275.5</v>
      </c>
      <c r="BI10" s="29">
        <v>8.8880988356590525</v>
      </c>
      <c r="BL10" s="72">
        <v>2020</v>
      </c>
      <c r="BM10" s="7" t="s">
        <v>14</v>
      </c>
      <c r="BN10">
        <v>9</v>
      </c>
      <c r="BO10" s="102">
        <v>2</v>
      </c>
      <c r="BP10">
        <f t="shared" si="9"/>
        <v>11</v>
      </c>
      <c r="BQ10" s="84">
        <f t="shared" si="10"/>
        <v>0.81818181818181823</v>
      </c>
      <c r="BR10" s="85">
        <v>0.95</v>
      </c>
      <c r="BU10" s="67">
        <v>600</v>
      </c>
      <c r="BV10" s="65" t="str">
        <f t="shared" si="5"/>
        <v>Fit Bottom Head to Shell</v>
      </c>
      <c r="BW10" s="65">
        <v>732.67698412698417</v>
      </c>
      <c r="BX10" s="65">
        <v>1012</v>
      </c>
      <c r="BY10" s="1">
        <f t="shared" si="6"/>
        <v>0.7239891147499844</v>
      </c>
      <c r="BZ10" s="66">
        <f t="shared" si="11"/>
        <v>279.32301587301583</v>
      </c>
    </row>
    <row r="11" spans="1:78" x14ac:dyDescent="0.25">
      <c r="A11" s="7">
        <v>2021</v>
      </c>
      <c r="B11" s="13">
        <v>44249</v>
      </c>
      <c r="C11" s="13"/>
      <c r="D11" s="7">
        <v>8</v>
      </c>
      <c r="F11" s="5">
        <v>0.89</v>
      </c>
      <c r="G11" s="5">
        <v>0.96</v>
      </c>
      <c r="H11" s="5">
        <v>0.97</v>
      </c>
      <c r="I11" s="5">
        <v>0.86</v>
      </c>
      <c r="J11" s="6">
        <v>0.94</v>
      </c>
      <c r="K11" s="7"/>
      <c r="L11" s="8">
        <f t="shared" si="15"/>
        <v>0.93499999999999994</v>
      </c>
      <c r="M11" s="8">
        <f t="shared" ref="M11:M27" si="16">AVERAGE(J4:J11)</f>
        <v>0.94874999999999998</v>
      </c>
      <c r="N11" s="9">
        <v>0.82</v>
      </c>
      <c r="O11" s="9">
        <v>0.95</v>
      </c>
      <c r="Q11" s="1"/>
      <c r="R11" s="1"/>
      <c r="S11" s="1"/>
      <c r="T11" s="1"/>
      <c r="U11" s="4"/>
      <c r="V11" s="4"/>
      <c r="W11" t="s">
        <v>15</v>
      </c>
      <c r="X11" s="5"/>
      <c r="Y11" s="5">
        <v>0.95</v>
      </c>
      <c r="AA11" s="2">
        <v>571</v>
      </c>
      <c r="AB11" s="2">
        <v>258</v>
      </c>
      <c r="AC11" s="2">
        <f t="shared" si="0"/>
        <v>829</v>
      </c>
      <c r="AD11" s="1">
        <f t="shared" si="1"/>
        <v>0.31121833534378768</v>
      </c>
      <c r="AF11">
        <f t="shared" si="12"/>
        <v>4654.25</v>
      </c>
      <c r="AG11">
        <f t="shared" si="12"/>
        <v>1654.5</v>
      </c>
      <c r="AH11">
        <f t="shared" si="12"/>
        <v>6308.75</v>
      </c>
      <c r="AI11" s="1">
        <f t="shared" si="2"/>
        <v>0.26225480483455516</v>
      </c>
      <c r="AK11">
        <v>30.5</v>
      </c>
      <c r="AL11" s="1">
        <f t="shared" si="7"/>
        <v>5.3415061295971976E-2</v>
      </c>
      <c r="AM11">
        <f t="shared" si="8"/>
        <v>118</v>
      </c>
      <c r="AN11" s="1">
        <f t="shared" si="3"/>
        <v>2.5353171832196379E-2</v>
      </c>
      <c r="AO11">
        <v>15</v>
      </c>
      <c r="AP11">
        <f t="shared" si="13"/>
        <v>120</v>
      </c>
      <c r="AR11" t="s">
        <v>15</v>
      </c>
      <c r="AT11">
        <v>65</v>
      </c>
      <c r="AU11" s="32"/>
      <c r="AV11">
        <f t="shared" si="14"/>
        <v>520</v>
      </c>
      <c r="AZ11" s="72">
        <v>2019</v>
      </c>
      <c r="BA11" s="7" t="s">
        <v>15</v>
      </c>
      <c r="BB11" s="7">
        <v>0</v>
      </c>
      <c r="BC11" s="7">
        <v>0</v>
      </c>
      <c r="BD11" s="7">
        <v>0</v>
      </c>
      <c r="BE11" s="7">
        <f t="shared" si="4"/>
        <v>0</v>
      </c>
      <c r="BF11" s="73">
        <f>3976.75+580</f>
        <v>4556.75</v>
      </c>
      <c r="BI11" s="29">
        <v>9.0443512373803028</v>
      </c>
      <c r="BL11" s="72">
        <v>2020</v>
      </c>
      <c r="BM11" s="7" t="s">
        <v>15</v>
      </c>
      <c r="BN11">
        <v>6</v>
      </c>
      <c r="BO11" s="102">
        <v>4</v>
      </c>
      <c r="BP11">
        <f t="shared" si="9"/>
        <v>10</v>
      </c>
      <c r="BQ11" s="84">
        <f t="shared" si="10"/>
        <v>0.6</v>
      </c>
      <c r="BR11" s="85">
        <v>0.95</v>
      </c>
      <c r="BU11" s="67">
        <v>726</v>
      </c>
      <c r="BV11" s="65" t="str">
        <f t="shared" si="5"/>
        <v>Weld Shell Nozz &amp; M/Ws</v>
      </c>
      <c r="BW11" s="65">
        <v>974.8</v>
      </c>
      <c r="BX11" s="65">
        <v>1225.25</v>
      </c>
      <c r="BY11" s="1">
        <f t="shared" si="6"/>
        <v>0.79559273617629056</v>
      </c>
      <c r="BZ11" s="66">
        <f t="shared" si="11"/>
        <v>250.45000000000005</v>
      </c>
    </row>
    <row r="12" spans="1:78" x14ac:dyDescent="0.25">
      <c r="A12" s="7">
        <v>2021</v>
      </c>
      <c r="B12" s="13">
        <v>44256</v>
      </c>
      <c r="C12" s="13"/>
      <c r="D12" s="7">
        <v>9</v>
      </c>
      <c r="F12" s="5">
        <v>1.03</v>
      </c>
      <c r="G12" s="5">
        <v>0.93</v>
      </c>
      <c r="H12" s="5">
        <v>1.04</v>
      </c>
      <c r="I12" s="5">
        <v>0</v>
      </c>
      <c r="J12" s="6">
        <v>0.96</v>
      </c>
      <c r="K12" s="7"/>
      <c r="L12" s="8">
        <f t="shared" si="15"/>
        <v>0.96499999999999997</v>
      </c>
      <c r="M12" s="8">
        <f t="shared" si="16"/>
        <v>0.93874999999999986</v>
      </c>
      <c r="N12" s="9">
        <v>0.82</v>
      </c>
      <c r="O12" s="9">
        <v>0.95</v>
      </c>
      <c r="Q12" s="1"/>
      <c r="R12" s="1"/>
      <c r="S12" s="1"/>
      <c r="T12" s="1"/>
      <c r="U12" s="4"/>
      <c r="V12" s="4"/>
      <c r="W12" t="s">
        <v>16</v>
      </c>
      <c r="X12" s="5"/>
      <c r="Y12" s="5">
        <v>0.95</v>
      </c>
      <c r="AA12" s="2">
        <v>511.5</v>
      </c>
      <c r="AB12" s="2">
        <v>273.5</v>
      </c>
      <c r="AC12" s="2">
        <f t="shared" si="0"/>
        <v>785</v>
      </c>
      <c r="AD12" s="1">
        <f t="shared" si="1"/>
        <v>0.34840764331210189</v>
      </c>
      <c r="AF12">
        <f t="shared" si="12"/>
        <v>5165.75</v>
      </c>
      <c r="AG12">
        <f t="shared" si="12"/>
        <v>1928</v>
      </c>
      <c r="AH12">
        <f t="shared" si="12"/>
        <v>7093.75</v>
      </c>
      <c r="AI12" s="1">
        <f t="shared" si="2"/>
        <v>0.27178854625550664</v>
      </c>
      <c r="AK12">
        <v>5</v>
      </c>
      <c r="AL12" s="1">
        <f t="shared" si="7"/>
        <v>9.7751710654936461E-3</v>
      </c>
      <c r="AM12">
        <f t="shared" si="8"/>
        <v>123</v>
      </c>
      <c r="AN12" s="1">
        <f t="shared" si="3"/>
        <v>2.3810676087692977E-2</v>
      </c>
      <c r="AO12">
        <v>15</v>
      </c>
      <c r="AP12">
        <f t="shared" si="13"/>
        <v>135</v>
      </c>
      <c r="AR12" t="s">
        <v>16</v>
      </c>
      <c r="AT12">
        <v>65</v>
      </c>
      <c r="AU12" s="32"/>
      <c r="AV12">
        <f t="shared" si="14"/>
        <v>585</v>
      </c>
      <c r="AZ12" s="72">
        <v>2019</v>
      </c>
      <c r="BA12" s="7" t="s">
        <v>16</v>
      </c>
      <c r="BB12" s="7">
        <v>0</v>
      </c>
      <c r="BC12" s="7">
        <v>0</v>
      </c>
      <c r="BD12" s="7">
        <v>0</v>
      </c>
      <c r="BE12" s="7">
        <f t="shared" si="4"/>
        <v>0</v>
      </c>
      <c r="BF12" s="74">
        <f>3393.75+819.75</f>
        <v>4213.5</v>
      </c>
      <c r="BI12" s="29">
        <v>4.6222468742055511</v>
      </c>
      <c r="BL12" s="72">
        <v>2020</v>
      </c>
      <c r="BM12" s="7" t="s">
        <v>16</v>
      </c>
      <c r="BN12">
        <v>5</v>
      </c>
      <c r="BO12" s="102">
        <v>0</v>
      </c>
      <c r="BP12">
        <f t="shared" si="9"/>
        <v>5</v>
      </c>
      <c r="BQ12" s="84">
        <f t="shared" si="10"/>
        <v>1</v>
      </c>
      <c r="BR12" s="85">
        <v>0.95</v>
      </c>
      <c r="BU12" s="67">
        <v>105</v>
      </c>
      <c r="BV12" s="65" t="str">
        <f t="shared" si="5"/>
        <v>Build Nozzles-Weld</v>
      </c>
      <c r="BW12" s="65">
        <v>958.03205989859259</v>
      </c>
      <c r="BX12" s="65">
        <v>1184.75</v>
      </c>
      <c r="BY12" s="1">
        <f t="shared" si="6"/>
        <v>0.80863647174390596</v>
      </c>
      <c r="BZ12" s="66">
        <f t="shared" si="11"/>
        <v>226.71794010140741</v>
      </c>
    </row>
    <row r="13" spans="1:78" ht="15.75" customHeight="1" x14ac:dyDescent="0.25">
      <c r="A13" s="7">
        <v>2021</v>
      </c>
      <c r="B13" s="13">
        <v>44263</v>
      </c>
      <c r="C13" s="13"/>
      <c r="D13" s="7">
        <v>10</v>
      </c>
      <c r="F13" s="33">
        <v>0.7</v>
      </c>
      <c r="G13" s="33">
        <v>0.82</v>
      </c>
      <c r="H13" s="33">
        <v>0.99</v>
      </c>
      <c r="I13" s="33">
        <v>0.67</v>
      </c>
      <c r="J13" s="34">
        <v>0.85</v>
      </c>
      <c r="K13" s="7"/>
      <c r="L13" s="8">
        <f t="shared" si="15"/>
        <v>0.94000000000000006</v>
      </c>
      <c r="M13" s="8">
        <f t="shared" si="16"/>
        <v>0.91874999999999984</v>
      </c>
      <c r="N13" s="35">
        <v>0.82</v>
      </c>
      <c r="O13" s="35">
        <v>0.95</v>
      </c>
      <c r="Q13" s="36"/>
      <c r="R13" s="36"/>
      <c r="S13" s="36"/>
      <c r="T13" s="36"/>
      <c r="U13" s="99"/>
      <c r="V13" s="99"/>
      <c r="W13" t="s">
        <v>17</v>
      </c>
      <c r="X13" s="33"/>
      <c r="Y13" s="33">
        <v>0.95</v>
      </c>
      <c r="AA13" s="2">
        <v>500</v>
      </c>
      <c r="AB13" s="2">
        <v>243</v>
      </c>
      <c r="AC13" s="2">
        <f t="shared" si="0"/>
        <v>743</v>
      </c>
      <c r="AD13" s="36">
        <f t="shared" si="1"/>
        <v>0.32705248990578734</v>
      </c>
      <c r="AF13">
        <f t="shared" si="12"/>
        <v>5665.75</v>
      </c>
      <c r="AG13">
        <f t="shared" si="12"/>
        <v>2171</v>
      </c>
      <c r="AH13">
        <f t="shared" si="12"/>
        <v>7836.75</v>
      </c>
      <c r="AI13" s="36">
        <f>AG13/AH13</f>
        <v>0.2770281047628162</v>
      </c>
      <c r="AK13">
        <v>4.5</v>
      </c>
      <c r="AL13" s="36">
        <f t="shared" si="7"/>
        <v>8.9999999999999993E-3</v>
      </c>
      <c r="AM13">
        <f t="shared" si="8"/>
        <v>127.5</v>
      </c>
      <c r="AN13" s="36">
        <f t="shared" si="3"/>
        <v>2.2503640294753564E-2</v>
      </c>
      <c r="AO13">
        <v>15</v>
      </c>
      <c r="AP13">
        <f t="shared" si="13"/>
        <v>150</v>
      </c>
      <c r="AR13" t="s">
        <v>17</v>
      </c>
      <c r="AT13">
        <v>65</v>
      </c>
      <c r="AU13" s="32"/>
      <c r="AV13">
        <f t="shared" si="14"/>
        <v>650</v>
      </c>
      <c r="AZ13" s="72">
        <v>2019</v>
      </c>
      <c r="BA13" s="7" t="s">
        <v>17</v>
      </c>
      <c r="BB13" s="7">
        <v>1</v>
      </c>
      <c r="BC13" s="7">
        <v>0</v>
      </c>
      <c r="BD13" s="7">
        <v>2</v>
      </c>
      <c r="BE13" s="7">
        <f t="shared" si="4"/>
        <v>3</v>
      </c>
      <c r="BF13" s="79">
        <f>4652.5+1060.5</f>
        <v>5713</v>
      </c>
      <c r="BI13" s="29">
        <v>4.7229962688329472</v>
      </c>
      <c r="BL13" s="72">
        <v>2020</v>
      </c>
      <c r="BM13" s="7" t="s">
        <v>17</v>
      </c>
      <c r="BN13">
        <v>6</v>
      </c>
      <c r="BO13" s="102">
        <v>0</v>
      </c>
      <c r="BP13">
        <f t="shared" si="9"/>
        <v>6</v>
      </c>
      <c r="BQ13" s="87">
        <f t="shared" si="10"/>
        <v>1</v>
      </c>
      <c r="BR13" s="100">
        <v>0.95</v>
      </c>
      <c r="BU13" s="67">
        <v>640</v>
      </c>
      <c r="BV13" s="65" t="str">
        <f t="shared" si="5"/>
        <v>Fit Top to Shell-Weld</v>
      </c>
      <c r="BW13" s="65">
        <v>539.9</v>
      </c>
      <c r="BX13" s="65">
        <v>753.75</v>
      </c>
      <c r="BY13" s="36">
        <f t="shared" si="6"/>
        <v>0.71628524046434494</v>
      </c>
      <c r="BZ13" s="66">
        <f t="shared" si="11"/>
        <v>213.85000000000002</v>
      </c>
    </row>
    <row r="14" spans="1:78" x14ac:dyDescent="0.25">
      <c r="A14" s="7">
        <v>2021</v>
      </c>
      <c r="B14" s="13">
        <v>44270</v>
      </c>
      <c r="C14" s="13" t="s">
        <v>10</v>
      </c>
      <c r="D14" s="7">
        <v>11</v>
      </c>
      <c r="F14" s="5">
        <v>1.3</v>
      </c>
      <c r="G14" s="5">
        <v>0.83</v>
      </c>
      <c r="H14" s="5">
        <v>1.02</v>
      </c>
      <c r="I14" s="5">
        <v>0</v>
      </c>
      <c r="J14" s="6">
        <v>0.95</v>
      </c>
      <c r="K14" s="7"/>
      <c r="L14" s="8">
        <f t="shared" si="15"/>
        <v>0.92500000000000004</v>
      </c>
      <c r="M14" s="8">
        <f t="shared" si="16"/>
        <v>0.91249999999999987</v>
      </c>
      <c r="N14" s="9">
        <v>0.82</v>
      </c>
      <c r="O14" s="9">
        <v>0.95</v>
      </c>
      <c r="Q14" s="1"/>
      <c r="R14" s="1"/>
      <c r="S14" s="1"/>
      <c r="T14" s="1"/>
      <c r="U14" s="4"/>
      <c r="V14" s="4"/>
      <c r="W14" t="s">
        <v>18</v>
      </c>
      <c r="X14" s="5"/>
      <c r="Y14" s="5">
        <v>0.95</v>
      </c>
      <c r="AA14" s="2">
        <v>504.75</v>
      </c>
      <c r="AB14" s="2">
        <v>170</v>
      </c>
      <c r="AC14" s="2">
        <f t="shared" si="0"/>
        <v>674.75</v>
      </c>
      <c r="AD14" s="1">
        <f t="shared" si="1"/>
        <v>0.25194516487587998</v>
      </c>
      <c r="AF14">
        <f t="shared" si="12"/>
        <v>6170.5</v>
      </c>
      <c r="AG14">
        <f t="shared" si="12"/>
        <v>2341</v>
      </c>
      <c r="AH14">
        <f t="shared" si="12"/>
        <v>8511.5</v>
      </c>
      <c r="AI14" s="1">
        <f t="shared" si="2"/>
        <v>0.27503965223521121</v>
      </c>
      <c r="AK14">
        <v>3.5</v>
      </c>
      <c r="AL14" s="1">
        <f t="shared" si="7"/>
        <v>6.9341258048538877E-3</v>
      </c>
      <c r="AM14">
        <f t="shared" si="8"/>
        <v>131</v>
      </c>
      <c r="AN14" s="1">
        <f t="shared" si="3"/>
        <v>2.1230046187505066E-2</v>
      </c>
      <c r="AO14">
        <v>15</v>
      </c>
      <c r="AP14">
        <f t="shared" si="13"/>
        <v>165</v>
      </c>
      <c r="AR14" t="s">
        <v>18</v>
      </c>
      <c r="AT14">
        <v>65</v>
      </c>
      <c r="AU14" s="32"/>
      <c r="AV14">
        <f t="shared" si="14"/>
        <v>715</v>
      </c>
      <c r="AZ14" s="72">
        <v>2019</v>
      </c>
      <c r="BA14" s="7" t="s">
        <v>18</v>
      </c>
      <c r="BB14" s="7">
        <v>0</v>
      </c>
      <c r="BC14" s="7">
        <v>0</v>
      </c>
      <c r="BD14" s="7">
        <v>0</v>
      </c>
      <c r="BE14" s="7">
        <f t="shared" si="4"/>
        <v>0</v>
      </c>
      <c r="BF14" s="73">
        <v>3740.75</v>
      </c>
      <c r="BI14" s="29">
        <v>9.7974979639574542</v>
      </c>
      <c r="BL14" s="72">
        <v>2020</v>
      </c>
      <c r="BM14" s="7" t="s">
        <v>18</v>
      </c>
      <c r="BN14">
        <v>9</v>
      </c>
      <c r="BO14" s="102">
        <v>0</v>
      </c>
      <c r="BP14">
        <f t="shared" si="9"/>
        <v>9</v>
      </c>
      <c r="BQ14" s="87">
        <f t="shared" si="10"/>
        <v>1</v>
      </c>
      <c r="BR14" s="85">
        <v>0.95</v>
      </c>
    </row>
    <row r="15" spans="1:78" x14ac:dyDescent="0.25">
      <c r="A15" s="7">
        <v>2021</v>
      </c>
      <c r="B15" s="13">
        <v>44277</v>
      </c>
      <c r="D15" s="7">
        <v>12</v>
      </c>
      <c r="F15" s="5">
        <v>0.85</v>
      </c>
      <c r="G15" s="5">
        <v>0.86</v>
      </c>
      <c r="H15" s="5">
        <v>1.22</v>
      </c>
      <c r="I15" s="5">
        <v>0.6</v>
      </c>
      <c r="J15" s="6">
        <v>0.91</v>
      </c>
      <c r="L15" s="8">
        <f t="shared" si="15"/>
        <v>0.91749999999999998</v>
      </c>
      <c r="M15" s="8">
        <f t="shared" si="16"/>
        <v>0.92624999999999991</v>
      </c>
      <c r="N15" s="9">
        <v>0.82</v>
      </c>
      <c r="O15" s="9">
        <v>0.95</v>
      </c>
      <c r="Q15" s="1"/>
      <c r="R15" s="1"/>
      <c r="S15" s="1"/>
      <c r="T15" s="1"/>
      <c r="U15" s="4"/>
      <c r="V15" s="4"/>
      <c r="W15" t="s">
        <v>19</v>
      </c>
      <c r="X15" s="5"/>
      <c r="Y15" s="5">
        <v>0.95</v>
      </c>
      <c r="AA15" s="2">
        <v>440</v>
      </c>
      <c r="AB15" s="2">
        <v>276</v>
      </c>
      <c r="AC15" s="2">
        <f t="shared" si="0"/>
        <v>716</v>
      </c>
      <c r="AD15" s="1">
        <f t="shared" si="1"/>
        <v>0.38547486033519551</v>
      </c>
      <c r="AF15">
        <f t="shared" si="12"/>
        <v>6610.5</v>
      </c>
      <c r="AG15">
        <f t="shared" si="12"/>
        <v>2617</v>
      </c>
      <c r="AH15">
        <f t="shared" si="12"/>
        <v>9227.5</v>
      </c>
      <c r="AI15" s="1">
        <f t="shared" si="2"/>
        <v>0.28360877810891355</v>
      </c>
      <c r="AK15">
        <v>5</v>
      </c>
      <c r="AL15" s="1">
        <f t="shared" si="7"/>
        <v>1.1363636363636364E-2</v>
      </c>
      <c r="AM15">
        <f t="shared" si="8"/>
        <v>136</v>
      </c>
      <c r="AN15" s="1">
        <f t="shared" si="3"/>
        <v>2.0573330307843581E-2</v>
      </c>
      <c r="AO15">
        <v>15</v>
      </c>
      <c r="AP15">
        <f t="shared" si="13"/>
        <v>180</v>
      </c>
      <c r="AR15" t="s">
        <v>19</v>
      </c>
      <c r="AT15">
        <v>65</v>
      </c>
      <c r="AU15" s="32"/>
      <c r="AV15">
        <f t="shared" si="14"/>
        <v>780</v>
      </c>
      <c r="AZ15" s="75">
        <v>2019</v>
      </c>
      <c r="BA15" s="76" t="s">
        <v>19</v>
      </c>
      <c r="BB15" s="76">
        <v>0</v>
      </c>
      <c r="BC15" s="76">
        <v>0</v>
      </c>
      <c r="BD15" s="76">
        <v>0</v>
      </c>
      <c r="BE15" s="76">
        <f t="shared" si="4"/>
        <v>0</v>
      </c>
      <c r="BF15" s="77">
        <f>3063.25+238</f>
        <v>3301.25</v>
      </c>
      <c r="BG15" s="7">
        <f t="shared" ref="BG15:BG33" si="17">SUM(BB4:BB15)</f>
        <v>2</v>
      </c>
      <c r="BH15" s="28">
        <f t="shared" ref="BH15:BH27" si="18">SUM(BF4:BF15)</f>
        <v>46931.5</v>
      </c>
      <c r="BI15" s="29">
        <f>BG15*200000/BH15</f>
        <v>8.5230602047665212</v>
      </c>
      <c r="BJ15" s="7">
        <v>4</v>
      </c>
      <c r="BL15" s="75">
        <v>2020</v>
      </c>
      <c r="BM15" s="76" t="s">
        <v>19</v>
      </c>
      <c r="BN15" s="54">
        <v>14</v>
      </c>
      <c r="BO15" s="104">
        <v>6</v>
      </c>
      <c r="BP15" s="54">
        <f t="shared" si="9"/>
        <v>20</v>
      </c>
      <c r="BQ15" s="54">
        <f t="shared" si="10"/>
        <v>0.7</v>
      </c>
      <c r="BR15" s="86">
        <v>0.95</v>
      </c>
    </row>
    <row r="16" spans="1:78" x14ac:dyDescent="0.25">
      <c r="A16" s="7">
        <v>2021</v>
      </c>
      <c r="B16" s="13">
        <v>44284</v>
      </c>
      <c r="C16" s="13"/>
      <c r="D16" s="7">
        <v>13</v>
      </c>
      <c r="F16" s="5">
        <v>0.92</v>
      </c>
      <c r="G16" s="5">
        <v>0.82</v>
      </c>
      <c r="H16" s="5">
        <v>0.6</v>
      </c>
      <c r="I16" s="5">
        <v>1</v>
      </c>
      <c r="J16" s="6">
        <v>0.79</v>
      </c>
      <c r="L16" s="8">
        <f t="shared" si="15"/>
        <v>0.875</v>
      </c>
      <c r="M16" s="8">
        <f t="shared" si="16"/>
        <v>0.92</v>
      </c>
      <c r="N16" s="9">
        <v>0.82</v>
      </c>
      <c r="O16" s="9">
        <v>0.95</v>
      </c>
      <c r="Q16" s="1"/>
      <c r="R16" s="1"/>
      <c r="S16" s="1"/>
      <c r="T16" s="1"/>
      <c r="U16" s="4"/>
      <c r="V16" s="4"/>
      <c r="W16" s="4"/>
      <c r="X16" s="4"/>
      <c r="Y16" s="4"/>
      <c r="AA16" s="2">
        <v>364</v>
      </c>
      <c r="AB16" s="2">
        <v>413.5</v>
      </c>
      <c r="AC16" s="2">
        <f t="shared" si="0"/>
        <v>777.5</v>
      </c>
      <c r="AD16" s="1">
        <f t="shared" si="1"/>
        <v>0.53183279742765277</v>
      </c>
      <c r="AF16">
        <f t="shared" si="12"/>
        <v>6974.5</v>
      </c>
      <c r="AG16">
        <f t="shared" si="12"/>
        <v>3030.5</v>
      </c>
      <c r="AH16">
        <f t="shared" si="12"/>
        <v>10005</v>
      </c>
      <c r="AI16" s="1">
        <f t="shared" si="2"/>
        <v>0.30289855072463767</v>
      </c>
      <c r="AK16">
        <v>15</v>
      </c>
      <c r="AL16" s="1">
        <f t="shared" si="7"/>
        <v>4.1208791208791208E-2</v>
      </c>
      <c r="AM16">
        <f t="shared" si="8"/>
        <v>151</v>
      </c>
      <c r="AN16" s="1">
        <f t="shared" si="3"/>
        <v>2.1650297512366478E-2</v>
      </c>
      <c r="AO16">
        <v>15</v>
      </c>
      <c r="AP16">
        <f t="shared" si="13"/>
        <v>195</v>
      </c>
      <c r="AZ16" s="69">
        <v>2020</v>
      </c>
      <c r="BA16" s="70" t="s">
        <v>8</v>
      </c>
      <c r="BB16" s="70">
        <v>0</v>
      </c>
      <c r="BC16" s="70">
        <v>1</v>
      </c>
      <c r="BD16" s="70">
        <v>0.05</v>
      </c>
      <c r="BE16" s="70">
        <f t="shared" si="4"/>
        <v>1.05</v>
      </c>
      <c r="BF16" s="78">
        <f>3060.5+785.25</f>
        <v>3845.75</v>
      </c>
      <c r="BG16" s="7">
        <f t="shared" si="17"/>
        <v>2</v>
      </c>
      <c r="BH16" s="28">
        <f t="shared" si="18"/>
        <v>47165</v>
      </c>
      <c r="BI16" s="29">
        <f t="shared" ref="BI16:BI27" si="19">BG16*200000/BH16</f>
        <v>8.4808650482349197</v>
      </c>
      <c r="BJ16" s="7">
        <v>4</v>
      </c>
      <c r="BL16" s="69">
        <v>2021</v>
      </c>
      <c r="BM16" s="70" t="s">
        <v>8</v>
      </c>
      <c r="BN16" s="81">
        <v>10</v>
      </c>
      <c r="BO16" s="103">
        <v>3</v>
      </c>
      <c r="BP16" s="81">
        <f>BN16+BO16</f>
        <v>13</v>
      </c>
      <c r="BQ16" s="82">
        <f>BN16/BP16</f>
        <v>0.76923076923076927</v>
      </c>
      <c r="BR16" s="83">
        <v>0.95</v>
      </c>
    </row>
    <row r="17" spans="1:75" x14ac:dyDescent="0.25">
      <c r="A17" s="7">
        <v>2021</v>
      </c>
      <c r="B17" s="13">
        <v>44291</v>
      </c>
      <c r="C17" s="13"/>
      <c r="D17" s="7">
        <v>14</v>
      </c>
      <c r="F17" s="33">
        <v>1</v>
      </c>
      <c r="G17" s="33">
        <v>0.83</v>
      </c>
      <c r="H17" s="33">
        <v>0.97</v>
      </c>
      <c r="I17" s="33">
        <v>0.75</v>
      </c>
      <c r="J17" s="34">
        <v>0.88</v>
      </c>
      <c r="L17" s="8">
        <f t="shared" si="15"/>
        <v>0.88249999999999995</v>
      </c>
      <c r="M17" s="8">
        <f t="shared" si="16"/>
        <v>0.91125</v>
      </c>
      <c r="N17" s="35">
        <v>0.82</v>
      </c>
      <c r="O17" s="35">
        <v>0.95</v>
      </c>
      <c r="Q17" s="36"/>
      <c r="R17" s="36"/>
      <c r="S17" s="36"/>
      <c r="T17" s="36"/>
      <c r="U17" s="99"/>
      <c r="V17" s="99"/>
      <c r="W17" s="99"/>
      <c r="X17" s="99"/>
      <c r="Y17" s="99"/>
      <c r="AA17" s="2">
        <v>227.25</v>
      </c>
      <c r="AB17" s="2">
        <v>438.5</v>
      </c>
      <c r="AC17" s="2">
        <f t="shared" si="0"/>
        <v>665.75</v>
      </c>
      <c r="AD17" s="36">
        <f t="shared" si="1"/>
        <v>0.65865565152084116</v>
      </c>
      <c r="AF17">
        <f t="shared" si="12"/>
        <v>7201.75</v>
      </c>
      <c r="AG17">
        <f t="shared" si="12"/>
        <v>3469</v>
      </c>
      <c r="AH17">
        <f t="shared" si="12"/>
        <v>10670.75</v>
      </c>
      <c r="AI17" s="36">
        <f t="shared" si="2"/>
        <v>0.32509429983834315</v>
      </c>
      <c r="AK17" s="106">
        <v>19</v>
      </c>
      <c r="AL17" s="36">
        <f t="shared" si="7"/>
        <v>8.3608360836083612E-2</v>
      </c>
      <c r="AM17">
        <f t="shared" si="8"/>
        <v>170</v>
      </c>
      <c r="AN17" s="36">
        <f t="shared" si="3"/>
        <v>2.3605373693893844E-2</v>
      </c>
      <c r="AO17">
        <v>15</v>
      </c>
      <c r="AP17">
        <f t="shared" si="13"/>
        <v>210</v>
      </c>
      <c r="AR17" t="s">
        <v>49</v>
      </c>
      <c r="AS17">
        <f>SUM(AS4:AS16)</f>
        <v>445.5</v>
      </c>
      <c r="AT17">
        <f>SUM(AT4:AT16)</f>
        <v>780</v>
      </c>
      <c r="AZ17" s="72">
        <v>2020</v>
      </c>
      <c r="BA17" s="7" t="s">
        <v>9</v>
      </c>
      <c r="BB17" s="7">
        <v>0</v>
      </c>
      <c r="BC17" s="7">
        <v>0</v>
      </c>
      <c r="BD17" s="7">
        <v>1</v>
      </c>
      <c r="BE17" s="7">
        <f t="shared" si="4"/>
        <v>1</v>
      </c>
      <c r="BF17" s="79">
        <f>3042.5+613.75</f>
        <v>3656.25</v>
      </c>
      <c r="BG17" s="7">
        <f t="shared" si="17"/>
        <v>2</v>
      </c>
      <c r="BH17" s="28">
        <f t="shared" si="18"/>
        <v>47923.75</v>
      </c>
      <c r="BI17" s="29">
        <f t="shared" si="19"/>
        <v>8.3465922428858335</v>
      </c>
      <c r="BJ17" s="7">
        <v>4</v>
      </c>
      <c r="BL17" s="72">
        <v>2021</v>
      </c>
      <c r="BM17" s="7" t="s">
        <v>9</v>
      </c>
      <c r="BN17">
        <v>2</v>
      </c>
      <c r="BO17" s="102">
        <v>2</v>
      </c>
      <c r="BP17">
        <f>BN17+BO17</f>
        <v>4</v>
      </c>
      <c r="BQ17" s="87">
        <f>BN17/BP17</f>
        <v>0.5</v>
      </c>
      <c r="BR17" s="100">
        <v>0.95</v>
      </c>
    </row>
    <row r="18" spans="1:75" x14ac:dyDescent="0.25">
      <c r="A18" s="7">
        <v>2021</v>
      </c>
      <c r="B18" s="13">
        <v>44298</v>
      </c>
      <c r="C18" s="13"/>
      <c r="D18" s="7">
        <v>15</v>
      </c>
      <c r="F18" s="33">
        <v>0.98</v>
      </c>
      <c r="G18" s="33">
        <v>0.91</v>
      </c>
      <c r="H18" s="33">
        <v>1.01</v>
      </c>
      <c r="I18" s="33">
        <v>0</v>
      </c>
      <c r="J18" s="34">
        <v>0.94</v>
      </c>
      <c r="L18" s="8">
        <f t="shared" si="15"/>
        <v>0.88</v>
      </c>
      <c r="M18" s="8">
        <f t="shared" si="16"/>
        <v>0.90250000000000008</v>
      </c>
      <c r="N18" s="35">
        <v>0.82</v>
      </c>
      <c r="O18" s="35">
        <v>0.95</v>
      </c>
      <c r="Q18" s="36"/>
      <c r="R18" s="36"/>
      <c r="S18" s="36"/>
      <c r="T18" s="36"/>
      <c r="U18" s="99"/>
      <c r="AA18" s="2">
        <v>343</v>
      </c>
      <c r="AB18" s="2">
        <v>365</v>
      </c>
      <c r="AC18" s="2">
        <f t="shared" si="0"/>
        <v>708</v>
      </c>
      <c r="AD18" s="36">
        <f t="shared" si="1"/>
        <v>0.5155367231638418</v>
      </c>
      <c r="AF18">
        <f t="shared" si="12"/>
        <v>7544.75</v>
      </c>
      <c r="AG18">
        <f t="shared" si="12"/>
        <v>3834</v>
      </c>
      <c r="AH18">
        <f t="shared" si="12"/>
        <v>11378.75</v>
      </c>
      <c r="AI18" s="36">
        <f t="shared" si="2"/>
        <v>0.3369438646600022</v>
      </c>
      <c r="AK18" s="106">
        <v>0</v>
      </c>
      <c r="AL18" s="36">
        <f t="shared" si="7"/>
        <v>0</v>
      </c>
      <c r="AM18">
        <f t="shared" si="8"/>
        <v>170</v>
      </c>
      <c r="AN18" s="36">
        <f t="shared" si="3"/>
        <v>2.2532224394446469E-2</v>
      </c>
      <c r="AO18">
        <v>15</v>
      </c>
      <c r="AP18">
        <f t="shared" si="13"/>
        <v>225</v>
      </c>
      <c r="AZ18" s="72">
        <v>2020</v>
      </c>
      <c r="BA18" s="7" t="s">
        <v>10</v>
      </c>
      <c r="BB18" s="7">
        <v>0</v>
      </c>
      <c r="BC18" s="7">
        <v>0</v>
      </c>
      <c r="BD18" s="7">
        <v>1</v>
      </c>
      <c r="BE18" s="7">
        <f t="shared" si="4"/>
        <v>1</v>
      </c>
      <c r="BF18" s="79">
        <f>3452.5+791.25</f>
        <v>4243.75</v>
      </c>
      <c r="BG18" s="7">
        <f t="shared" si="17"/>
        <v>2</v>
      </c>
      <c r="BH18" s="28">
        <f t="shared" si="18"/>
        <v>49039.5</v>
      </c>
      <c r="BI18" s="29">
        <f t="shared" si="19"/>
        <v>8.1566900151918347</v>
      </c>
      <c r="BJ18" s="7">
        <v>4</v>
      </c>
      <c r="BL18" s="72">
        <v>2021</v>
      </c>
      <c r="BM18" s="7" t="s">
        <v>10</v>
      </c>
      <c r="BN18">
        <v>0</v>
      </c>
      <c r="BO18" s="102">
        <v>2</v>
      </c>
      <c r="BP18">
        <v>2</v>
      </c>
      <c r="BQ18" s="87">
        <f>BN18/BP18</f>
        <v>0</v>
      </c>
      <c r="BR18" s="100">
        <v>0.95</v>
      </c>
    </row>
    <row r="19" spans="1:75" x14ac:dyDescent="0.25">
      <c r="A19" s="7">
        <v>2021</v>
      </c>
      <c r="B19" s="13">
        <v>44305</v>
      </c>
      <c r="C19" s="13" t="s">
        <v>11</v>
      </c>
      <c r="D19" s="7">
        <v>16</v>
      </c>
      <c r="F19" s="33">
        <v>1.1299999999999999</v>
      </c>
      <c r="G19" s="33">
        <v>1.0900000000000001</v>
      </c>
      <c r="H19" s="33">
        <v>0.84</v>
      </c>
      <c r="I19" s="33">
        <v>1</v>
      </c>
      <c r="J19" s="34">
        <v>1.01</v>
      </c>
      <c r="L19" s="8">
        <f t="shared" si="15"/>
        <v>0.90500000000000003</v>
      </c>
      <c r="M19" s="8">
        <f t="shared" si="16"/>
        <v>0.91124999999999989</v>
      </c>
      <c r="N19" s="35">
        <v>0.82</v>
      </c>
      <c r="O19" s="35">
        <v>0.95</v>
      </c>
      <c r="Q19" s="36"/>
      <c r="R19" s="36"/>
      <c r="S19" s="36"/>
      <c r="T19" s="36"/>
      <c r="U19" s="99"/>
      <c r="AA19" s="2">
        <v>231</v>
      </c>
      <c r="AB19" s="2">
        <v>509.75</v>
      </c>
      <c r="AC19" s="2">
        <f t="shared" si="0"/>
        <v>740.75</v>
      </c>
      <c r="AD19" s="36">
        <f t="shared" si="1"/>
        <v>0.68815389807627403</v>
      </c>
      <c r="AF19">
        <f t="shared" si="12"/>
        <v>7775.75</v>
      </c>
      <c r="AG19">
        <f t="shared" si="12"/>
        <v>4343.75</v>
      </c>
      <c r="AH19">
        <f t="shared" si="12"/>
        <v>12119.5</v>
      </c>
      <c r="AI19" s="36">
        <f t="shared" si="2"/>
        <v>0.35841000041255827</v>
      </c>
      <c r="AK19" s="106">
        <v>2</v>
      </c>
      <c r="AL19" s="36">
        <f t="shared" si="7"/>
        <v>8.658008658008658E-3</v>
      </c>
      <c r="AM19">
        <f t="shared" si="8"/>
        <v>172</v>
      </c>
      <c r="AN19" s="36">
        <f t="shared" si="3"/>
        <v>2.2120052728032667E-2</v>
      </c>
      <c r="AO19">
        <v>15</v>
      </c>
      <c r="AP19">
        <f t="shared" si="13"/>
        <v>240</v>
      </c>
      <c r="AZ19" s="72">
        <v>2020</v>
      </c>
      <c r="BA19" s="7" t="s">
        <v>11</v>
      </c>
      <c r="BB19" s="7">
        <v>0</v>
      </c>
      <c r="BC19" s="7">
        <v>1</v>
      </c>
      <c r="BD19" s="7">
        <v>1</v>
      </c>
      <c r="BE19" s="7">
        <f t="shared" si="4"/>
        <v>2</v>
      </c>
      <c r="BF19" s="79">
        <f>3935.5+777</f>
        <v>4712.5</v>
      </c>
      <c r="BG19" s="7">
        <f t="shared" si="17"/>
        <v>2</v>
      </c>
      <c r="BH19" s="28">
        <f t="shared" si="18"/>
        <v>49970.75</v>
      </c>
      <c r="BI19" s="29">
        <f t="shared" si="19"/>
        <v>8.0046827394025506</v>
      </c>
      <c r="BJ19" s="7">
        <v>4</v>
      </c>
      <c r="BL19" s="72">
        <v>2021</v>
      </c>
      <c r="BM19" s="7" t="s">
        <v>11</v>
      </c>
      <c r="BN19">
        <v>0</v>
      </c>
      <c r="BO19" s="102">
        <v>4</v>
      </c>
      <c r="BP19">
        <v>4</v>
      </c>
      <c r="BQ19" s="87">
        <f>BN19/BP19</f>
        <v>0</v>
      </c>
      <c r="BR19" s="100">
        <v>0.95</v>
      </c>
    </row>
    <row r="20" spans="1:75" x14ac:dyDescent="0.25">
      <c r="A20" s="7">
        <v>2021</v>
      </c>
      <c r="B20" s="13">
        <v>44312</v>
      </c>
      <c r="C20" s="13"/>
      <c r="D20" s="7">
        <v>17</v>
      </c>
      <c r="F20" s="33">
        <v>0.99</v>
      </c>
      <c r="G20" s="33">
        <v>0.99</v>
      </c>
      <c r="H20" s="33">
        <v>0.89</v>
      </c>
      <c r="I20" s="33">
        <v>1.5</v>
      </c>
      <c r="J20" s="34">
        <v>0.95</v>
      </c>
      <c r="L20" s="8">
        <f t="shared" si="15"/>
        <v>0.94500000000000006</v>
      </c>
      <c r="M20" s="8">
        <f t="shared" si="16"/>
        <v>0.91</v>
      </c>
      <c r="N20" s="35">
        <v>0.82</v>
      </c>
      <c r="O20" s="35">
        <v>0.95</v>
      </c>
      <c r="Q20" s="36"/>
      <c r="R20" s="36"/>
      <c r="S20" s="36"/>
      <c r="T20" s="36"/>
      <c r="U20" s="99"/>
      <c r="AA20" s="2">
        <v>215</v>
      </c>
      <c r="AB20" s="2">
        <v>534.5</v>
      </c>
      <c r="AC20" s="2">
        <f t="shared" si="0"/>
        <v>749.5</v>
      </c>
      <c r="AD20" s="36">
        <f t="shared" si="1"/>
        <v>0.71314209472981993</v>
      </c>
      <c r="AF20">
        <f t="shared" si="12"/>
        <v>7990.75</v>
      </c>
      <c r="AG20">
        <f t="shared" si="12"/>
        <v>4878.25</v>
      </c>
      <c r="AH20">
        <f t="shared" si="12"/>
        <v>12869</v>
      </c>
      <c r="AI20" s="36">
        <f t="shared" si="2"/>
        <v>0.37906985779780866</v>
      </c>
      <c r="AK20" s="106">
        <v>0</v>
      </c>
      <c r="AL20" s="36">
        <f t="shared" si="7"/>
        <v>0</v>
      </c>
      <c r="AM20">
        <f t="shared" si="8"/>
        <v>172</v>
      </c>
      <c r="AN20" s="36">
        <f t="shared" si="3"/>
        <v>2.1524888151925665E-2</v>
      </c>
      <c r="AO20">
        <v>15</v>
      </c>
      <c r="AP20">
        <f t="shared" si="13"/>
        <v>255</v>
      </c>
      <c r="AZ20" s="72">
        <v>2020</v>
      </c>
      <c r="BA20" s="7" t="s">
        <v>12</v>
      </c>
      <c r="BB20" s="7">
        <v>0</v>
      </c>
      <c r="BC20" s="7">
        <v>0</v>
      </c>
      <c r="BD20" s="7">
        <v>0</v>
      </c>
      <c r="BE20" s="7">
        <f t="shared" si="4"/>
        <v>0</v>
      </c>
      <c r="BF20" s="79">
        <f>3541+676</f>
        <v>4217</v>
      </c>
      <c r="BG20" s="7">
        <f t="shared" si="17"/>
        <v>2</v>
      </c>
      <c r="BH20" s="28">
        <f t="shared" si="18"/>
        <v>50305.5</v>
      </c>
      <c r="BI20" s="29">
        <f t="shared" si="19"/>
        <v>7.9514168430887278</v>
      </c>
      <c r="BJ20" s="7">
        <v>4</v>
      </c>
      <c r="BL20" s="72">
        <v>2021</v>
      </c>
      <c r="BM20" s="7" t="s">
        <v>12</v>
      </c>
      <c r="BN20">
        <v>3</v>
      </c>
      <c r="BO20" s="102">
        <v>0</v>
      </c>
      <c r="BP20">
        <v>3</v>
      </c>
      <c r="BQ20" s="87">
        <f>BN20/BP20</f>
        <v>1</v>
      </c>
      <c r="BR20" s="100">
        <v>0.95</v>
      </c>
    </row>
    <row r="21" spans="1:75" x14ac:dyDescent="0.25">
      <c r="A21" s="7">
        <v>2021</v>
      </c>
      <c r="B21" s="13">
        <v>44319</v>
      </c>
      <c r="C21" s="13"/>
      <c r="D21" s="7">
        <v>18</v>
      </c>
      <c r="F21" s="33">
        <v>1</v>
      </c>
      <c r="G21" s="33">
        <v>1.0900000000000001</v>
      </c>
      <c r="H21" s="33">
        <v>0.83</v>
      </c>
      <c r="I21" s="33">
        <v>1.86</v>
      </c>
      <c r="J21" s="34">
        <v>0.93</v>
      </c>
      <c r="L21" s="8">
        <f t="shared" si="15"/>
        <v>0.95750000000000002</v>
      </c>
      <c r="M21" s="8">
        <f t="shared" si="16"/>
        <v>0.91999999999999993</v>
      </c>
      <c r="N21" s="35">
        <v>0.82</v>
      </c>
      <c r="O21" s="35">
        <v>0.95</v>
      </c>
      <c r="Q21" s="36"/>
      <c r="R21" s="36"/>
      <c r="S21" s="36"/>
      <c r="T21" s="36"/>
      <c r="U21" s="99"/>
      <c r="AA21" s="2">
        <v>227</v>
      </c>
      <c r="AB21" s="2">
        <v>421.5</v>
      </c>
      <c r="AC21" s="2">
        <f t="shared" si="0"/>
        <v>648.5</v>
      </c>
      <c r="AD21" s="36">
        <f t="shared" si="1"/>
        <v>0.64996144949884349</v>
      </c>
      <c r="AF21">
        <f t="shared" si="12"/>
        <v>8217.75</v>
      </c>
      <c r="AG21">
        <f t="shared" si="12"/>
        <v>5299.75</v>
      </c>
      <c r="AH21">
        <f t="shared" si="12"/>
        <v>13517.5</v>
      </c>
      <c r="AI21" s="36">
        <f t="shared" si="2"/>
        <v>0.39206584057702976</v>
      </c>
      <c r="AK21">
        <v>0</v>
      </c>
      <c r="AL21" s="36">
        <f t="shared" si="7"/>
        <v>0</v>
      </c>
      <c r="AM21">
        <f t="shared" si="8"/>
        <v>172</v>
      </c>
      <c r="AN21" s="36">
        <f t="shared" si="3"/>
        <v>2.0930303306866235E-2</v>
      </c>
      <c r="AO21">
        <v>15</v>
      </c>
      <c r="AP21">
        <f t="shared" si="13"/>
        <v>270</v>
      </c>
      <c r="AZ21" s="72">
        <v>2020</v>
      </c>
      <c r="BA21" s="7" t="s">
        <v>13</v>
      </c>
      <c r="BB21" s="7">
        <v>0</v>
      </c>
      <c r="BC21" s="7">
        <v>1</v>
      </c>
      <c r="BD21" s="7">
        <v>3</v>
      </c>
      <c r="BE21" s="7">
        <f t="shared" si="4"/>
        <v>4</v>
      </c>
      <c r="BF21" s="79">
        <v>4153</v>
      </c>
      <c r="BG21" s="7">
        <f t="shared" si="17"/>
        <v>1</v>
      </c>
      <c r="BH21" s="28">
        <f t="shared" si="18"/>
        <v>50629</v>
      </c>
      <c r="BI21" s="29">
        <f t="shared" si="19"/>
        <v>3.9503051610736928</v>
      </c>
      <c r="BJ21" s="7">
        <v>4</v>
      </c>
      <c r="BL21" s="72">
        <v>2021</v>
      </c>
      <c r="BM21" s="7" t="s">
        <v>13</v>
      </c>
      <c r="BR21" s="100">
        <v>0.95</v>
      </c>
      <c r="BU21" t="s">
        <v>155</v>
      </c>
      <c r="BV21" t="s">
        <v>156</v>
      </c>
    </row>
    <row r="22" spans="1:75" x14ac:dyDescent="0.25">
      <c r="A22" s="7">
        <v>2021</v>
      </c>
      <c r="B22" s="13">
        <v>44326</v>
      </c>
      <c r="C22" s="13"/>
      <c r="D22" s="7">
        <v>19</v>
      </c>
      <c r="F22" s="33">
        <v>1.2</v>
      </c>
      <c r="G22" s="33">
        <v>0.71</v>
      </c>
      <c r="H22" s="33">
        <v>0.78</v>
      </c>
      <c r="I22" s="33">
        <v>0</v>
      </c>
      <c r="J22" s="34">
        <v>0.78</v>
      </c>
      <c r="L22" s="8">
        <f t="shared" si="15"/>
        <v>0.91749999999999998</v>
      </c>
      <c r="M22" s="8">
        <f t="shared" si="16"/>
        <v>0.89875000000000005</v>
      </c>
      <c r="N22" s="35">
        <v>0.82</v>
      </c>
      <c r="O22" s="35">
        <v>0.95</v>
      </c>
      <c r="Q22" s="36"/>
      <c r="R22" s="36"/>
      <c r="S22" s="36"/>
      <c r="T22" s="36"/>
      <c r="U22" s="99"/>
      <c r="AA22" s="2">
        <v>323.25</v>
      </c>
      <c r="AB22" s="2">
        <v>332</v>
      </c>
      <c r="AC22" s="2">
        <f t="shared" si="0"/>
        <v>655.25</v>
      </c>
      <c r="AD22" s="36">
        <f t="shared" si="1"/>
        <v>0.50667684090041964</v>
      </c>
      <c r="AF22">
        <f t="shared" ref="AF22:AH32" si="20">AF21+AA22</f>
        <v>8541</v>
      </c>
      <c r="AG22">
        <f t="shared" si="20"/>
        <v>5631.75</v>
      </c>
      <c r="AH22">
        <f t="shared" si="20"/>
        <v>14172.75</v>
      </c>
      <c r="AI22" s="36">
        <f t="shared" si="2"/>
        <v>0.39736466105731066</v>
      </c>
      <c r="AK22">
        <v>0</v>
      </c>
      <c r="AL22" s="36">
        <f t="shared" si="7"/>
        <v>0</v>
      </c>
      <c r="AM22">
        <f t="shared" si="8"/>
        <v>172</v>
      </c>
      <c r="AN22" s="36">
        <f t="shared" si="3"/>
        <v>2.0138157124458496E-2</v>
      </c>
      <c r="AO22">
        <v>15</v>
      </c>
      <c r="AP22">
        <f t="shared" si="13"/>
        <v>285</v>
      </c>
      <c r="AZ22" s="72">
        <v>2020</v>
      </c>
      <c r="BA22" s="7" t="s">
        <v>14</v>
      </c>
      <c r="BB22" s="7">
        <v>0</v>
      </c>
      <c r="BC22" s="7">
        <v>1</v>
      </c>
      <c r="BD22" s="7">
        <v>3</v>
      </c>
      <c r="BE22" s="7">
        <f t="shared" si="4"/>
        <v>4</v>
      </c>
      <c r="BF22" s="79">
        <v>3759.75</v>
      </c>
      <c r="BG22" s="7">
        <f t="shared" si="17"/>
        <v>1</v>
      </c>
      <c r="BH22" s="28">
        <f t="shared" si="18"/>
        <v>50113.25</v>
      </c>
      <c r="BI22" s="29">
        <f t="shared" si="19"/>
        <v>3.9909604745252003</v>
      </c>
      <c r="BJ22" s="7">
        <v>4</v>
      </c>
      <c r="BL22" s="72">
        <v>2021</v>
      </c>
      <c r="BM22" s="7" t="s">
        <v>14</v>
      </c>
      <c r="BR22" s="100">
        <v>0.95</v>
      </c>
      <c r="BU22" s="7">
        <v>100</v>
      </c>
      <c r="BV22" t="s">
        <v>157</v>
      </c>
      <c r="BW22" s="7"/>
    </row>
    <row r="23" spans="1:75" x14ac:dyDescent="0.25">
      <c r="A23" s="7">
        <v>2021</v>
      </c>
      <c r="B23" s="13">
        <v>44333</v>
      </c>
      <c r="C23" s="13" t="s">
        <v>12</v>
      </c>
      <c r="D23" s="7">
        <v>20</v>
      </c>
      <c r="F23" s="33">
        <v>0.89</v>
      </c>
      <c r="G23" s="33">
        <v>0.95</v>
      </c>
      <c r="H23" s="33">
        <v>0.83</v>
      </c>
      <c r="I23" s="33">
        <v>0.8</v>
      </c>
      <c r="J23" s="34">
        <v>0.88</v>
      </c>
      <c r="L23" s="8">
        <f t="shared" si="15"/>
        <v>0.88500000000000001</v>
      </c>
      <c r="M23" s="8">
        <f t="shared" si="16"/>
        <v>0.89500000000000002</v>
      </c>
      <c r="N23" s="35">
        <v>0.82</v>
      </c>
      <c r="O23" s="35">
        <v>0.95</v>
      </c>
      <c r="Q23" s="36"/>
      <c r="R23" s="36"/>
      <c r="S23" s="36"/>
      <c r="T23" s="36"/>
      <c r="U23" s="99"/>
      <c r="AA23" s="2">
        <v>357</v>
      </c>
      <c r="AB23" s="2">
        <v>253.05</v>
      </c>
      <c r="AC23" s="2">
        <f t="shared" si="0"/>
        <v>610.04999999999995</v>
      </c>
      <c r="AD23" s="36">
        <f t="shared" si="1"/>
        <v>0.41480206540447512</v>
      </c>
      <c r="AF23">
        <f t="shared" si="20"/>
        <v>8898</v>
      </c>
      <c r="AG23">
        <f t="shared" si="20"/>
        <v>5884.8</v>
      </c>
      <c r="AH23">
        <f t="shared" si="20"/>
        <v>14782.8</v>
      </c>
      <c r="AI23" s="36">
        <f t="shared" si="2"/>
        <v>0.39808426008604597</v>
      </c>
      <c r="AK23" s="106">
        <v>0</v>
      </c>
      <c r="AL23" s="36">
        <f t="shared" si="7"/>
        <v>0</v>
      </c>
      <c r="AM23">
        <f t="shared" si="8"/>
        <v>172</v>
      </c>
      <c r="AN23" s="36">
        <f t="shared" si="3"/>
        <v>1.9330186558777253E-2</v>
      </c>
      <c r="AO23">
        <v>15</v>
      </c>
      <c r="AP23">
        <f t="shared" si="13"/>
        <v>300</v>
      </c>
      <c r="AZ23" s="72">
        <v>2020</v>
      </c>
      <c r="BA23" s="7" t="s">
        <v>15</v>
      </c>
      <c r="BB23" s="7">
        <v>0</v>
      </c>
      <c r="BC23" s="7">
        <v>2</v>
      </c>
      <c r="BD23" s="7">
        <v>0</v>
      </c>
      <c r="BE23" s="7">
        <f t="shared" si="4"/>
        <v>2</v>
      </c>
      <c r="BF23" s="79">
        <v>4286</v>
      </c>
      <c r="BG23" s="7">
        <f t="shared" si="17"/>
        <v>1</v>
      </c>
      <c r="BH23" s="28">
        <f t="shared" si="18"/>
        <v>49842.5</v>
      </c>
      <c r="BI23" s="29">
        <f t="shared" si="19"/>
        <v>4.0126398154185683</v>
      </c>
      <c r="BJ23" s="7">
        <v>4</v>
      </c>
      <c r="BL23" s="72">
        <v>2021</v>
      </c>
      <c r="BM23" s="7" t="s">
        <v>15</v>
      </c>
      <c r="BR23" s="100">
        <v>0.95</v>
      </c>
      <c r="BU23" s="7">
        <v>105</v>
      </c>
      <c r="BV23" t="s">
        <v>158</v>
      </c>
      <c r="BW23" s="7"/>
    </row>
    <row r="24" spans="1:75" x14ac:dyDescent="0.25">
      <c r="A24" s="7">
        <v>2021</v>
      </c>
      <c r="B24" s="13">
        <v>44340</v>
      </c>
      <c r="C24" s="13"/>
      <c r="D24" s="7">
        <v>21</v>
      </c>
      <c r="F24" s="33">
        <v>0.88</v>
      </c>
      <c r="G24" s="33">
        <v>0.78</v>
      </c>
      <c r="H24" s="33">
        <v>0.87</v>
      </c>
      <c r="I24" s="33">
        <v>1.5</v>
      </c>
      <c r="J24" s="34">
        <v>0.81</v>
      </c>
      <c r="L24" s="8">
        <f t="shared" si="15"/>
        <v>0.85</v>
      </c>
      <c r="M24" s="8">
        <f t="shared" si="16"/>
        <v>0.89749999999999996</v>
      </c>
      <c r="N24" s="35">
        <v>0.82</v>
      </c>
      <c r="O24" s="35">
        <v>0.95</v>
      </c>
      <c r="Q24" s="36"/>
      <c r="R24" s="36"/>
      <c r="S24" s="36"/>
      <c r="T24" s="36"/>
      <c r="U24" s="99"/>
      <c r="AA24" s="2">
        <v>457.25</v>
      </c>
      <c r="AB24" s="2">
        <v>267</v>
      </c>
      <c r="AC24" s="2">
        <f t="shared" si="0"/>
        <v>724.25</v>
      </c>
      <c r="AD24" s="36">
        <f t="shared" si="1"/>
        <v>0.36865723161891611</v>
      </c>
      <c r="AF24">
        <f t="shared" si="20"/>
        <v>9355.25</v>
      </c>
      <c r="AG24">
        <f t="shared" si="20"/>
        <v>6151.8</v>
      </c>
      <c r="AH24">
        <f t="shared" si="20"/>
        <v>15507.05</v>
      </c>
      <c r="AI24" s="36">
        <f t="shared" si="2"/>
        <v>0.39670988356908637</v>
      </c>
      <c r="AK24">
        <v>0</v>
      </c>
      <c r="AL24" s="36">
        <f t="shared" si="7"/>
        <v>0</v>
      </c>
      <c r="AM24">
        <f t="shared" si="8"/>
        <v>172</v>
      </c>
      <c r="AN24" s="36">
        <f t="shared" si="3"/>
        <v>1.8385398572993775E-2</v>
      </c>
      <c r="AO24">
        <v>15</v>
      </c>
      <c r="AP24">
        <f t="shared" si="13"/>
        <v>315</v>
      </c>
      <c r="AZ24" s="72">
        <v>2020</v>
      </c>
      <c r="BA24" s="7" t="s">
        <v>16</v>
      </c>
      <c r="BB24" s="7">
        <v>0</v>
      </c>
      <c r="BC24" s="7">
        <v>2</v>
      </c>
      <c r="BD24" s="7">
        <v>0</v>
      </c>
      <c r="BE24" s="7">
        <f t="shared" si="4"/>
        <v>2</v>
      </c>
      <c r="BF24" s="79">
        <v>4497</v>
      </c>
      <c r="BG24" s="7">
        <f t="shared" si="17"/>
        <v>1</v>
      </c>
      <c r="BH24" s="28">
        <f t="shared" si="18"/>
        <v>50126</v>
      </c>
      <c r="BI24" s="29">
        <f t="shared" si="19"/>
        <v>3.9899453377488729</v>
      </c>
      <c r="BJ24" s="7">
        <v>4</v>
      </c>
      <c r="BL24" s="72">
        <v>2021</v>
      </c>
      <c r="BM24" s="7" t="s">
        <v>16</v>
      </c>
      <c r="BR24" s="100">
        <v>0.95</v>
      </c>
      <c r="BU24" s="7">
        <v>107</v>
      </c>
      <c r="BV24" t="s">
        <v>159</v>
      </c>
      <c r="BW24" s="7"/>
    </row>
    <row r="25" spans="1:75" x14ac:dyDescent="0.25">
      <c r="A25" s="7">
        <v>2021</v>
      </c>
      <c r="B25" s="13">
        <v>44347</v>
      </c>
      <c r="C25" s="13"/>
      <c r="D25" s="7">
        <v>22</v>
      </c>
      <c r="F25" s="33">
        <v>0</v>
      </c>
      <c r="G25" s="33">
        <v>0.8</v>
      </c>
      <c r="H25" s="33">
        <v>0.72</v>
      </c>
      <c r="I25" s="33">
        <v>1</v>
      </c>
      <c r="J25" s="34">
        <v>0.75</v>
      </c>
      <c r="L25" s="8">
        <f t="shared" si="15"/>
        <v>0.80500000000000005</v>
      </c>
      <c r="M25" s="8">
        <f t="shared" si="16"/>
        <v>0.88125000000000009</v>
      </c>
      <c r="N25" s="35">
        <v>0.82</v>
      </c>
      <c r="O25" s="35">
        <v>0.95</v>
      </c>
      <c r="Q25" s="36"/>
      <c r="R25" s="36"/>
      <c r="S25" s="36"/>
      <c r="T25" s="36"/>
      <c r="U25" s="99"/>
      <c r="AA25" s="2">
        <v>376</v>
      </c>
      <c r="AB25" s="2">
        <v>224</v>
      </c>
      <c r="AC25" s="2">
        <f t="shared" si="0"/>
        <v>600</v>
      </c>
      <c r="AD25" s="36">
        <f t="shared" si="1"/>
        <v>0.37333333333333335</v>
      </c>
      <c r="AF25">
        <f t="shared" si="20"/>
        <v>9731.25</v>
      </c>
      <c r="AG25">
        <f t="shared" si="20"/>
        <v>6375.8</v>
      </c>
      <c r="AH25">
        <f t="shared" si="20"/>
        <v>16107.05</v>
      </c>
      <c r="AI25" s="36">
        <f t="shared" si="2"/>
        <v>0.39583908909452697</v>
      </c>
      <c r="AK25">
        <v>0</v>
      </c>
      <c r="AL25" s="36">
        <f t="shared" si="7"/>
        <v>0</v>
      </c>
      <c r="AM25">
        <f t="shared" si="8"/>
        <v>172</v>
      </c>
      <c r="AN25" s="36">
        <f t="shared" si="3"/>
        <v>1.7675016056518947E-2</v>
      </c>
      <c r="AO25">
        <v>15</v>
      </c>
      <c r="AP25">
        <f t="shared" si="13"/>
        <v>330</v>
      </c>
      <c r="AZ25" s="72">
        <v>2020</v>
      </c>
      <c r="BA25" s="7" t="s">
        <v>17</v>
      </c>
      <c r="BB25" s="7">
        <v>0</v>
      </c>
      <c r="BC25" s="7">
        <v>0</v>
      </c>
      <c r="BD25" s="7">
        <v>1</v>
      </c>
      <c r="BE25" s="7">
        <f t="shared" si="4"/>
        <v>1</v>
      </c>
      <c r="BF25" s="79">
        <v>4461.75</v>
      </c>
      <c r="BG25" s="7">
        <f t="shared" si="17"/>
        <v>0</v>
      </c>
      <c r="BH25" s="28">
        <f t="shared" si="18"/>
        <v>48874.75</v>
      </c>
      <c r="BI25" s="29">
        <f t="shared" si="19"/>
        <v>0</v>
      </c>
      <c r="BJ25" s="7">
        <v>4</v>
      </c>
      <c r="BL25" s="72">
        <v>2021</v>
      </c>
      <c r="BM25" s="7" t="s">
        <v>17</v>
      </c>
      <c r="BR25" s="100">
        <v>0.95</v>
      </c>
      <c r="BU25" s="7">
        <v>110</v>
      </c>
      <c r="BV25" t="s">
        <v>160</v>
      </c>
      <c r="BW25" s="7"/>
    </row>
    <row r="26" spans="1:75" ht="15.75" customHeight="1" x14ac:dyDescent="0.25">
      <c r="A26" s="7">
        <v>2021</v>
      </c>
      <c r="B26" s="13">
        <v>44354</v>
      </c>
      <c r="C26" s="13"/>
      <c r="D26" s="7">
        <v>23</v>
      </c>
      <c r="F26" s="5">
        <v>0.32</v>
      </c>
      <c r="G26" s="5">
        <v>0.96</v>
      </c>
      <c r="H26" s="5">
        <v>0.53</v>
      </c>
      <c r="I26" s="5">
        <v>1.21</v>
      </c>
      <c r="J26" s="6">
        <v>0.75</v>
      </c>
      <c r="L26" s="8">
        <f t="shared" si="15"/>
        <v>0.79749999999999999</v>
      </c>
      <c r="M26" s="8">
        <f t="shared" si="16"/>
        <v>0.85749999999999993</v>
      </c>
      <c r="N26" s="9">
        <v>0.82</v>
      </c>
      <c r="O26" s="9">
        <v>0.95</v>
      </c>
      <c r="Q26" s="1"/>
      <c r="R26" s="1"/>
      <c r="S26" s="1"/>
      <c r="T26" s="1"/>
      <c r="U26" s="4"/>
      <c r="AA26" s="2">
        <v>662.75</v>
      </c>
      <c r="AB26" s="2">
        <v>207.5</v>
      </c>
      <c r="AC26" s="2">
        <f t="shared" si="0"/>
        <v>870.25</v>
      </c>
      <c r="AD26" s="1">
        <f t="shared" si="1"/>
        <v>0.23843723068083883</v>
      </c>
      <c r="AF26">
        <f t="shared" si="20"/>
        <v>10394</v>
      </c>
      <c r="AG26">
        <f t="shared" si="20"/>
        <v>6583.3</v>
      </c>
      <c r="AH26">
        <f t="shared" si="20"/>
        <v>16977.3</v>
      </c>
      <c r="AI26" s="1">
        <f t="shared" si="2"/>
        <v>0.38777072915010047</v>
      </c>
      <c r="AK26">
        <v>51</v>
      </c>
      <c r="AL26" s="1">
        <f t="shared" si="7"/>
        <v>7.6952093549603917E-2</v>
      </c>
      <c r="AM26">
        <f t="shared" si="8"/>
        <v>223</v>
      </c>
      <c r="AN26" s="1">
        <f t="shared" si="3"/>
        <v>2.1454685395420434E-2</v>
      </c>
      <c r="AO26">
        <v>15</v>
      </c>
      <c r="AP26">
        <f t="shared" si="13"/>
        <v>345</v>
      </c>
      <c r="AZ26" s="72">
        <v>2020</v>
      </c>
      <c r="BA26" s="7" t="s">
        <v>18</v>
      </c>
      <c r="BB26" s="7">
        <v>0</v>
      </c>
      <c r="BC26" s="7">
        <v>2</v>
      </c>
      <c r="BD26" s="7">
        <v>0</v>
      </c>
      <c r="BE26" s="7">
        <f t="shared" si="4"/>
        <v>2</v>
      </c>
      <c r="BF26" s="73">
        <v>3802.25</v>
      </c>
      <c r="BG26" s="7">
        <f t="shared" si="17"/>
        <v>0</v>
      </c>
      <c r="BH26" s="28">
        <f t="shared" si="18"/>
        <v>48936.25</v>
      </c>
      <c r="BI26" s="29">
        <f t="shared" si="19"/>
        <v>0</v>
      </c>
      <c r="BJ26" s="7">
        <v>4</v>
      </c>
      <c r="BL26" s="72">
        <v>2021</v>
      </c>
      <c r="BM26" s="7" t="s">
        <v>18</v>
      </c>
      <c r="BR26" s="85">
        <v>0.95</v>
      </c>
      <c r="BU26" s="7">
        <v>115</v>
      </c>
      <c r="BV26" t="s">
        <v>161</v>
      </c>
      <c r="BW26" s="7"/>
    </row>
    <row r="27" spans="1:75" ht="15.75" customHeight="1" x14ac:dyDescent="0.25">
      <c r="A27" s="7">
        <v>2021</v>
      </c>
      <c r="B27" s="13">
        <v>44361</v>
      </c>
      <c r="C27" s="13" t="s">
        <v>13</v>
      </c>
      <c r="D27" s="7">
        <v>24</v>
      </c>
      <c r="F27" s="5">
        <v>0.26</v>
      </c>
      <c r="G27" s="5">
        <v>0.76</v>
      </c>
      <c r="H27" s="5">
        <v>0.6</v>
      </c>
      <c r="I27" s="5">
        <v>1.31</v>
      </c>
      <c r="J27" s="6">
        <v>0.62</v>
      </c>
      <c r="L27" s="8">
        <f t="shared" si="15"/>
        <v>0.73250000000000004</v>
      </c>
      <c r="M27" s="8">
        <f t="shared" si="16"/>
        <v>0.80874999999999997</v>
      </c>
      <c r="N27" s="9">
        <v>0.82</v>
      </c>
      <c r="O27" s="9">
        <v>0.95</v>
      </c>
      <c r="Q27" s="1"/>
      <c r="R27" s="1"/>
      <c r="S27" s="1"/>
      <c r="T27" s="1"/>
      <c r="U27" s="4"/>
      <c r="AA27" s="2">
        <v>645.75</v>
      </c>
      <c r="AB27" s="2">
        <v>226.5</v>
      </c>
      <c r="AC27" s="2">
        <f t="shared" si="0"/>
        <v>872.25</v>
      </c>
      <c r="AD27" s="1">
        <f t="shared" si="1"/>
        <v>0.25967325881341358</v>
      </c>
      <c r="AF27">
        <f t="shared" si="20"/>
        <v>11039.75</v>
      </c>
      <c r="AG27">
        <f t="shared" si="20"/>
        <v>6809.8</v>
      </c>
      <c r="AH27">
        <f t="shared" si="20"/>
        <v>17849.55</v>
      </c>
      <c r="AI27" s="1">
        <f t="shared" si="2"/>
        <v>0.38151101848505986</v>
      </c>
      <c r="AK27">
        <v>45</v>
      </c>
      <c r="AL27" s="1">
        <f t="shared" si="7"/>
        <v>6.968641114982578E-2</v>
      </c>
      <c r="AM27">
        <f t="shared" si="8"/>
        <v>268</v>
      </c>
      <c r="AN27" s="1">
        <f t="shared" si="3"/>
        <v>2.4275912045109718E-2</v>
      </c>
      <c r="AO27">
        <v>15</v>
      </c>
      <c r="AP27">
        <f t="shared" si="13"/>
        <v>360</v>
      </c>
      <c r="AZ27" s="75">
        <v>2020</v>
      </c>
      <c r="BA27" s="76" t="s">
        <v>19</v>
      </c>
      <c r="BB27" s="76">
        <v>0</v>
      </c>
      <c r="BC27" s="76">
        <v>1</v>
      </c>
      <c r="BD27" s="76">
        <v>0</v>
      </c>
      <c r="BE27" s="76">
        <f t="shared" si="4"/>
        <v>1</v>
      </c>
      <c r="BF27" s="80">
        <v>3848.25</v>
      </c>
      <c r="BG27" s="7">
        <f t="shared" si="17"/>
        <v>0</v>
      </c>
      <c r="BH27" s="28">
        <f t="shared" si="18"/>
        <v>49483.25</v>
      </c>
      <c r="BI27" s="29">
        <f t="shared" si="19"/>
        <v>0</v>
      </c>
      <c r="BJ27" s="7">
        <v>4</v>
      </c>
      <c r="BL27" s="75">
        <v>2021</v>
      </c>
      <c r="BM27" s="76" t="s">
        <v>19</v>
      </c>
      <c r="BN27" s="54"/>
      <c r="BO27" s="104"/>
      <c r="BP27" s="54"/>
      <c r="BQ27" s="54"/>
      <c r="BR27" s="86">
        <v>0.95</v>
      </c>
      <c r="BU27" s="7">
        <v>120</v>
      </c>
      <c r="BV27" t="s">
        <v>162</v>
      </c>
      <c r="BW27" s="7"/>
    </row>
    <row r="28" spans="1:75" x14ac:dyDescent="0.25">
      <c r="A28" s="7">
        <v>2021</v>
      </c>
      <c r="B28" s="13">
        <v>44368</v>
      </c>
      <c r="D28" s="7">
        <v>25</v>
      </c>
      <c r="F28" s="5">
        <v>0.17</v>
      </c>
      <c r="G28" s="5">
        <v>0.78</v>
      </c>
      <c r="H28" s="5">
        <v>0.66</v>
      </c>
      <c r="I28" s="5">
        <v>0</v>
      </c>
      <c r="J28" s="6">
        <v>0.54</v>
      </c>
      <c r="L28" s="8">
        <f>AVERAGE(J25:J28)</f>
        <v>0.66500000000000004</v>
      </c>
      <c r="M28" s="8">
        <f t="shared" ref="M28:M56" si="21">AVERAGE(J21:J28)</f>
        <v>0.75750000000000006</v>
      </c>
      <c r="N28" s="9">
        <v>0.82</v>
      </c>
      <c r="O28" s="9">
        <v>0.95</v>
      </c>
      <c r="Q28" s="1"/>
      <c r="R28" s="1"/>
      <c r="S28" s="1"/>
      <c r="T28" s="1"/>
      <c r="U28" s="4"/>
      <c r="AA28" s="2">
        <v>755</v>
      </c>
      <c r="AB28" s="2">
        <v>181</v>
      </c>
      <c r="AC28" s="2">
        <f t="shared" si="0"/>
        <v>936</v>
      </c>
      <c r="AD28" s="1">
        <f t="shared" si="1"/>
        <v>0.19337606837606838</v>
      </c>
      <c r="AF28">
        <f t="shared" si="20"/>
        <v>11794.75</v>
      </c>
      <c r="AG28">
        <f t="shared" si="20"/>
        <v>6990.8</v>
      </c>
      <c r="AH28">
        <f t="shared" si="20"/>
        <v>18785.55</v>
      </c>
      <c r="AI28" s="1">
        <f t="shared" ref="AI28:AI56" si="22">AG28/AH28</f>
        <v>0.37213709473504902</v>
      </c>
      <c r="AK28">
        <v>115</v>
      </c>
      <c r="AL28" s="1">
        <f t="shared" si="7"/>
        <v>0.15231788079470199</v>
      </c>
      <c r="AM28">
        <f>AM27+AK28</f>
        <v>383</v>
      </c>
      <c r="AN28" s="1">
        <f t="shared" ref="AN28:AN53" si="23">AM28/AF28</f>
        <v>3.2472074439899107E-2</v>
      </c>
      <c r="AO28">
        <v>15</v>
      </c>
      <c r="AP28">
        <f t="shared" ref="AP28:AP56" si="24">AP27+AO28</f>
        <v>375</v>
      </c>
      <c r="AZ28" s="7">
        <v>2021</v>
      </c>
      <c r="BA28" s="7" t="s">
        <v>8</v>
      </c>
      <c r="BB28" s="7">
        <v>0</v>
      </c>
      <c r="BC28" s="7">
        <v>0</v>
      </c>
      <c r="BD28" s="7">
        <v>1</v>
      </c>
      <c r="BE28" s="7">
        <f t="shared" ref="BE28:BE33" si="25">SUM(BB28:BD28)</f>
        <v>1</v>
      </c>
      <c r="BF28" s="78">
        <v>2984.25</v>
      </c>
      <c r="BG28" s="7">
        <f t="shared" si="17"/>
        <v>0</v>
      </c>
      <c r="BH28" s="28">
        <f t="shared" ref="BH28:BH33" si="26">SUM(BF17:BF28)</f>
        <v>48621.75</v>
      </c>
      <c r="BI28" s="29">
        <f>BG28*200000/BH28</f>
        <v>0</v>
      </c>
      <c r="BJ28" s="7">
        <v>2</v>
      </c>
      <c r="BM28" s="7"/>
      <c r="BR28" s="1"/>
      <c r="BU28" s="7"/>
      <c r="BW28" s="7"/>
    </row>
    <row r="29" spans="1:75" x14ac:dyDescent="0.25">
      <c r="A29" s="7">
        <v>2021</v>
      </c>
      <c r="B29" s="13">
        <v>44375</v>
      </c>
      <c r="C29" s="13"/>
      <c r="D29" s="7">
        <v>26</v>
      </c>
      <c r="F29" s="5">
        <v>0.26</v>
      </c>
      <c r="G29" s="5">
        <v>0.68</v>
      </c>
      <c r="H29" s="5">
        <v>0.53</v>
      </c>
      <c r="I29" s="5">
        <v>1.1100000000000001</v>
      </c>
      <c r="J29" s="6">
        <v>0.52</v>
      </c>
      <c r="L29" s="8">
        <f>AVERAGE(J26:J29)</f>
        <v>0.60750000000000004</v>
      </c>
      <c r="M29" s="8">
        <f t="shared" si="21"/>
        <v>0.70625000000000004</v>
      </c>
      <c r="N29" s="9">
        <v>0.82</v>
      </c>
      <c r="O29" s="9">
        <v>0.95</v>
      </c>
      <c r="Q29" s="1"/>
      <c r="R29" s="1"/>
      <c r="S29" s="1"/>
      <c r="T29" s="1"/>
      <c r="U29" s="4"/>
      <c r="AA29" s="2">
        <v>592.5</v>
      </c>
      <c r="AB29" s="2">
        <v>170.75</v>
      </c>
      <c r="AC29" s="2">
        <f t="shared" si="0"/>
        <v>763.25</v>
      </c>
      <c r="AD29" s="1">
        <f t="shared" si="1"/>
        <v>0.22371437929905011</v>
      </c>
      <c r="AF29">
        <f t="shared" si="20"/>
        <v>12387.25</v>
      </c>
      <c r="AG29">
        <f t="shared" si="20"/>
        <v>7161.55</v>
      </c>
      <c r="AH29">
        <f t="shared" si="20"/>
        <v>19548.8</v>
      </c>
      <c r="AI29" s="1">
        <f t="shared" si="22"/>
        <v>0.36634217957112458</v>
      </c>
      <c r="AK29">
        <v>22.5</v>
      </c>
      <c r="AL29" s="1">
        <f t="shared" si="7"/>
        <v>3.7974683544303799E-2</v>
      </c>
      <c r="AM29">
        <f>AM28+AK29</f>
        <v>405.5</v>
      </c>
      <c r="AN29" s="1">
        <f t="shared" si="23"/>
        <v>3.2735272154836625E-2</v>
      </c>
      <c r="AO29">
        <v>15</v>
      </c>
      <c r="AP29">
        <f t="shared" si="24"/>
        <v>390</v>
      </c>
      <c r="AZ29" s="7">
        <v>2021</v>
      </c>
      <c r="BA29" s="7" t="s">
        <v>9</v>
      </c>
      <c r="BB29" s="7">
        <v>0</v>
      </c>
      <c r="BC29" s="7">
        <v>0</v>
      </c>
      <c r="BD29" s="7">
        <v>0</v>
      </c>
      <c r="BE29" s="7">
        <f t="shared" si="25"/>
        <v>0</v>
      </c>
      <c r="BF29" s="30">
        <v>3347.5</v>
      </c>
      <c r="BG29" s="7">
        <f t="shared" si="17"/>
        <v>0</v>
      </c>
      <c r="BH29" s="28">
        <f t="shared" si="26"/>
        <v>48313</v>
      </c>
      <c r="BI29" s="29">
        <v>0.05</v>
      </c>
      <c r="BJ29" s="7">
        <v>2</v>
      </c>
      <c r="BL29" s="7">
        <v>2021</v>
      </c>
      <c r="BM29" s="7" t="s">
        <v>49</v>
      </c>
      <c r="BN29">
        <f>SUM(BN16:BN27)</f>
        <v>15</v>
      </c>
      <c r="BO29" s="102">
        <f>SUM(BO16:BO27)</f>
        <v>11</v>
      </c>
      <c r="BP29">
        <f>BN29+BO29</f>
        <v>26</v>
      </c>
      <c r="BQ29" s="1">
        <f>BN29/BP29</f>
        <v>0.57692307692307687</v>
      </c>
      <c r="BR29" s="1">
        <v>0.95</v>
      </c>
      <c r="BU29" s="7"/>
      <c r="BW29" s="7"/>
    </row>
    <row r="30" spans="1:75" x14ac:dyDescent="0.25">
      <c r="A30" s="7">
        <v>2021</v>
      </c>
      <c r="B30" s="13">
        <v>44382</v>
      </c>
      <c r="C30" s="13"/>
      <c r="D30" s="7">
        <v>27</v>
      </c>
      <c r="F30" s="33">
        <v>0.72</v>
      </c>
      <c r="G30" s="33">
        <v>0.77</v>
      </c>
      <c r="H30" s="33">
        <v>0.49</v>
      </c>
      <c r="I30" s="33">
        <v>0.77</v>
      </c>
      <c r="J30" s="34">
        <v>0.64</v>
      </c>
      <c r="L30" s="8">
        <f>AVERAGE(J27:J30)</f>
        <v>0.58000000000000007</v>
      </c>
      <c r="M30" s="8">
        <f t="shared" si="21"/>
        <v>0.68874999999999986</v>
      </c>
      <c r="N30" s="9">
        <v>0.82</v>
      </c>
      <c r="O30" s="35">
        <v>0.95</v>
      </c>
      <c r="Q30" s="1"/>
      <c r="R30" s="1"/>
      <c r="S30" s="1"/>
      <c r="T30" s="1"/>
      <c r="U30" s="4"/>
      <c r="AA30" s="2">
        <v>529</v>
      </c>
      <c r="AB30" s="2">
        <v>107</v>
      </c>
      <c r="AC30" s="2">
        <f t="shared" si="0"/>
        <v>636</v>
      </c>
      <c r="AD30" s="1">
        <f t="shared" si="1"/>
        <v>0.16823899371069181</v>
      </c>
      <c r="AF30">
        <f t="shared" si="20"/>
        <v>12916.25</v>
      </c>
      <c r="AG30">
        <f t="shared" si="20"/>
        <v>7268.55</v>
      </c>
      <c r="AH30">
        <f t="shared" si="20"/>
        <v>20184.8</v>
      </c>
      <c r="AI30" s="1">
        <f t="shared" si="22"/>
        <v>0.36010017438864889</v>
      </c>
      <c r="AK30" s="107">
        <v>19.5</v>
      </c>
      <c r="AL30" s="1">
        <f t="shared" si="7"/>
        <v>3.6862003780718335E-2</v>
      </c>
      <c r="AM30">
        <f>AM29+AK30</f>
        <v>425</v>
      </c>
      <c r="AN30" s="1">
        <f t="shared" si="23"/>
        <v>3.2904287235072098E-2</v>
      </c>
      <c r="AO30">
        <v>15</v>
      </c>
      <c r="AP30">
        <f t="shared" si="24"/>
        <v>405</v>
      </c>
      <c r="AZ30" s="7">
        <v>2021</v>
      </c>
      <c r="BA30" s="7" t="s">
        <v>10</v>
      </c>
      <c r="BB30" s="7">
        <v>0</v>
      </c>
      <c r="BC30" s="7">
        <v>0</v>
      </c>
      <c r="BD30" s="7">
        <v>3</v>
      </c>
      <c r="BE30" s="7">
        <f t="shared" si="25"/>
        <v>3</v>
      </c>
      <c r="BF30" s="30">
        <v>3695.25</v>
      </c>
      <c r="BG30" s="7">
        <f t="shared" si="17"/>
        <v>0</v>
      </c>
      <c r="BH30" s="28">
        <f t="shared" si="26"/>
        <v>47764.5</v>
      </c>
      <c r="BI30" s="29">
        <v>0.05</v>
      </c>
      <c r="BJ30" s="7">
        <v>2</v>
      </c>
      <c r="BL30" t="s">
        <v>78</v>
      </c>
      <c r="BN30">
        <f>SUM(BN5:BN16)</f>
        <v>110</v>
      </c>
      <c r="BO30" s="102">
        <f>SUM(BO5:BO16)</f>
        <v>25</v>
      </c>
      <c r="BP30">
        <f>BN30+BO30</f>
        <v>135</v>
      </c>
      <c r="BQ30" s="1">
        <f>BN30/BP30</f>
        <v>0.81481481481481477</v>
      </c>
      <c r="BR30" s="1">
        <v>0.95</v>
      </c>
      <c r="BU30" s="7"/>
      <c r="BW30" s="7"/>
    </row>
    <row r="31" spans="1:75" x14ac:dyDescent="0.25">
      <c r="A31" s="7">
        <v>2021</v>
      </c>
      <c r="B31" s="13">
        <v>44389</v>
      </c>
      <c r="C31" s="13"/>
      <c r="D31" s="7">
        <v>28</v>
      </c>
      <c r="F31" s="5">
        <v>0.92</v>
      </c>
      <c r="G31" s="5">
        <v>0.75</v>
      </c>
      <c r="H31" s="5">
        <v>0.38</v>
      </c>
      <c r="I31" s="5">
        <v>0.23</v>
      </c>
      <c r="J31" s="6">
        <v>0.52</v>
      </c>
      <c r="L31" s="8">
        <f>AVERAGE(J28:J31)</f>
        <v>0.55500000000000005</v>
      </c>
      <c r="M31" s="8">
        <f t="shared" si="21"/>
        <v>0.64375000000000004</v>
      </c>
      <c r="N31" s="9">
        <v>0.82</v>
      </c>
      <c r="O31" s="9">
        <v>0.95</v>
      </c>
      <c r="Q31" s="1"/>
      <c r="R31" s="1"/>
      <c r="S31" s="1"/>
      <c r="T31" s="1"/>
      <c r="U31" s="4"/>
      <c r="AA31" s="2">
        <v>456</v>
      </c>
      <c r="AB31" s="2">
        <v>233</v>
      </c>
      <c r="AC31" s="2">
        <f t="shared" si="0"/>
        <v>689</v>
      </c>
      <c r="AD31" s="1">
        <f t="shared" si="1"/>
        <v>0.3381712626995646</v>
      </c>
      <c r="AF31">
        <f t="shared" si="20"/>
        <v>13372.25</v>
      </c>
      <c r="AG31">
        <f t="shared" si="20"/>
        <v>7501.55</v>
      </c>
      <c r="AH31">
        <f t="shared" si="20"/>
        <v>20873.8</v>
      </c>
      <c r="AI31" s="1">
        <f t="shared" si="22"/>
        <v>0.35937634738284358</v>
      </c>
      <c r="AK31" s="107">
        <v>2</v>
      </c>
      <c r="AL31" s="1">
        <f t="shared" si="7"/>
        <v>4.3859649122807015E-3</v>
      </c>
      <c r="AM31">
        <f t="shared" ref="AM31:AM56" si="27">AM30+AK31</f>
        <v>427</v>
      </c>
      <c r="AN31" s="1">
        <f t="shared" si="23"/>
        <v>3.1931799061489276E-2</v>
      </c>
      <c r="AO31">
        <v>15</v>
      </c>
      <c r="AP31">
        <f t="shared" si="24"/>
        <v>420</v>
      </c>
      <c r="AZ31" s="7">
        <v>2021</v>
      </c>
      <c r="BA31" s="7" t="s">
        <v>11</v>
      </c>
      <c r="BB31" s="101">
        <v>0</v>
      </c>
      <c r="BC31" s="101">
        <v>1</v>
      </c>
      <c r="BD31" s="101">
        <v>0</v>
      </c>
      <c r="BE31" s="7">
        <f t="shared" si="25"/>
        <v>1</v>
      </c>
      <c r="BF31" s="30">
        <v>2841.5</v>
      </c>
      <c r="BG31" s="7">
        <f t="shared" si="17"/>
        <v>0</v>
      </c>
      <c r="BH31" s="28">
        <f t="shared" si="26"/>
        <v>45893.5</v>
      </c>
      <c r="BI31" s="29">
        <v>0.05</v>
      </c>
      <c r="BJ31" s="7">
        <v>2</v>
      </c>
      <c r="BU31" s="7"/>
      <c r="BW31" s="7"/>
    </row>
    <row r="32" spans="1:75" x14ac:dyDescent="0.25">
      <c r="A32" s="7">
        <v>2021</v>
      </c>
      <c r="B32" s="13">
        <v>44396</v>
      </c>
      <c r="C32" s="13" t="s">
        <v>14</v>
      </c>
      <c r="D32" s="7">
        <v>29</v>
      </c>
      <c r="F32" s="5">
        <v>1.51</v>
      </c>
      <c r="G32" s="5">
        <v>0.8</v>
      </c>
      <c r="H32" s="5">
        <v>0.92</v>
      </c>
      <c r="I32" s="5">
        <v>891.02</v>
      </c>
      <c r="J32" s="6">
        <v>0.89</v>
      </c>
      <c r="L32" s="8">
        <f>AVERAGE(J29:J32)</f>
        <v>0.64250000000000007</v>
      </c>
      <c r="M32" s="8">
        <f t="shared" si="21"/>
        <v>0.65374999999999994</v>
      </c>
      <c r="N32" s="9">
        <v>0.82</v>
      </c>
      <c r="O32" s="9">
        <v>0.95</v>
      </c>
      <c r="Q32" s="1"/>
      <c r="R32" s="1"/>
      <c r="S32" s="1"/>
      <c r="T32" s="1"/>
      <c r="U32" s="4"/>
      <c r="AA32" s="2">
        <v>579.5</v>
      </c>
      <c r="AB32" s="2">
        <v>336.75</v>
      </c>
      <c r="AC32" s="2">
        <f t="shared" si="0"/>
        <v>916.25</v>
      </c>
      <c r="AD32" s="1">
        <f t="shared" si="1"/>
        <v>0.36753069577080494</v>
      </c>
      <c r="AF32">
        <f t="shared" si="20"/>
        <v>13951.75</v>
      </c>
      <c r="AG32">
        <f t="shared" si="20"/>
        <v>7838.3</v>
      </c>
      <c r="AH32">
        <f t="shared" si="20"/>
        <v>21790.05</v>
      </c>
      <c r="AI32" s="1">
        <f t="shared" si="22"/>
        <v>0.35971922964839459</v>
      </c>
      <c r="AK32" s="107">
        <v>41</v>
      </c>
      <c r="AL32" s="1">
        <f t="shared" si="7"/>
        <v>7.0750647109577222E-2</v>
      </c>
      <c r="AM32">
        <f t="shared" si="27"/>
        <v>468</v>
      </c>
      <c r="AN32" s="1">
        <f t="shared" si="23"/>
        <v>3.3544179045639437E-2</v>
      </c>
      <c r="AO32">
        <v>15</v>
      </c>
      <c r="AP32">
        <f t="shared" si="24"/>
        <v>435</v>
      </c>
      <c r="AZ32" s="7">
        <v>2021</v>
      </c>
      <c r="BA32" s="7" t="s">
        <v>12</v>
      </c>
      <c r="BB32" s="7">
        <v>0</v>
      </c>
      <c r="BC32" s="7">
        <v>0</v>
      </c>
      <c r="BD32" s="7">
        <v>0</v>
      </c>
      <c r="BE32" s="7">
        <f t="shared" si="25"/>
        <v>0</v>
      </c>
      <c r="BF32" s="30">
        <v>2637.75</v>
      </c>
      <c r="BG32" s="7">
        <f t="shared" si="17"/>
        <v>0</v>
      </c>
      <c r="BH32" s="28">
        <f t="shared" si="26"/>
        <v>44314.25</v>
      </c>
      <c r="BI32" s="29">
        <v>0.05</v>
      </c>
      <c r="BJ32" s="7">
        <v>2</v>
      </c>
      <c r="BM32" s="7" t="s">
        <v>25</v>
      </c>
      <c r="BN32">
        <v>80</v>
      </c>
      <c r="BU32" s="7"/>
      <c r="BW32" s="7"/>
    </row>
    <row r="33" spans="1:75" x14ac:dyDescent="0.25">
      <c r="A33" s="7">
        <v>2021</v>
      </c>
      <c r="B33" s="13">
        <v>44403</v>
      </c>
      <c r="C33" s="13"/>
      <c r="D33" s="7">
        <v>30</v>
      </c>
      <c r="F33" s="5"/>
      <c r="G33" s="5"/>
      <c r="H33" s="5"/>
      <c r="I33" s="5"/>
      <c r="J33" s="6"/>
      <c r="L33" s="8">
        <f t="shared" ref="L33:L56" si="28">AVERAGE(J30:J33)</f>
        <v>0.68333333333333346</v>
      </c>
      <c r="M33" s="8">
        <f t="shared" si="21"/>
        <v>0.64</v>
      </c>
      <c r="N33" s="9">
        <v>0.82</v>
      </c>
      <c r="O33" s="9">
        <v>0.95</v>
      </c>
      <c r="Q33" s="1"/>
      <c r="R33" s="1"/>
      <c r="S33" s="1"/>
      <c r="T33" s="1"/>
      <c r="U33" s="4"/>
      <c r="AA33" s="2"/>
      <c r="AB33" s="2"/>
      <c r="AC33" s="2">
        <f t="shared" ref="AC33:AC56" si="29">SUM(AA47:AB47)</f>
        <v>0</v>
      </c>
      <c r="AD33" s="1" t="e">
        <f t="shared" ref="AD33:AD56" si="30">AB47/AC33</f>
        <v>#DIV/0!</v>
      </c>
      <c r="AF33">
        <f t="shared" ref="AF33:AF56" si="31">AF32+AA47</f>
        <v>13951.75</v>
      </c>
      <c r="AG33">
        <f t="shared" ref="AG33:AG56" si="32">AG32+AB47</f>
        <v>7838.3</v>
      </c>
      <c r="AH33">
        <f t="shared" ref="AH33:AH56" si="33">AH32+AC33</f>
        <v>21790.05</v>
      </c>
      <c r="AI33" s="1">
        <f t="shared" si="22"/>
        <v>0.35971922964839459</v>
      </c>
      <c r="AK33" s="107"/>
      <c r="AL33" s="1" t="e">
        <f t="shared" si="7"/>
        <v>#DIV/0!</v>
      </c>
      <c r="AM33">
        <f t="shared" si="27"/>
        <v>468</v>
      </c>
      <c r="AN33" s="1">
        <f t="shared" si="23"/>
        <v>3.3544179045639437E-2</v>
      </c>
      <c r="AO33">
        <v>15</v>
      </c>
      <c r="AP33">
        <f t="shared" si="24"/>
        <v>450</v>
      </c>
      <c r="AZ33" s="7">
        <v>2021</v>
      </c>
      <c r="BA33" s="7" t="s">
        <v>13</v>
      </c>
      <c r="BB33" s="7">
        <v>0</v>
      </c>
      <c r="BC33" s="7">
        <v>2</v>
      </c>
      <c r="BD33" s="7">
        <v>0</v>
      </c>
      <c r="BE33" s="7">
        <f t="shared" si="25"/>
        <v>2</v>
      </c>
      <c r="BF33" s="30">
        <v>4042.75</v>
      </c>
      <c r="BG33" s="7">
        <f t="shared" si="17"/>
        <v>0</v>
      </c>
      <c r="BH33" s="28">
        <f t="shared" si="26"/>
        <v>44204</v>
      </c>
      <c r="BI33" s="29">
        <v>0.05</v>
      </c>
      <c r="BJ33" s="7">
        <v>2</v>
      </c>
      <c r="BM33" s="7" t="s">
        <v>105</v>
      </c>
      <c r="BN33">
        <v>15</v>
      </c>
      <c r="BU33" s="7"/>
      <c r="BW33" s="7"/>
    </row>
    <row r="34" spans="1:75" x14ac:dyDescent="0.25">
      <c r="A34" s="7">
        <v>2021</v>
      </c>
      <c r="B34" s="13">
        <v>44410</v>
      </c>
      <c r="C34" s="13"/>
      <c r="D34" s="7">
        <v>31</v>
      </c>
      <c r="F34" s="5"/>
      <c r="G34" s="5"/>
      <c r="H34" s="5"/>
      <c r="I34" s="5"/>
      <c r="J34" s="6"/>
      <c r="L34" s="8">
        <f t="shared" si="28"/>
        <v>0.70500000000000007</v>
      </c>
      <c r="M34" s="8">
        <f t="shared" si="21"/>
        <v>0.6216666666666667</v>
      </c>
      <c r="N34" s="9">
        <v>0.82</v>
      </c>
      <c r="O34" s="9">
        <v>0.95</v>
      </c>
      <c r="Q34" s="1"/>
      <c r="R34" s="1"/>
      <c r="S34" s="1"/>
      <c r="T34" s="1"/>
      <c r="U34" s="4"/>
      <c r="AA34" s="2"/>
      <c r="AB34" s="2"/>
      <c r="AC34" s="2">
        <f t="shared" si="29"/>
        <v>0</v>
      </c>
      <c r="AD34" s="1" t="e">
        <f t="shared" si="30"/>
        <v>#DIV/0!</v>
      </c>
      <c r="AF34">
        <f t="shared" si="31"/>
        <v>13951.75</v>
      </c>
      <c r="AG34">
        <f t="shared" si="32"/>
        <v>7838.3</v>
      </c>
      <c r="AH34">
        <f t="shared" si="33"/>
        <v>21790.05</v>
      </c>
      <c r="AI34" s="1">
        <f t="shared" si="22"/>
        <v>0.35971922964839459</v>
      </c>
      <c r="AL34" s="1" t="e">
        <f t="shared" ref="AL34:AL56" si="34">AK34/AA48</f>
        <v>#DIV/0!</v>
      </c>
      <c r="AM34">
        <f t="shared" si="27"/>
        <v>468</v>
      </c>
      <c r="AN34" s="1">
        <f t="shared" si="23"/>
        <v>3.3544179045639437E-2</v>
      </c>
      <c r="AO34">
        <v>15</v>
      </c>
      <c r="AP34">
        <f t="shared" si="24"/>
        <v>465</v>
      </c>
      <c r="AZ34" s="7">
        <v>2021</v>
      </c>
      <c r="BA34" s="108" t="s">
        <v>14</v>
      </c>
      <c r="BB34" s="108">
        <v>0</v>
      </c>
      <c r="BC34" s="108">
        <v>0</v>
      </c>
      <c r="BD34" s="108">
        <v>0</v>
      </c>
      <c r="BE34" s="108">
        <v>0</v>
      </c>
      <c r="BF34" s="30"/>
      <c r="BG34" s="7"/>
      <c r="BH34" s="28"/>
      <c r="BI34" s="29"/>
      <c r="BJ34" s="7">
        <v>2</v>
      </c>
      <c r="BM34" s="7" t="s">
        <v>104</v>
      </c>
      <c r="BN34">
        <v>5</v>
      </c>
      <c r="BU34" s="7"/>
      <c r="BW34" s="7"/>
    </row>
    <row r="35" spans="1:75" x14ac:dyDescent="0.25">
      <c r="A35" s="7">
        <v>2021</v>
      </c>
      <c r="B35" s="13">
        <v>44417</v>
      </c>
      <c r="C35" s="13"/>
      <c r="D35" s="7">
        <v>32</v>
      </c>
      <c r="F35" s="5"/>
      <c r="G35" s="5"/>
      <c r="H35" s="5"/>
      <c r="I35" s="5"/>
      <c r="J35" s="6"/>
      <c r="L35" s="8">
        <f t="shared" si="28"/>
        <v>0.89</v>
      </c>
      <c r="M35" s="8">
        <f t="shared" si="21"/>
        <v>0.62200000000000011</v>
      </c>
      <c r="N35" s="9">
        <v>0.82</v>
      </c>
      <c r="O35" s="9">
        <v>0.95</v>
      </c>
      <c r="Q35" s="1"/>
      <c r="R35" s="1"/>
      <c r="S35" s="1"/>
      <c r="T35" s="1"/>
      <c r="U35" s="4"/>
      <c r="AA35" s="2"/>
      <c r="AB35" s="2"/>
      <c r="AC35" s="2">
        <f t="shared" si="29"/>
        <v>0</v>
      </c>
      <c r="AD35" s="1" t="e">
        <f t="shared" si="30"/>
        <v>#DIV/0!</v>
      </c>
      <c r="AF35">
        <f t="shared" si="31"/>
        <v>13951.75</v>
      </c>
      <c r="AG35">
        <f t="shared" si="32"/>
        <v>7838.3</v>
      </c>
      <c r="AH35">
        <f t="shared" si="33"/>
        <v>21790.05</v>
      </c>
      <c r="AI35" s="1">
        <f t="shared" si="22"/>
        <v>0.35971922964839459</v>
      </c>
      <c r="AL35" s="1" t="e">
        <f t="shared" si="34"/>
        <v>#DIV/0!</v>
      </c>
      <c r="AM35">
        <f t="shared" si="27"/>
        <v>468</v>
      </c>
      <c r="AN35" s="1">
        <f t="shared" si="23"/>
        <v>3.3544179045639437E-2</v>
      </c>
      <c r="AO35">
        <v>15</v>
      </c>
      <c r="AP35">
        <f t="shared" si="24"/>
        <v>480</v>
      </c>
      <c r="AZ35" s="7">
        <v>2021</v>
      </c>
      <c r="BA35" s="7" t="s">
        <v>15</v>
      </c>
      <c r="BB35" s="7"/>
      <c r="BC35" s="7"/>
      <c r="BD35" s="7"/>
      <c r="BE35" s="7"/>
      <c r="BF35" s="30"/>
      <c r="BG35" s="7"/>
      <c r="BH35" s="28"/>
      <c r="BI35" s="29"/>
      <c r="BJ35" s="7">
        <v>2</v>
      </c>
      <c r="BM35" s="7" t="s">
        <v>26</v>
      </c>
      <c r="BN35">
        <v>100</v>
      </c>
      <c r="BU35" s="7"/>
      <c r="BW35" s="7"/>
    </row>
    <row r="36" spans="1:75" x14ac:dyDescent="0.25">
      <c r="A36" s="7">
        <v>2021</v>
      </c>
      <c r="B36" s="13">
        <v>44424</v>
      </c>
      <c r="C36" s="13" t="s">
        <v>15</v>
      </c>
      <c r="D36" s="7">
        <v>33</v>
      </c>
      <c r="F36" s="5"/>
      <c r="G36" s="5"/>
      <c r="H36" s="5"/>
      <c r="I36" s="5"/>
      <c r="J36" s="6"/>
      <c r="L36" s="8" t="e">
        <f t="shared" si="28"/>
        <v>#DIV/0!</v>
      </c>
      <c r="M36" s="8">
        <f t="shared" si="21"/>
        <v>0.64250000000000007</v>
      </c>
      <c r="N36" s="9">
        <v>0.82</v>
      </c>
      <c r="O36" s="9">
        <v>0.95</v>
      </c>
      <c r="Q36" s="1"/>
      <c r="R36" s="1"/>
      <c r="S36" s="1"/>
      <c r="T36" s="1"/>
      <c r="U36" s="4"/>
      <c r="AA36" s="2"/>
      <c r="AB36" s="2"/>
      <c r="AC36" s="2">
        <f t="shared" si="29"/>
        <v>0</v>
      </c>
      <c r="AD36" s="1" t="e">
        <f t="shared" si="30"/>
        <v>#DIV/0!</v>
      </c>
      <c r="AF36">
        <f t="shared" si="31"/>
        <v>13951.75</v>
      </c>
      <c r="AG36">
        <f t="shared" si="32"/>
        <v>7838.3</v>
      </c>
      <c r="AH36">
        <f t="shared" si="33"/>
        <v>21790.05</v>
      </c>
      <c r="AI36" s="1">
        <f t="shared" si="22"/>
        <v>0.35971922964839459</v>
      </c>
      <c r="AL36" s="1" t="e">
        <f t="shared" si="34"/>
        <v>#DIV/0!</v>
      </c>
      <c r="AM36">
        <f t="shared" si="27"/>
        <v>468</v>
      </c>
      <c r="AN36" s="1">
        <f t="shared" si="23"/>
        <v>3.3544179045639437E-2</v>
      </c>
      <c r="AO36">
        <v>15</v>
      </c>
      <c r="AP36">
        <f t="shared" si="24"/>
        <v>495</v>
      </c>
      <c r="AZ36" s="7">
        <v>2021</v>
      </c>
      <c r="BA36" s="7" t="s">
        <v>16</v>
      </c>
      <c r="BB36" s="7"/>
      <c r="BC36" s="7"/>
      <c r="BD36" s="7"/>
      <c r="BE36" s="7"/>
      <c r="BF36" s="30"/>
      <c r="BG36" s="7"/>
      <c r="BH36" s="28"/>
      <c r="BI36" s="29"/>
      <c r="BJ36" s="7">
        <v>2</v>
      </c>
      <c r="BU36" s="7"/>
      <c r="BW36" s="7"/>
    </row>
    <row r="37" spans="1:75" x14ac:dyDescent="0.25">
      <c r="A37" s="7">
        <v>2021</v>
      </c>
      <c r="B37" s="13">
        <v>44431</v>
      </c>
      <c r="C37" s="13"/>
      <c r="D37" s="7">
        <v>34</v>
      </c>
      <c r="F37" s="5"/>
      <c r="G37" s="5"/>
      <c r="H37" s="5"/>
      <c r="I37" s="5"/>
      <c r="J37" s="6"/>
      <c r="L37" s="8" t="e">
        <f t="shared" si="28"/>
        <v>#DIV/0!</v>
      </c>
      <c r="M37" s="8">
        <f t="shared" si="21"/>
        <v>0.68333333333333346</v>
      </c>
      <c r="N37" s="9">
        <v>0.82</v>
      </c>
      <c r="O37" s="9">
        <v>0.95</v>
      </c>
      <c r="Q37" s="1"/>
      <c r="R37" s="1"/>
      <c r="S37" s="1"/>
      <c r="T37" s="1"/>
      <c r="U37" s="4"/>
      <c r="AA37" s="2"/>
      <c r="AB37" s="2"/>
      <c r="AC37" s="2">
        <f t="shared" si="29"/>
        <v>0</v>
      </c>
      <c r="AD37" s="1" t="e">
        <f t="shared" si="30"/>
        <v>#DIV/0!</v>
      </c>
      <c r="AF37">
        <f t="shared" si="31"/>
        <v>13951.75</v>
      </c>
      <c r="AG37">
        <f t="shared" si="32"/>
        <v>7838.3</v>
      </c>
      <c r="AH37">
        <f t="shared" si="33"/>
        <v>21790.05</v>
      </c>
      <c r="AI37" s="1">
        <f t="shared" si="22"/>
        <v>0.35971922964839459</v>
      </c>
      <c r="AL37" s="1" t="e">
        <f t="shared" si="34"/>
        <v>#DIV/0!</v>
      </c>
      <c r="AM37">
        <f t="shared" si="27"/>
        <v>468</v>
      </c>
      <c r="AN37" s="1">
        <f t="shared" si="23"/>
        <v>3.3544179045639437E-2</v>
      </c>
      <c r="AO37">
        <v>15</v>
      </c>
      <c r="AP37">
        <f t="shared" si="24"/>
        <v>510</v>
      </c>
      <c r="AZ37" s="7">
        <v>2021</v>
      </c>
      <c r="BA37" s="7" t="s">
        <v>17</v>
      </c>
      <c r="BB37" s="7"/>
      <c r="BC37" s="7"/>
      <c r="BD37" s="7"/>
      <c r="BE37" s="7"/>
      <c r="BF37" s="30"/>
      <c r="BG37" s="7"/>
      <c r="BH37" s="28"/>
      <c r="BI37" s="29"/>
      <c r="BJ37" s="7">
        <v>2</v>
      </c>
      <c r="BM37" s="7" t="s">
        <v>49</v>
      </c>
      <c r="BN37" s="45">
        <f>BQ29</f>
        <v>0.57692307692307687</v>
      </c>
      <c r="BU37" s="7"/>
      <c r="BW37" s="7"/>
    </row>
    <row r="38" spans="1:75" x14ac:dyDescent="0.25">
      <c r="A38" s="7">
        <v>2021</v>
      </c>
      <c r="B38" s="13">
        <v>44438</v>
      </c>
      <c r="C38" s="13"/>
      <c r="D38" s="7">
        <v>35</v>
      </c>
      <c r="F38" s="5"/>
      <c r="G38" s="5"/>
      <c r="H38" s="5"/>
      <c r="I38" s="5"/>
      <c r="J38" s="6"/>
      <c r="L38" s="8" t="e">
        <f t="shared" si="28"/>
        <v>#DIV/0!</v>
      </c>
      <c r="M38" s="8">
        <f t="shared" si="21"/>
        <v>0.70500000000000007</v>
      </c>
      <c r="N38" s="9">
        <v>0.82</v>
      </c>
      <c r="O38" s="9">
        <v>0.95</v>
      </c>
      <c r="Q38" s="1"/>
      <c r="R38" s="1"/>
      <c r="S38" s="1"/>
      <c r="T38" s="1"/>
      <c r="U38" s="4"/>
      <c r="AA38" s="2"/>
      <c r="AB38" s="2"/>
      <c r="AC38" s="2">
        <f t="shared" si="29"/>
        <v>0</v>
      </c>
      <c r="AD38" s="1" t="e">
        <f t="shared" si="30"/>
        <v>#DIV/0!</v>
      </c>
      <c r="AF38">
        <f t="shared" si="31"/>
        <v>13951.75</v>
      </c>
      <c r="AG38">
        <f t="shared" si="32"/>
        <v>7838.3</v>
      </c>
      <c r="AH38">
        <f t="shared" si="33"/>
        <v>21790.05</v>
      </c>
      <c r="AI38" s="1">
        <f t="shared" si="22"/>
        <v>0.35971922964839459</v>
      </c>
      <c r="AL38" s="1" t="e">
        <f t="shared" si="34"/>
        <v>#DIV/0!</v>
      </c>
      <c r="AM38">
        <f t="shared" si="27"/>
        <v>468</v>
      </c>
      <c r="AN38" s="1">
        <f t="shared" si="23"/>
        <v>3.3544179045639437E-2</v>
      </c>
      <c r="AO38">
        <v>15</v>
      </c>
      <c r="AP38">
        <f t="shared" si="24"/>
        <v>525</v>
      </c>
      <c r="AZ38" s="7">
        <v>2021</v>
      </c>
      <c r="BA38" s="7" t="s">
        <v>18</v>
      </c>
      <c r="BB38" s="7"/>
      <c r="BC38" s="7"/>
      <c r="BD38" s="7"/>
      <c r="BE38" s="7"/>
      <c r="BF38" s="30"/>
      <c r="BG38" s="7"/>
      <c r="BH38" s="28"/>
      <c r="BI38" s="29"/>
      <c r="BJ38" s="7">
        <v>2</v>
      </c>
      <c r="BM38" s="7" t="s">
        <v>106</v>
      </c>
      <c r="BN38" s="45">
        <v>0.02</v>
      </c>
      <c r="BU38" s="7"/>
      <c r="BW38" s="7"/>
    </row>
    <row r="39" spans="1:75" x14ac:dyDescent="0.25">
      <c r="A39" s="7">
        <v>2021</v>
      </c>
      <c r="B39" s="13">
        <v>44445</v>
      </c>
      <c r="C39" s="13"/>
      <c r="D39" s="7">
        <v>36</v>
      </c>
      <c r="F39" s="5"/>
      <c r="G39" s="5"/>
      <c r="H39" s="5"/>
      <c r="I39" s="5"/>
      <c r="J39" s="6"/>
      <c r="L39" s="8" t="e">
        <f t="shared" si="28"/>
        <v>#DIV/0!</v>
      </c>
      <c r="M39" s="8">
        <f t="shared" si="21"/>
        <v>0.89</v>
      </c>
      <c r="N39" s="9">
        <v>0.82</v>
      </c>
      <c r="O39" s="9">
        <v>0.95</v>
      </c>
      <c r="Q39" s="1"/>
      <c r="R39" s="1"/>
      <c r="S39" s="1"/>
      <c r="T39" s="1"/>
      <c r="U39" s="4"/>
      <c r="AA39" s="2"/>
      <c r="AB39" s="2"/>
      <c r="AC39" s="2">
        <f t="shared" si="29"/>
        <v>0</v>
      </c>
      <c r="AD39" s="1" t="e">
        <f t="shared" si="30"/>
        <v>#DIV/0!</v>
      </c>
      <c r="AF39">
        <f t="shared" si="31"/>
        <v>13951.75</v>
      </c>
      <c r="AG39">
        <f t="shared" si="32"/>
        <v>7838.3</v>
      </c>
      <c r="AH39">
        <f t="shared" si="33"/>
        <v>21790.05</v>
      </c>
      <c r="AI39" s="1">
        <f t="shared" si="22"/>
        <v>0.35971922964839459</v>
      </c>
      <c r="AL39" s="1" t="e">
        <f t="shared" si="34"/>
        <v>#DIV/0!</v>
      </c>
      <c r="AM39">
        <f t="shared" si="27"/>
        <v>468</v>
      </c>
      <c r="AN39" s="1">
        <f t="shared" si="23"/>
        <v>3.3544179045639437E-2</v>
      </c>
      <c r="AO39">
        <v>15</v>
      </c>
      <c r="AP39">
        <f t="shared" si="24"/>
        <v>540</v>
      </c>
      <c r="AZ39" s="7">
        <v>2021</v>
      </c>
      <c r="BA39" s="7" t="s">
        <v>19</v>
      </c>
      <c r="BB39" s="7"/>
      <c r="BC39" s="7"/>
      <c r="BD39" s="7"/>
      <c r="BE39" s="7"/>
      <c r="BF39" s="30"/>
      <c r="BG39" s="7"/>
      <c r="BH39" s="28"/>
      <c r="BI39" s="29"/>
      <c r="BJ39" s="7">
        <v>2</v>
      </c>
      <c r="BM39" s="7" t="s">
        <v>107</v>
      </c>
      <c r="BN39" s="45">
        <f>2-BN37-BN38</f>
        <v>1.4030769230769231</v>
      </c>
      <c r="BU39" s="7"/>
      <c r="BW39" s="7"/>
    </row>
    <row r="40" spans="1:75" x14ac:dyDescent="0.25">
      <c r="A40" s="7">
        <v>2021</v>
      </c>
      <c r="B40" s="13">
        <v>44452</v>
      </c>
      <c r="C40" s="13" t="s">
        <v>16</v>
      </c>
      <c r="D40" s="7">
        <v>37</v>
      </c>
      <c r="F40" s="5"/>
      <c r="G40" s="5"/>
      <c r="H40" s="5"/>
      <c r="I40" s="5"/>
      <c r="J40" s="6"/>
      <c r="L40" s="8" t="e">
        <f t="shared" si="28"/>
        <v>#DIV/0!</v>
      </c>
      <c r="M40" s="8" t="e">
        <f t="shared" si="21"/>
        <v>#DIV/0!</v>
      </c>
      <c r="N40" s="9">
        <v>0.82</v>
      </c>
      <c r="O40" s="9">
        <v>0.95</v>
      </c>
      <c r="Q40" s="1"/>
      <c r="R40" s="1"/>
      <c r="S40" s="1"/>
      <c r="T40" s="1"/>
      <c r="U40" s="4"/>
      <c r="AA40" s="2"/>
      <c r="AB40" s="2"/>
      <c r="AC40" s="2">
        <f t="shared" si="29"/>
        <v>0</v>
      </c>
      <c r="AD40" s="1" t="e">
        <f t="shared" si="30"/>
        <v>#DIV/0!</v>
      </c>
      <c r="AF40">
        <f t="shared" si="31"/>
        <v>13951.75</v>
      </c>
      <c r="AG40">
        <f t="shared" si="32"/>
        <v>7838.3</v>
      </c>
      <c r="AH40">
        <f t="shared" si="33"/>
        <v>21790.05</v>
      </c>
      <c r="AI40" s="1">
        <f t="shared" si="22"/>
        <v>0.35971922964839459</v>
      </c>
      <c r="AL40" s="1" t="e">
        <f t="shared" si="34"/>
        <v>#DIV/0!</v>
      </c>
      <c r="AM40">
        <f t="shared" si="27"/>
        <v>468</v>
      </c>
      <c r="AN40" s="1">
        <f t="shared" si="23"/>
        <v>3.3544179045639437E-2</v>
      </c>
      <c r="AO40">
        <v>15</v>
      </c>
      <c r="AP40">
        <f t="shared" si="24"/>
        <v>555</v>
      </c>
      <c r="AZ40" s="7"/>
      <c r="BA40" s="7"/>
      <c r="BB40" s="7"/>
      <c r="BC40" s="7"/>
      <c r="BD40" s="7"/>
      <c r="BE40" s="7"/>
      <c r="BF40" s="30"/>
      <c r="BG40" s="7"/>
      <c r="BH40" s="28"/>
      <c r="BI40" s="29"/>
      <c r="BJ40" s="7"/>
      <c r="BU40" s="7"/>
      <c r="BW40" s="7"/>
    </row>
    <row r="41" spans="1:75" x14ac:dyDescent="0.25">
      <c r="A41" s="7">
        <v>2021</v>
      </c>
      <c r="B41" s="13">
        <v>44459</v>
      </c>
      <c r="D41" s="7">
        <v>38</v>
      </c>
      <c r="F41" s="5"/>
      <c r="G41" s="5"/>
      <c r="H41" s="5"/>
      <c r="I41" s="5"/>
      <c r="J41" s="6"/>
      <c r="L41" s="8" t="e">
        <f t="shared" si="28"/>
        <v>#DIV/0!</v>
      </c>
      <c r="M41" s="8" t="e">
        <f t="shared" si="21"/>
        <v>#DIV/0!</v>
      </c>
      <c r="N41" s="9">
        <v>0.82</v>
      </c>
      <c r="O41" s="9">
        <v>0.95</v>
      </c>
      <c r="Q41" s="1"/>
      <c r="R41" s="1"/>
      <c r="S41" s="1"/>
      <c r="T41" s="1"/>
      <c r="U41" s="4"/>
      <c r="AA41" s="2"/>
      <c r="AB41" s="2"/>
      <c r="AC41" s="2">
        <f t="shared" si="29"/>
        <v>0</v>
      </c>
      <c r="AD41" s="1" t="e">
        <f t="shared" si="30"/>
        <v>#DIV/0!</v>
      </c>
      <c r="AF41">
        <f t="shared" si="31"/>
        <v>13951.75</v>
      </c>
      <c r="AG41">
        <f t="shared" si="32"/>
        <v>7838.3</v>
      </c>
      <c r="AH41">
        <f t="shared" si="33"/>
        <v>21790.05</v>
      </c>
      <c r="AI41" s="1">
        <f t="shared" si="22"/>
        <v>0.35971922964839459</v>
      </c>
      <c r="AL41" s="1" t="e">
        <f t="shared" si="34"/>
        <v>#DIV/0!</v>
      </c>
      <c r="AM41">
        <f t="shared" si="27"/>
        <v>468</v>
      </c>
      <c r="AN41" s="1">
        <f t="shared" si="23"/>
        <v>3.3544179045639437E-2</v>
      </c>
      <c r="AO41">
        <v>15</v>
      </c>
      <c r="AP41">
        <f t="shared" si="24"/>
        <v>570</v>
      </c>
      <c r="AZ41" s="7"/>
      <c r="BA41" s="7"/>
      <c r="BB41" s="7"/>
      <c r="BC41" s="7"/>
      <c r="BD41" s="7"/>
      <c r="BE41" s="7"/>
      <c r="BF41" s="30"/>
      <c r="BG41" s="7"/>
      <c r="BH41" s="28"/>
      <c r="BI41" s="29"/>
      <c r="BJ41" s="7"/>
      <c r="BU41" s="7"/>
      <c r="BW41" s="7"/>
    </row>
    <row r="42" spans="1:75" x14ac:dyDescent="0.25">
      <c r="A42" s="7">
        <v>2021</v>
      </c>
      <c r="B42" s="13">
        <v>44466</v>
      </c>
      <c r="C42" s="13"/>
      <c r="D42" s="7">
        <v>39</v>
      </c>
      <c r="F42" s="5"/>
      <c r="G42" s="5"/>
      <c r="H42" s="5"/>
      <c r="I42" s="5"/>
      <c r="J42" s="6"/>
      <c r="L42" s="8" t="e">
        <f t="shared" si="28"/>
        <v>#DIV/0!</v>
      </c>
      <c r="M42" s="8" t="e">
        <f t="shared" si="21"/>
        <v>#DIV/0!</v>
      </c>
      <c r="N42" s="9">
        <v>0.82</v>
      </c>
      <c r="O42" s="9">
        <v>0.95</v>
      </c>
      <c r="Q42" s="1"/>
      <c r="R42" s="1"/>
      <c r="S42" s="1"/>
      <c r="T42" s="1"/>
      <c r="U42" s="4"/>
      <c r="AA42" s="2"/>
      <c r="AB42" s="2"/>
      <c r="AC42" s="2">
        <f t="shared" si="29"/>
        <v>0</v>
      </c>
      <c r="AD42" s="1" t="e">
        <f t="shared" si="30"/>
        <v>#DIV/0!</v>
      </c>
      <c r="AF42">
        <f t="shared" si="31"/>
        <v>13951.75</v>
      </c>
      <c r="AG42">
        <f t="shared" si="32"/>
        <v>7838.3</v>
      </c>
      <c r="AH42">
        <f t="shared" si="33"/>
        <v>21790.05</v>
      </c>
      <c r="AI42" s="1">
        <f t="shared" si="22"/>
        <v>0.35971922964839459</v>
      </c>
      <c r="AL42" s="1" t="e">
        <f t="shared" si="34"/>
        <v>#DIV/0!</v>
      </c>
      <c r="AM42">
        <f t="shared" si="27"/>
        <v>468</v>
      </c>
      <c r="AN42" s="1">
        <f t="shared" si="23"/>
        <v>3.3544179045639437E-2</v>
      </c>
      <c r="AO42">
        <v>15</v>
      </c>
      <c r="AP42">
        <f t="shared" si="24"/>
        <v>585</v>
      </c>
      <c r="AZ42" s="7">
        <v>2021</v>
      </c>
      <c r="BA42" s="7" t="s">
        <v>49</v>
      </c>
      <c r="BB42" s="7">
        <f>SUM(BB28:BB39)</f>
        <v>0</v>
      </c>
      <c r="BC42" s="7">
        <f>SUM(BC28:BC39)</f>
        <v>3</v>
      </c>
      <c r="BD42" s="7">
        <f>SUM(BD28:BD39)</f>
        <v>4</v>
      </c>
      <c r="BE42" s="7">
        <f>SUM(BE28:BE39)</f>
        <v>7</v>
      </c>
      <c r="BF42" s="7">
        <f>BF28</f>
        <v>2984.25</v>
      </c>
      <c r="BU42" s="7">
        <v>125</v>
      </c>
      <c r="BV42" t="s">
        <v>163</v>
      </c>
      <c r="BW42" s="7"/>
    </row>
    <row r="43" spans="1:75" x14ac:dyDescent="0.25">
      <c r="A43" s="7">
        <v>2021</v>
      </c>
      <c r="B43" s="13">
        <v>44473</v>
      </c>
      <c r="C43" s="13"/>
      <c r="D43" s="7">
        <v>40</v>
      </c>
      <c r="F43" s="5"/>
      <c r="G43" s="5"/>
      <c r="H43" s="5"/>
      <c r="I43" s="5"/>
      <c r="J43" s="6"/>
      <c r="L43" s="8" t="e">
        <f t="shared" si="28"/>
        <v>#DIV/0!</v>
      </c>
      <c r="M43" s="8" t="e">
        <f t="shared" si="21"/>
        <v>#DIV/0!</v>
      </c>
      <c r="N43" s="9">
        <v>0.82</v>
      </c>
      <c r="O43" s="9">
        <v>0.95</v>
      </c>
      <c r="Q43" s="1"/>
      <c r="R43" s="1"/>
      <c r="S43" s="1"/>
      <c r="T43" s="1"/>
      <c r="U43" s="4"/>
      <c r="AA43" s="2"/>
      <c r="AB43" s="2"/>
      <c r="AC43" s="2">
        <f t="shared" si="29"/>
        <v>0</v>
      </c>
      <c r="AD43" s="1" t="e">
        <f t="shared" si="30"/>
        <v>#DIV/0!</v>
      </c>
      <c r="AF43">
        <f t="shared" si="31"/>
        <v>13951.75</v>
      </c>
      <c r="AG43">
        <f t="shared" si="32"/>
        <v>7838.3</v>
      </c>
      <c r="AH43">
        <f t="shared" si="33"/>
        <v>21790.05</v>
      </c>
      <c r="AI43" s="1">
        <f t="shared" si="22"/>
        <v>0.35971922964839459</v>
      </c>
      <c r="AL43" s="1" t="e">
        <f t="shared" si="34"/>
        <v>#DIV/0!</v>
      </c>
      <c r="AM43">
        <f t="shared" si="27"/>
        <v>468</v>
      </c>
      <c r="AN43" s="1">
        <f t="shared" si="23"/>
        <v>3.3544179045639437E-2</v>
      </c>
      <c r="AO43">
        <v>15</v>
      </c>
      <c r="AP43">
        <f t="shared" si="24"/>
        <v>600</v>
      </c>
      <c r="AZ43" s="7">
        <v>2020</v>
      </c>
      <c r="BA43" s="7" t="s">
        <v>49</v>
      </c>
      <c r="BB43" s="7">
        <f>SUM(BB16:BB19)</f>
        <v>0</v>
      </c>
      <c r="BC43" s="7">
        <f>SUM(BC16:BC19)</f>
        <v>2</v>
      </c>
      <c r="BD43" s="7">
        <f>SUM(BD16:BD19)</f>
        <v>3.05</v>
      </c>
      <c r="BE43" s="7">
        <f>SUM(BE16:BE19)</f>
        <v>5.05</v>
      </c>
      <c r="BF43" s="7">
        <f>BF16</f>
        <v>3845.75</v>
      </c>
      <c r="BU43" s="7">
        <v>130</v>
      </c>
      <c r="BV43" t="s">
        <v>164</v>
      </c>
      <c r="BW43" s="7"/>
    </row>
    <row r="44" spans="1:75" x14ac:dyDescent="0.25">
      <c r="A44" s="7">
        <v>2021</v>
      </c>
      <c r="B44" s="13">
        <v>44480</v>
      </c>
      <c r="C44" s="13"/>
      <c r="D44" s="7">
        <v>41</v>
      </c>
      <c r="F44" s="5"/>
      <c r="G44" s="5"/>
      <c r="H44" s="5"/>
      <c r="I44" s="5"/>
      <c r="J44" s="6"/>
      <c r="L44" s="8" t="e">
        <f t="shared" si="28"/>
        <v>#DIV/0!</v>
      </c>
      <c r="M44" s="8" t="e">
        <f t="shared" si="21"/>
        <v>#DIV/0!</v>
      </c>
      <c r="N44" s="9">
        <v>0.82</v>
      </c>
      <c r="O44" s="9">
        <v>0.95</v>
      </c>
      <c r="Q44" s="1"/>
      <c r="R44" s="1"/>
      <c r="S44" s="1"/>
      <c r="T44" s="1"/>
      <c r="U44" s="4"/>
      <c r="AA44" s="2"/>
      <c r="AB44" s="2"/>
      <c r="AC44" s="2">
        <f t="shared" si="29"/>
        <v>0</v>
      </c>
      <c r="AD44" s="1" t="e">
        <f t="shared" si="30"/>
        <v>#DIV/0!</v>
      </c>
      <c r="AF44">
        <f t="shared" si="31"/>
        <v>13951.75</v>
      </c>
      <c r="AG44">
        <f t="shared" si="32"/>
        <v>7838.3</v>
      </c>
      <c r="AH44">
        <f t="shared" si="33"/>
        <v>21790.05</v>
      </c>
      <c r="AI44" s="1">
        <f t="shared" si="22"/>
        <v>0.35971922964839459</v>
      </c>
      <c r="AL44" s="1" t="e">
        <f t="shared" si="34"/>
        <v>#DIV/0!</v>
      </c>
      <c r="AM44">
        <f t="shared" si="27"/>
        <v>468</v>
      </c>
      <c r="AN44" s="1">
        <f t="shared" si="23"/>
        <v>3.3544179045639437E-2</v>
      </c>
      <c r="AO44">
        <v>15</v>
      </c>
      <c r="AP44">
        <f t="shared" si="24"/>
        <v>615</v>
      </c>
      <c r="AZ44" s="7">
        <v>2019</v>
      </c>
      <c r="BA44" s="7" t="s">
        <v>49</v>
      </c>
      <c r="BB44" s="7">
        <f>SUM(BB4:BB7)</f>
        <v>0</v>
      </c>
      <c r="BC44" s="7">
        <f>SUM(BC4:BC7)</f>
        <v>0</v>
      </c>
      <c r="BD44" s="7">
        <f>SUM(BD4:BD7)</f>
        <v>6</v>
      </c>
      <c r="BE44" s="7">
        <f>SUM(BE4:BE7)</f>
        <v>6</v>
      </c>
      <c r="BF44" s="7">
        <f>BF4</f>
        <v>3612.25</v>
      </c>
      <c r="BU44" s="7">
        <v>135</v>
      </c>
      <c r="BV44" t="s">
        <v>165</v>
      </c>
      <c r="BW44" s="7"/>
    </row>
    <row r="45" spans="1:75" x14ac:dyDescent="0.25">
      <c r="A45" s="7">
        <v>2021</v>
      </c>
      <c r="B45" s="13">
        <v>44487</v>
      </c>
      <c r="C45" s="13" t="s">
        <v>17</v>
      </c>
      <c r="D45" s="7">
        <v>42</v>
      </c>
      <c r="F45" s="5"/>
      <c r="G45" s="5"/>
      <c r="H45" s="5"/>
      <c r="I45" s="5"/>
      <c r="J45" s="6"/>
      <c r="L45" s="8" t="e">
        <f t="shared" si="28"/>
        <v>#DIV/0!</v>
      </c>
      <c r="M45" s="8" t="e">
        <f t="shared" si="21"/>
        <v>#DIV/0!</v>
      </c>
      <c r="N45" s="9">
        <v>0.82</v>
      </c>
      <c r="O45" s="9">
        <v>0.95</v>
      </c>
      <c r="Q45" s="1"/>
      <c r="R45" s="1"/>
      <c r="S45" s="1"/>
      <c r="T45" s="1"/>
      <c r="U45" s="4"/>
      <c r="AA45" s="2"/>
      <c r="AB45" s="2"/>
      <c r="AC45" s="2">
        <f t="shared" si="29"/>
        <v>0</v>
      </c>
      <c r="AD45" s="1" t="e">
        <f t="shared" si="30"/>
        <v>#DIV/0!</v>
      </c>
      <c r="AF45">
        <f t="shared" si="31"/>
        <v>13951.75</v>
      </c>
      <c r="AG45">
        <f t="shared" si="32"/>
        <v>7838.3</v>
      </c>
      <c r="AH45">
        <f t="shared" si="33"/>
        <v>21790.05</v>
      </c>
      <c r="AI45" s="1">
        <f t="shared" si="22"/>
        <v>0.35971922964839459</v>
      </c>
      <c r="AL45" s="1" t="e">
        <f t="shared" si="34"/>
        <v>#DIV/0!</v>
      </c>
      <c r="AM45">
        <f t="shared" si="27"/>
        <v>468</v>
      </c>
      <c r="AN45" s="1">
        <f t="shared" si="23"/>
        <v>3.3544179045639437E-2</v>
      </c>
      <c r="AO45">
        <v>15</v>
      </c>
      <c r="AP45">
        <f t="shared" si="24"/>
        <v>630</v>
      </c>
      <c r="BU45" s="7">
        <v>140</v>
      </c>
      <c r="BV45" t="s">
        <v>166</v>
      </c>
      <c r="BW45" s="7"/>
    </row>
    <row r="46" spans="1:75" x14ac:dyDescent="0.25">
      <c r="A46" s="7">
        <v>2021</v>
      </c>
      <c r="B46" s="13">
        <v>44494</v>
      </c>
      <c r="C46" s="13"/>
      <c r="D46" s="7">
        <v>43</v>
      </c>
      <c r="F46" s="5"/>
      <c r="G46" s="5"/>
      <c r="H46" s="5"/>
      <c r="I46" s="5"/>
      <c r="J46" s="6"/>
      <c r="L46" s="8" t="e">
        <f t="shared" si="28"/>
        <v>#DIV/0!</v>
      </c>
      <c r="M46" s="8" t="e">
        <f t="shared" si="21"/>
        <v>#DIV/0!</v>
      </c>
      <c r="N46" s="9">
        <v>0.82</v>
      </c>
      <c r="O46" s="9">
        <v>0.95</v>
      </c>
      <c r="Q46" s="1"/>
      <c r="R46" s="1"/>
      <c r="S46" s="1"/>
      <c r="T46" s="1"/>
      <c r="U46" s="4"/>
      <c r="AA46" s="2"/>
      <c r="AB46" s="2"/>
      <c r="AC46" s="2">
        <f t="shared" si="29"/>
        <v>0</v>
      </c>
      <c r="AD46" s="1" t="e">
        <f t="shared" si="30"/>
        <v>#DIV/0!</v>
      </c>
      <c r="AF46">
        <f t="shared" si="31"/>
        <v>13951.75</v>
      </c>
      <c r="AG46">
        <f t="shared" si="32"/>
        <v>7838.3</v>
      </c>
      <c r="AH46">
        <f t="shared" si="33"/>
        <v>21790.05</v>
      </c>
      <c r="AI46" s="1">
        <f t="shared" si="22"/>
        <v>0.35971922964839459</v>
      </c>
      <c r="AL46" s="1" t="e">
        <f t="shared" si="34"/>
        <v>#DIV/0!</v>
      </c>
      <c r="AM46">
        <f t="shared" si="27"/>
        <v>468</v>
      </c>
      <c r="AN46" s="1">
        <f t="shared" si="23"/>
        <v>3.3544179045639437E-2</v>
      </c>
      <c r="AO46">
        <v>15</v>
      </c>
      <c r="AP46">
        <f t="shared" si="24"/>
        <v>645</v>
      </c>
      <c r="AZ46" t="s">
        <v>78</v>
      </c>
      <c r="BB46" s="7">
        <f>SUM(BB20:BB31)</f>
        <v>0</v>
      </c>
      <c r="BC46" s="7">
        <f>SUM(BC20:BC31)</f>
        <v>10</v>
      </c>
      <c r="BD46" s="7">
        <f>SUM(BD20:BD31)</f>
        <v>11</v>
      </c>
      <c r="BE46" s="7">
        <f>SUM(BE20:BE31)</f>
        <v>21</v>
      </c>
      <c r="BF46" s="7">
        <f>SUM(BF16:BF27)</f>
        <v>49483.25</v>
      </c>
      <c r="BU46" s="7">
        <v>145</v>
      </c>
      <c r="BV46" t="s">
        <v>167</v>
      </c>
      <c r="BW46" s="7"/>
    </row>
    <row r="47" spans="1:75" x14ac:dyDescent="0.25">
      <c r="A47" s="7">
        <v>2021</v>
      </c>
      <c r="B47" s="13">
        <v>44501</v>
      </c>
      <c r="C47" s="13"/>
      <c r="D47" s="7">
        <v>44</v>
      </c>
      <c r="F47" s="5"/>
      <c r="G47" s="5"/>
      <c r="H47" s="5"/>
      <c r="I47" s="5"/>
      <c r="J47" s="6"/>
      <c r="L47" s="8" t="e">
        <f t="shared" si="28"/>
        <v>#DIV/0!</v>
      </c>
      <c r="M47" s="8" t="e">
        <f t="shared" si="21"/>
        <v>#DIV/0!</v>
      </c>
      <c r="N47" s="9">
        <v>0.82</v>
      </c>
      <c r="O47" s="9">
        <v>0.95</v>
      </c>
      <c r="Q47" s="1"/>
      <c r="R47" s="1"/>
      <c r="S47" s="1"/>
      <c r="T47" s="1"/>
      <c r="U47" s="4"/>
      <c r="AA47" s="2"/>
      <c r="AB47" s="2"/>
      <c r="AC47" s="2">
        <f t="shared" si="29"/>
        <v>0</v>
      </c>
      <c r="AD47" s="1" t="e">
        <f t="shared" si="30"/>
        <v>#DIV/0!</v>
      </c>
      <c r="AF47">
        <f t="shared" si="31"/>
        <v>13951.75</v>
      </c>
      <c r="AG47">
        <f t="shared" si="32"/>
        <v>7838.3</v>
      </c>
      <c r="AH47">
        <f t="shared" si="33"/>
        <v>21790.05</v>
      </c>
      <c r="AI47" s="1">
        <f t="shared" si="22"/>
        <v>0.35971922964839459</v>
      </c>
      <c r="AL47" s="1" t="e">
        <f t="shared" si="34"/>
        <v>#DIV/0!</v>
      </c>
      <c r="AM47">
        <f t="shared" si="27"/>
        <v>468</v>
      </c>
      <c r="AN47" s="1">
        <f t="shared" si="23"/>
        <v>3.3544179045639437E-2</v>
      </c>
      <c r="AO47">
        <v>15</v>
      </c>
      <c r="AP47">
        <f t="shared" si="24"/>
        <v>660</v>
      </c>
      <c r="BU47" s="7">
        <v>147</v>
      </c>
      <c r="BV47" t="s">
        <v>168</v>
      </c>
      <c r="BW47" s="7"/>
    </row>
    <row r="48" spans="1:75" x14ac:dyDescent="0.25">
      <c r="A48" s="7">
        <v>2021</v>
      </c>
      <c r="B48" s="13">
        <v>44508</v>
      </c>
      <c r="C48" s="13"/>
      <c r="D48" s="7">
        <v>45</v>
      </c>
      <c r="F48" s="5"/>
      <c r="G48" s="5"/>
      <c r="H48" s="5"/>
      <c r="I48" s="5"/>
      <c r="J48" s="6"/>
      <c r="L48" s="8" t="e">
        <f t="shared" si="28"/>
        <v>#DIV/0!</v>
      </c>
      <c r="M48" s="8" t="e">
        <f t="shared" si="21"/>
        <v>#DIV/0!</v>
      </c>
      <c r="N48" s="9">
        <v>0.82</v>
      </c>
      <c r="O48" s="9">
        <v>0.95</v>
      </c>
      <c r="Q48" s="1"/>
      <c r="R48" s="1"/>
      <c r="S48" s="1"/>
      <c r="T48" s="1"/>
      <c r="U48" s="4"/>
      <c r="AA48" s="2"/>
      <c r="AB48" s="2"/>
      <c r="AC48" s="2">
        <f t="shared" si="29"/>
        <v>0</v>
      </c>
      <c r="AD48" s="1" t="e">
        <f t="shared" si="30"/>
        <v>#DIV/0!</v>
      </c>
      <c r="AF48">
        <f t="shared" si="31"/>
        <v>13951.75</v>
      </c>
      <c r="AG48">
        <f t="shared" si="32"/>
        <v>7838.3</v>
      </c>
      <c r="AH48">
        <f t="shared" si="33"/>
        <v>21790.05</v>
      </c>
      <c r="AI48" s="1">
        <f t="shared" si="22"/>
        <v>0.35971922964839459</v>
      </c>
      <c r="AL48" s="1" t="e">
        <f t="shared" si="34"/>
        <v>#DIV/0!</v>
      </c>
      <c r="AM48">
        <f t="shared" si="27"/>
        <v>468</v>
      </c>
      <c r="AN48" s="1">
        <f t="shared" si="23"/>
        <v>3.3544179045639437E-2</v>
      </c>
      <c r="AO48">
        <v>15</v>
      </c>
      <c r="AP48">
        <f t="shared" si="24"/>
        <v>675</v>
      </c>
      <c r="BU48" s="7">
        <v>150</v>
      </c>
      <c r="BV48" t="s">
        <v>169</v>
      </c>
      <c r="BW48" s="7"/>
    </row>
    <row r="49" spans="1:75" x14ac:dyDescent="0.25">
      <c r="A49" s="7">
        <v>2021</v>
      </c>
      <c r="B49" s="13">
        <v>44515</v>
      </c>
      <c r="C49" s="13" t="s">
        <v>18</v>
      </c>
      <c r="D49" s="7">
        <v>46</v>
      </c>
      <c r="F49" s="5"/>
      <c r="G49" s="5"/>
      <c r="H49" s="5"/>
      <c r="I49" s="5"/>
      <c r="J49" s="6"/>
      <c r="L49" s="8" t="e">
        <f t="shared" si="28"/>
        <v>#DIV/0!</v>
      </c>
      <c r="M49" s="8" t="e">
        <f t="shared" si="21"/>
        <v>#DIV/0!</v>
      </c>
      <c r="N49" s="9">
        <v>0.82</v>
      </c>
      <c r="O49" s="9">
        <v>0.95</v>
      </c>
      <c r="Q49" s="1"/>
      <c r="R49" s="1"/>
      <c r="S49" s="1"/>
      <c r="T49" s="1"/>
      <c r="U49" s="4"/>
      <c r="AA49" s="2"/>
      <c r="AB49" s="2"/>
      <c r="AC49" s="2">
        <f t="shared" si="29"/>
        <v>0</v>
      </c>
      <c r="AD49" s="1" t="e">
        <f t="shared" si="30"/>
        <v>#DIV/0!</v>
      </c>
      <c r="AF49">
        <f t="shared" si="31"/>
        <v>13951.75</v>
      </c>
      <c r="AG49">
        <f t="shared" si="32"/>
        <v>7838.3</v>
      </c>
      <c r="AH49">
        <f t="shared" si="33"/>
        <v>21790.05</v>
      </c>
      <c r="AI49" s="1">
        <f t="shared" si="22"/>
        <v>0.35971922964839459</v>
      </c>
      <c r="AL49" s="1" t="e">
        <f t="shared" si="34"/>
        <v>#DIV/0!</v>
      </c>
      <c r="AM49">
        <f t="shared" si="27"/>
        <v>468</v>
      </c>
      <c r="AN49" s="1">
        <f t="shared" si="23"/>
        <v>3.3544179045639437E-2</v>
      </c>
      <c r="AO49">
        <v>15</v>
      </c>
      <c r="AP49">
        <f t="shared" si="24"/>
        <v>690</v>
      </c>
      <c r="BU49" s="7">
        <v>155</v>
      </c>
      <c r="BV49" t="s">
        <v>170</v>
      </c>
      <c r="BW49" s="7"/>
    </row>
    <row r="50" spans="1:75" x14ac:dyDescent="0.25">
      <c r="A50" s="7">
        <v>2021</v>
      </c>
      <c r="B50" s="13">
        <v>44522</v>
      </c>
      <c r="D50" s="7">
        <v>47</v>
      </c>
      <c r="F50" s="5"/>
      <c r="G50" s="5"/>
      <c r="H50" s="5"/>
      <c r="I50" s="5"/>
      <c r="J50" s="6"/>
      <c r="L50" s="8" t="e">
        <f t="shared" si="28"/>
        <v>#DIV/0!</v>
      </c>
      <c r="M50" s="8" t="e">
        <f t="shared" si="21"/>
        <v>#DIV/0!</v>
      </c>
      <c r="N50" s="9">
        <v>0.82</v>
      </c>
      <c r="O50" s="9">
        <v>0.95</v>
      </c>
      <c r="Q50" s="1"/>
      <c r="R50" s="1"/>
      <c r="S50" s="1"/>
      <c r="T50" s="1"/>
      <c r="U50" s="4"/>
      <c r="AA50" s="2"/>
      <c r="AB50" s="2"/>
      <c r="AC50" s="2">
        <f t="shared" si="29"/>
        <v>0</v>
      </c>
      <c r="AD50" s="1" t="e">
        <f t="shared" si="30"/>
        <v>#DIV/0!</v>
      </c>
      <c r="AF50">
        <f t="shared" si="31"/>
        <v>13951.75</v>
      </c>
      <c r="AG50">
        <f t="shared" si="32"/>
        <v>7838.3</v>
      </c>
      <c r="AH50">
        <f t="shared" si="33"/>
        <v>21790.05</v>
      </c>
      <c r="AI50" s="1">
        <f t="shared" si="22"/>
        <v>0.35971922964839459</v>
      </c>
      <c r="AL50" s="1" t="e">
        <f t="shared" si="34"/>
        <v>#DIV/0!</v>
      </c>
      <c r="AM50">
        <f t="shared" si="27"/>
        <v>468</v>
      </c>
      <c r="AN50" s="1">
        <f t="shared" si="23"/>
        <v>3.3544179045639437E-2</v>
      </c>
      <c r="AO50">
        <v>15</v>
      </c>
      <c r="AP50">
        <f t="shared" si="24"/>
        <v>705</v>
      </c>
      <c r="BU50" s="7">
        <v>160</v>
      </c>
      <c r="BV50" t="s">
        <v>171</v>
      </c>
      <c r="BW50" s="7"/>
    </row>
    <row r="51" spans="1:75" x14ac:dyDescent="0.25">
      <c r="A51" s="7">
        <v>2021</v>
      </c>
      <c r="B51" s="13">
        <v>44529</v>
      </c>
      <c r="C51" s="13"/>
      <c r="D51" s="7">
        <v>48</v>
      </c>
      <c r="F51" s="5"/>
      <c r="G51" s="5"/>
      <c r="H51" s="5"/>
      <c r="I51" s="5"/>
      <c r="J51" s="6"/>
      <c r="L51" s="8" t="e">
        <f t="shared" si="28"/>
        <v>#DIV/0!</v>
      </c>
      <c r="M51" s="8" t="e">
        <f t="shared" si="21"/>
        <v>#DIV/0!</v>
      </c>
      <c r="N51" s="9">
        <v>0.82</v>
      </c>
      <c r="O51" s="9">
        <v>0.95</v>
      </c>
      <c r="Q51" s="1"/>
      <c r="R51" s="1"/>
      <c r="S51" s="1"/>
      <c r="T51" s="1"/>
      <c r="U51" s="4"/>
      <c r="AA51" s="2"/>
      <c r="AB51" s="2"/>
      <c r="AC51" s="2">
        <f t="shared" si="29"/>
        <v>0</v>
      </c>
      <c r="AD51" s="1" t="e">
        <f t="shared" si="30"/>
        <v>#DIV/0!</v>
      </c>
      <c r="AF51">
        <f t="shared" si="31"/>
        <v>13951.75</v>
      </c>
      <c r="AG51">
        <f t="shared" si="32"/>
        <v>7838.3</v>
      </c>
      <c r="AH51">
        <f t="shared" si="33"/>
        <v>21790.05</v>
      </c>
      <c r="AI51" s="1">
        <f t="shared" si="22"/>
        <v>0.35971922964839459</v>
      </c>
      <c r="AL51" s="1" t="e">
        <f t="shared" si="34"/>
        <v>#DIV/0!</v>
      </c>
      <c r="AM51">
        <f t="shared" si="27"/>
        <v>468</v>
      </c>
      <c r="AN51" s="1">
        <f t="shared" si="23"/>
        <v>3.3544179045639437E-2</v>
      </c>
      <c r="AO51">
        <v>15</v>
      </c>
      <c r="AP51">
        <f t="shared" si="24"/>
        <v>720</v>
      </c>
      <c r="BU51" s="7">
        <v>165</v>
      </c>
      <c r="BV51" t="s">
        <v>172</v>
      </c>
      <c r="BW51" s="7"/>
    </row>
    <row r="52" spans="1:75" x14ac:dyDescent="0.25">
      <c r="A52" s="7">
        <v>2021</v>
      </c>
      <c r="B52" s="13">
        <v>44536</v>
      </c>
      <c r="C52" s="13"/>
      <c r="D52" s="7">
        <v>49</v>
      </c>
      <c r="F52" s="5"/>
      <c r="G52" s="5"/>
      <c r="H52" s="5"/>
      <c r="I52" s="5"/>
      <c r="J52" s="6"/>
      <c r="L52" s="8" t="e">
        <f t="shared" si="28"/>
        <v>#DIV/0!</v>
      </c>
      <c r="M52" s="8" t="e">
        <f t="shared" si="21"/>
        <v>#DIV/0!</v>
      </c>
      <c r="N52" s="9">
        <v>0.82</v>
      </c>
      <c r="O52" s="9">
        <v>0.95</v>
      </c>
      <c r="Q52" s="1"/>
      <c r="R52" s="1"/>
      <c r="S52" s="1"/>
      <c r="T52" s="1"/>
      <c r="U52" s="4"/>
      <c r="AA52" s="2"/>
      <c r="AB52" s="2"/>
      <c r="AC52" s="2">
        <f t="shared" si="29"/>
        <v>0</v>
      </c>
      <c r="AD52" s="1" t="e">
        <f t="shared" si="30"/>
        <v>#DIV/0!</v>
      </c>
      <c r="AF52">
        <f t="shared" si="31"/>
        <v>13951.75</v>
      </c>
      <c r="AG52">
        <f t="shared" si="32"/>
        <v>7838.3</v>
      </c>
      <c r="AH52">
        <f t="shared" si="33"/>
        <v>21790.05</v>
      </c>
      <c r="AI52" s="1">
        <f t="shared" si="22"/>
        <v>0.35971922964839459</v>
      </c>
      <c r="AL52" s="1" t="e">
        <f t="shared" si="34"/>
        <v>#DIV/0!</v>
      </c>
      <c r="AM52">
        <f t="shared" si="27"/>
        <v>468</v>
      </c>
      <c r="AN52" s="1">
        <f t="shared" si="23"/>
        <v>3.3544179045639437E-2</v>
      </c>
      <c r="AO52">
        <v>15</v>
      </c>
      <c r="AP52">
        <f t="shared" si="24"/>
        <v>735</v>
      </c>
      <c r="BU52" s="7">
        <v>170</v>
      </c>
      <c r="BV52" t="s">
        <v>173</v>
      </c>
      <c r="BW52" s="7"/>
    </row>
    <row r="53" spans="1:75" x14ac:dyDescent="0.25">
      <c r="A53" s="7">
        <v>2021</v>
      </c>
      <c r="B53" s="13">
        <v>44543</v>
      </c>
      <c r="C53" s="13" t="s">
        <v>19</v>
      </c>
      <c r="D53" s="7">
        <v>50</v>
      </c>
      <c r="F53" s="5"/>
      <c r="G53" s="5"/>
      <c r="H53" s="5"/>
      <c r="I53" s="5"/>
      <c r="J53" s="6"/>
      <c r="L53" s="8" t="e">
        <f t="shared" si="28"/>
        <v>#DIV/0!</v>
      </c>
      <c r="M53" s="8" t="e">
        <f t="shared" si="21"/>
        <v>#DIV/0!</v>
      </c>
      <c r="N53" s="9">
        <v>0.82</v>
      </c>
      <c r="O53" s="9">
        <v>0.95</v>
      </c>
      <c r="Q53" s="1"/>
      <c r="R53" s="1"/>
      <c r="S53" s="1"/>
      <c r="T53" s="1"/>
      <c r="U53" s="4"/>
      <c r="AA53" s="2"/>
      <c r="AB53" s="2"/>
      <c r="AC53" s="2">
        <f t="shared" si="29"/>
        <v>0</v>
      </c>
      <c r="AD53" s="1" t="e">
        <f t="shared" si="30"/>
        <v>#DIV/0!</v>
      </c>
      <c r="AF53">
        <f t="shared" si="31"/>
        <v>13951.75</v>
      </c>
      <c r="AG53">
        <f t="shared" si="32"/>
        <v>7838.3</v>
      </c>
      <c r="AH53">
        <f t="shared" si="33"/>
        <v>21790.05</v>
      </c>
      <c r="AI53" s="1">
        <f t="shared" si="22"/>
        <v>0.35971922964839459</v>
      </c>
      <c r="AL53" s="1" t="e">
        <f t="shared" si="34"/>
        <v>#DIV/0!</v>
      </c>
      <c r="AM53">
        <f t="shared" si="27"/>
        <v>468</v>
      </c>
      <c r="AN53" s="1">
        <f t="shared" si="23"/>
        <v>3.3544179045639437E-2</v>
      </c>
      <c r="AO53">
        <v>15</v>
      </c>
      <c r="AP53">
        <f t="shared" si="24"/>
        <v>750</v>
      </c>
      <c r="BU53" s="7">
        <v>175</v>
      </c>
      <c r="BV53" t="s">
        <v>174</v>
      </c>
      <c r="BW53" s="7"/>
    </row>
    <row r="54" spans="1:75" x14ac:dyDescent="0.25">
      <c r="A54" s="7">
        <v>2021</v>
      </c>
      <c r="B54" s="13">
        <v>44550</v>
      </c>
      <c r="D54" s="7">
        <v>51</v>
      </c>
      <c r="F54" s="5"/>
      <c r="G54" s="5"/>
      <c r="H54" s="5"/>
      <c r="I54" s="5"/>
      <c r="J54" s="6"/>
      <c r="L54" s="8" t="e">
        <f t="shared" si="28"/>
        <v>#DIV/0!</v>
      </c>
      <c r="M54" s="8" t="e">
        <f t="shared" si="21"/>
        <v>#DIV/0!</v>
      </c>
      <c r="N54" s="9">
        <v>0.82</v>
      </c>
      <c r="O54" s="9">
        <v>0.95</v>
      </c>
      <c r="Q54" s="1"/>
      <c r="R54" s="1"/>
      <c r="S54" s="1"/>
      <c r="T54" s="1"/>
      <c r="U54" s="4"/>
      <c r="AA54" s="2"/>
      <c r="AB54" s="2"/>
      <c r="AC54" s="2">
        <f t="shared" si="29"/>
        <v>0</v>
      </c>
      <c r="AD54" s="1" t="e">
        <f t="shared" si="30"/>
        <v>#DIV/0!</v>
      </c>
      <c r="AF54">
        <f t="shared" si="31"/>
        <v>13951.75</v>
      </c>
      <c r="AG54">
        <f t="shared" si="32"/>
        <v>7838.3</v>
      </c>
      <c r="AH54">
        <f t="shared" si="33"/>
        <v>21790.05</v>
      </c>
      <c r="AI54" s="1">
        <f t="shared" si="22"/>
        <v>0.35971922964839459</v>
      </c>
      <c r="AL54" s="1" t="e">
        <f t="shared" si="34"/>
        <v>#DIV/0!</v>
      </c>
      <c r="AM54">
        <f t="shared" si="27"/>
        <v>468</v>
      </c>
      <c r="AO54">
        <v>15</v>
      </c>
      <c r="AP54">
        <f t="shared" si="24"/>
        <v>765</v>
      </c>
      <c r="BU54" s="7">
        <v>180</v>
      </c>
      <c r="BV54" t="s">
        <v>175</v>
      </c>
      <c r="BW54" s="7"/>
    </row>
    <row r="55" spans="1:75" x14ac:dyDescent="0.25">
      <c r="A55" s="7">
        <v>2021</v>
      </c>
      <c r="B55" s="13">
        <v>44557</v>
      </c>
      <c r="C55" s="13"/>
      <c r="D55" s="7">
        <v>52</v>
      </c>
      <c r="F55" s="5"/>
      <c r="G55" s="5"/>
      <c r="H55" s="5"/>
      <c r="I55" s="5"/>
      <c r="J55" s="6"/>
      <c r="L55" s="8" t="e">
        <f t="shared" si="28"/>
        <v>#DIV/0!</v>
      </c>
      <c r="M55" s="8" t="e">
        <f t="shared" si="21"/>
        <v>#DIV/0!</v>
      </c>
      <c r="N55" s="9">
        <v>0.82</v>
      </c>
      <c r="O55" s="9">
        <v>0.95</v>
      </c>
      <c r="Q55" s="1"/>
      <c r="R55" s="1"/>
      <c r="S55" s="1"/>
      <c r="T55" s="1"/>
      <c r="U55" s="4"/>
      <c r="AA55" s="2"/>
      <c r="AB55" s="2"/>
      <c r="AC55" s="2">
        <f t="shared" si="29"/>
        <v>0</v>
      </c>
      <c r="AD55" s="1" t="e">
        <f t="shared" si="30"/>
        <v>#DIV/0!</v>
      </c>
      <c r="AF55">
        <f t="shared" si="31"/>
        <v>13951.75</v>
      </c>
      <c r="AG55">
        <f t="shared" si="32"/>
        <v>7838.3</v>
      </c>
      <c r="AH55">
        <f t="shared" si="33"/>
        <v>21790.05</v>
      </c>
      <c r="AI55" s="1">
        <f t="shared" si="22"/>
        <v>0.35971922964839459</v>
      </c>
      <c r="AL55" s="1" t="e">
        <f t="shared" si="34"/>
        <v>#DIV/0!</v>
      </c>
      <c r="AM55">
        <f t="shared" si="27"/>
        <v>468</v>
      </c>
      <c r="AO55">
        <v>15</v>
      </c>
      <c r="AP55">
        <f t="shared" si="24"/>
        <v>780</v>
      </c>
      <c r="BM55" s="46" t="s">
        <v>108</v>
      </c>
      <c r="BU55" s="7">
        <v>185</v>
      </c>
      <c r="BV55" t="s">
        <v>176</v>
      </c>
      <c r="BW55" s="7"/>
    </row>
    <row r="56" spans="1:75" x14ac:dyDescent="0.25">
      <c r="A56" s="7"/>
      <c r="B56" s="13"/>
      <c r="D56" s="7"/>
      <c r="F56" s="5">
        <v>0.95</v>
      </c>
      <c r="G56" s="5">
        <v>1.1399999999999999</v>
      </c>
      <c r="H56" s="5">
        <v>1.2</v>
      </c>
      <c r="I56" s="5">
        <v>0.52</v>
      </c>
      <c r="J56" s="6">
        <v>1.07</v>
      </c>
      <c r="L56" s="8">
        <f t="shared" si="28"/>
        <v>1.07</v>
      </c>
      <c r="M56" s="8">
        <f t="shared" si="21"/>
        <v>1.07</v>
      </c>
      <c r="N56" s="8"/>
      <c r="O56" s="8">
        <v>0.95</v>
      </c>
      <c r="Q56" s="1"/>
      <c r="R56" s="1"/>
      <c r="S56" s="1"/>
      <c r="T56" s="1"/>
      <c r="U56" s="4"/>
      <c r="AA56" s="2"/>
      <c r="AB56" s="2"/>
      <c r="AC56" s="2">
        <f t="shared" si="29"/>
        <v>0</v>
      </c>
      <c r="AD56" s="1" t="e">
        <f t="shared" si="30"/>
        <v>#DIV/0!</v>
      </c>
      <c r="AF56">
        <f t="shared" si="31"/>
        <v>13951.75</v>
      </c>
      <c r="AG56">
        <f t="shared" si="32"/>
        <v>7838.3</v>
      </c>
      <c r="AH56">
        <f t="shared" si="33"/>
        <v>21790.05</v>
      </c>
      <c r="AI56" s="1">
        <f t="shared" si="22"/>
        <v>0.35971922964839459</v>
      </c>
      <c r="AL56" s="1" t="e">
        <f t="shared" si="34"/>
        <v>#DIV/0!</v>
      </c>
      <c r="AM56">
        <f t="shared" si="27"/>
        <v>468</v>
      </c>
      <c r="AO56">
        <v>15</v>
      </c>
      <c r="AP56">
        <f t="shared" si="24"/>
        <v>795</v>
      </c>
      <c r="BU56" s="7">
        <v>200</v>
      </c>
      <c r="BV56" t="s">
        <v>177</v>
      </c>
      <c r="BW56" s="7"/>
    </row>
    <row r="57" spans="1:75" x14ac:dyDescent="0.25">
      <c r="Q57" s="1"/>
      <c r="R57" s="1"/>
      <c r="S57" s="1"/>
      <c r="T57" s="1"/>
      <c r="U57" s="4"/>
      <c r="AA57" s="2"/>
      <c r="AB57" s="2"/>
      <c r="BM57" s="47" t="s">
        <v>4</v>
      </c>
      <c r="BN57" s="47" t="s">
        <v>100</v>
      </c>
      <c r="BO57" s="105" t="s">
        <v>101</v>
      </c>
      <c r="BP57" s="47" t="s">
        <v>109</v>
      </c>
      <c r="BU57" s="7">
        <v>205</v>
      </c>
      <c r="BV57" t="s">
        <v>178</v>
      </c>
      <c r="BW57" s="7"/>
    </row>
    <row r="58" spans="1:75" x14ac:dyDescent="0.25">
      <c r="Q58" s="1"/>
      <c r="R58" s="1"/>
      <c r="S58" s="1"/>
      <c r="T58" s="1"/>
      <c r="U58" s="4"/>
      <c r="AA58" s="2"/>
      <c r="AB58" s="2"/>
      <c r="BM58" s="47">
        <f>BP29</f>
        <v>26</v>
      </c>
      <c r="BN58" s="47">
        <f>BN29</f>
        <v>15</v>
      </c>
      <c r="BO58" s="105">
        <f>BO29</f>
        <v>11</v>
      </c>
      <c r="BP58" s="48">
        <f>BQ29</f>
        <v>0.57692307692307687</v>
      </c>
      <c r="BU58" s="7">
        <v>210</v>
      </c>
      <c r="BV58" t="s">
        <v>179</v>
      </c>
      <c r="BW58" s="7"/>
    </row>
    <row r="59" spans="1:75" ht="15.75" customHeight="1" x14ac:dyDescent="0.25">
      <c r="Q59" s="1"/>
      <c r="R59" s="1"/>
      <c r="S59" s="1"/>
      <c r="T59" s="1"/>
      <c r="U59" s="4"/>
      <c r="AA59" s="2"/>
      <c r="AB59" s="2"/>
      <c r="BU59" s="7">
        <v>215</v>
      </c>
      <c r="BV59" t="s">
        <v>180</v>
      </c>
      <c r="BW59" s="7"/>
    </row>
    <row r="60" spans="1:75" x14ac:dyDescent="0.25">
      <c r="Q60" s="1"/>
      <c r="R60" s="1"/>
      <c r="S60" s="1"/>
      <c r="T60" s="1"/>
      <c r="U60" s="4"/>
      <c r="AA60" s="2"/>
      <c r="AB60" s="2"/>
      <c r="BU60" s="7">
        <v>220</v>
      </c>
      <c r="BV60" t="s">
        <v>181</v>
      </c>
      <c r="BW60" s="7"/>
    </row>
    <row r="61" spans="1:75" x14ac:dyDescent="0.25">
      <c r="Q61" s="1"/>
      <c r="R61" s="1"/>
      <c r="S61" s="1"/>
      <c r="T61" s="1"/>
      <c r="U61" s="4"/>
      <c r="AA61" s="2"/>
      <c r="AB61" s="2"/>
      <c r="BU61" s="7">
        <v>225</v>
      </c>
      <c r="BV61" t="s">
        <v>182</v>
      </c>
      <c r="BW61" s="7"/>
    </row>
    <row r="62" spans="1:75" x14ac:dyDescent="0.25">
      <c r="Q62" s="1"/>
      <c r="R62" s="1"/>
      <c r="S62" s="1"/>
      <c r="T62" s="1"/>
      <c r="U62" s="4"/>
      <c r="AA62" s="2"/>
      <c r="AB62" s="2"/>
      <c r="BU62" s="7">
        <v>230</v>
      </c>
      <c r="BV62" t="s">
        <v>183</v>
      </c>
      <c r="BW62" s="7"/>
    </row>
    <row r="63" spans="1:75" x14ac:dyDescent="0.25">
      <c r="Q63" s="1"/>
      <c r="R63" s="1"/>
      <c r="S63" s="1"/>
      <c r="T63" s="1"/>
      <c r="U63" s="4"/>
      <c r="AA63" s="2"/>
      <c r="AB63" s="2"/>
      <c r="BU63" s="7">
        <v>235</v>
      </c>
      <c r="BV63" t="s">
        <v>184</v>
      </c>
      <c r="BW63" s="7"/>
    </row>
    <row r="64" spans="1:75" x14ac:dyDescent="0.25">
      <c r="Q64" s="1"/>
      <c r="R64" s="1"/>
      <c r="S64" s="1"/>
      <c r="T64" s="1"/>
      <c r="U64" s="4"/>
      <c r="AA64" s="2"/>
      <c r="AB64" s="2"/>
      <c r="BU64" s="7">
        <v>240</v>
      </c>
      <c r="BV64" t="s">
        <v>185</v>
      </c>
      <c r="BW64" s="7"/>
    </row>
    <row r="65" spans="17:75" x14ac:dyDescent="0.25">
      <c r="Q65" s="1"/>
      <c r="R65" s="1"/>
      <c r="S65" s="1"/>
      <c r="T65" s="1"/>
      <c r="U65" s="4"/>
      <c r="AA65" s="2"/>
      <c r="AB65" s="2"/>
      <c r="BU65" s="7">
        <v>245</v>
      </c>
      <c r="BV65" t="s">
        <v>186</v>
      </c>
      <c r="BW65" s="7"/>
    </row>
    <row r="66" spans="17:75" x14ac:dyDescent="0.25">
      <c r="Q66" s="1"/>
      <c r="R66" s="1"/>
      <c r="S66" s="1"/>
      <c r="T66" s="1"/>
      <c r="U66" s="4"/>
      <c r="AA66" s="2"/>
      <c r="AB66" s="2"/>
      <c r="BU66" s="7">
        <v>250</v>
      </c>
      <c r="BV66" t="s">
        <v>187</v>
      </c>
      <c r="BW66" s="7"/>
    </row>
    <row r="67" spans="17:75" x14ac:dyDescent="0.25">
      <c r="Q67" s="1"/>
      <c r="R67" s="1"/>
      <c r="S67" s="1"/>
      <c r="T67" s="1"/>
      <c r="U67" s="4"/>
      <c r="AA67" s="2"/>
      <c r="AB67" s="2"/>
      <c r="BU67" s="7">
        <v>252</v>
      </c>
      <c r="BV67" t="s">
        <v>188</v>
      </c>
      <c r="BW67" s="7"/>
    </row>
    <row r="68" spans="17:75" x14ac:dyDescent="0.25">
      <c r="AA68" s="2"/>
      <c r="AB68" s="2"/>
      <c r="BU68" s="7">
        <v>255</v>
      </c>
      <c r="BV68" t="s">
        <v>189</v>
      </c>
      <c r="BW68" s="7"/>
    </row>
    <row r="69" spans="17:75" x14ac:dyDescent="0.25">
      <c r="AA69" s="2"/>
      <c r="AB69" s="2"/>
      <c r="BU69" s="7">
        <v>257</v>
      </c>
      <c r="BV69" t="s">
        <v>190</v>
      </c>
      <c r="BW69" s="7"/>
    </row>
    <row r="70" spans="17:75" x14ac:dyDescent="0.25">
      <c r="AA70" s="2"/>
      <c r="AB70" s="2"/>
      <c r="BU70" s="7">
        <v>260</v>
      </c>
      <c r="BV70" t="s">
        <v>191</v>
      </c>
      <c r="BW70" s="7"/>
    </row>
    <row r="71" spans="17:75" x14ac:dyDescent="0.25">
      <c r="BU71" s="7">
        <v>261</v>
      </c>
      <c r="BV71" t="s">
        <v>192</v>
      </c>
      <c r="BW71" s="7"/>
    </row>
    <row r="72" spans="17:75" x14ac:dyDescent="0.25">
      <c r="BU72" s="7">
        <v>262</v>
      </c>
      <c r="BV72" t="s">
        <v>193</v>
      </c>
      <c r="BW72" s="7"/>
    </row>
    <row r="73" spans="17:75" x14ac:dyDescent="0.25">
      <c r="BU73" s="7">
        <v>265</v>
      </c>
      <c r="BV73" t="s">
        <v>194</v>
      </c>
      <c r="BW73" s="7"/>
    </row>
    <row r="74" spans="17:75" x14ac:dyDescent="0.25">
      <c r="BU74" s="7">
        <v>270</v>
      </c>
      <c r="BV74" t="s">
        <v>195</v>
      </c>
      <c r="BW74" s="7"/>
    </row>
    <row r="75" spans="17:75" x14ac:dyDescent="0.25">
      <c r="BU75" s="7">
        <v>272</v>
      </c>
      <c r="BV75" t="s">
        <v>196</v>
      </c>
      <c r="BW75" s="7"/>
    </row>
    <row r="76" spans="17:75" x14ac:dyDescent="0.25">
      <c r="BU76" s="7">
        <v>275</v>
      </c>
      <c r="BV76" t="s">
        <v>197</v>
      </c>
      <c r="BW76" s="7"/>
    </row>
    <row r="77" spans="17:75" x14ac:dyDescent="0.25">
      <c r="BU77" s="7">
        <v>280</v>
      </c>
      <c r="BV77" t="s">
        <v>198</v>
      </c>
      <c r="BW77" s="7"/>
    </row>
    <row r="78" spans="17:75" x14ac:dyDescent="0.25">
      <c r="BU78" s="7">
        <v>282</v>
      </c>
      <c r="BV78" t="s">
        <v>199</v>
      </c>
      <c r="BW78" s="7"/>
    </row>
    <row r="79" spans="17:75" x14ac:dyDescent="0.25">
      <c r="BU79" s="7">
        <v>285</v>
      </c>
      <c r="BV79" t="s">
        <v>200</v>
      </c>
      <c r="BW79" s="7"/>
    </row>
    <row r="80" spans="17:75" x14ac:dyDescent="0.25">
      <c r="BU80" s="7">
        <v>290</v>
      </c>
      <c r="BV80" t="s">
        <v>201</v>
      </c>
      <c r="BW80" s="7"/>
    </row>
    <row r="81" spans="73:75" x14ac:dyDescent="0.25">
      <c r="BU81" s="7">
        <v>292</v>
      </c>
      <c r="BV81" t="s">
        <v>202</v>
      </c>
      <c r="BW81" s="7"/>
    </row>
    <row r="82" spans="73:75" x14ac:dyDescent="0.25">
      <c r="BU82" s="7">
        <v>295</v>
      </c>
      <c r="BV82" t="s">
        <v>203</v>
      </c>
      <c r="BW82" s="7"/>
    </row>
    <row r="83" spans="73:75" x14ac:dyDescent="0.25">
      <c r="BU83" s="7">
        <v>300</v>
      </c>
      <c r="BV83" t="s">
        <v>204</v>
      </c>
      <c r="BW83" s="7"/>
    </row>
    <row r="84" spans="73:75" x14ac:dyDescent="0.25">
      <c r="BU84" s="7">
        <v>305</v>
      </c>
      <c r="BV84" t="s">
        <v>205</v>
      </c>
      <c r="BW84" s="7"/>
    </row>
    <row r="85" spans="73:75" x14ac:dyDescent="0.25">
      <c r="BU85" s="7">
        <v>310</v>
      </c>
      <c r="BV85" t="s">
        <v>206</v>
      </c>
      <c r="BW85" s="7"/>
    </row>
    <row r="86" spans="73:75" x14ac:dyDescent="0.25">
      <c r="BU86" s="7">
        <v>315</v>
      </c>
      <c r="BV86" t="s">
        <v>207</v>
      </c>
      <c r="BW86" s="7"/>
    </row>
    <row r="87" spans="73:75" x14ac:dyDescent="0.25">
      <c r="BU87" s="7">
        <v>320</v>
      </c>
      <c r="BV87" t="s">
        <v>208</v>
      </c>
      <c r="BW87" s="7"/>
    </row>
    <row r="88" spans="73:75" x14ac:dyDescent="0.25">
      <c r="BU88" s="7">
        <v>325</v>
      </c>
      <c r="BV88" t="s">
        <v>209</v>
      </c>
      <c r="BW88" s="7"/>
    </row>
    <row r="89" spans="73:75" x14ac:dyDescent="0.25">
      <c r="BU89" s="7">
        <v>326</v>
      </c>
      <c r="BV89" t="s">
        <v>210</v>
      </c>
      <c r="BW89" s="7"/>
    </row>
    <row r="90" spans="73:75" x14ac:dyDescent="0.25">
      <c r="BU90" s="7">
        <v>350</v>
      </c>
      <c r="BV90" t="s">
        <v>211</v>
      </c>
      <c r="BW90" s="7"/>
    </row>
    <row r="91" spans="73:75" x14ac:dyDescent="0.25">
      <c r="BU91" s="7">
        <v>355</v>
      </c>
      <c r="BV91" t="s">
        <v>212</v>
      </c>
      <c r="BW91" s="7"/>
    </row>
    <row r="92" spans="73:75" x14ac:dyDescent="0.25">
      <c r="BU92" s="7">
        <v>360</v>
      </c>
      <c r="BV92" t="s">
        <v>213</v>
      </c>
      <c r="BW92" s="7"/>
    </row>
    <row r="93" spans="73:75" x14ac:dyDescent="0.25">
      <c r="BU93" s="7">
        <v>365</v>
      </c>
      <c r="BV93" t="s">
        <v>214</v>
      </c>
      <c r="BW93" s="7"/>
    </row>
    <row r="94" spans="73:75" x14ac:dyDescent="0.25">
      <c r="BU94" s="7">
        <v>366</v>
      </c>
      <c r="BV94" t="s">
        <v>215</v>
      </c>
      <c r="BW94" s="7"/>
    </row>
    <row r="95" spans="73:75" x14ac:dyDescent="0.25">
      <c r="BU95" s="7">
        <v>370</v>
      </c>
      <c r="BV95" t="s">
        <v>216</v>
      </c>
      <c r="BW95" s="7"/>
    </row>
    <row r="96" spans="73:75" x14ac:dyDescent="0.25">
      <c r="BU96" s="7">
        <v>375</v>
      </c>
      <c r="BV96" t="s">
        <v>217</v>
      </c>
      <c r="BW96" s="7"/>
    </row>
    <row r="97" spans="73:75" x14ac:dyDescent="0.25">
      <c r="BU97" s="7">
        <v>380</v>
      </c>
      <c r="BV97" t="s">
        <v>218</v>
      </c>
      <c r="BW97" s="7"/>
    </row>
    <row r="98" spans="73:75" x14ac:dyDescent="0.25">
      <c r="BU98" s="7">
        <v>382</v>
      </c>
      <c r="BV98" t="s">
        <v>219</v>
      </c>
      <c r="BW98" s="7"/>
    </row>
    <row r="99" spans="73:75" x14ac:dyDescent="0.25">
      <c r="BU99" s="7">
        <v>383</v>
      </c>
      <c r="BV99" t="s">
        <v>220</v>
      </c>
      <c r="BW99" s="7"/>
    </row>
    <row r="100" spans="73:75" x14ac:dyDescent="0.25">
      <c r="BU100" s="7">
        <v>385</v>
      </c>
      <c r="BV100" t="s">
        <v>221</v>
      </c>
      <c r="BW100" s="7"/>
    </row>
    <row r="101" spans="73:75" x14ac:dyDescent="0.25">
      <c r="BU101" s="7">
        <v>390</v>
      </c>
      <c r="BV101" t="s">
        <v>222</v>
      </c>
      <c r="BW101" s="7"/>
    </row>
    <row r="102" spans="73:75" x14ac:dyDescent="0.25">
      <c r="BU102" s="7">
        <v>395</v>
      </c>
      <c r="BV102" t="s">
        <v>223</v>
      </c>
      <c r="BW102" s="7"/>
    </row>
    <row r="103" spans="73:75" x14ac:dyDescent="0.25">
      <c r="BU103" s="7">
        <v>450</v>
      </c>
      <c r="BV103" t="s">
        <v>224</v>
      </c>
      <c r="BW103" s="7"/>
    </row>
    <row r="104" spans="73:75" x14ac:dyDescent="0.25">
      <c r="BU104" s="7">
        <v>455</v>
      </c>
      <c r="BV104" t="s">
        <v>225</v>
      </c>
      <c r="BW104" s="7"/>
    </row>
    <row r="105" spans="73:75" x14ac:dyDescent="0.25">
      <c r="BU105" s="7">
        <v>460</v>
      </c>
      <c r="BV105" t="s">
        <v>226</v>
      </c>
      <c r="BW105" s="7"/>
    </row>
    <row r="106" spans="73:75" x14ac:dyDescent="0.25">
      <c r="BU106" s="7">
        <v>465</v>
      </c>
      <c r="BV106" t="s">
        <v>227</v>
      </c>
      <c r="BW106" s="7"/>
    </row>
    <row r="107" spans="73:75" x14ac:dyDescent="0.25">
      <c r="BU107" s="7">
        <v>470</v>
      </c>
      <c r="BV107" t="s">
        <v>228</v>
      </c>
      <c r="BW107" s="7"/>
    </row>
    <row r="108" spans="73:75" x14ac:dyDescent="0.25">
      <c r="BU108" s="7">
        <v>475</v>
      </c>
      <c r="BV108" t="s">
        <v>229</v>
      </c>
      <c r="BW108" s="7"/>
    </row>
    <row r="109" spans="73:75" x14ac:dyDescent="0.25">
      <c r="BU109" s="7">
        <v>477</v>
      </c>
      <c r="BV109" t="s">
        <v>230</v>
      </c>
      <c r="BW109" s="7"/>
    </row>
    <row r="110" spans="73:75" x14ac:dyDescent="0.25">
      <c r="BU110" s="7">
        <v>478</v>
      </c>
      <c r="BV110" t="s">
        <v>231</v>
      </c>
      <c r="BW110" s="7"/>
    </row>
    <row r="111" spans="73:75" x14ac:dyDescent="0.25">
      <c r="BU111" s="7">
        <v>479</v>
      </c>
      <c r="BV111" t="s">
        <v>232</v>
      </c>
      <c r="BW111" s="7"/>
    </row>
    <row r="112" spans="73:75" x14ac:dyDescent="0.25">
      <c r="BU112" s="7">
        <v>482</v>
      </c>
      <c r="BV112" t="s">
        <v>233</v>
      </c>
      <c r="BW112" s="7"/>
    </row>
    <row r="113" spans="73:75" x14ac:dyDescent="0.25">
      <c r="BU113" s="7">
        <v>483</v>
      </c>
      <c r="BV113" t="s">
        <v>234</v>
      </c>
      <c r="BW113" s="7"/>
    </row>
    <row r="114" spans="73:75" x14ac:dyDescent="0.25">
      <c r="BU114" s="7">
        <v>485</v>
      </c>
      <c r="BV114" t="s">
        <v>235</v>
      </c>
      <c r="BW114" s="7"/>
    </row>
    <row r="115" spans="73:75" x14ac:dyDescent="0.25">
      <c r="BU115" s="7">
        <v>490</v>
      </c>
      <c r="BV115" t="s">
        <v>236</v>
      </c>
      <c r="BW115" s="7"/>
    </row>
    <row r="116" spans="73:75" x14ac:dyDescent="0.25">
      <c r="BU116" s="7">
        <v>495</v>
      </c>
      <c r="BV116" t="s">
        <v>237</v>
      </c>
      <c r="BW116" s="7"/>
    </row>
    <row r="117" spans="73:75" x14ac:dyDescent="0.25">
      <c r="BU117" s="7">
        <v>500</v>
      </c>
      <c r="BV117" t="s">
        <v>238</v>
      </c>
      <c r="BW117" s="7"/>
    </row>
    <row r="118" spans="73:75" x14ac:dyDescent="0.25">
      <c r="BU118" s="7">
        <v>510</v>
      </c>
      <c r="BV118" t="s">
        <v>239</v>
      </c>
      <c r="BW118" s="7"/>
    </row>
    <row r="119" spans="73:75" x14ac:dyDescent="0.25">
      <c r="BU119" s="7">
        <v>515</v>
      </c>
      <c r="BV119" t="s">
        <v>240</v>
      </c>
      <c r="BW119" s="7"/>
    </row>
    <row r="120" spans="73:75" x14ac:dyDescent="0.25">
      <c r="BU120" s="7">
        <v>520</v>
      </c>
      <c r="BV120" t="s">
        <v>241</v>
      </c>
      <c r="BW120" s="7"/>
    </row>
    <row r="121" spans="73:75" x14ac:dyDescent="0.25">
      <c r="BU121" s="7">
        <v>530</v>
      </c>
      <c r="BV121" t="s">
        <v>242</v>
      </c>
      <c r="BW121" s="7"/>
    </row>
    <row r="122" spans="73:75" x14ac:dyDescent="0.25">
      <c r="BU122" s="7">
        <v>540</v>
      </c>
      <c r="BV122" t="s">
        <v>243</v>
      </c>
      <c r="BW122" s="7"/>
    </row>
    <row r="123" spans="73:75" x14ac:dyDescent="0.25">
      <c r="BU123" s="7">
        <v>545</v>
      </c>
      <c r="BV123" t="s">
        <v>244</v>
      </c>
      <c r="BW123" s="7"/>
    </row>
    <row r="124" spans="73:75" x14ac:dyDescent="0.25">
      <c r="BU124" s="7">
        <v>580</v>
      </c>
      <c r="BV124" t="s">
        <v>245</v>
      </c>
      <c r="BW124" s="7"/>
    </row>
    <row r="125" spans="73:75" x14ac:dyDescent="0.25">
      <c r="BU125" s="7">
        <v>590</v>
      </c>
      <c r="BV125" t="s">
        <v>246</v>
      </c>
      <c r="BW125" s="7"/>
    </row>
    <row r="126" spans="73:75" x14ac:dyDescent="0.25">
      <c r="BU126" s="7">
        <v>600</v>
      </c>
      <c r="BV126" t="s">
        <v>247</v>
      </c>
      <c r="BW126" s="7"/>
    </row>
    <row r="127" spans="73:75" x14ac:dyDescent="0.25">
      <c r="BU127" s="7">
        <v>605</v>
      </c>
      <c r="BV127" t="s">
        <v>248</v>
      </c>
      <c r="BW127" s="7"/>
    </row>
    <row r="128" spans="73:75" x14ac:dyDescent="0.25">
      <c r="BU128" s="7">
        <v>610</v>
      </c>
      <c r="BV128" t="s">
        <v>249</v>
      </c>
      <c r="BW128" s="7"/>
    </row>
    <row r="129" spans="73:75" x14ac:dyDescent="0.25">
      <c r="BU129" s="7">
        <v>615</v>
      </c>
      <c r="BV129" t="s">
        <v>250</v>
      </c>
      <c r="BW129" s="7"/>
    </row>
    <row r="130" spans="73:75" x14ac:dyDescent="0.25">
      <c r="BU130" s="7">
        <v>616</v>
      </c>
      <c r="BV130" t="s">
        <v>251</v>
      </c>
      <c r="BW130" s="7"/>
    </row>
    <row r="131" spans="73:75" x14ac:dyDescent="0.25">
      <c r="BU131" s="7">
        <v>620</v>
      </c>
      <c r="BV131" t="s">
        <v>252</v>
      </c>
      <c r="BW131" s="7"/>
    </row>
    <row r="132" spans="73:75" x14ac:dyDescent="0.25">
      <c r="BU132" s="7">
        <v>625</v>
      </c>
      <c r="BV132" t="s">
        <v>253</v>
      </c>
      <c r="BW132" s="7"/>
    </row>
    <row r="133" spans="73:75" x14ac:dyDescent="0.25">
      <c r="BU133" s="7">
        <v>630</v>
      </c>
      <c r="BV133" t="s">
        <v>254</v>
      </c>
      <c r="BW133" s="7"/>
    </row>
    <row r="134" spans="73:75" x14ac:dyDescent="0.25">
      <c r="BU134" s="7">
        <v>635</v>
      </c>
      <c r="BV134" t="s">
        <v>255</v>
      </c>
      <c r="BW134" s="7"/>
    </row>
    <row r="135" spans="73:75" x14ac:dyDescent="0.25">
      <c r="BU135" s="7">
        <v>637</v>
      </c>
      <c r="BV135" t="s">
        <v>256</v>
      </c>
      <c r="BW135" s="7"/>
    </row>
    <row r="136" spans="73:75" x14ac:dyDescent="0.25">
      <c r="BU136" s="7">
        <v>638</v>
      </c>
      <c r="BV136" t="s">
        <v>257</v>
      </c>
      <c r="BW136" s="7"/>
    </row>
    <row r="137" spans="73:75" x14ac:dyDescent="0.25">
      <c r="BU137" s="7">
        <v>640</v>
      </c>
      <c r="BV137" t="s">
        <v>258</v>
      </c>
      <c r="BW137" s="7"/>
    </row>
    <row r="138" spans="73:75" x14ac:dyDescent="0.25">
      <c r="BU138" s="7">
        <v>641</v>
      </c>
      <c r="BV138" t="s">
        <v>259</v>
      </c>
      <c r="BW138" s="7"/>
    </row>
    <row r="139" spans="73:75" x14ac:dyDescent="0.25">
      <c r="BU139" s="7">
        <v>645</v>
      </c>
      <c r="BV139" t="s">
        <v>260</v>
      </c>
      <c r="BW139" s="7"/>
    </row>
    <row r="140" spans="73:75" x14ac:dyDescent="0.25">
      <c r="BU140" s="7">
        <v>700</v>
      </c>
      <c r="BV140" t="s">
        <v>261</v>
      </c>
      <c r="BW140" s="7"/>
    </row>
    <row r="141" spans="73:75" x14ac:dyDescent="0.25">
      <c r="BU141" s="7">
        <v>705</v>
      </c>
      <c r="BV141" t="s">
        <v>262</v>
      </c>
      <c r="BW141" s="7"/>
    </row>
    <row r="142" spans="73:75" x14ac:dyDescent="0.25">
      <c r="BU142" s="7">
        <v>710</v>
      </c>
      <c r="BV142" t="s">
        <v>263</v>
      </c>
      <c r="BW142" s="7"/>
    </row>
    <row r="143" spans="73:75" x14ac:dyDescent="0.25">
      <c r="BU143" s="7">
        <v>711</v>
      </c>
      <c r="BV143" t="s">
        <v>264</v>
      </c>
      <c r="BW143" s="7"/>
    </row>
    <row r="144" spans="73:75" x14ac:dyDescent="0.25">
      <c r="BU144" s="7">
        <v>715</v>
      </c>
      <c r="BV144" t="s">
        <v>265</v>
      </c>
      <c r="BW144" s="7"/>
    </row>
    <row r="145" spans="73:75" x14ac:dyDescent="0.25">
      <c r="BU145" s="7">
        <v>717</v>
      </c>
      <c r="BV145" t="s">
        <v>266</v>
      </c>
      <c r="BW145" s="7"/>
    </row>
    <row r="146" spans="73:75" x14ac:dyDescent="0.25">
      <c r="BU146" s="7">
        <v>720</v>
      </c>
      <c r="BV146" t="s">
        <v>267</v>
      </c>
      <c r="BW146" s="7"/>
    </row>
    <row r="147" spans="73:75" x14ac:dyDescent="0.25">
      <c r="BU147" s="7">
        <v>721</v>
      </c>
      <c r="BV147" t="s">
        <v>268</v>
      </c>
      <c r="BW147" s="7"/>
    </row>
    <row r="148" spans="73:75" x14ac:dyDescent="0.25">
      <c r="BU148" s="7">
        <v>725</v>
      </c>
      <c r="BV148" t="s">
        <v>269</v>
      </c>
      <c r="BW148" s="7"/>
    </row>
    <row r="149" spans="73:75" x14ac:dyDescent="0.25">
      <c r="BU149" s="7">
        <v>726</v>
      </c>
      <c r="BV149" t="s">
        <v>270</v>
      </c>
      <c r="BW149" s="7"/>
    </row>
    <row r="150" spans="73:75" x14ac:dyDescent="0.25">
      <c r="BU150" s="7">
        <v>730</v>
      </c>
      <c r="BV150" t="s">
        <v>271</v>
      </c>
      <c r="BW150" s="7"/>
    </row>
    <row r="151" spans="73:75" x14ac:dyDescent="0.25">
      <c r="BU151" s="7">
        <v>735</v>
      </c>
      <c r="BV151" t="s">
        <v>272</v>
      </c>
      <c r="BW151" s="7"/>
    </row>
    <row r="152" spans="73:75" x14ac:dyDescent="0.25">
      <c r="BU152" s="7">
        <v>740</v>
      </c>
      <c r="BV152" t="s">
        <v>273</v>
      </c>
      <c r="BW152" s="7"/>
    </row>
    <row r="153" spans="73:75" x14ac:dyDescent="0.25">
      <c r="BU153" s="7">
        <v>745</v>
      </c>
      <c r="BV153" t="s">
        <v>274</v>
      </c>
      <c r="BW153" s="7"/>
    </row>
    <row r="154" spans="73:75" x14ac:dyDescent="0.25">
      <c r="BU154" s="7">
        <v>750</v>
      </c>
      <c r="BV154" t="s">
        <v>275</v>
      </c>
      <c r="BW154" s="7"/>
    </row>
    <row r="155" spans="73:75" x14ac:dyDescent="0.25">
      <c r="BU155" s="7">
        <v>755</v>
      </c>
      <c r="BV155" t="s">
        <v>276</v>
      </c>
      <c r="BW155" s="7"/>
    </row>
    <row r="156" spans="73:75" x14ac:dyDescent="0.25">
      <c r="BU156" s="7">
        <v>760</v>
      </c>
      <c r="BV156" t="s">
        <v>277</v>
      </c>
      <c r="BW156" s="7"/>
    </row>
    <row r="157" spans="73:75" x14ac:dyDescent="0.25">
      <c r="BU157" s="7">
        <v>765</v>
      </c>
      <c r="BV157" t="s">
        <v>278</v>
      </c>
      <c r="BW157" s="7"/>
    </row>
    <row r="158" spans="73:75" x14ac:dyDescent="0.25">
      <c r="BU158" s="7">
        <v>770</v>
      </c>
      <c r="BV158" t="s">
        <v>279</v>
      </c>
      <c r="BW158" s="7"/>
    </row>
    <row r="159" spans="73:75" x14ac:dyDescent="0.25">
      <c r="BU159" s="7">
        <v>800</v>
      </c>
      <c r="BV159" t="s">
        <v>280</v>
      </c>
      <c r="BW159" s="7"/>
    </row>
    <row r="160" spans="73:75" x14ac:dyDescent="0.25">
      <c r="BU160" s="7">
        <v>801</v>
      </c>
      <c r="BV160" t="s">
        <v>281</v>
      </c>
      <c r="BW160" s="7"/>
    </row>
    <row r="161" spans="73:75" x14ac:dyDescent="0.25">
      <c r="BU161" s="7">
        <v>802</v>
      </c>
      <c r="BV161" t="s">
        <v>282</v>
      </c>
      <c r="BW161" s="7"/>
    </row>
    <row r="162" spans="73:75" x14ac:dyDescent="0.25">
      <c r="BU162" s="7">
        <v>850</v>
      </c>
      <c r="BV162" t="s">
        <v>283</v>
      </c>
      <c r="BW162" s="7"/>
    </row>
    <row r="163" spans="73:75" x14ac:dyDescent="0.25">
      <c r="BU163" s="7">
        <v>855</v>
      </c>
      <c r="BV163" t="s">
        <v>284</v>
      </c>
      <c r="BW163" s="7"/>
    </row>
    <row r="164" spans="73:75" x14ac:dyDescent="0.25">
      <c r="BU164" s="7">
        <v>860</v>
      </c>
      <c r="BV164" t="s">
        <v>285</v>
      </c>
      <c r="BW164" s="7"/>
    </row>
    <row r="165" spans="73:75" x14ac:dyDescent="0.25">
      <c r="BU165" s="7">
        <v>900</v>
      </c>
      <c r="BV165" t="s">
        <v>286</v>
      </c>
      <c r="BW165" s="7"/>
    </row>
    <row r="166" spans="73:75" x14ac:dyDescent="0.25">
      <c r="BU166" s="7">
        <v>910</v>
      </c>
      <c r="BV166" t="s">
        <v>287</v>
      </c>
      <c r="BW166" s="7"/>
    </row>
    <row r="167" spans="73:75" x14ac:dyDescent="0.25">
      <c r="BU167" s="7">
        <v>920</v>
      </c>
      <c r="BV167" t="s">
        <v>288</v>
      </c>
      <c r="BW167" s="7"/>
    </row>
    <row r="168" spans="73:75" x14ac:dyDescent="0.25">
      <c r="BU168" s="7">
        <v>940</v>
      </c>
      <c r="BV168" t="s">
        <v>289</v>
      </c>
      <c r="BW168" s="7"/>
    </row>
    <row r="169" spans="73:75" x14ac:dyDescent="0.25">
      <c r="BU169" s="7">
        <v>950</v>
      </c>
      <c r="BV169" t="s">
        <v>290</v>
      </c>
      <c r="BW169" s="7"/>
    </row>
    <row r="170" spans="73:75" x14ac:dyDescent="0.25">
      <c r="BU170" s="7">
        <v>960</v>
      </c>
      <c r="BV170" t="s">
        <v>291</v>
      </c>
      <c r="BW170" s="7"/>
    </row>
    <row r="171" spans="73:75" x14ac:dyDescent="0.25">
      <c r="BU171" s="7">
        <v>970</v>
      </c>
      <c r="BV171" t="s">
        <v>292</v>
      </c>
      <c r="BW171" s="7"/>
    </row>
    <row r="172" spans="73:75" x14ac:dyDescent="0.25">
      <c r="BU172" s="7">
        <v>971</v>
      </c>
      <c r="BV172" t="s">
        <v>293</v>
      </c>
      <c r="BW172" s="7"/>
    </row>
    <row r="173" spans="73:75" x14ac:dyDescent="0.25">
      <c r="BU173" s="7">
        <v>972</v>
      </c>
      <c r="BV173" t="s">
        <v>294</v>
      </c>
      <c r="BW173" s="7"/>
    </row>
    <row r="174" spans="73:75" x14ac:dyDescent="0.25">
      <c r="BU174" s="7">
        <v>973</v>
      </c>
      <c r="BV174" t="s">
        <v>295</v>
      </c>
      <c r="BW174" s="7"/>
    </row>
    <row r="175" spans="73:75" x14ac:dyDescent="0.25">
      <c r="BU175" s="7">
        <v>974</v>
      </c>
      <c r="BV175" t="s">
        <v>296</v>
      </c>
      <c r="BW175" s="7"/>
    </row>
    <row r="176" spans="73:75" x14ac:dyDescent="0.25">
      <c r="BU176" s="7">
        <v>975</v>
      </c>
      <c r="BV176" t="s">
        <v>297</v>
      </c>
      <c r="BW176" s="7"/>
    </row>
  </sheetData>
  <mergeCells count="10">
    <mergeCell ref="AK2:AP2"/>
    <mergeCell ref="BG2:BJ2"/>
    <mergeCell ref="BU2:BZ2"/>
    <mergeCell ref="BL2:BR2"/>
    <mergeCell ref="F2:J2"/>
    <mergeCell ref="L2:O2"/>
    <mergeCell ref="Q2:U2"/>
    <mergeCell ref="W2:Y2"/>
    <mergeCell ref="AA2:AD2"/>
    <mergeCell ref="AF2:AI2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Y162"/>
  <sheetViews>
    <sheetView zoomScale="95" zoomScaleNormal="95" workbookViewId="0">
      <pane xSplit="2" ySplit="3" topLeftCell="AC4" activePane="bottomRight" state="frozen"/>
      <selection pane="topRight" activeCell="C1" sqref="C1"/>
      <selection pane="bottomLeft" activeCell="A4" sqref="A4"/>
      <selection pane="bottomRight" activeCell="AT5" sqref="AT5"/>
    </sheetView>
  </sheetViews>
  <sheetFormatPr defaultRowHeight="15" x14ac:dyDescent="0.25"/>
  <cols>
    <col min="2" max="2" width="12.85546875" customWidth="1"/>
    <col min="11" max="11" width="2.85546875" customWidth="1"/>
    <col min="15" max="15" width="2.5703125" customWidth="1"/>
    <col min="21" max="21" width="2.42578125" customWidth="1"/>
    <col min="25" max="25" width="2.7109375" customWidth="1"/>
    <col min="30" max="30" width="2.85546875" customWidth="1"/>
    <col min="57" max="57" width="11.140625" customWidth="1"/>
    <col min="59" max="59" width="12" customWidth="1"/>
    <col min="73" max="73" width="25.85546875" customWidth="1"/>
  </cols>
  <sheetData>
    <row r="2" spans="1:77" x14ac:dyDescent="0.25">
      <c r="F2" s="177" t="s">
        <v>36</v>
      </c>
      <c r="G2" s="178"/>
      <c r="H2" s="178"/>
      <c r="I2" s="178"/>
      <c r="J2" s="179"/>
      <c r="L2" s="177" t="s">
        <v>37</v>
      </c>
      <c r="M2" s="178"/>
      <c r="N2" s="179"/>
      <c r="P2" s="177" t="s">
        <v>35</v>
      </c>
      <c r="Q2" s="178"/>
      <c r="R2" s="178"/>
      <c r="S2" s="178"/>
      <c r="T2" s="179"/>
      <c r="U2" s="7"/>
      <c r="V2" s="177" t="s">
        <v>58</v>
      </c>
      <c r="W2" s="178"/>
      <c r="X2" s="179"/>
      <c r="Z2" s="177" t="s">
        <v>41</v>
      </c>
      <c r="AA2" s="178"/>
      <c r="AB2" s="178"/>
      <c r="AC2" s="179"/>
      <c r="AE2" s="177" t="s">
        <v>42</v>
      </c>
      <c r="AF2" s="178"/>
      <c r="AG2" s="178"/>
      <c r="AH2" s="179"/>
      <c r="AJ2" s="177" t="s">
        <v>48</v>
      </c>
      <c r="AK2" s="178"/>
      <c r="AL2" s="178"/>
      <c r="AM2" s="178"/>
      <c r="AN2" s="178"/>
      <c r="AO2" s="179"/>
      <c r="AQ2" t="s">
        <v>28</v>
      </c>
      <c r="BA2" s="7"/>
      <c r="BB2" s="7"/>
      <c r="BC2" s="7"/>
      <c r="BD2" s="7"/>
      <c r="BE2" s="7" t="s">
        <v>4</v>
      </c>
      <c r="BF2" s="177" t="s">
        <v>81</v>
      </c>
      <c r="BG2" s="178"/>
      <c r="BH2" s="178"/>
      <c r="BI2" s="179"/>
      <c r="BL2" s="177" t="s">
        <v>103</v>
      </c>
      <c r="BM2" s="178"/>
      <c r="BN2" s="178"/>
      <c r="BO2" s="178"/>
      <c r="BP2" s="178"/>
      <c r="BQ2" s="179"/>
      <c r="BT2" s="180"/>
      <c r="BU2" s="180"/>
      <c r="BV2" s="180"/>
      <c r="BW2" s="180"/>
      <c r="BX2" s="180"/>
      <c r="BY2" s="180"/>
    </row>
    <row r="3" spans="1:77" x14ac:dyDescent="0.25">
      <c r="A3" s="7" t="s">
        <v>32</v>
      </c>
      <c r="B3" s="7" t="s">
        <v>33</v>
      </c>
      <c r="C3" s="7" t="s">
        <v>31</v>
      </c>
      <c r="D3" s="7" t="s">
        <v>34</v>
      </c>
      <c r="F3" t="s">
        <v>0</v>
      </c>
      <c r="G3" t="s">
        <v>1</v>
      </c>
      <c r="H3" t="s">
        <v>2</v>
      </c>
      <c r="I3" t="s">
        <v>3</v>
      </c>
      <c r="J3" s="3" t="s">
        <v>4</v>
      </c>
      <c r="L3" t="s">
        <v>38</v>
      </c>
      <c r="M3" t="s">
        <v>39</v>
      </c>
      <c r="N3" t="s">
        <v>7</v>
      </c>
      <c r="P3" t="s">
        <v>0</v>
      </c>
      <c r="Q3" t="s">
        <v>1</v>
      </c>
      <c r="R3" t="s">
        <v>2</v>
      </c>
      <c r="S3" t="s">
        <v>3</v>
      </c>
      <c r="T3" s="3" t="s">
        <v>4</v>
      </c>
      <c r="U3" s="3"/>
      <c r="V3" t="s">
        <v>31</v>
      </c>
      <c r="W3" s="7" t="s">
        <v>29</v>
      </c>
      <c r="X3" s="7" t="s">
        <v>7</v>
      </c>
      <c r="Z3" s="7" t="s">
        <v>40</v>
      </c>
      <c r="AA3" s="7" t="s">
        <v>5</v>
      </c>
      <c r="AB3" s="7" t="s">
        <v>4</v>
      </c>
      <c r="AC3" s="7" t="s">
        <v>6</v>
      </c>
      <c r="AE3" s="7" t="s">
        <v>40</v>
      </c>
      <c r="AF3" s="7" t="s">
        <v>5</v>
      </c>
      <c r="AG3" s="7" t="s">
        <v>4</v>
      </c>
      <c r="AH3" s="7" t="s">
        <v>6</v>
      </c>
      <c r="AJ3" s="7" t="s">
        <v>44</v>
      </c>
      <c r="AK3" s="7" t="s">
        <v>43</v>
      </c>
      <c r="AL3" s="7" t="s">
        <v>45</v>
      </c>
      <c r="AM3" s="7" t="s">
        <v>43</v>
      </c>
      <c r="AN3" s="7" t="s">
        <v>46</v>
      </c>
      <c r="AO3" s="7" t="s">
        <v>47</v>
      </c>
      <c r="AQ3" t="s">
        <v>31</v>
      </c>
      <c r="AR3" t="s">
        <v>29</v>
      </c>
      <c r="AS3" t="s">
        <v>30</v>
      </c>
      <c r="AZ3" s="7" t="s">
        <v>31</v>
      </c>
      <c r="BA3" s="7" t="s">
        <v>77</v>
      </c>
      <c r="BB3" s="7" t="s">
        <v>85</v>
      </c>
      <c r="BC3" s="7" t="s">
        <v>83</v>
      </c>
      <c r="BD3" s="7" t="s">
        <v>4</v>
      </c>
      <c r="BE3" s="7" t="s">
        <v>80</v>
      </c>
      <c r="BF3" s="7" t="s">
        <v>77</v>
      </c>
      <c r="BG3" s="7" t="s">
        <v>80</v>
      </c>
      <c r="BH3" s="7" t="s">
        <v>79</v>
      </c>
      <c r="BI3" s="7" t="s">
        <v>7</v>
      </c>
      <c r="BL3" s="7" t="s">
        <v>31</v>
      </c>
      <c r="BM3" s="7" t="s">
        <v>100</v>
      </c>
      <c r="BN3" s="7" t="s">
        <v>101</v>
      </c>
      <c r="BO3" s="7" t="s">
        <v>4</v>
      </c>
      <c r="BP3" s="7" t="s">
        <v>102</v>
      </c>
      <c r="BQ3" s="7" t="s">
        <v>104</v>
      </c>
      <c r="BT3" s="64" t="s">
        <v>149</v>
      </c>
      <c r="BU3" s="64" t="s">
        <v>150</v>
      </c>
      <c r="BV3" s="64" t="s">
        <v>151</v>
      </c>
      <c r="BW3" s="64" t="s">
        <v>152</v>
      </c>
      <c r="BX3" s="64" t="s">
        <v>153</v>
      </c>
      <c r="BY3" s="64" t="s">
        <v>154</v>
      </c>
    </row>
    <row r="4" spans="1:77" x14ac:dyDescent="0.25">
      <c r="A4" s="7">
        <v>2020</v>
      </c>
      <c r="B4" s="13">
        <v>43829</v>
      </c>
      <c r="C4" s="13"/>
      <c r="D4" s="7">
        <v>1</v>
      </c>
      <c r="F4" s="5">
        <v>0.66</v>
      </c>
      <c r="G4" s="5">
        <v>0.59</v>
      </c>
      <c r="H4" s="5">
        <v>0.73</v>
      </c>
      <c r="I4" s="5">
        <v>0.5</v>
      </c>
      <c r="J4" s="6">
        <v>0.64</v>
      </c>
      <c r="K4" s="7"/>
      <c r="L4" s="7"/>
      <c r="M4" s="7"/>
      <c r="N4" s="9">
        <v>0.95</v>
      </c>
      <c r="P4" s="1"/>
      <c r="Q4" s="1"/>
      <c r="R4" s="1"/>
      <c r="S4" s="1"/>
      <c r="T4" s="4"/>
      <c r="U4" s="4"/>
      <c r="V4" t="s">
        <v>8</v>
      </c>
      <c r="W4" s="5">
        <v>0.73</v>
      </c>
      <c r="X4" s="5">
        <v>0.95</v>
      </c>
      <c r="Z4">
        <v>456.75</v>
      </c>
      <c r="AA4">
        <v>101.5</v>
      </c>
      <c r="AB4">
        <f t="shared" ref="AB4:AB56" si="0">SUM(Z4:AA4)</f>
        <v>558.25</v>
      </c>
      <c r="AC4" s="1">
        <f t="shared" ref="AC4:AC56" si="1">AA4/AB4</f>
        <v>0.18181818181818182</v>
      </c>
      <c r="AE4">
        <f>Z4</f>
        <v>456.75</v>
      </c>
      <c r="AF4">
        <f>AA4</f>
        <v>101.5</v>
      </c>
      <c r="AG4">
        <f>SUM(AE4:AF4)</f>
        <v>558.25</v>
      </c>
      <c r="AH4" s="1">
        <f t="shared" ref="AH4:AH16" si="2">AF4/AG4</f>
        <v>0.18181818181818182</v>
      </c>
      <c r="AJ4">
        <v>9</v>
      </c>
      <c r="AK4" s="1">
        <f>AJ4/Z4</f>
        <v>1.9704433497536946E-2</v>
      </c>
      <c r="AL4">
        <f>AJ4</f>
        <v>9</v>
      </c>
      <c r="AM4" s="1">
        <f t="shared" ref="AM4:AM16" si="3">AL4/AE4</f>
        <v>1.9704433497536946E-2</v>
      </c>
      <c r="AN4">
        <v>15</v>
      </c>
      <c r="AO4">
        <f>AN4</f>
        <v>15</v>
      </c>
      <c r="AQ4" t="s">
        <v>8</v>
      </c>
      <c r="AR4">
        <f>9+66.5+42.5+9</f>
        <v>127</v>
      </c>
      <c r="AS4">
        <v>65</v>
      </c>
      <c r="AT4">
        <f>AR4</f>
        <v>127</v>
      </c>
      <c r="AU4">
        <f>AS4</f>
        <v>65</v>
      </c>
      <c r="AY4" s="7">
        <v>2019</v>
      </c>
      <c r="AZ4" s="7" t="s">
        <v>8</v>
      </c>
      <c r="BA4" s="7">
        <v>0</v>
      </c>
      <c r="BB4" s="7">
        <v>0</v>
      </c>
      <c r="BC4" s="7">
        <v>2</v>
      </c>
      <c r="BD4" s="7">
        <f t="shared" ref="BD4:BD26" si="4">SUM(BA4:BC4)</f>
        <v>2</v>
      </c>
      <c r="BE4" s="27">
        <f>3316.25+296</f>
        <v>3612.25</v>
      </c>
      <c r="BH4" s="29">
        <v>17.261561200325811</v>
      </c>
      <c r="BL4" s="7" t="s">
        <v>8</v>
      </c>
      <c r="BM4">
        <v>8</v>
      </c>
      <c r="BN4">
        <v>0</v>
      </c>
      <c r="BO4">
        <f>BM4+BN4</f>
        <v>8</v>
      </c>
      <c r="BP4" s="1">
        <f>BM4/BO4</f>
        <v>1</v>
      </c>
      <c r="BQ4" s="1">
        <v>0.95</v>
      </c>
      <c r="BT4" s="67">
        <v>645</v>
      </c>
      <c r="BU4" s="65" t="str">
        <f t="shared" ref="BU4:BU13" si="5">VLOOKUP(BT4,Operation,2)</f>
        <v>Weld all Outside Seams</v>
      </c>
      <c r="BV4" s="65">
        <v>942.98291999726723</v>
      </c>
      <c r="BW4" s="65">
        <v>1390</v>
      </c>
      <c r="BX4" s="1">
        <f t="shared" ref="BX4:BX13" si="6">BV4/BW4</f>
        <v>0.67840497841530012</v>
      </c>
      <c r="BY4" s="66">
        <f>BW4-BV4</f>
        <v>447.01708000273277</v>
      </c>
    </row>
    <row r="5" spans="1:77" x14ac:dyDescent="0.25">
      <c r="A5" s="7">
        <v>2020</v>
      </c>
      <c r="B5" s="13">
        <v>43836</v>
      </c>
      <c r="C5" s="13"/>
      <c r="D5" s="7">
        <v>2</v>
      </c>
      <c r="F5" s="5">
        <v>0.82</v>
      </c>
      <c r="G5" s="5">
        <v>0.85</v>
      </c>
      <c r="H5" s="5">
        <v>0.86</v>
      </c>
      <c r="I5" s="5">
        <v>0.86</v>
      </c>
      <c r="J5" s="6">
        <v>0.85</v>
      </c>
      <c r="K5" s="7"/>
      <c r="L5" s="7"/>
      <c r="M5" s="7"/>
      <c r="N5" s="9">
        <v>0.95</v>
      </c>
      <c r="P5" s="1"/>
      <c r="Q5" s="1"/>
      <c r="R5" s="1"/>
      <c r="S5" s="1"/>
      <c r="T5" s="4"/>
      <c r="U5" s="4"/>
      <c r="V5" t="s">
        <v>9</v>
      </c>
      <c r="W5" s="5">
        <v>0.83</v>
      </c>
      <c r="X5" s="5">
        <v>0.95</v>
      </c>
      <c r="Z5">
        <v>695.5</v>
      </c>
      <c r="AA5">
        <v>167</v>
      </c>
      <c r="AB5">
        <f t="shared" si="0"/>
        <v>862.5</v>
      </c>
      <c r="AC5" s="1">
        <f t="shared" si="1"/>
        <v>0.19362318840579709</v>
      </c>
      <c r="AE5">
        <f>AE4+Z5</f>
        <v>1152.25</v>
      </c>
      <c r="AF5">
        <f>AF4+AA5</f>
        <v>268.5</v>
      </c>
      <c r="AG5">
        <f>AG4+AB5</f>
        <v>1420.75</v>
      </c>
      <c r="AH5" s="1">
        <f t="shared" si="2"/>
        <v>0.18898469118423367</v>
      </c>
      <c r="AJ5">
        <v>66.5</v>
      </c>
      <c r="AK5" s="1">
        <f t="shared" ref="AK5:AK42" si="7">AJ5/Z5</f>
        <v>9.5614665708123658E-2</v>
      </c>
      <c r="AL5">
        <f t="shared" ref="AL5:AL16" si="8">AL4+AJ5</f>
        <v>75.5</v>
      </c>
      <c r="AM5" s="1">
        <f t="shared" si="3"/>
        <v>6.5523974831850726E-2</v>
      </c>
      <c r="AN5">
        <v>15</v>
      </c>
      <c r="AO5">
        <f>AO4+AN5</f>
        <v>30</v>
      </c>
      <c r="AQ5" t="s">
        <v>9</v>
      </c>
      <c r="AR5">
        <f>10+10+93+18</f>
        <v>131</v>
      </c>
      <c r="AS5">
        <v>65</v>
      </c>
      <c r="AT5">
        <f>AT4+AR5</f>
        <v>258</v>
      </c>
      <c r="AU5">
        <f>AU4+AS5</f>
        <v>130</v>
      </c>
      <c r="AY5" s="7">
        <v>2019</v>
      </c>
      <c r="AZ5" s="7" t="s">
        <v>9</v>
      </c>
      <c r="BA5" s="7">
        <v>0</v>
      </c>
      <c r="BB5" s="7">
        <v>0</v>
      </c>
      <c r="BC5" s="7">
        <v>2</v>
      </c>
      <c r="BD5" s="7">
        <f t="shared" si="4"/>
        <v>2</v>
      </c>
      <c r="BE5" s="27">
        <v>2897.5</v>
      </c>
      <c r="BH5" s="29">
        <v>12.967645723918823</v>
      </c>
      <c r="BL5" s="7" t="s">
        <v>9</v>
      </c>
      <c r="BM5">
        <v>2</v>
      </c>
      <c r="BN5">
        <v>2</v>
      </c>
      <c r="BO5">
        <f t="shared" ref="BO5:BO12" si="9">BM5+BN5</f>
        <v>4</v>
      </c>
      <c r="BP5" s="1">
        <f t="shared" ref="BP5:BP12" si="10">BM5/BO5</f>
        <v>0.5</v>
      </c>
      <c r="BQ5" s="1">
        <v>0.95</v>
      </c>
      <c r="BT5" s="67">
        <v>605</v>
      </c>
      <c r="BU5" s="65" t="str">
        <f t="shared" si="5"/>
        <v>Tack Shell Courses</v>
      </c>
      <c r="BV5" s="65">
        <v>558</v>
      </c>
      <c r="BW5" s="65">
        <v>994.5</v>
      </c>
      <c r="BX5" s="1">
        <f t="shared" si="6"/>
        <v>0.56108597285067874</v>
      </c>
      <c r="BY5" s="66">
        <f t="shared" ref="BY5:BY13" si="11">BW5-BV5</f>
        <v>436.5</v>
      </c>
    </row>
    <row r="6" spans="1:77" x14ac:dyDescent="0.25">
      <c r="A6" s="7">
        <v>2020</v>
      </c>
      <c r="B6" s="13">
        <v>43843</v>
      </c>
      <c r="C6" s="13" t="s">
        <v>8</v>
      </c>
      <c r="D6" s="7">
        <v>3</v>
      </c>
      <c r="F6" s="5">
        <v>0.45</v>
      </c>
      <c r="G6" s="5">
        <v>0.65</v>
      </c>
      <c r="H6" s="5">
        <v>0.75</v>
      </c>
      <c r="I6" s="5">
        <v>1</v>
      </c>
      <c r="J6" s="6">
        <v>0.68</v>
      </c>
      <c r="K6" s="7"/>
      <c r="L6" s="7"/>
      <c r="M6" s="7"/>
      <c r="N6" s="9">
        <v>0.95</v>
      </c>
      <c r="P6" s="1"/>
      <c r="Q6" s="1"/>
      <c r="R6" s="1"/>
      <c r="S6" s="1"/>
      <c r="T6" s="4"/>
      <c r="U6" s="4"/>
      <c r="V6" t="s">
        <v>10</v>
      </c>
      <c r="W6" s="5">
        <v>0.8</v>
      </c>
      <c r="X6" s="5">
        <v>0.95</v>
      </c>
      <c r="Z6">
        <v>822.75</v>
      </c>
      <c r="AA6">
        <v>190.5</v>
      </c>
      <c r="AB6">
        <f t="shared" si="0"/>
        <v>1013.25</v>
      </c>
      <c r="AC6" s="1">
        <f t="shared" si="1"/>
        <v>0.18800888230940044</v>
      </c>
      <c r="AE6">
        <f t="shared" ref="AE6:AG16" si="12">AE5+Z6</f>
        <v>1975</v>
      </c>
      <c r="AF6">
        <f t="shared" si="12"/>
        <v>459</v>
      </c>
      <c r="AG6">
        <f t="shared" si="12"/>
        <v>2434</v>
      </c>
      <c r="AH6" s="1">
        <f t="shared" si="2"/>
        <v>0.1885784716516023</v>
      </c>
      <c r="AJ6">
        <v>42.5</v>
      </c>
      <c r="AK6" s="1">
        <f t="shared" si="7"/>
        <v>5.1656031601336978E-2</v>
      </c>
      <c r="AL6">
        <f t="shared" si="8"/>
        <v>118</v>
      </c>
      <c r="AM6" s="1">
        <f t="shared" si="3"/>
        <v>5.9746835443037973E-2</v>
      </c>
      <c r="AN6">
        <v>15</v>
      </c>
      <c r="AO6">
        <f t="shared" ref="AO6:AO56" si="13">AO5+AN6</f>
        <v>45</v>
      </c>
      <c r="AQ6" t="s">
        <v>10</v>
      </c>
      <c r="AR6">
        <f>2+7+9+1.5</f>
        <v>19.5</v>
      </c>
      <c r="AS6">
        <v>65</v>
      </c>
      <c r="AT6">
        <f t="shared" ref="AT6:AT15" si="14">AT5+AR6</f>
        <v>277.5</v>
      </c>
      <c r="AU6">
        <f t="shared" ref="AU6:AU15" si="15">AU5+AS6</f>
        <v>195</v>
      </c>
      <c r="AY6" s="7">
        <v>2019</v>
      </c>
      <c r="AZ6" s="7" t="s">
        <v>10</v>
      </c>
      <c r="BA6" s="7">
        <v>0</v>
      </c>
      <c r="BB6" s="7">
        <v>0</v>
      </c>
      <c r="BC6" s="7">
        <v>1</v>
      </c>
      <c r="BD6" s="7">
        <f t="shared" si="4"/>
        <v>1</v>
      </c>
      <c r="BE6" s="27">
        <f>3051.25+76.75</f>
        <v>3128</v>
      </c>
      <c r="BH6" s="29">
        <v>8.5594911382518308</v>
      </c>
      <c r="BL6" s="7" t="s">
        <v>10</v>
      </c>
      <c r="BM6">
        <v>12</v>
      </c>
      <c r="BN6">
        <v>2</v>
      </c>
      <c r="BO6">
        <f t="shared" si="9"/>
        <v>14</v>
      </c>
      <c r="BP6" s="1">
        <f t="shared" si="10"/>
        <v>0.8571428571428571</v>
      </c>
      <c r="BQ6" s="1">
        <v>0.95</v>
      </c>
      <c r="BT6" s="67">
        <v>630</v>
      </c>
      <c r="BU6" s="65" t="str">
        <f t="shared" si="5"/>
        <v>Install Internal Parts</v>
      </c>
      <c r="BV6" s="65">
        <v>479.33818042422695</v>
      </c>
      <c r="BW6" s="65">
        <v>808</v>
      </c>
      <c r="BX6" s="1">
        <f t="shared" si="6"/>
        <v>0.59324032230721158</v>
      </c>
      <c r="BY6" s="66">
        <f t="shared" si="11"/>
        <v>328.66181957577305</v>
      </c>
    </row>
    <row r="7" spans="1:77" x14ac:dyDescent="0.25">
      <c r="A7" s="7">
        <v>2020</v>
      </c>
      <c r="B7" s="13">
        <v>43850</v>
      </c>
      <c r="C7" s="13"/>
      <c r="D7" s="7">
        <v>4</v>
      </c>
      <c r="F7" s="5">
        <v>0.8</v>
      </c>
      <c r="G7" s="5">
        <v>0.7</v>
      </c>
      <c r="H7" s="5">
        <v>0.96</v>
      </c>
      <c r="I7" s="5">
        <v>1</v>
      </c>
      <c r="J7" s="6">
        <v>0.8</v>
      </c>
      <c r="K7" s="7"/>
      <c r="L7" s="8">
        <f t="shared" ref="L7:L14" si="16">AVERAGE(J4:J7)</f>
        <v>0.74249999999999994</v>
      </c>
      <c r="M7" s="7"/>
      <c r="N7" s="9">
        <v>0.95</v>
      </c>
      <c r="P7" s="1"/>
      <c r="Q7" s="1"/>
      <c r="R7" s="1"/>
      <c r="S7" s="1"/>
      <c r="T7" s="4"/>
      <c r="U7" s="4"/>
      <c r="V7" t="s">
        <v>11</v>
      </c>
      <c r="W7" s="5">
        <v>0.9</v>
      </c>
      <c r="X7" s="5">
        <v>0.95</v>
      </c>
      <c r="Z7">
        <v>675</v>
      </c>
      <c r="AA7">
        <v>147.5</v>
      </c>
      <c r="AB7">
        <f t="shared" si="0"/>
        <v>822.5</v>
      </c>
      <c r="AC7" s="1">
        <f t="shared" si="1"/>
        <v>0.17933130699088146</v>
      </c>
      <c r="AE7">
        <f t="shared" si="12"/>
        <v>2650</v>
      </c>
      <c r="AF7">
        <f t="shared" si="12"/>
        <v>606.5</v>
      </c>
      <c r="AG7">
        <f t="shared" si="12"/>
        <v>3256.5</v>
      </c>
      <c r="AH7" s="1">
        <f t="shared" si="2"/>
        <v>0.18624289881774911</v>
      </c>
      <c r="AJ7">
        <v>9</v>
      </c>
      <c r="AK7" s="1">
        <f t="shared" si="7"/>
        <v>1.3333333333333334E-2</v>
      </c>
      <c r="AL7">
        <f t="shared" si="8"/>
        <v>127</v>
      </c>
      <c r="AM7" s="1">
        <f t="shared" si="3"/>
        <v>4.7924528301886794E-2</v>
      </c>
      <c r="AN7">
        <v>15</v>
      </c>
      <c r="AO7">
        <f t="shared" si="13"/>
        <v>60</v>
      </c>
      <c r="AQ7" t="s">
        <v>11</v>
      </c>
      <c r="AR7">
        <f>AJ17+AJ18+AJ19+AJ20+AJ21</f>
        <v>225.75</v>
      </c>
      <c r="AS7">
        <v>65</v>
      </c>
      <c r="AT7">
        <f t="shared" si="14"/>
        <v>503.25</v>
      </c>
      <c r="AU7">
        <f t="shared" si="15"/>
        <v>260</v>
      </c>
      <c r="AY7" s="7">
        <v>2019</v>
      </c>
      <c r="AZ7" s="7" t="s">
        <v>11</v>
      </c>
      <c r="BA7" s="7">
        <v>0</v>
      </c>
      <c r="BB7" s="7">
        <v>0</v>
      </c>
      <c r="BC7" s="7">
        <v>1</v>
      </c>
      <c r="BD7" s="7">
        <f t="shared" si="4"/>
        <v>1</v>
      </c>
      <c r="BE7" s="27">
        <f>3140+641.25</f>
        <v>3781.25</v>
      </c>
      <c r="BH7" s="29">
        <v>8.4889643463497446</v>
      </c>
      <c r="BL7" s="7" t="s">
        <v>11</v>
      </c>
      <c r="BM7">
        <v>11</v>
      </c>
      <c r="BN7">
        <v>1</v>
      </c>
      <c r="BO7">
        <f t="shared" si="9"/>
        <v>12</v>
      </c>
      <c r="BP7" s="1">
        <f t="shared" si="10"/>
        <v>0.91666666666666663</v>
      </c>
      <c r="BQ7" s="1">
        <v>0.95</v>
      </c>
      <c r="BT7" s="67">
        <v>305</v>
      </c>
      <c r="BU7" s="65" t="str">
        <f t="shared" si="5"/>
        <v>BI, SQ, T&amp;C Shells</v>
      </c>
      <c r="BV7" s="65">
        <v>971.16692466460245</v>
      </c>
      <c r="BW7" s="65">
        <v>1271</v>
      </c>
      <c r="BX7" s="1">
        <f t="shared" si="6"/>
        <v>0.76409671492100906</v>
      </c>
      <c r="BY7" s="66">
        <f t="shared" si="11"/>
        <v>299.83307533539755</v>
      </c>
    </row>
    <row r="8" spans="1:77" x14ac:dyDescent="0.25">
      <c r="A8" s="7">
        <v>2020</v>
      </c>
      <c r="B8" s="13">
        <v>43857</v>
      </c>
      <c r="C8" s="13"/>
      <c r="D8" s="7">
        <v>5</v>
      </c>
      <c r="F8" s="5">
        <v>0.49</v>
      </c>
      <c r="G8" s="5">
        <v>0.78</v>
      </c>
      <c r="H8" s="5">
        <v>0.99</v>
      </c>
      <c r="I8" s="5">
        <v>1</v>
      </c>
      <c r="J8" s="6">
        <v>0.81</v>
      </c>
      <c r="K8" s="7"/>
      <c r="L8" s="8">
        <f t="shared" si="16"/>
        <v>0.78500000000000003</v>
      </c>
      <c r="M8" s="7"/>
      <c r="N8" s="9">
        <v>0.95</v>
      </c>
      <c r="P8" s="1"/>
      <c r="Q8" s="1"/>
      <c r="R8" s="1"/>
      <c r="S8" s="1"/>
      <c r="T8" s="4"/>
      <c r="U8" s="4"/>
      <c r="V8" t="s">
        <v>12</v>
      </c>
      <c r="W8" s="5">
        <v>0.92</v>
      </c>
      <c r="X8" s="5">
        <v>0.95</v>
      </c>
      <c r="Z8" s="2">
        <v>624</v>
      </c>
      <c r="AA8" s="2">
        <v>220.25</v>
      </c>
      <c r="AB8" s="2">
        <f t="shared" si="0"/>
        <v>844.25</v>
      </c>
      <c r="AC8" s="1">
        <f t="shared" si="1"/>
        <v>0.26088244003553451</v>
      </c>
      <c r="AE8">
        <f t="shared" si="12"/>
        <v>3274</v>
      </c>
      <c r="AF8">
        <f t="shared" si="12"/>
        <v>826.75</v>
      </c>
      <c r="AG8">
        <f t="shared" si="12"/>
        <v>4100.75</v>
      </c>
      <c r="AH8" s="1">
        <f t="shared" si="2"/>
        <v>0.20160946168383831</v>
      </c>
      <c r="AJ8">
        <v>0</v>
      </c>
      <c r="AK8" s="1">
        <f t="shared" si="7"/>
        <v>0</v>
      </c>
      <c r="AL8">
        <f t="shared" si="8"/>
        <v>127</v>
      </c>
      <c r="AM8" s="1">
        <f t="shared" si="3"/>
        <v>3.8790470372632863E-2</v>
      </c>
      <c r="AN8">
        <v>15</v>
      </c>
      <c r="AO8">
        <f t="shared" si="13"/>
        <v>75</v>
      </c>
      <c r="AQ8" t="s">
        <v>12</v>
      </c>
      <c r="AR8">
        <f>AJ22+AJ23+AJ24+AJ25</f>
        <v>184.75</v>
      </c>
      <c r="AS8">
        <v>65</v>
      </c>
      <c r="AT8">
        <f t="shared" si="14"/>
        <v>688</v>
      </c>
      <c r="AU8">
        <f t="shared" si="15"/>
        <v>325</v>
      </c>
      <c r="AY8" s="7">
        <v>2019</v>
      </c>
      <c r="AZ8" s="7" t="s">
        <v>12</v>
      </c>
      <c r="BA8" s="7">
        <v>0</v>
      </c>
      <c r="BB8" s="7">
        <v>1</v>
      </c>
      <c r="BC8" s="7">
        <v>0</v>
      </c>
      <c r="BD8" s="7">
        <f t="shared" si="4"/>
        <v>1</v>
      </c>
      <c r="BE8" s="27">
        <f>3438.75+443.5</f>
        <v>3882.25</v>
      </c>
      <c r="BH8" s="29">
        <v>8.577662694136631</v>
      </c>
      <c r="BL8" s="7" t="s">
        <v>12</v>
      </c>
      <c r="BM8">
        <v>16</v>
      </c>
      <c r="BN8">
        <v>5</v>
      </c>
      <c r="BO8">
        <f t="shared" si="9"/>
        <v>21</v>
      </c>
      <c r="BP8" s="1">
        <f t="shared" si="10"/>
        <v>0.76190476190476186</v>
      </c>
      <c r="BQ8" s="1">
        <v>0.95</v>
      </c>
      <c r="BT8" s="67">
        <v>800</v>
      </c>
      <c r="BU8" s="65" t="str">
        <f t="shared" si="5"/>
        <v>Move Tank to Detail Rolls</v>
      </c>
      <c r="BV8" s="65">
        <v>164.14545454545456</v>
      </c>
      <c r="BW8" s="65">
        <v>461.5</v>
      </c>
      <c r="BX8" s="1">
        <f t="shared" si="6"/>
        <v>0.35567812469220922</v>
      </c>
      <c r="BY8" s="66">
        <f t="shared" si="11"/>
        <v>297.35454545454547</v>
      </c>
    </row>
    <row r="9" spans="1:77" x14ac:dyDescent="0.25">
      <c r="A9" s="7">
        <v>2020</v>
      </c>
      <c r="B9" s="13">
        <v>43864</v>
      </c>
      <c r="C9" s="13"/>
      <c r="D9" s="7">
        <v>6</v>
      </c>
      <c r="F9" s="5">
        <v>0.9</v>
      </c>
      <c r="G9" s="5">
        <v>0.83</v>
      </c>
      <c r="H9" s="5">
        <v>0.93</v>
      </c>
      <c r="I9" s="5">
        <v>1</v>
      </c>
      <c r="J9" s="6">
        <v>0.87</v>
      </c>
      <c r="K9" s="7"/>
      <c r="L9" s="8">
        <f t="shared" si="16"/>
        <v>0.79</v>
      </c>
      <c r="M9" s="7"/>
      <c r="N9" s="9">
        <v>0.95</v>
      </c>
      <c r="P9" s="1"/>
      <c r="Q9" s="1"/>
      <c r="R9" s="1"/>
      <c r="S9" s="1"/>
      <c r="T9" s="4"/>
      <c r="U9" s="4"/>
      <c r="V9" t="s">
        <v>13</v>
      </c>
      <c r="W9" s="33">
        <v>0.89</v>
      </c>
      <c r="X9" s="5">
        <v>0.95</v>
      </c>
      <c r="Z9" s="2">
        <v>632</v>
      </c>
      <c r="AA9" s="2">
        <v>142</v>
      </c>
      <c r="AB9" s="2">
        <f t="shared" si="0"/>
        <v>774</v>
      </c>
      <c r="AC9" s="1">
        <f t="shared" si="1"/>
        <v>0.1834625322997416</v>
      </c>
      <c r="AE9">
        <f t="shared" si="12"/>
        <v>3906</v>
      </c>
      <c r="AF9">
        <f t="shared" si="12"/>
        <v>968.75</v>
      </c>
      <c r="AG9">
        <f t="shared" si="12"/>
        <v>4874.75</v>
      </c>
      <c r="AH9" s="1">
        <f t="shared" si="2"/>
        <v>0.1987281399046105</v>
      </c>
      <c r="AJ9">
        <v>10</v>
      </c>
      <c r="AK9" s="1">
        <f t="shared" si="7"/>
        <v>1.5822784810126583E-2</v>
      </c>
      <c r="AL9">
        <f t="shared" si="8"/>
        <v>137</v>
      </c>
      <c r="AM9" s="1">
        <f t="shared" si="3"/>
        <v>3.5074244751664103E-2</v>
      </c>
      <c r="AN9">
        <v>15</v>
      </c>
      <c r="AO9">
        <f t="shared" si="13"/>
        <v>90</v>
      </c>
      <c r="AQ9" t="s">
        <v>13</v>
      </c>
      <c r="AR9">
        <f>AJ26+AJ27+AJ28+AJ29</f>
        <v>35</v>
      </c>
      <c r="AS9">
        <v>65</v>
      </c>
      <c r="AT9">
        <f t="shared" si="14"/>
        <v>723</v>
      </c>
      <c r="AU9">
        <f t="shared" si="15"/>
        <v>390</v>
      </c>
      <c r="AY9" s="7">
        <v>2019</v>
      </c>
      <c r="AZ9" s="7" t="s">
        <v>13</v>
      </c>
      <c r="BA9" s="7">
        <v>1</v>
      </c>
      <c r="BB9" s="7">
        <v>1</v>
      </c>
      <c r="BC9" s="7">
        <v>0</v>
      </c>
      <c r="BD9" s="7">
        <f t="shared" si="4"/>
        <v>2</v>
      </c>
      <c r="BE9" s="27">
        <f>3275+554.5</f>
        <v>3829.5</v>
      </c>
      <c r="BH9" s="29">
        <v>8.7407334567961943</v>
      </c>
      <c r="BL9" s="7" t="s">
        <v>13</v>
      </c>
      <c r="BM9">
        <v>10</v>
      </c>
      <c r="BN9">
        <v>0</v>
      </c>
      <c r="BO9">
        <f t="shared" si="9"/>
        <v>10</v>
      </c>
      <c r="BP9" s="1">
        <f t="shared" si="10"/>
        <v>1</v>
      </c>
      <c r="BQ9" s="1">
        <v>0.95</v>
      </c>
      <c r="BT9" s="67">
        <v>155</v>
      </c>
      <c r="BU9" s="65" t="str">
        <f t="shared" si="5"/>
        <v>B&amp;C parts-lugs, supp, etc</v>
      </c>
      <c r="BV9" s="65">
        <v>769.92174030985382</v>
      </c>
      <c r="BW9" s="65">
        <v>1061</v>
      </c>
      <c r="BX9" s="1">
        <f t="shared" si="6"/>
        <v>0.72565668266715722</v>
      </c>
      <c r="BY9" s="66">
        <f t="shared" si="11"/>
        <v>291.07825969014618</v>
      </c>
    </row>
    <row r="10" spans="1:77" x14ac:dyDescent="0.25">
      <c r="A10" s="7">
        <v>2020</v>
      </c>
      <c r="B10" s="13">
        <v>43871</v>
      </c>
      <c r="C10" s="13" t="s">
        <v>9</v>
      </c>
      <c r="D10" s="7">
        <v>7</v>
      </c>
      <c r="F10" s="5">
        <v>0.5</v>
      </c>
      <c r="G10" s="5">
        <v>0.89</v>
      </c>
      <c r="H10" s="5">
        <v>0.88</v>
      </c>
      <c r="I10" s="5">
        <v>1</v>
      </c>
      <c r="J10" s="6">
        <v>0.84</v>
      </c>
      <c r="K10" s="7"/>
      <c r="L10" s="8">
        <f t="shared" si="16"/>
        <v>0.83</v>
      </c>
      <c r="M10" s="7"/>
      <c r="N10" s="9">
        <v>0.95</v>
      </c>
      <c r="P10" s="1"/>
      <c r="Q10" s="1"/>
      <c r="R10" s="1"/>
      <c r="S10" s="1"/>
      <c r="T10" s="4"/>
      <c r="U10" s="4"/>
      <c r="V10" t="s">
        <v>14</v>
      </c>
      <c r="W10" s="5">
        <v>0.87</v>
      </c>
      <c r="X10" s="5">
        <v>0.95</v>
      </c>
      <c r="Z10" s="2">
        <v>705.75</v>
      </c>
      <c r="AA10" s="2">
        <v>205</v>
      </c>
      <c r="AB10" s="2">
        <f t="shared" si="0"/>
        <v>910.75</v>
      </c>
      <c r="AC10" s="1">
        <f t="shared" si="1"/>
        <v>0.22508921218775735</v>
      </c>
      <c r="AE10">
        <f t="shared" si="12"/>
        <v>4611.75</v>
      </c>
      <c r="AF10">
        <f t="shared" si="12"/>
        <v>1173.75</v>
      </c>
      <c r="AG10">
        <f t="shared" si="12"/>
        <v>5785.5</v>
      </c>
      <c r="AH10" s="1">
        <f t="shared" si="2"/>
        <v>0.20287788436608764</v>
      </c>
      <c r="AJ10">
        <v>10</v>
      </c>
      <c r="AK10" s="1">
        <f t="shared" si="7"/>
        <v>1.4169323414806943E-2</v>
      </c>
      <c r="AL10">
        <f t="shared" si="8"/>
        <v>147</v>
      </c>
      <c r="AM10" s="1">
        <f t="shared" si="3"/>
        <v>3.18751016425435E-2</v>
      </c>
      <c r="AN10">
        <v>15</v>
      </c>
      <c r="AO10">
        <f t="shared" si="13"/>
        <v>105</v>
      </c>
      <c r="AQ10" t="s">
        <v>14</v>
      </c>
      <c r="AR10">
        <f>AJ30+AJ31+AJ32+AJ33+AJ34</f>
        <v>79.5</v>
      </c>
      <c r="AS10">
        <v>65</v>
      </c>
      <c r="AT10" s="32">
        <f t="shared" si="14"/>
        <v>802.5</v>
      </c>
      <c r="AU10">
        <f t="shared" si="15"/>
        <v>455</v>
      </c>
      <c r="AY10" s="7">
        <v>2019</v>
      </c>
      <c r="AZ10" s="7" t="s">
        <v>14</v>
      </c>
      <c r="BA10" s="7">
        <v>0</v>
      </c>
      <c r="BB10" s="7">
        <v>0</v>
      </c>
      <c r="BC10" s="7">
        <v>1</v>
      </c>
      <c r="BD10" s="7">
        <f t="shared" si="4"/>
        <v>1</v>
      </c>
      <c r="BE10" s="27">
        <f>3731.5+544</f>
        <v>4275.5</v>
      </c>
      <c r="BH10" s="29">
        <v>8.8880988356590525</v>
      </c>
      <c r="BL10" s="7" t="s">
        <v>14</v>
      </c>
      <c r="BM10">
        <v>9</v>
      </c>
      <c r="BN10">
        <v>2</v>
      </c>
      <c r="BO10">
        <f t="shared" si="9"/>
        <v>11</v>
      </c>
      <c r="BP10" s="1">
        <f t="shared" si="10"/>
        <v>0.81818181818181823</v>
      </c>
      <c r="BQ10" s="1">
        <v>0.95</v>
      </c>
      <c r="BT10" s="67">
        <v>600</v>
      </c>
      <c r="BU10" s="65" t="str">
        <f t="shared" si="5"/>
        <v>Fit Bottom Head to Shell</v>
      </c>
      <c r="BV10" s="65">
        <v>732.67698412698417</v>
      </c>
      <c r="BW10" s="65">
        <v>1012</v>
      </c>
      <c r="BX10" s="1">
        <f t="shared" si="6"/>
        <v>0.7239891147499844</v>
      </c>
      <c r="BY10" s="66">
        <f t="shared" si="11"/>
        <v>279.32301587301583</v>
      </c>
    </row>
    <row r="11" spans="1:77" x14ac:dyDescent="0.25">
      <c r="A11" s="7">
        <v>2020</v>
      </c>
      <c r="B11" s="13">
        <v>43878</v>
      </c>
      <c r="C11" s="13"/>
      <c r="D11" s="7">
        <v>8</v>
      </c>
      <c r="F11" s="5">
        <v>1.21</v>
      </c>
      <c r="G11" s="5">
        <v>0.78</v>
      </c>
      <c r="H11" s="5">
        <v>0.9</v>
      </c>
      <c r="I11" s="5">
        <v>1</v>
      </c>
      <c r="J11" s="6">
        <v>0.88</v>
      </c>
      <c r="K11" s="7"/>
      <c r="L11" s="8">
        <f t="shared" si="16"/>
        <v>0.85</v>
      </c>
      <c r="M11" s="8">
        <f t="shared" ref="M11:M16" si="17">AVERAGE(J4:J11)</f>
        <v>0.7962499999999999</v>
      </c>
      <c r="N11" s="9">
        <v>0.95</v>
      </c>
      <c r="P11" s="1"/>
      <c r="Q11" s="1"/>
      <c r="R11" s="1"/>
      <c r="S11" s="1"/>
      <c r="T11" s="4"/>
      <c r="U11" s="4"/>
      <c r="V11" t="s">
        <v>15</v>
      </c>
      <c r="W11" s="5">
        <v>0.81</v>
      </c>
      <c r="X11" s="5">
        <v>0.95</v>
      </c>
      <c r="Z11" s="2">
        <v>788</v>
      </c>
      <c r="AA11" s="2">
        <v>174.5</v>
      </c>
      <c r="AB11" s="2">
        <f t="shared" si="0"/>
        <v>962.5</v>
      </c>
      <c r="AC11" s="1">
        <f t="shared" si="1"/>
        <v>0.18129870129870129</v>
      </c>
      <c r="AE11">
        <f t="shared" si="12"/>
        <v>5399.75</v>
      </c>
      <c r="AF11">
        <f t="shared" si="12"/>
        <v>1348.25</v>
      </c>
      <c r="AG11">
        <f t="shared" si="12"/>
        <v>6748</v>
      </c>
      <c r="AH11" s="1">
        <f t="shared" si="2"/>
        <v>0.19979994072317725</v>
      </c>
      <c r="AJ11">
        <v>93</v>
      </c>
      <c r="AK11" s="1">
        <f t="shared" si="7"/>
        <v>0.11802030456852793</v>
      </c>
      <c r="AL11">
        <f t="shared" si="8"/>
        <v>240</v>
      </c>
      <c r="AM11" s="1">
        <f t="shared" si="3"/>
        <v>4.4446502152877446E-2</v>
      </c>
      <c r="AN11">
        <v>15</v>
      </c>
      <c r="AO11">
        <f t="shared" si="13"/>
        <v>120</v>
      </c>
      <c r="AQ11" t="s">
        <v>15</v>
      </c>
      <c r="AR11">
        <v>50.5</v>
      </c>
      <c r="AS11">
        <v>65</v>
      </c>
      <c r="AT11" s="32">
        <f t="shared" si="14"/>
        <v>853</v>
      </c>
      <c r="AU11">
        <f t="shared" si="15"/>
        <v>520</v>
      </c>
      <c r="AY11" s="7">
        <v>2019</v>
      </c>
      <c r="AZ11" s="7" t="s">
        <v>15</v>
      </c>
      <c r="BA11" s="7">
        <v>0</v>
      </c>
      <c r="BB11" s="7">
        <v>0</v>
      </c>
      <c r="BC11" s="7">
        <v>5.0000000000000001E-3</v>
      </c>
      <c r="BD11" s="7">
        <f t="shared" si="4"/>
        <v>5.0000000000000001E-3</v>
      </c>
      <c r="BE11" s="27">
        <f>3976.75+580</f>
        <v>4556.75</v>
      </c>
      <c r="BH11" s="29">
        <v>9.0443512373803028</v>
      </c>
      <c r="BL11" s="7" t="s">
        <v>15</v>
      </c>
      <c r="BM11">
        <v>6</v>
      </c>
      <c r="BN11">
        <v>4</v>
      </c>
      <c r="BO11">
        <f t="shared" si="9"/>
        <v>10</v>
      </c>
      <c r="BP11" s="1">
        <f t="shared" si="10"/>
        <v>0.6</v>
      </c>
      <c r="BQ11" s="1">
        <v>0.95</v>
      </c>
      <c r="BT11" s="67">
        <v>726</v>
      </c>
      <c r="BU11" s="65" t="str">
        <f t="shared" si="5"/>
        <v>Weld Shell Nozz &amp; M/Ws</v>
      </c>
      <c r="BV11" s="65">
        <v>974.8</v>
      </c>
      <c r="BW11" s="65">
        <v>1225.25</v>
      </c>
      <c r="BX11" s="1">
        <f t="shared" si="6"/>
        <v>0.79559273617629056</v>
      </c>
      <c r="BY11" s="66">
        <f t="shared" si="11"/>
        <v>250.45000000000005</v>
      </c>
    </row>
    <row r="12" spans="1:77" x14ac:dyDescent="0.25">
      <c r="A12" s="7">
        <v>2020</v>
      </c>
      <c r="B12" s="13">
        <v>43885</v>
      </c>
      <c r="C12" s="13"/>
      <c r="D12" s="7">
        <v>9</v>
      </c>
      <c r="F12" s="5">
        <v>1.63</v>
      </c>
      <c r="G12" s="5">
        <v>0.63</v>
      </c>
      <c r="H12" s="5">
        <v>0.97</v>
      </c>
      <c r="I12" s="5">
        <v>1.43</v>
      </c>
      <c r="J12" s="6">
        <v>0.89</v>
      </c>
      <c r="K12" s="7"/>
      <c r="L12" s="8">
        <f t="shared" si="16"/>
        <v>0.87</v>
      </c>
      <c r="M12" s="8">
        <f t="shared" si="17"/>
        <v>0.8274999999999999</v>
      </c>
      <c r="N12" s="9">
        <v>0.95</v>
      </c>
      <c r="P12" s="1"/>
      <c r="Q12" s="1"/>
      <c r="R12" s="1"/>
      <c r="S12" s="1"/>
      <c r="T12" s="4"/>
      <c r="U12" s="4"/>
      <c r="V12" t="s">
        <v>16</v>
      </c>
      <c r="W12" s="5">
        <v>0.72</v>
      </c>
      <c r="X12" s="5">
        <v>0.95</v>
      </c>
      <c r="Z12" s="2">
        <v>845.5</v>
      </c>
      <c r="AA12" s="2">
        <v>163.5</v>
      </c>
      <c r="AB12" s="2">
        <f t="shared" si="0"/>
        <v>1009</v>
      </c>
      <c r="AC12" s="1">
        <f t="shared" si="1"/>
        <v>0.16204162537165509</v>
      </c>
      <c r="AE12">
        <f t="shared" si="12"/>
        <v>6245.25</v>
      </c>
      <c r="AF12">
        <f t="shared" si="12"/>
        <v>1511.75</v>
      </c>
      <c r="AG12">
        <f t="shared" si="12"/>
        <v>7757</v>
      </c>
      <c r="AH12" s="1">
        <f t="shared" si="2"/>
        <v>0.19488848781745521</v>
      </c>
      <c r="AJ12">
        <v>18</v>
      </c>
      <c r="AK12" s="1">
        <f t="shared" si="7"/>
        <v>2.1289178001182733E-2</v>
      </c>
      <c r="AL12">
        <f t="shared" si="8"/>
        <v>258</v>
      </c>
      <c r="AM12" s="1">
        <f t="shared" si="3"/>
        <v>4.1311396661462711E-2</v>
      </c>
      <c r="AN12">
        <v>15</v>
      </c>
      <c r="AO12">
        <f t="shared" si="13"/>
        <v>135</v>
      </c>
      <c r="AQ12" t="s">
        <v>16</v>
      </c>
      <c r="AR12">
        <v>90.5</v>
      </c>
      <c r="AS12">
        <v>65</v>
      </c>
      <c r="AT12" s="32">
        <f t="shared" si="14"/>
        <v>943.5</v>
      </c>
      <c r="AU12">
        <f t="shared" si="15"/>
        <v>585</v>
      </c>
      <c r="AY12" s="7">
        <v>2019</v>
      </c>
      <c r="AZ12" s="7" t="s">
        <v>16</v>
      </c>
      <c r="BA12" s="7">
        <v>0</v>
      </c>
      <c r="BB12" s="7">
        <v>0</v>
      </c>
      <c r="BC12" s="7">
        <v>5.0000000000000001E-3</v>
      </c>
      <c r="BD12" s="7">
        <f t="shared" si="4"/>
        <v>5.0000000000000001E-3</v>
      </c>
      <c r="BE12" s="28">
        <f>3393.75+819.75</f>
        <v>4213.5</v>
      </c>
      <c r="BH12" s="29">
        <v>4.6222468742055511</v>
      </c>
      <c r="BL12" s="7" t="s">
        <v>16</v>
      </c>
      <c r="BM12">
        <v>5</v>
      </c>
      <c r="BN12">
        <v>0</v>
      </c>
      <c r="BO12">
        <f t="shared" si="9"/>
        <v>5</v>
      </c>
      <c r="BP12" s="1">
        <f t="shared" si="10"/>
        <v>1</v>
      </c>
      <c r="BQ12" s="1">
        <v>0.95</v>
      </c>
      <c r="BT12" s="67">
        <v>105</v>
      </c>
      <c r="BU12" s="65" t="str">
        <f t="shared" si="5"/>
        <v>Build Nozzles-Weld</v>
      </c>
      <c r="BV12" s="65">
        <v>958.03205989859259</v>
      </c>
      <c r="BW12" s="65">
        <v>1184.75</v>
      </c>
      <c r="BX12" s="1">
        <f t="shared" si="6"/>
        <v>0.80863647174390596</v>
      </c>
      <c r="BY12" s="66">
        <f t="shared" si="11"/>
        <v>226.71794010140741</v>
      </c>
    </row>
    <row r="13" spans="1:77" x14ac:dyDescent="0.25">
      <c r="A13" s="7">
        <v>2020</v>
      </c>
      <c r="B13" s="13">
        <v>43892</v>
      </c>
      <c r="C13" s="13"/>
      <c r="D13" s="7">
        <v>10</v>
      </c>
      <c r="F13" s="5">
        <v>1.1599999999999999</v>
      </c>
      <c r="G13" s="5">
        <v>0.81</v>
      </c>
      <c r="H13" s="5">
        <v>0.99</v>
      </c>
      <c r="I13" s="5">
        <v>0.85</v>
      </c>
      <c r="J13" s="6">
        <v>0.87</v>
      </c>
      <c r="K13" s="7"/>
      <c r="L13" s="8">
        <f t="shared" si="16"/>
        <v>0.87</v>
      </c>
      <c r="M13" s="8">
        <f t="shared" si="17"/>
        <v>0.83</v>
      </c>
      <c r="N13" s="9">
        <v>0.95</v>
      </c>
      <c r="P13" s="1"/>
      <c r="Q13" s="1"/>
      <c r="R13" s="1"/>
      <c r="S13" s="1"/>
      <c r="T13" s="4"/>
      <c r="U13" s="4"/>
      <c r="V13" t="s">
        <v>17</v>
      </c>
      <c r="W13" s="5">
        <v>0.73</v>
      </c>
      <c r="X13" s="5">
        <v>0.95</v>
      </c>
      <c r="Z13" s="2">
        <v>801</v>
      </c>
      <c r="AA13" s="2">
        <v>146.75</v>
      </c>
      <c r="AB13" s="2">
        <f t="shared" si="0"/>
        <v>947.75</v>
      </c>
      <c r="AC13" s="1">
        <f t="shared" si="1"/>
        <v>0.15484041150092323</v>
      </c>
      <c r="AE13">
        <f t="shared" si="12"/>
        <v>7046.25</v>
      </c>
      <c r="AF13">
        <f t="shared" si="12"/>
        <v>1658.5</v>
      </c>
      <c r="AG13">
        <f t="shared" si="12"/>
        <v>8704.75</v>
      </c>
      <c r="AH13" s="1">
        <f t="shared" si="2"/>
        <v>0.19052815991269134</v>
      </c>
      <c r="AJ13">
        <v>2</v>
      </c>
      <c r="AK13" s="1">
        <f t="shared" si="7"/>
        <v>2.4968789013732834E-3</v>
      </c>
      <c r="AL13">
        <f t="shared" si="8"/>
        <v>260</v>
      </c>
      <c r="AM13" s="1">
        <f t="shared" si="3"/>
        <v>3.6899059783572823E-2</v>
      </c>
      <c r="AN13">
        <v>15</v>
      </c>
      <c r="AO13">
        <f t="shared" si="13"/>
        <v>150</v>
      </c>
      <c r="AQ13" t="s">
        <v>17</v>
      </c>
      <c r="AR13">
        <v>215.25</v>
      </c>
      <c r="AS13">
        <v>65</v>
      </c>
      <c r="AT13" s="32">
        <f t="shared" si="14"/>
        <v>1158.75</v>
      </c>
      <c r="AU13">
        <f t="shared" si="15"/>
        <v>650</v>
      </c>
      <c r="AY13" s="7">
        <v>2019</v>
      </c>
      <c r="AZ13" s="7" t="s">
        <v>17</v>
      </c>
      <c r="BA13" s="7">
        <v>1</v>
      </c>
      <c r="BB13" s="7">
        <v>0</v>
      </c>
      <c r="BC13" s="7">
        <v>2</v>
      </c>
      <c r="BD13" s="7">
        <f t="shared" si="4"/>
        <v>3</v>
      </c>
      <c r="BE13" s="27">
        <f>4652.5+1060.5</f>
        <v>5713</v>
      </c>
      <c r="BH13" s="29">
        <v>4.7229962688329472</v>
      </c>
      <c r="BL13" s="7" t="s">
        <v>17</v>
      </c>
      <c r="BM13">
        <v>4</v>
      </c>
      <c r="BN13">
        <v>0</v>
      </c>
      <c r="BO13">
        <f>BM13+BN13</f>
        <v>4</v>
      </c>
      <c r="BP13" s="1">
        <f>BM13/BO13</f>
        <v>1</v>
      </c>
      <c r="BQ13" s="1">
        <v>0.95</v>
      </c>
      <c r="BT13" s="67">
        <v>640</v>
      </c>
      <c r="BU13" s="65" t="str">
        <f t="shared" si="5"/>
        <v>Fit Top to Shell-Weld</v>
      </c>
      <c r="BV13" s="65">
        <v>539.9</v>
      </c>
      <c r="BW13" s="65">
        <v>753.75</v>
      </c>
      <c r="BX13" s="1">
        <f t="shared" si="6"/>
        <v>0.71628524046434494</v>
      </c>
      <c r="BY13" s="66">
        <f t="shared" si="11"/>
        <v>213.85000000000002</v>
      </c>
    </row>
    <row r="14" spans="1:77" x14ac:dyDescent="0.25">
      <c r="A14" s="7">
        <v>2020</v>
      </c>
      <c r="B14" s="13">
        <v>43899</v>
      </c>
      <c r="C14" s="13"/>
      <c r="D14" s="7">
        <v>11</v>
      </c>
      <c r="F14" s="5">
        <v>1.05</v>
      </c>
      <c r="G14" s="5">
        <v>0.84</v>
      </c>
      <c r="H14" s="5">
        <v>0.95</v>
      </c>
      <c r="I14" s="5">
        <v>0.69</v>
      </c>
      <c r="J14" s="6">
        <v>0.88</v>
      </c>
      <c r="K14" s="7"/>
      <c r="L14" s="8">
        <f t="shared" si="16"/>
        <v>0.88</v>
      </c>
      <c r="M14" s="8">
        <f t="shared" si="17"/>
        <v>0.85499999999999998</v>
      </c>
      <c r="N14" s="9">
        <v>0.95</v>
      </c>
      <c r="P14" s="1"/>
      <c r="Q14" s="1"/>
      <c r="R14" s="1"/>
      <c r="S14" s="1"/>
      <c r="T14" s="4"/>
      <c r="U14" s="4"/>
      <c r="V14" t="s">
        <v>18</v>
      </c>
      <c r="W14" s="5">
        <v>0.87</v>
      </c>
      <c r="X14" s="5">
        <v>0.95</v>
      </c>
      <c r="Z14" s="2">
        <v>735.5</v>
      </c>
      <c r="AA14" s="2">
        <v>156</v>
      </c>
      <c r="AB14" s="2">
        <f t="shared" si="0"/>
        <v>891.5</v>
      </c>
      <c r="AC14" s="1">
        <f t="shared" si="1"/>
        <v>0.17498597868760515</v>
      </c>
      <c r="AE14">
        <f t="shared" si="12"/>
        <v>7781.75</v>
      </c>
      <c r="AF14">
        <f t="shared" si="12"/>
        <v>1814.5</v>
      </c>
      <c r="AG14">
        <f t="shared" si="12"/>
        <v>9596.25</v>
      </c>
      <c r="AH14" s="1">
        <f t="shared" si="2"/>
        <v>0.18908427771264816</v>
      </c>
      <c r="AJ14">
        <v>7</v>
      </c>
      <c r="AK14" s="1">
        <f t="shared" si="7"/>
        <v>9.5173351461590762E-3</v>
      </c>
      <c r="AL14">
        <f t="shared" si="8"/>
        <v>267</v>
      </c>
      <c r="AM14" s="1">
        <f t="shared" si="3"/>
        <v>3.4311048286053906E-2</v>
      </c>
      <c r="AN14">
        <v>15</v>
      </c>
      <c r="AO14">
        <f t="shared" si="13"/>
        <v>165</v>
      </c>
      <c r="AQ14" t="s">
        <v>18</v>
      </c>
      <c r="AR14">
        <v>147</v>
      </c>
      <c r="AS14">
        <v>65</v>
      </c>
      <c r="AT14" s="32">
        <f t="shared" si="14"/>
        <v>1305.75</v>
      </c>
      <c r="AU14">
        <f t="shared" si="15"/>
        <v>715</v>
      </c>
      <c r="AY14" s="7">
        <v>2019</v>
      </c>
      <c r="AZ14" s="7" t="s">
        <v>18</v>
      </c>
      <c r="BA14" s="7">
        <v>0</v>
      </c>
      <c r="BB14" s="7">
        <v>0</v>
      </c>
      <c r="BC14" s="7">
        <v>5.0000000000000001E-3</v>
      </c>
      <c r="BD14" s="7">
        <f t="shared" si="4"/>
        <v>5.0000000000000001E-3</v>
      </c>
      <c r="BE14" s="27">
        <v>3740.75</v>
      </c>
      <c r="BH14" s="29">
        <v>9.7974979639574542</v>
      </c>
      <c r="BL14" s="7" t="s">
        <v>18</v>
      </c>
      <c r="BQ14" s="1">
        <v>0.95</v>
      </c>
    </row>
    <row r="15" spans="1:77" x14ac:dyDescent="0.25">
      <c r="A15" s="7">
        <v>2020</v>
      </c>
      <c r="B15" s="13">
        <v>43906</v>
      </c>
      <c r="C15" s="13" t="s">
        <v>10</v>
      </c>
      <c r="D15" s="7">
        <v>12</v>
      </c>
      <c r="F15" s="5">
        <v>1.03</v>
      </c>
      <c r="G15" s="5">
        <v>0.77</v>
      </c>
      <c r="H15" s="5">
        <v>0.96</v>
      </c>
      <c r="I15" s="5">
        <v>0.83</v>
      </c>
      <c r="J15" s="6">
        <v>0.84</v>
      </c>
      <c r="L15" s="8">
        <f t="shared" ref="L15:L56" si="18">AVERAGE(J12:J15)</f>
        <v>0.87</v>
      </c>
      <c r="M15" s="8">
        <f t="shared" si="17"/>
        <v>0.86</v>
      </c>
      <c r="N15" s="9">
        <v>0.95</v>
      </c>
      <c r="P15" s="1"/>
      <c r="Q15" s="1"/>
      <c r="R15" s="1"/>
      <c r="S15" s="1"/>
      <c r="T15" s="4"/>
      <c r="U15" s="4"/>
      <c r="V15" t="s">
        <v>19</v>
      </c>
      <c r="W15" s="5">
        <v>1.07</v>
      </c>
      <c r="X15" s="5">
        <v>0.95</v>
      </c>
      <c r="Z15" s="2">
        <v>815</v>
      </c>
      <c r="AA15" s="2">
        <v>176.5</v>
      </c>
      <c r="AB15" s="2">
        <f t="shared" si="0"/>
        <v>991.5</v>
      </c>
      <c r="AC15" s="1">
        <f t="shared" si="1"/>
        <v>0.17801311144730206</v>
      </c>
      <c r="AE15">
        <f t="shared" si="12"/>
        <v>8596.75</v>
      </c>
      <c r="AF15">
        <f t="shared" si="12"/>
        <v>1991</v>
      </c>
      <c r="AG15">
        <f t="shared" si="12"/>
        <v>10587.75</v>
      </c>
      <c r="AH15" s="1">
        <f t="shared" si="2"/>
        <v>0.18804750773299331</v>
      </c>
      <c r="AJ15">
        <v>9</v>
      </c>
      <c r="AK15" s="1">
        <f t="shared" si="7"/>
        <v>1.1042944785276074E-2</v>
      </c>
      <c r="AL15">
        <f t="shared" si="8"/>
        <v>276</v>
      </c>
      <c r="AM15" s="1">
        <f t="shared" si="3"/>
        <v>3.2105156018262714E-2</v>
      </c>
      <c r="AN15">
        <v>15</v>
      </c>
      <c r="AO15">
        <f t="shared" si="13"/>
        <v>180</v>
      </c>
      <c r="AQ15" t="s">
        <v>19</v>
      </c>
      <c r="AR15">
        <v>65</v>
      </c>
      <c r="AS15">
        <v>65</v>
      </c>
      <c r="AT15" s="32">
        <f t="shared" si="14"/>
        <v>1370.75</v>
      </c>
      <c r="AU15">
        <f t="shared" si="15"/>
        <v>780</v>
      </c>
      <c r="AY15" s="7">
        <v>2019</v>
      </c>
      <c r="AZ15" s="7" t="s">
        <v>19</v>
      </c>
      <c r="BA15" s="7">
        <v>0</v>
      </c>
      <c r="BB15" s="7">
        <v>0</v>
      </c>
      <c r="BC15" s="7">
        <v>5.0000000000000001E-3</v>
      </c>
      <c r="BD15" s="7">
        <f t="shared" si="4"/>
        <v>5.0000000000000001E-3</v>
      </c>
      <c r="BE15" s="27">
        <f>3063.25+238</f>
        <v>3301.25</v>
      </c>
      <c r="BF15" s="7">
        <f t="shared" ref="BF15:BF27" si="19">SUM(BA4:BA15)</f>
        <v>2</v>
      </c>
      <c r="BG15" s="28">
        <f t="shared" ref="BG15:BG20" si="20">SUM(BE4:BE15)</f>
        <v>46931.5</v>
      </c>
      <c r="BH15" s="29">
        <f t="shared" ref="BH15:BH20" si="21">BF15*200000/BG15</f>
        <v>8.5230602047665212</v>
      </c>
      <c r="BI15" s="7">
        <v>4</v>
      </c>
      <c r="BL15" s="7" t="s">
        <v>19</v>
      </c>
      <c r="BQ15" s="1">
        <v>0.95</v>
      </c>
    </row>
    <row r="16" spans="1:77" x14ac:dyDescent="0.25">
      <c r="A16" s="7">
        <v>2020</v>
      </c>
      <c r="B16" s="13">
        <v>43913</v>
      </c>
      <c r="C16" s="13"/>
      <c r="D16" s="7">
        <v>13</v>
      </c>
      <c r="F16" s="5">
        <v>0.89</v>
      </c>
      <c r="G16" s="5">
        <v>0.76</v>
      </c>
      <c r="H16" s="5">
        <v>0.9</v>
      </c>
      <c r="I16" s="5">
        <v>1</v>
      </c>
      <c r="J16" s="6">
        <v>0.8</v>
      </c>
      <c r="L16" s="8">
        <f t="shared" si="18"/>
        <v>0.84749999999999992</v>
      </c>
      <c r="M16" s="8">
        <f t="shared" si="17"/>
        <v>0.8587499999999999</v>
      </c>
      <c r="N16" s="9">
        <v>0.95</v>
      </c>
      <c r="P16" s="1"/>
      <c r="Q16" s="1"/>
      <c r="R16" s="1"/>
      <c r="S16" s="1"/>
      <c r="T16" s="4"/>
      <c r="U16" s="4"/>
      <c r="V16" s="4"/>
      <c r="W16" s="4"/>
      <c r="X16" s="4"/>
      <c r="Z16" s="2">
        <v>809.75</v>
      </c>
      <c r="AA16" s="2">
        <v>207.5</v>
      </c>
      <c r="AB16" s="2">
        <f t="shared" si="0"/>
        <v>1017.25</v>
      </c>
      <c r="AC16" s="1">
        <f t="shared" si="1"/>
        <v>0.20398132219218482</v>
      </c>
      <c r="AE16">
        <f t="shared" si="12"/>
        <v>9406.5</v>
      </c>
      <c r="AF16">
        <f t="shared" si="12"/>
        <v>2198.5</v>
      </c>
      <c r="AG16">
        <f t="shared" si="12"/>
        <v>11605</v>
      </c>
      <c r="AH16" s="1">
        <f t="shared" si="2"/>
        <v>0.18944420508401552</v>
      </c>
      <c r="AJ16">
        <v>1.5</v>
      </c>
      <c r="AK16" s="1">
        <f t="shared" si="7"/>
        <v>1.8524235875270144E-3</v>
      </c>
      <c r="AL16">
        <f t="shared" si="8"/>
        <v>277.5</v>
      </c>
      <c r="AM16" s="1">
        <f t="shared" si="3"/>
        <v>2.950087705310158E-2</v>
      </c>
      <c r="AN16">
        <v>15</v>
      </c>
      <c r="AO16">
        <f t="shared" si="13"/>
        <v>195</v>
      </c>
      <c r="AY16" s="7">
        <v>2020</v>
      </c>
      <c r="AZ16" s="7" t="s">
        <v>8</v>
      </c>
      <c r="BA16" s="7">
        <v>0</v>
      </c>
      <c r="BB16" s="7">
        <v>1</v>
      </c>
      <c r="BC16" s="7">
        <v>5.0000000000000001E-3</v>
      </c>
      <c r="BD16" s="7">
        <f t="shared" si="4"/>
        <v>1.0049999999999999</v>
      </c>
      <c r="BE16" s="30">
        <f>3060.5+785.25</f>
        <v>3845.75</v>
      </c>
      <c r="BF16" s="7">
        <f t="shared" si="19"/>
        <v>2</v>
      </c>
      <c r="BG16" s="28">
        <f t="shared" si="20"/>
        <v>47165</v>
      </c>
      <c r="BH16" s="29">
        <f t="shared" si="21"/>
        <v>8.4808650482349197</v>
      </c>
      <c r="BI16" s="7">
        <v>4</v>
      </c>
      <c r="BL16" s="7" t="s">
        <v>49</v>
      </c>
      <c r="BM16">
        <f>SUM(BM4:BM15)</f>
        <v>83</v>
      </c>
      <c r="BN16">
        <f>SUM(BN4:BN15)</f>
        <v>16</v>
      </c>
      <c r="BO16">
        <f>SUM(BO4:BO15)</f>
        <v>99</v>
      </c>
      <c r="BP16" s="1">
        <f>BM16/BO16</f>
        <v>0.83838383838383834</v>
      </c>
      <c r="BQ16" s="1">
        <v>0.95</v>
      </c>
    </row>
    <row r="17" spans="1:74" x14ac:dyDescent="0.25">
      <c r="A17" s="7">
        <v>2020</v>
      </c>
      <c r="B17" s="13">
        <v>43920</v>
      </c>
      <c r="C17" s="13"/>
      <c r="D17" s="7">
        <v>14</v>
      </c>
      <c r="F17" s="5">
        <v>0.67</v>
      </c>
      <c r="G17" s="5">
        <v>0.76</v>
      </c>
      <c r="H17" s="5">
        <v>0.94</v>
      </c>
      <c r="I17" s="5">
        <v>0.81</v>
      </c>
      <c r="J17" s="6">
        <v>0.81</v>
      </c>
      <c r="L17" s="8">
        <f t="shared" si="18"/>
        <v>0.83250000000000002</v>
      </c>
      <c r="M17" s="8">
        <f t="shared" ref="M17:M29" si="22">AVERAGE(J10:J17)</f>
        <v>0.85125000000000006</v>
      </c>
      <c r="N17" s="9">
        <v>0.95</v>
      </c>
      <c r="P17" s="1"/>
      <c r="Q17" s="1"/>
      <c r="R17" s="1"/>
      <c r="S17" s="1"/>
      <c r="T17" s="4"/>
      <c r="U17" s="4"/>
      <c r="V17" s="4"/>
      <c r="W17" s="4"/>
      <c r="X17" s="4"/>
      <c r="Z17" s="2">
        <v>874</v>
      </c>
      <c r="AA17" s="2">
        <v>219.5</v>
      </c>
      <c r="AB17" s="2">
        <f t="shared" si="0"/>
        <v>1093.5</v>
      </c>
      <c r="AC17" s="1">
        <f t="shared" si="1"/>
        <v>0.2007315957933242</v>
      </c>
      <c r="AE17">
        <f t="shared" ref="AE17:AE56" si="23">AE16+Z17</f>
        <v>10280.5</v>
      </c>
      <c r="AF17">
        <f t="shared" ref="AF17:AF56" si="24">AF16+AA17</f>
        <v>2418</v>
      </c>
      <c r="AG17">
        <f t="shared" ref="AG17:AG56" si="25">AG16+AB17</f>
        <v>12698.5</v>
      </c>
      <c r="AH17" s="1">
        <f t="shared" ref="AH17:AH56" si="26">AF17/AG17</f>
        <v>0.19041619088868764</v>
      </c>
      <c r="AJ17">
        <v>12.5</v>
      </c>
      <c r="AK17" s="1">
        <f t="shared" si="7"/>
        <v>1.4302059496567507E-2</v>
      </c>
      <c r="AL17">
        <f t="shared" ref="AL17:AL56" si="27">AL16+AJ17</f>
        <v>290</v>
      </c>
      <c r="AM17" s="1">
        <f t="shared" ref="AM17:AM53" si="28">AL17/AE17</f>
        <v>2.8208744710860368E-2</v>
      </c>
      <c r="AN17">
        <v>15</v>
      </c>
      <c r="AO17">
        <f t="shared" si="13"/>
        <v>210</v>
      </c>
      <c r="AQ17" t="s">
        <v>49</v>
      </c>
      <c r="AR17">
        <f>SUM(AR4:AR16)</f>
        <v>1370.75</v>
      </c>
      <c r="AS17">
        <f>SUM(AS4:AS16)</f>
        <v>780</v>
      </c>
      <c r="AY17" s="7">
        <v>2020</v>
      </c>
      <c r="AZ17" s="7" t="s">
        <v>9</v>
      </c>
      <c r="BA17" s="7">
        <v>0</v>
      </c>
      <c r="BB17" s="7">
        <v>0</v>
      </c>
      <c r="BC17" s="7">
        <v>1</v>
      </c>
      <c r="BD17" s="7">
        <f t="shared" si="4"/>
        <v>1</v>
      </c>
      <c r="BE17" s="27">
        <f>3042.5+613.75</f>
        <v>3656.25</v>
      </c>
      <c r="BF17" s="7">
        <f t="shared" si="19"/>
        <v>2</v>
      </c>
      <c r="BG17" s="28">
        <f t="shared" si="20"/>
        <v>47923.75</v>
      </c>
      <c r="BH17" s="29">
        <f t="shared" si="21"/>
        <v>8.3465922428858335</v>
      </c>
      <c r="BI17" s="7">
        <v>4</v>
      </c>
    </row>
    <row r="18" spans="1:74" x14ac:dyDescent="0.25">
      <c r="A18" s="7">
        <v>2020</v>
      </c>
      <c r="B18" s="13">
        <v>43927</v>
      </c>
      <c r="C18" s="13"/>
      <c r="D18" s="7">
        <v>15</v>
      </c>
      <c r="F18" s="5">
        <v>1.23</v>
      </c>
      <c r="G18" s="5">
        <v>0.87</v>
      </c>
      <c r="H18" s="5">
        <v>0.93</v>
      </c>
      <c r="I18" s="5">
        <v>1</v>
      </c>
      <c r="J18" s="6">
        <v>0.9</v>
      </c>
      <c r="L18" s="8">
        <f t="shared" si="18"/>
        <v>0.83750000000000002</v>
      </c>
      <c r="M18" s="8">
        <f t="shared" si="22"/>
        <v>0.85875000000000012</v>
      </c>
      <c r="N18" s="9">
        <v>0.95</v>
      </c>
      <c r="P18" s="1"/>
      <c r="Q18" s="1"/>
      <c r="R18" s="1"/>
      <c r="S18" s="1"/>
      <c r="T18" s="4"/>
      <c r="Z18" s="2">
        <v>904.5</v>
      </c>
      <c r="AA18" s="2">
        <v>190</v>
      </c>
      <c r="AB18" s="2">
        <f t="shared" si="0"/>
        <v>1094.5</v>
      </c>
      <c r="AC18" s="1">
        <f t="shared" si="1"/>
        <v>0.17359524897213338</v>
      </c>
      <c r="AE18">
        <f t="shared" si="23"/>
        <v>11185</v>
      </c>
      <c r="AF18">
        <f t="shared" si="24"/>
        <v>2608</v>
      </c>
      <c r="AG18">
        <f t="shared" si="25"/>
        <v>13793</v>
      </c>
      <c r="AH18" s="1">
        <f t="shared" si="26"/>
        <v>0.18908141811063583</v>
      </c>
      <c r="AJ18">
        <v>7</v>
      </c>
      <c r="AK18" s="1">
        <f t="shared" si="7"/>
        <v>7.7390823659480379E-3</v>
      </c>
      <c r="AL18">
        <f t="shared" si="27"/>
        <v>297</v>
      </c>
      <c r="AM18" s="1">
        <f t="shared" si="28"/>
        <v>2.6553419758605274E-2</v>
      </c>
      <c r="AN18">
        <v>15</v>
      </c>
      <c r="AO18">
        <f t="shared" si="13"/>
        <v>225</v>
      </c>
      <c r="AY18" s="7">
        <v>2020</v>
      </c>
      <c r="AZ18" s="7" t="s">
        <v>10</v>
      </c>
      <c r="BA18" s="7">
        <v>0</v>
      </c>
      <c r="BB18" s="7">
        <v>0</v>
      </c>
      <c r="BC18" s="7">
        <v>1</v>
      </c>
      <c r="BD18" s="7">
        <f t="shared" si="4"/>
        <v>1</v>
      </c>
      <c r="BE18" s="27">
        <f>3452.5+791.25</f>
        <v>4243.75</v>
      </c>
      <c r="BF18" s="7">
        <f t="shared" si="19"/>
        <v>2</v>
      </c>
      <c r="BG18" s="28">
        <f t="shared" si="20"/>
        <v>49039.5</v>
      </c>
      <c r="BH18" s="29">
        <f t="shared" si="21"/>
        <v>8.1566900151918347</v>
      </c>
      <c r="BI18" s="7">
        <v>4</v>
      </c>
    </row>
    <row r="19" spans="1:74" x14ac:dyDescent="0.25">
      <c r="A19" s="7">
        <v>2020</v>
      </c>
      <c r="B19" s="13">
        <v>43934</v>
      </c>
      <c r="C19" s="13" t="s">
        <v>11</v>
      </c>
      <c r="D19" s="7">
        <v>16</v>
      </c>
      <c r="F19" s="5">
        <v>1.1200000000000001</v>
      </c>
      <c r="G19" s="5">
        <v>0.83</v>
      </c>
      <c r="H19" s="5">
        <v>1.05</v>
      </c>
      <c r="I19" s="5">
        <v>0.8</v>
      </c>
      <c r="J19" s="6">
        <v>0.91</v>
      </c>
      <c r="L19" s="8">
        <f t="shared" si="18"/>
        <v>0.85500000000000009</v>
      </c>
      <c r="M19" s="8">
        <f t="shared" si="22"/>
        <v>0.86250000000000004</v>
      </c>
      <c r="N19" s="9">
        <v>0.95</v>
      </c>
      <c r="P19" s="1"/>
      <c r="Q19" s="1"/>
      <c r="R19" s="1"/>
      <c r="S19" s="1"/>
      <c r="T19" s="4"/>
      <c r="Z19" s="2">
        <v>914.25</v>
      </c>
      <c r="AA19" s="2">
        <v>157.75</v>
      </c>
      <c r="AB19" s="2">
        <f t="shared" si="0"/>
        <v>1072</v>
      </c>
      <c r="AC19" s="1">
        <f t="shared" si="1"/>
        <v>0.14715485074626866</v>
      </c>
      <c r="AE19">
        <f t="shared" si="23"/>
        <v>12099.25</v>
      </c>
      <c r="AF19">
        <f t="shared" si="24"/>
        <v>2765.75</v>
      </c>
      <c r="AG19">
        <f t="shared" si="25"/>
        <v>14865</v>
      </c>
      <c r="AH19" s="1">
        <f t="shared" si="26"/>
        <v>0.18605785401950892</v>
      </c>
      <c r="AJ19">
        <v>64.25</v>
      </c>
      <c r="AK19" s="1">
        <f t="shared" si="7"/>
        <v>7.0276182663385284E-2</v>
      </c>
      <c r="AL19">
        <f t="shared" si="27"/>
        <v>361.25</v>
      </c>
      <c r="AM19" s="1">
        <f t="shared" si="28"/>
        <v>2.9857222555117052E-2</v>
      </c>
      <c r="AN19">
        <v>15</v>
      </c>
      <c r="AO19">
        <f t="shared" si="13"/>
        <v>240</v>
      </c>
      <c r="AY19" s="7">
        <v>2020</v>
      </c>
      <c r="AZ19" s="7" t="s">
        <v>11</v>
      </c>
      <c r="BA19" s="7">
        <v>0</v>
      </c>
      <c r="BB19" s="7">
        <v>1</v>
      </c>
      <c r="BC19" s="7">
        <v>1</v>
      </c>
      <c r="BD19" s="7">
        <f t="shared" si="4"/>
        <v>2</v>
      </c>
      <c r="BE19" s="30">
        <f>3935.5+777</f>
        <v>4712.5</v>
      </c>
      <c r="BF19" s="7">
        <f t="shared" si="19"/>
        <v>2</v>
      </c>
      <c r="BG19" s="28">
        <f t="shared" si="20"/>
        <v>49970.75</v>
      </c>
      <c r="BH19" s="29">
        <f t="shared" si="21"/>
        <v>8.0046827394025506</v>
      </c>
      <c r="BI19" s="7">
        <v>4</v>
      </c>
      <c r="BL19" s="7" t="s">
        <v>25</v>
      </c>
      <c r="BM19">
        <v>80</v>
      </c>
    </row>
    <row r="20" spans="1:74" x14ac:dyDescent="0.25">
      <c r="A20" s="7">
        <v>2020</v>
      </c>
      <c r="B20" s="13">
        <v>43941</v>
      </c>
      <c r="C20" s="13"/>
      <c r="D20" s="7">
        <v>17</v>
      </c>
      <c r="F20" s="5">
        <v>1.28</v>
      </c>
      <c r="G20" s="5">
        <v>0.99</v>
      </c>
      <c r="H20" s="5">
        <v>0.98</v>
      </c>
      <c r="I20" s="5">
        <v>1</v>
      </c>
      <c r="J20" s="6">
        <v>1</v>
      </c>
      <c r="L20" s="8">
        <f t="shared" si="18"/>
        <v>0.90500000000000003</v>
      </c>
      <c r="M20" s="8">
        <f t="shared" si="22"/>
        <v>0.87624999999999997</v>
      </c>
      <c r="N20" s="9">
        <v>0.95</v>
      </c>
      <c r="P20" s="1"/>
      <c r="Q20" s="1"/>
      <c r="R20" s="1"/>
      <c r="S20" s="1"/>
      <c r="T20" s="4"/>
      <c r="Z20" s="2">
        <v>863.25</v>
      </c>
      <c r="AA20" s="2">
        <v>143.25</v>
      </c>
      <c r="AB20" s="2">
        <f t="shared" si="0"/>
        <v>1006.5</v>
      </c>
      <c r="AC20" s="1">
        <f t="shared" si="1"/>
        <v>0.14232488822652756</v>
      </c>
      <c r="AE20">
        <f t="shared" si="23"/>
        <v>12962.5</v>
      </c>
      <c r="AF20">
        <f t="shared" si="24"/>
        <v>2909</v>
      </c>
      <c r="AG20">
        <f t="shared" si="25"/>
        <v>15871.5</v>
      </c>
      <c r="AH20" s="1">
        <f t="shared" si="26"/>
        <v>0.18328450367010049</v>
      </c>
      <c r="AJ20">
        <v>47</v>
      </c>
      <c r="AK20" s="1">
        <f t="shared" si="7"/>
        <v>5.4445409788589631E-2</v>
      </c>
      <c r="AL20">
        <f t="shared" si="27"/>
        <v>408.25</v>
      </c>
      <c r="AM20" s="1">
        <f t="shared" si="28"/>
        <v>3.1494696239151396E-2</v>
      </c>
      <c r="AN20">
        <v>15</v>
      </c>
      <c r="AO20">
        <f t="shared" si="13"/>
        <v>255</v>
      </c>
      <c r="AY20" s="7">
        <v>2020</v>
      </c>
      <c r="AZ20" s="7" t="s">
        <v>12</v>
      </c>
      <c r="BA20" s="7">
        <v>0</v>
      </c>
      <c r="BB20" s="7">
        <v>0</v>
      </c>
      <c r="BC20" s="7">
        <v>5.0000000000000001E-3</v>
      </c>
      <c r="BD20" s="7">
        <f t="shared" si="4"/>
        <v>5.0000000000000001E-3</v>
      </c>
      <c r="BE20" s="30">
        <f>3541+676</f>
        <v>4217</v>
      </c>
      <c r="BF20" s="7">
        <f t="shared" si="19"/>
        <v>2</v>
      </c>
      <c r="BG20" s="28">
        <f t="shared" si="20"/>
        <v>50305.5</v>
      </c>
      <c r="BH20" s="29">
        <f t="shared" si="21"/>
        <v>7.9514168430887278</v>
      </c>
      <c r="BI20" s="7">
        <v>4</v>
      </c>
      <c r="BL20" s="7" t="s">
        <v>105</v>
      </c>
      <c r="BM20">
        <v>15</v>
      </c>
    </row>
    <row r="21" spans="1:74" x14ac:dyDescent="0.25">
      <c r="A21" s="7">
        <v>2020</v>
      </c>
      <c r="B21" s="13">
        <v>43948</v>
      </c>
      <c r="C21" s="13"/>
      <c r="D21" s="7">
        <v>18</v>
      </c>
      <c r="F21" s="5">
        <v>1.06</v>
      </c>
      <c r="G21" s="5">
        <v>0.95</v>
      </c>
      <c r="H21" s="5">
        <v>1.02</v>
      </c>
      <c r="I21" s="5">
        <v>1.1100000000000001</v>
      </c>
      <c r="J21" s="6">
        <v>0.98</v>
      </c>
      <c r="L21" s="8">
        <f t="shared" si="18"/>
        <v>0.94750000000000001</v>
      </c>
      <c r="M21" s="8">
        <f t="shared" si="22"/>
        <v>0.89000000000000012</v>
      </c>
      <c r="N21" s="9">
        <v>0.95</v>
      </c>
      <c r="P21" s="1"/>
      <c r="Q21" s="1"/>
      <c r="R21" s="1"/>
      <c r="S21" s="1"/>
      <c r="T21" s="4"/>
      <c r="Z21" s="2">
        <v>939</v>
      </c>
      <c r="AA21" s="2">
        <v>184.5</v>
      </c>
      <c r="AB21" s="2">
        <f t="shared" si="0"/>
        <v>1123.5</v>
      </c>
      <c r="AC21" s="1">
        <f t="shared" si="1"/>
        <v>0.16421895861148197</v>
      </c>
      <c r="AE21">
        <f t="shared" si="23"/>
        <v>13901.5</v>
      </c>
      <c r="AF21">
        <f t="shared" si="24"/>
        <v>3093.5</v>
      </c>
      <c r="AG21">
        <f t="shared" si="25"/>
        <v>16995</v>
      </c>
      <c r="AH21" s="1">
        <f t="shared" si="26"/>
        <v>0.18202412474257135</v>
      </c>
      <c r="AJ21">
        <v>95</v>
      </c>
      <c r="AK21" s="1">
        <f t="shared" si="7"/>
        <v>0.10117145899893504</v>
      </c>
      <c r="AL21">
        <f t="shared" si="27"/>
        <v>503.25</v>
      </c>
      <c r="AM21" s="1">
        <f t="shared" si="28"/>
        <v>3.6201129374527928E-2</v>
      </c>
      <c r="AN21">
        <v>15</v>
      </c>
      <c r="AO21">
        <f t="shared" si="13"/>
        <v>270</v>
      </c>
      <c r="AY21" s="7">
        <v>2020</v>
      </c>
      <c r="AZ21" s="7" t="s">
        <v>13</v>
      </c>
      <c r="BA21" s="7">
        <v>0</v>
      </c>
      <c r="BB21" s="7">
        <v>1</v>
      </c>
      <c r="BC21" s="7">
        <v>3</v>
      </c>
      <c r="BD21" s="7">
        <f t="shared" si="4"/>
        <v>4</v>
      </c>
      <c r="BE21" s="30">
        <v>4153</v>
      </c>
      <c r="BF21" s="7">
        <f t="shared" si="19"/>
        <v>1</v>
      </c>
      <c r="BG21" s="28">
        <f t="shared" ref="BG21:BG27" si="29">SUM(BE10:BE21)</f>
        <v>50629</v>
      </c>
      <c r="BH21" s="29">
        <f t="shared" ref="BH21:BH27" si="30">BF21*200000/BG21</f>
        <v>3.9503051610736928</v>
      </c>
      <c r="BI21" s="7">
        <v>4</v>
      </c>
      <c r="BL21" s="7" t="s">
        <v>104</v>
      </c>
      <c r="BM21">
        <v>5</v>
      </c>
      <c r="BT21" t="s">
        <v>155</v>
      </c>
      <c r="BU21" t="s">
        <v>156</v>
      </c>
    </row>
    <row r="22" spans="1:74" x14ac:dyDescent="0.25">
      <c r="A22" s="7">
        <v>2020</v>
      </c>
      <c r="B22" s="13">
        <v>43955</v>
      </c>
      <c r="C22" s="13"/>
      <c r="D22" s="7">
        <v>19</v>
      </c>
      <c r="F22" s="5">
        <v>0.93</v>
      </c>
      <c r="G22" s="5">
        <v>0.9</v>
      </c>
      <c r="H22" s="5">
        <v>0.99</v>
      </c>
      <c r="I22" s="5">
        <v>0.48</v>
      </c>
      <c r="J22" s="6">
        <v>0.91</v>
      </c>
      <c r="L22" s="8">
        <f t="shared" si="18"/>
        <v>0.95000000000000007</v>
      </c>
      <c r="M22" s="8">
        <f t="shared" si="22"/>
        <v>0.89375000000000004</v>
      </c>
      <c r="N22" s="9">
        <v>0.95</v>
      </c>
      <c r="P22" s="1"/>
      <c r="Q22" s="1"/>
      <c r="R22" s="1"/>
      <c r="S22" s="1"/>
      <c r="T22" s="4"/>
      <c r="Z22" s="2">
        <v>962</v>
      </c>
      <c r="AA22" s="2">
        <v>172.5</v>
      </c>
      <c r="AB22" s="2">
        <f t="shared" si="0"/>
        <v>1134.5</v>
      </c>
      <c r="AC22" s="1">
        <f t="shared" si="1"/>
        <v>0.15204936095196123</v>
      </c>
      <c r="AE22">
        <f t="shared" si="23"/>
        <v>14863.5</v>
      </c>
      <c r="AF22">
        <f t="shared" si="24"/>
        <v>3266</v>
      </c>
      <c r="AG22">
        <f t="shared" si="25"/>
        <v>18129.5</v>
      </c>
      <c r="AH22" s="1">
        <f t="shared" si="26"/>
        <v>0.18014837695468711</v>
      </c>
      <c r="AJ22">
        <v>77.5</v>
      </c>
      <c r="AK22" s="1">
        <f t="shared" si="7"/>
        <v>8.0561330561330566E-2</v>
      </c>
      <c r="AL22">
        <f t="shared" si="27"/>
        <v>580.75</v>
      </c>
      <c r="AM22" s="1">
        <f t="shared" si="28"/>
        <v>3.907222390419484E-2</v>
      </c>
      <c r="AN22">
        <v>15</v>
      </c>
      <c r="AO22">
        <f t="shared" si="13"/>
        <v>285</v>
      </c>
      <c r="AY22" s="7">
        <v>2020</v>
      </c>
      <c r="AZ22" s="7" t="s">
        <v>14</v>
      </c>
      <c r="BA22" s="7">
        <v>0</v>
      </c>
      <c r="BB22" s="7">
        <v>1</v>
      </c>
      <c r="BC22" s="7">
        <v>3</v>
      </c>
      <c r="BD22" s="7">
        <f t="shared" si="4"/>
        <v>4</v>
      </c>
      <c r="BE22" s="30">
        <v>3759.75</v>
      </c>
      <c r="BF22" s="7">
        <f t="shared" si="19"/>
        <v>1</v>
      </c>
      <c r="BG22" s="28">
        <f t="shared" si="29"/>
        <v>50113.25</v>
      </c>
      <c r="BH22" s="29">
        <f t="shared" si="30"/>
        <v>3.9909604745252003</v>
      </c>
      <c r="BI22" s="7">
        <v>4</v>
      </c>
      <c r="BL22" s="7" t="s">
        <v>26</v>
      </c>
      <c r="BM22">
        <v>100</v>
      </c>
      <c r="BT22" s="7">
        <v>100</v>
      </c>
      <c r="BU22" t="s">
        <v>157</v>
      </c>
      <c r="BV22" s="7"/>
    </row>
    <row r="23" spans="1:74" x14ac:dyDescent="0.25">
      <c r="A23" s="7">
        <v>2020</v>
      </c>
      <c r="B23" s="13">
        <v>43962</v>
      </c>
      <c r="C23" s="13" t="s">
        <v>12</v>
      </c>
      <c r="D23" s="7">
        <v>20</v>
      </c>
      <c r="F23" s="5">
        <v>1.35</v>
      </c>
      <c r="G23" s="5">
        <v>0.97</v>
      </c>
      <c r="H23" s="5">
        <v>1.02</v>
      </c>
      <c r="I23" s="5">
        <v>1</v>
      </c>
      <c r="J23" s="6">
        <v>1</v>
      </c>
      <c r="L23" s="8">
        <f t="shared" si="18"/>
        <v>0.97250000000000003</v>
      </c>
      <c r="M23" s="8">
        <f t="shared" si="22"/>
        <v>0.91375000000000006</v>
      </c>
      <c r="N23" s="9">
        <v>0.95</v>
      </c>
      <c r="P23" s="1"/>
      <c r="Q23" s="1"/>
      <c r="R23" s="1"/>
      <c r="S23" s="1"/>
      <c r="T23" s="4"/>
      <c r="Z23" s="2">
        <v>843.75</v>
      </c>
      <c r="AA23" s="2">
        <v>133.5</v>
      </c>
      <c r="AB23" s="2">
        <f t="shared" si="0"/>
        <v>977.25</v>
      </c>
      <c r="AC23" s="1">
        <f t="shared" si="1"/>
        <v>0.13660782808902533</v>
      </c>
      <c r="AE23">
        <f t="shared" si="23"/>
        <v>15707.25</v>
      </c>
      <c r="AF23">
        <f t="shared" si="24"/>
        <v>3399.5</v>
      </c>
      <c r="AG23">
        <f t="shared" si="25"/>
        <v>19106.75</v>
      </c>
      <c r="AH23" s="1">
        <f t="shared" si="26"/>
        <v>0.17792141520666779</v>
      </c>
      <c r="AJ23">
        <v>64.25</v>
      </c>
      <c r="AK23" s="1">
        <f t="shared" si="7"/>
        <v>7.6148148148148145E-2</v>
      </c>
      <c r="AL23">
        <f t="shared" si="27"/>
        <v>645</v>
      </c>
      <c r="AM23" s="1">
        <f t="shared" si="28"/>
        <v>4.1063839946521512E-2</v>
      </c>
      <c r="AN23">
        <v>15</v>
      </c>
      <c r="AO23">
        <f t="shared" si="13"/>
        <v>300</v>
      </c>
      <c r="AY23" s="7">
        <v>2020</v>
      </c>
      <c r="AZ23" s="7" t="s">
        <v>15</v>
      </c>
      <c r="BA23" s="7">
        <v>0</v>
      </c>
      <c r="BB23" s="7">
        <v>2</v>
      </c>
      <c r="BC23" s="7">
        <v>0</v>
      </c>
      <c r="BD23" s="7">
        <f t="shared" si="4"/>
        <v>2</v>
      </c>
      <c r="BE23" s="30">
        <v>4286</v>
      </c>
      <c r="BF23" s="7">
        <f t="shared" si="19"/>
        <v>1</v>
      </c>
      <c r="BG23" s="28">
        <f t="shared" si="29"/>
        <v>49842.5</v>
      </c>
      <c r="BH23" s="29">
        <f t="shared" si="30"/>
        <v>4.0126398154185683</v>
      </c>
      <c r="BI23" s="7">
        <v>4</v>
      </c>
      <c r="BT23" s="7">
        <v>105</v>
      </c>
      <c r="BU23" t="s">
        <v>158</v>
      </c>
      <c r="BV23" s="7"/>
    </row>
    <row r="24" spans="1:74" x14ac:dyDescent="0.25">
      <c r="A24" s="7">
        <v>2020</v>
      </c>
      <c r="B24" s="13">
        <v>43969</v>
      </c>
      <c r="C24" s="13"/>
      <c r="D24" s="7">
        <v>21</v>
      </c>
      <c r="F24" s="5">
        <v>1.6</v>
      </c>
      <c r="G24" s="5">
        <v>0.85</v>
      </c>
      <c r="H24" s="5">
        <v>0.92</v>
      </c>
      <c r="I24" s="5">
        <v>1.2</v>
      </c>
      <c r="J24" s="6">
        <v>0.96</v>
      </c>
      <c r="L24" s="8">
        <f t="shared" si="18"/>
        <v>0.96250000000000002</v>
      </c>
      <c r="M24" s="8">
        <f t="shared" si="22"/>
        <v>0.93374999999999997</v>
      </c>
      <c r="N24" s="9">
        <v>0.95</v>
      </c>
      <c r="P24" s="1"/>
      <c r="Q24" s="1"/>
      <c r="R24" s="1"/>
      <c r="S24" s="1"/>
      <c r="T24" s="4"/>
      <c r="Z24" s="2">
        <v>768.75</v>
      </c>
      <c r="AA24" s="2">
        <v>171.5</v>
      </c>
      <c r="AB24" s="2">
        <f t="shared" si="0"/>
        <v>940.25</v>
      </c>
      <c r="AC24" s="1">
        <f t="shared" si="1"/>
        <v>0.18239829832491358</v>
      </c>
      <c r="AE24">
        <f t="shared" si="23"/>
        <v>16476</v>
      </c>
      <c r="AF24">
        <f t="shared" si="24"/>
        <v>3571</v>
      </c>
      <c r="AG24">
        <f t="shared" si="25"/>
        <v>20047</v>
      </c>
      <c r="AH24" s="1">
        <f t="shared" si="26"/>
        <v>0.17813139123060806</v>
      </c>
      <c r="AJ24">
        <v>26.5</v>
      </c>
      <c r="AK24" s="1">
        <f t="shared" si="7"/>
        <v>3.4471544715447153E-2</v>
      </c>
      <c r="AL24">
        <f t="shared" si="27"/>
        <v>671.5</v>
      </c>
      <c r="AM24" s="1">
        <f t="shared" si="28"/>
        <v>4.075625151735858E-2</v>
      </c>
      <c r="AN24">
        <v>15</v>
      </c>
      <c r="AO24">
        <f t="shared" si="13"/>
        <v>315</v>
      </c>
      <c r="AY24" s="7">
        <v>2020</v>
      </c>
      <c r="AZ24" s="7" t="s">
        <v>16</v>
      </c>
      <c r="BA24" s="7">
        <v>0</v>
      </c>
      <c r="BB24" s="7">
        <v>2</v>
      </c>
      <c r="BC24" s="7">
        <v>0</v>
      </c>
      <c r="BD24" s="7">
        <f t="shared" si="4"/>
        <v>2</v>
      </c>
      <c r="BE24" s="27">
        <v>4497</v>
      </c>
      <c r="BF24" s="7">
        <f t="shared" si="19"/>
        <v>1</v>
      </c>
      <c r="BG24" s="28">
        <f t="shared" si="29"/>
        <v>50126</v>
      </c>
      <c r="BH24" s="29">
        <f t="shared" si="30"/>
        <v>3.9899453377488729</v>
      </c>
      <c r="BI24" s="7">
        <v>4</v>
      </c>
      <c r="BL24" s="7" t="s">
        <v>49</v>
      </c>
      <c r="BM24" s="45">
        <f>BP16</f>
        <v>0.83838383838383834</v>
      </c>
      <c r="BT24" s="7">
        <v>107</v>
      </c>
      <c r="BU24" t="s">
        <v>159</v>
      </c>
      <c r="BV24" s="7"/>
    </row>
    <row r="25" spans="1:74" x14ac:dyDescent="0.25">
      <c r="A25" s="7">
        <v>2020</v>
      </c>
      <c r="B25" s="13">
        <v>43976</v>
      </c>
      <c r="C25" s="13"/>
      <c r="D25" s="7">
        <v>22</v>
      </c>
      <c r="F25" s="5">
        <v>1.63</v>
      </c>
      <c r="G25" s="5">
        <v>0.85</v>
      </c>
      <c r="H25" s="5">
        <v>0.88</v>
      </c>
      <c r="I25" s="5">
        <v>0.94</v>
      </c>
      <c r="J25" s="6">
        <v>0.93</v>
      </c>
      <c r="L25" s="8">
        <f t="shared" si="18"/>
        <v>0.95000000000000007</v>
      </c>
      <c r="M25" s="8">
        <f t="shared" si="22"/>
        <v>0.94874999999999998</v>
      </c>
      <c r="N25" s="9">
        <v>0.95</v>
      </c>
      <c r="P25" s="1"/>
      <c r="Q25" s="1"/>
      <c r="R25" s="1"/>
      <c r="S25" s="1"/>
      <c r="T25" s="4"/>
      <c r="Z25" s="2">
        <v>721</v>
      </c>
      <c r="AA25" s="2">
        <v>156</v>
      </c>
      <c r="AB25" s="2">
        <f t="shared" si="0"/>
        <v>877</v>
      </c>
      <c r="AC25" s="1">
        <f t="shared" si="1"/>
        <v>0.17787913340935005</v>
      </c>
      <c r="AE25">
        <f t="shared" si="23"/>
        <v>17197</v>
      </c>
      <c r="AF25">
        <f t="shared" si="24"/>
        <v>3727</v>
      </c>
      <c r="AG25">
        <f t="shared" si="25"/>
        <v>20924</v>
      </c>
      <c r="AH25" s="1">
        <f t="shared" si="26"/>
        <v>0.17812081819919709</v>
      </c>
      <c r="AJ25">
        <v>16.5</v>
      </c>
      <c r="AK25" s="1">
        <f t="shared" si="7"/>
        <v>2.2884882108183079E-2</v>
      </c>
      <c r="AL25">
        <f t="shared" si="27"/>
        <v>688</v>
      </c>
      <c r="AM25" s="1">
        <f t="shared" si="28"/>
        <v>4.0006977961272318E-2</v>
      </c>
      <c r="AN25">
        <v>15</v>
      </c>
      <c r="AO25">
        <f t="shared" si="13"/>
        <v>330</v>
      </c>
      <c r="AY25" s="7">
        <v>2020</v>
      </c>
      <c r="AZ25" s="7" t="s">
        <v>17</v>
      </c>
      <c r="BA25" s="7">
        <v>0</v>
      </c>
      <c r="BB25" s="7">
        <v>0</v>
      </c>
      <c r="BC25" s="7">
        <v>1</v>
      </c>
      <c r="BD25" s="7">
        <f t="shared" si="4"/>
        <v>1</v>
      </c>
      <c r="BE25" s="30">
        <v>4461.75</v>
      </c>
      <c r="BF25" s="7">
        <f t="shared" si="19"/>
        <v>0</v>
      </c>
      <c r="BG25" s="28">
        <f t="shared" si="29"/>
        <v>48874.75</v>
      </c>
      <c r="BH25" s="29">
        <f t="shared" si="30"/>
        <v>0</v>
      </c>
      <c r="BI25" s="7">
        <v>4</v>
      </c>
      <c r="BL25" s="7" t="s">
        <v>106</v>
      </c>
      <c r="BM25" s="45">
        <v>0.02</v>
      </c>
      <c r="BT25" s="7">
        <v>110</v>
      </c>
      <c r="BU25" t="s">
        <v>160</v>
      </c>
      <c r="BV25" s="7"/>
    </row>
    <row r="26" spans="1:74" x14ac:dyDescent="0.25">
      <c r="A26" s="7">
        <v>2020</v>
      </c>
      <c r="B26" s="13">
        <v>43983</v>
      </c>
      <c r="C26" s="13"/>
      <c r="D26" s="7">
        <v>23</v>
      </c>
      <c r="F26" s="5">
        <v>0.96</v>
      </c>
      <c r="G26" s="5">
        <v>0.82</v>
      </c>
      <c r="H26" s="5">
        <v>1.0900000000000001</v>
      </c>
      <c r="I26" s="5">
        <v>0.56000000000000005</v>
      </c>
      <c r="J26" s="6">
        <v>0.91</v>
      </c>
      <c r="L26" s="8">
        <f t="shared" si="18"/>
        <v>0.95000000000000007</v>
      </c>
      <c r="M26" s="8">
        <f t="shared" si="22"/>
        <v>0.95000000000000007</v>
      </c>
      <c r="N26" s="9">
        <v>0.95</v>
      </c>
      <c r="P26" s="1"/>
      <c r="Q26" s="1"/>
      <c r="R26" s="1"/>
      <c r="S26" s="1"/>
      <c r="T26" s="4"/>
      <c r="Z26" s="2">
        <v>814</v>
      </c>
      <c r="AA26" s="2">
        <v>175.5</v>
      </c>
      <c r="AB26" s="2">
        <f t="shared" si="0"/>
        <v>989.5</v>
      </c>
      <c r="AC26" s="1">
        <f t="shared" si="1"/>
        <v>0.1773623041940374</v>
      </c>
      <c r="AE26">
        <f t="shared" si="23"/>
        <v>18011</v>
      </c>
      <c r="AF26">
        <f t="shared" si="24"/>
        <v>3902.5</v>
      </c>
      <c r="AG26">
        <f t="shared" si="25"/>
        <v>21913.5</v>
      </c>
      <c r="AH26" s="1">
        <f t="shared" si="26"/>
        <v>0.17808656764095193</v>
      </c>
      <c r="AJ26">
        <v>0</v>
      </c>
      <c r="AK26" s="1">
        <f t="shared" si="7"/>
        <v>0</v>
      </c>
      <c r="AL26">
        <f t="shared" si="27"/>
        <v>688</v>
      </c>
      <c r="AM26" s="1">
        <f t="shared" si="28"/>
        <v>3.8198878463161404E-2</v>
      </c>
      <c r="AN26">
        <v>15</v>
      </c>
      <c r="AO26">
        <f t="shared" si="13"/>
        <v>345</v>
      </c>
      <c r="AY26" s="7">
        <v>2020</v>
      </c>
      <c r="AZ26" s="7" t="s">
        <v>18</v>
      </c>
      <c r="BA26" s="7">
        <v>0</v>
      </c>
      <c r="BB26" s="7">
        <v>2</v>
      </c>
      <c r="BC26" s="7">
        <v>0</v>
      </c>
      <c r="BD26" s="7">
        <f t="shared" si="4"/>
        <v>2</v>
      </c>
      <c r="BE26" s="27">
        <v>3802.25</v>
      </c>
      <c r="BF26" s="7">
        <f t="shared" si="19"/>
        <v>0</v>
      </c>
      <c r="BG26" s="28">
        <f t="shared" si="29"/>
        <v>48936.25</v>
      </c>
      <c r="BH26" s="29">
        <f t="shared" si="30"/>
        <v>0</v>
      </c>
      <c r="BI26" s="7">
        <v>4</v>
      </c>
      <c r="BL26" s="7" t="s">
        <v>107</v>
      </c>
      <c r="BM26" s="45">
        <f>2-BM24-BM25</f>
        <v>1.1416161616161618</v>
      </c>
      <c r="BT26" s="7">
        <v>115</v>
      </c>
      <c r="BU26" t="s">
        <v>161</v>
      </c>
      <c r="BV26" s="7"/>
    </row>
    <row r="27" spans="1:74" x14ac:dyDescent="0.25">
      <c r="A27" s="7">
        <v>2020</v>
      </c>
      <c r="B27" s="13">
        <v>43990</v>
      </c>
      <c r="C27" s="13"/>
      <c r="D27" s="7">
        <v>24</v>
      </c>
      <c r="F27" s="5">
        <v>1.04</v>
      </c>
      <c r="G27" s="5">
        <v>0.91</v>
      </c>
      <c r="H27" s="5">
        <v>0.98</v>
      </c>
      <c r="I27" s="5">
        <v>0.54</v>
      </c>
      <c r="J27" s="6">
        <v>0.9</v>
      </c>
      <c r="L27" s="8">
        <f t="shared" si="18"/>
        <v>0.92500000000000004</v>
      </c>
      <c r="M27" s="8">
        <f t="shared" si="22"/>
        <v>0.94874999999999998</v>
      </c>
      <c r="N27" s="9">
        <v>0.95</v>
      </c>
      <c r="P27" s="1"/>
      <c r="Q27" s="1"/>
      <c r="R27" s="1"/>
      <c r="S27" s="1"/>
      <c r="T27" s="4"/>
      <c r="Z27" s="2">
        <v>736.25</v>
      </c>
      <c r="AA27" s="2">
        <v>136.5</v>
      </c>
      <c r="AB27" s="2">
        <f t="shared" si="0"/>
        <v>872.75</v>
      </c>
      <c r="AC27" s="1">
        <f t="shared" si="1"/>
        <v>0.15640217702663994</v>
      </c>
      <c r="AE27">
        <f t="shared" si="23"/>
        <v>18747.25</v>
      </c>
      <c r="AF27">
        <f t="shared" si="24"/>
        <v>4039</v>
      </c>
      <c r="AG27">
        <f t="shared" si="25"/>
        <v>22786.25</v>
      </c>
      <c r="AH27" s="1">
        <f t="shared" si="26"/>
        <v>0.1772560206264743</v>
      </c>
      <c r="AJ27">
        <v>18</v>
      </c>
      <c r="AK27" s="1">
        <f t="shared" si="7"/>
        <v>2.4448217317487267E-2</v>
      </c>
      <c r="AL27">
        <f t="shared" si="27"/>
        <v>706</v>
      </c>
      <c r="AM27" s="1">
        <f t="shared" si="28"/>
        <v>3.7658856632306073E-2</v>
      </c>
      <c r="AN27">
        <v>15</v>
      </c>
      <c r="AO27">
        <f t="shared" si="13"/>
        <v>360</v>
      </c>
      <c r="AY27" s="7">
        <v>2020</v>
      </c>
      <c r="AZ27" s="7" t="s">
        <v>19</v>
      </c>
      <c r="BA27" s="7">
        <v>0</v>
      </c>
      <c r="BB27" s="7">
        <v>1</v>
      </c>
      <c r="BC27" s="7">
        <v>0</v>
      </c>
      <c r="BD27" s="7">
        <v>0</v>
      </c>
      <c r="BE27" s="30">
        <v>3848.25</v>
      </c>
      <c r="BF27" s="7">
        <f t="shared" si="19"/>
        <v>0</v>
      </c>
      <c r="BG27" s="28">
        <f t="shared" si="29"/>
        <v>49483.25</v>
      </c>
      <c r="BH27" s="29">
        <f t="shared" si="30"/>
        <v>0</v>
      </c>
      <c r="BI27" s="7">
        <v>4</v>
      </c>
      <c r="BT27" s="7">
        <v>120</v>
      </c>
      <c r="BU27" t="s">
        <v>162</v>
      </c>
      <c r="BV27" s="7"/>
    </row>
    <row r="28" spans="1:74" x14ac:dyDescent="0.25">
      <c r="A28" s="7">
        <v>2020</v>
      </c>
      <c r="B28" s="13">
        <v>43997</v>
      </c>
      <c r="C28" s="13" t="s">
        <v>13</v>
      </c>
      <c r="D28" s="7">
        <v>25</v>
      </c>
      <c r="F28" s="5">
        <v>1.37</v>
      </c>
      <c r="G28" s="5">
        <v>0.84</v>
      </c>
      <c r="H28" s="5">
        <v>0.97</v>
      </c>
      <c r="I28" s="5">
        <v>1.2</v>
      </c>
      <c r="J28" s="6">
        <v>0.91</v>
      </c>
      <c r="L28" s="8">
        <f t="shared" si="18"/>
        <v>0.91250000000000009</v>
      </c>
      <c r="M28" s="8">
        <f t="shared" si="22"/>
        <v>0.93750000000000011</v>
      </c>
      <c r="N28" s="9">
        <v>0.95</v>
      </c>
      <c r="P28" s="1"/>
      <c r="Q28" s="1"/>
      <c r="R28" s="1"/>
      <c r="S28" s="1"/>
      <c r="T28" s="4"/>
      <c r="Z28" s="2">
        <v>830.5</v>
      </c>
      <c r="AA28" s="2">
        <v>187</v>
      </c>
      <c r="AB28" s="2">
        <f t="shared" si="0"/>
        <v>1017.5</v>
      </c>
      <c r="AC28" s="1">
        <f t="shared" si="1"/>
        <v>0.18378378378378379</v>
      </c>
      <c r="AE28">
        <f t="shared" si="23"/>
        <v>19577.75</v>
      </c>
      <c r="AF28">
        <f t="shared" si="24"/>
        <v>4226</v>
      </c>
      <c r="AG28">
        <f t="shared" si="25"/>
        <v>23803.75</v>
      </c>
      <c r="AH28" s="1">
        <f t="shared" si="26"/>
        <v>0.17753505225017066</v>
      </c>
      <c r="AJ28">
        <v>6</v>
      </c>
      <c r="AK28" s="1">
        <f t="shared" si="7"/>
        <v>7.2245635159542444E-3</v>
      </c>
      <c r="AL28">
        <f t="shared" si="27"/>
        <v>712</v>
      </c>
      <c r="AM28" s="1">
        <f t="shared" si="28"/>
        <v>3.6367815504846066E-2</v>
      </c>
      <c r="AN28">
        <v>15</v>
      </c>
      <c r="AO28">
        <f t="shared" si="13"/>
        <v>375</v>
      </c>
      <c r="BA28" s="7"/>
      <c r="BB28" s="7"/>
      <c r="BC28" s="7"/>
      <c r="BD28" s="7"/>
      <c r="BL28" s="46" t="s">
        <v>108</v>
      </c>
      <c r="BT28" s="7">
        <v>125</v>
      </c>
      <c r="BU28" t="s">
        <v>163</v>
      </c>
      <c r="BV28" s="7"/>
    </row>
    <row r="29" spans="1:74" x14ac:dyDescent="0.25">
      <c r="A29" s="7">
        <v>2020</v>
      </c>
      <c r="B29" s="13">
        <v>44004</v>
      </c>
      <c r="C29" s="13"/>
      <c r="D29" s="7">
        <v>26</v>
      </c>
      <c r="F29" s="5">
        <v>1.55</v>
      </c>
      <c r="G29" s="5">
        <v>0.91</v>
      </c>
      <c r="H29" s="5">
        <v>0.95</v>
      </c>
      <c r="I29" s="5">
        <v>0.66</v>
      </c>
      <c r="J29" s="6">
        <v>0.97</v>
      </c>
      <c r="L29" s="8">
        <f t="shared" si="18"/>
        <v>0.9225000000000001</v>
      </c>
      <c r="M29" s="8">
        <f t="shared" si="22"/>
        <v>0.93625000000000003</v>
      </c>
      <c r="N29" s="9">
        <v>0.95</v>
      </c>
      <c r="P29" s="1"/>
      <c r="Q29" s="1"/>
      <c r="R29" s="1"/>
      <c r="S29" s="1"/>
      <c r="T29" s="4"/>
      <c r="Z29" s="2">
        <v>742</v>
      </c>
      <c r="AA29" s="2">
        <v>182.5</v>
      </c>
      <c r="AB29" s="2">
        <f t="shared" si="0"/>
        <v>924.5</v>
      </c>
      <c r="AC29" s="1">
        <f t="shared" si="1"/>
        <v>0.19740400216333154</v>
      </c>
      <c r="AE29">
        <f t="shared" si="23"/>
        <v>20319.75</v>
      </c>
      <c r="AF29">
        <f t="shared" si="24"/>
        <v>4408.5</v>
      </c>
      <c r="AG29">
        <f t="shared" si="25"/>
        <v>24728.25</v>
      </c>
      <c r="AH29" s="1">
        <f t="shared" si="26"/>
        <v>0.17827788056170574</v>
      </c>
      <c r="AJ29">
        <v>11</v>
      </c>
      <c r="AK29" s="1">
        <f t="shared" si="7"/>
        <v>1.4824797843665768E-2</v>
      </c>
      <c r="AL29">
        <f t="shared" si="27"/>
        <v>723</v>
      </c>
      <c r="AM29" s="1">
        <f t="shared" si="28"/>
        <v>3.5581146421584914E-2</v>
      </c>
      <c r="AN29">
        <v>15</v>
      </c>
      <c r="AO29">
        <f t="shared" si="13"/>
        <v>390</v>
      </c>
      <c r="AY29" s="7">
        <v>2020</v>
      </c>
      <c r="AZ29" s="7" t="s">
        <v>49</v>
      </c>
      <c r="BA29" s="7">
        <f>SUM(BA16:BA28)+0.005</f>
        <v>5.0000000000000001E-3</v>
      </c>
      <c r="BB29" s="7">
        <f>SUM(BB16:BB28)</f>
        <v>11</v>
      </c>
      <c r="BC29" s="7">
        <f>SUM(BC16:BC28)</f>
        <v>10.01</v>
      </c>
      <c r="BD29" s="7">
        <f>SUM(BD16:BD28)</f>
        <v>20.009999999999998</v>
      </c>
      <c r="BE29" s="27">
        <f>SUM(BE16:BE28)</f>
        <v>49483.25</v>
      </c>
      <c r="BT29" s="7">
        <v>130</v>
      </c>
      <c r="BU29" t="s">
        <v>164</v>
      </c>
      <c r="BV29" s="7"/>
    </row>
    <row r="30" spans="1:74" x14ac:dyDescent="0.25">
      <c r="A30" s="7">
        <v>2020</v>
      </c>
      <c r="B30" s="13">
        <v>44011</v>
      </c>
      <c r="C30" s="13"/>
      <c r="D30" s="7">
        <v>27</v>
      </c>
      <c r="F30" s="33">
        <v>1.2</v>
      </c>
      <c r="G30" s="33">
        <v>0.9</v>
      </c>
      <c r="H30" s="33">
        <v>0.89</v>
      </c>
      <c r="I30" s="33">
        <v>0.61</v>
      </c>
      <c r="J30" s="34">
        <v>0.89</v>
      </c>
      <c r="L30" s="8">
        <f t="shared" si="18"/>
        <v>0.91750000000000009</v>
      </c>
      <c r="M30" s="8">
        <f t="shared" ref="M30:M36" si="31">AVERAGE(J23:J30)</f>
        <v>0.93374999999999997</v>
      </c>
      <c r="N30" s="35">
        <v>0.95</v>
      </c>
      <c r="P30" s="1"/>
      <c r="Q30" s="1"/>
      <c r="R30" s="1"/>
      <c r="S30" s="1"/>
      <c r="T30" s="4"/>
      <c r="Z30" s="2">
        <v>553.25</v>
      </c>
      <c r="AA30" s="2">
        <v>160</v>
      </c>
      <c r="AB30" s="2">
        <f t="shared" si="0"/>
        <v>713.25</v>
      </c>
      <c r="AC30" s="36">
        <f t="shared" si="1"/>
        <v>0.22432527164388363</v>
      </c>
      <c r="AE30">
        <f t="shared" si="23"/>
        <v>20873</v>
      </c>
      <c r="AF30">
        <f t="shared" si="24"/>
        <v>4568.5</v>
      </c>
      <c r="AG30">
        <f t="shared" si="25"/>
        <v>25441.5</v>
      </c>
      <c r="AH30" s="1">
        <f t="shared" si="26"/>
        <v>0.17956881473183578</v>
      </c>
      <c r="AJ30">
        <v>2</v>
      </c>
      <c r="AK30" s="1">
        <f t="shared" si="7"/>
        <v>3.6150022593764122E-3</v>
      </c>
      <c r="AL30">
        <f t="shared" si="27"/>
        <v>725</v>
      </c>
      <c r="AM30" s="1">
        <f t="shared" si="28"/>
        <v>3.4733866717769367E-2</v>
      </c>
      <c r="AN30">
        <v>15</v>
      </c>
      <c r="AO30">
        <f>AO29+AN30</f>
        <v>405</v>
      </c>
      <c r="AY30" s="7">
        <v>2019</v>
      </c>
      <c r="AZ30" s="7" t="s">
        <v>49</v>
      </c>
      <c r="BA30" s="7">
        <f>SUM(BA4:BA12)+0.005</f>
        <v>1.0049999999999999</v>
      </c>
      <c r="BB30" s="7">
        <f>SUM(BB4:BB12)+0.005</f>
        <v>2.0049999999999999</v>
      </c>
      <c r="BC30" s="7">
        <f>SUM(BC4:BC12)</f>
        <v>7.01</v>
      </c>
      <c r="BD30" s="7">
        <f>SUM(BD4:BD12)</f>
        <v>10.010000000000002</v>
      </c>
      <c r="BE30" s="31">
        <f>SUM(BE4:BE12)</f>
        <v>34176.5</v>
      </c>
      <c r="BL30" s="47" t="s">
        <v>4</v>
      </c>
      <c r="BM30" s="47" t="s">
        <v>100</v>
      </c>
      <c r="BN30" s="47" t="s">
        <v>101</v>
      </c>
      <c r="BO30" s="47" t="s">
        <v>109</v>
      </c>
      <c r="BT30" s="7">
        <v>135</v>
      </c>
      <c r="BU30" t="s">
        <v>165</v>
      </c>
      <c r="BV30" s="7"/>
    </row>
    <row r="31" spans="1:74" x14ac:dyDescent="0.25">
      <c r="A31" s="7">
        <v>2020</v>
      </c>
      <c r="B31" s="13">
        <v>44018</v>
      </c>
      <c r="C31" s="13"/>
      <c r="D31" s="7">
        <v>28</v>
      </c>
      <c r="F31" s="5">
        <v>1.95</v>
      </c>
      <c r="G31" s="5">
        <v>0.8</v>
      </c>
      <c r="H31" s="5">
        <v>0.94</v>
      </c>
      <c r="I31" s="5">
        <v>0.86</v>
      </c>
      <c r="J31" s="6">
        <v>0.97</v>
      </c>
      <c r="L31" s="8">
        <f t="shared" si="18"/>
        <v>0.93500000000000005</v>
      </c>
      <c r="M31" s="8">
        <f t="shared" si="31"/>
        <v>0.92999999999999994</v>
      </c>
      <c r="N31" s="9">
        <v>0.95</v>
      </c>
      <c r="P31" s="1"/>
      <c r="Q31" s="1"/>
      <c r="R31" s="1"/>
      <c r="S31" s="1"/>
      <c r="T31" s="4"/>
      <c r="Z31" s="2">
        <v>756</v>
      </c>
      <c r="AA31" s="2">
        <v>148</v>
      </c>
      <c r="AB31" s="2">
        <f t="shared" si="0"/>
        <v>904</v>
      </c>
      <c r="AC31" s="1">
        <f t="shared" si="1"/>
        <v>0.16371681415929204</v>
      </c>
      <c r="AE31">
        <f t="shared" si="23"/>
        <v>21629</v>
      </c>
      <c r="AF31">
        <f t="shared" si="24"/>
        <v>4716.5</v>
      </c>
      <c r="AG31">
        <f t="shared" si="25"/>
        <v>26345.5</v>
      </c>
      <c r="AH31" s="1">
        <f t="shared" si="26"/>
        <v>0.17902488090945323</v>
      </c>
      <c r="AJ31">
        <v>31.5</v>
      </c>
      <c r="AK31" s="1">
        <f t="shared" si="7"/>
        <v>4.1666666666666664E-2</v>
      </c>
      <c r="AL31">
        <f t="shared" si="27"/>
        <v>756.5</v>
      </c>
      <c r="AM31" s="1">
        <f t="shared" si="28"/>
        <v>3.4976189375375652E-2</v>
      </c>
      <c r="AN31">
        <v>15</v>
      </c>
      <c r="AO31">
        <f t="shared" si="13"/>
        <v>420</v>
      </c>
      <c r="BL31" s="47">
        <f>BO16</f>
        <v>99</v>
      </c>
      <c r="BM31" s="47">
        <f>BM16</f>
        <v>83</v>
      </c>
      <c r="BN31" s="47">
        <f>BN16</f>
        <v>16</v>
      </c>
      <c r="BO31" s="48">
        <f>BP16</f>
        <v>0.83838383838383834</v>
      </c>
      <c r="BT31" s="7">
        <v>140</v>
      </c>
      <c r="BU31" t="s">
        <v>166</v>
      </c>
      <c r="BV31" s="7"/>
    </row>
    <row r="32" spans="1:74" x14ac:dyDescent="0.25">
      <c r="A32" s="7">
        <v>2020</v>
      </c>
      <c r="B32" s="13">
        <v>44025</v>
      </c>
      <c r="C32" s="13" t="s">
        <v>14</v>
      </c>
      <c r="D32" s="7">
        <v>29</v>
      </c>
      <c r="F32" s="5">
        <v>1.42</v>
      </c>
      <c r="G32" s="5">
        <v>1.17</v>
      </c>
      <c r="H32" s="5">
        <v>0.82</v>
      </c>
      <c r="I32" s="5">
        <v>0.94</v>
      </c>
      <c r="J32" s="6">
        <v>1.04</v>
      </c>
      <c r="L32" s="8">
        <f t="shared" si="18"/>
        <v>0.96750000000000003</v>
      </c>
      <c r="M32" s="8">
        <f t="shared" si="31"/>
        <v>0.94</v>
      </c>
      <c r="N32" s="9">
        <v>0.95</v>
      </c>
      <c r="P32" s="1"/>
      <c r="Q32" s="1"/>
      <c r="R32" s="1"/>
      <c r="S32" s="1"/>
      <c r="T32" s="4"/>
      <c r="Z32" s="2">
        <v>558</v>
      </c>
      <c r="AA32" s="2">
        <v>170</v>
      </c>
      <c r="AB32" s="2">
        <f t="shared" si="0"/>
        <v>728</v>
      </c>
      <c r="AC32" s="1">
        <f t="shared" si="1"/>
        <v>0.23351648351648352</v>
      </c>
      <c r="AE32">
        <f t="shared" si="23"/>
        <v>22187</v>
      </c>
      <c r="AF32">
        <f t="shared" si="24"/>
        <v>4886.5</v>
      </c>
      <c r="AG32">
        <f t="shared" si="25"/>
        <v>27073.5</v>
      </c>
      <c r="AH32" s="1">
        <f t="shared" si="26"/>
        <v>0.18049014719190351</v>
      </c>
      <c r="AJ32">
        <v>14.5</v>
      </c>
      <c r="AK32" s="1">
        <f t="shared" si="7"/>
        <v>2.5985663082437275E-2</v>
      </c>
      <c r="AL32">
        <f t="shared" si="27"/>
        <v>771</v>
      </c>
      <c r="AM32" s="1">
        <f t="shared" si="28"/>
        <v>3.4750078875016903E-2</v>
      </c>
      <c r="AN32">
        <v>15</v>
      </c>
      <c r="AO32">
        <f t="shared" si="13"/>
        <v>435</v>
      </c>
      <c r="AY32" t="s">
        <v>78</v>
      </c>
      <c r="BA32" s="7">
        <f>SUM(BA12:BA23)</f>
        <v>1</v>
      </c>
      <c r="BB32" s="7">
        <f>SUM(BB12:BB23)</f>
        <v>6</v>
      </c>
      <c r="BC32" s="7">
        <f>SUM(BC12:BC23)</f>
        <v>11.024999999999999</v>
      </c>
      <c r="BD32" s="7">
        <f>SUM(BD12:BD23)</f>
        <v>18.024999999999999</v>
      </c>
      <c r="BE32" s="7">
        <f>SUM(BE8:BE19)</f>
        <v>49970.75</v>
      </c>
      <c r="BT32" s="7">
        <v>145</v>
      </c>
      <c r="BU32" t="s">
        <v>167</v>
      </c>
      <c r="BV32" s="7"/>
    </row>
    <row r="33" spans="1:74" x14ac:dyDescent="0.25">
      <c r="A33" s="7">
        <v>2020</v>
      </c>
      <c r="B33" s="13">
        <v>44032</v>
      </c>
      <c r="C33" s="13"/>
      <c r="D33" s="7">
        <v>30</v>
      </c>
      <c r="F33" s="5">
        <v>1.97</v>
      </c>
      <c r="G33" s="5">
        <v>0.89</v>
      </c>
      <c r="H33" s="5">
        <v>1.0900000000000001</v>
      </c>
      <c r="I33" s="5">
        <v>0.74</v>
      </c>
      <c r="J33" s="6">
        <v>0.99</v>
      </c>
      <c r="L33" s="8">
        <f t="shared" si="18"/>
        <v>0.97249999999999992</v>
      </c>
      <c r="M33" s="8">
        <f t="shared" si="31"/>
        <v>0.94750000000000001</v>
      </c>
      <c r="N33" s="9">
        <v>0.95</v>
      </c>
      <c r="P33" s="1"/>
      <c r="Q33" s="1"/>
      <c r="R33" s="1"/>
      <c r="S33" s="1"/>
      <c r="T33" s="4"/>
      <c r="Z33" s="2">
        <v>690.5</v>
      </c>
      <c r="AA33" s="2">
        <v>190.5</v>
      </c>
      <c r="AB33" s="2">
        <f t="shared" si="0"/>
        <v>881</v>
      </c>
      <c r="AC33" s="1">
        <f t="shared" si="1"/>
        <v>0.21623155505107833</v>
      </c>
      <c r="AE33">
        <f t="shared" si="23"/>
        <v>22877.5</v>
      </c>
      <c r="AF33">
        <f t="shared" si="24"/>
        <v>5077</v>
      </c>
      <c r="AG33">
        <f t="shared" si="25"/>
        <v>27954.5</v>
      </c>
      <c r="AH33" s="1">
        <f t="shared" si="26"/>
        <v>0.18161655547407393</v>
      </c>
      <c r="AJ33">
        <v>21.5</v>
      </c>
      <c r="AK33" s="1">
        <f t="shared" si="7"/>
        <v>3.1136857349746562E-2</v>
      </c>
      <c r="AL33">
        <f t="shared" si="27"/>
        <v>792.5</v>
      </c>
      <c r="AM33" s="1">
        <f t="shared" si="28"/>
        <v>3.4641022839033989E-2</v>
      </c>
      <c r="AN33">
        <v>15</v>
      </c>
      <c r="AO33">
        <f t="shared" si="13"/>
        <v>450</v>
      </c>
      <c r="BT33" s="7">
        <v>147</v>
      </c>
      <c r="BU33" t="s">
        <v>168</v>
      </c>
      <c r="BV33" s="7"/>
    </row>
    <row r="34" spans="1:74" x14ac:dyDescent="0.25">
      <c r="A34" s="7">
        <v>2020</v>
      </c>
      <c r="B34" s="13">
        <v>44039</v>
      </c>
      <c r="C34" s="13"/>
      <c r="D34" s="7">
        <v>31</v>
      </c>
      <c r="F34" s="5">
        <v>1.75</v>
      </c>
      <c r="G34" s="5">
        <v>0.87</v>
      </c>
      <c r="H34" s="5">
        <v>0.85</v>
      </c>
      <c r="I34" s="5">
        <v>0.78</v>
      </c>
      <c r="J34" s="6">
        <v>0.9</v>
      </c>
      <c r="L34" s="8">
        <f t="shared" si="18"/>
        <v>0.97499999999999998</v>
      </c>
      <c r="M34" s="8">
        <f t="shared" si="31"/>
        <v>0.94625000000000015</v>
      </c>
      <c r="N34" s="9">
        <v>0.95</v>
      </c>
      <c r="P34" s="1"/>
      <c r="Q34" s="1"/>
      <c r="R34" s="1"/>
      <c r="S34" s="1"/>
      <c r="T34" s="4"/>
      <c r="Z34" s="2">
        <v>675</v>
      </c>
      <c r="AA34" s="2">
        <v>211</v>
      </c>
      <c r="AB34" s="2">
        <f t="shared" si="0"/>
        <v>886</v>
      </c>
      <c r="AC34" s="1">
        <f t="shared" si="1"/>
        <v>0.23814898419864561</v>
      </c>
      <c r="AE34">
        <f t="shared" si="23"/>
        <v>23552.5</v>
      </c>
      <c r="AF34">
        <f t="shared" si="24"/>
        <v>5288</v>
      </c>
      <c r="AG34">
        <f t="shared" si="25"/>
        <v>28840.5</v>
      </c>
      <c r="AH34" s="1">
        <f t="shared" si="26"/>
        <v>0.1833532705743659</v>
      </c>
      <c r="AJ34">
        <v>10</v>
      </c>
      <c r="AK34" s="1">
        <f t="shared" si="7"/>
        <v>1.4814814814814815E-2</v>
      </c>
      <c r="AL34">
        <f t="shared" si="27"/>
        <v>802.5</v>
      </c>
      <c r="AM34" s="1">
        <f t="shared" si="28"/>
        <v>3.4072816049251671E-2</v>
      </c>
      <c r="AN34">
        <v>15</v>
      </c>
      <c r="AO34">
        <f t="shared" si="13"/>
        <v>465</v>
      </c>
      <c r="BT34" s="7">
        <v>150</v>
      </c>
      <c r="BU34" t="s">
        <v>169</v>
      </c>
      <c r="BV34" s="7"/>
    </row>
    <row r="35" spans="1:74" x14ac:dyDescent="0.25">
      <c r="A35" s="7">
        <v>2020</v>
      </c>
      <c r="B35" s="13">
        <v>44046</v>
      </c>
      <c r="C35" s="13"/>
      <c r="D35" s="7">
        <v>32</v>
      </c>
      <c r="F35" s="5">
        <v>0.37</v>
      </c>
      <c r="G35" s="5">
        <v>0.79</v>
      </c>
      <c r="H35" s="5">
        <v>0.95</v>
      </c>
      <c r="I35" s="5">
        <v>0.47</v>
      </c>
      <c r="J35" s="6">
        <v>0.75</v>
      </c>
      <c r="L35" s="8">
        <f t="shared" si="18"/>
        <v>0.92</v>
      </c>
      <c r="M35" s="8">
        <f t="shared" si="31"/>
        <v>0.9275000000000001</v>
      </c>
      <c r="N35" s="9">
        <v>0.95</v>
      </c>
      <c r="P35" s="1"/>
      <c r="Q35" s="1"/>
      <c r="R35" s="1"/>
      <c r="S35" s="1"/>
      <c r="T35" s="4"/>
      <c r="Z35" s="2">
        <v>764.5</v>
      </c>
      <c r="AA35" s="2">
        <v>187</v>
      </c>
      <c r="AB35" s="2">
        <f t="shared" si="0"/>
        <v>951.5</v>
      </c>
      <c r="AC35" s="1">
        <f t="shared" si="1"/>
        <v>0.19653179190751446</v>
      </c>
      <c r="AE35">
        <f t="shared" si="23"/>
        <v>24317</v>
      </c>
      <c r="AF35">
        <f t="shared" si="24"/>
        <v>5475</v>
      </c>
      <c r="AG35">
        <f t="shared" si="25"/>
        <v>29792</v>
      </c>
      <c r="AH35" s="1">
        <f t="shared" si="26"/>
        <v>0.18377416756176154</v>
      </c>
      <c r="AJ35">
        <v>5.5</v>
      </c>
      <c r="AK35" s="1">
        <f t="shared" si="7"/>
        <v>7.1942446043165471E-3</v>
      </c>
      <c r="AL35">
        <f t="shared" si="27"/>
        <v>808</v>
      </c>
      <c r="AM35" s="1">
        <f t="shared" si="28"/>
        <v>3.3227783032446438E-2</v>
      </c>
      <c r="AN35">
        <v>15</v>
      </c>
      <c r="AO35">
        <f t="shared" si="13"/>
        <v>480</v>
      </c>
      <c r="BT35" s="7">
        <v>155</v>
      </c>
      <c r="BU35" t="s">
        <v>170</v>
      </c>
      <c r="BV35" s="7"/>
    </row>
    <row r="36" spans="1:74" x14ac:dyDescent="0.25">
      <c r="A36" s="7">
        <v>2020</v>
      </c>
      <c r="B36" s="13">
        <v>44053</v>
      </c>
      <c r="C36" s="13" t="s">
        <v>15</v>
      </c>
      <c r="D36" s="7">
        <v>33</v>
      </c>
      <c r="F36" s="5">
        <v>0.81</v>
      </c>
      <c r="G36" s="5">
        <v>0.8</v>
      </c>
      <c r="H36" s="5">
        <v>1.18</v>
      </c>
      <c r="I36" s="5">
        <v>0.75</v>
      </c>
      <c r="J36" s="6">
        <v>0.88</v>
      </c>
      <c r="L36" s="8">
        <f t="shared" si="18"/>
        <v>0.88</v>
      </c>
      <c r="M36" s="8">
        <f t="shared" si="31"/>
        <v>0.92375000000000007</v>
      </c>
      <c r="N36" s="9">
        <v>0.95</v>
      </c>
      <c r="P36" s="1"/>
      <c r="Q36" s="1"/>
      <c r="R36" s="1"/>
      <c r="S36" s="1"/>
      <c r="T36" s="4"/>
      <c r="Z36" s="2">
        <v>787.5</v>
      </c>
      <c r="AA36" s="2">
        <v>241.25</v>
      </c>
      <c r="AB36" s="2">
        <f t="shared" si="0"/>
        <v>1028.75</v>
      </c>
      <c r="AC36" s="1">
        <f t="shared" si="1"/>
        <v>0.23450789793438639</v>
      </c>
      <c r="AE36">
        <f t="shared" si="23"/>
        <v>25104.5</v>
      </c>
      <c r="AF36">
        <f t="shared" si="24"/>
        <v>5716.25</v>
      </c>
      <c r="AG36">
        <f t="shared" si="25"/>
        <v>30820.75</v>
      </c>
      <c r="AH36" s="1">
        <f t="shared" si="26"/>
        <v>0.18546758271618957</v>
      </c>
      <c r="AJ36">
        <v>12.5</v>
      </c>
      <c r="AK36" s="1">
        <f t="shared" si="7"/>
        <v>1.5873015873015872E-2</v>
      </c>
      <c r="AL36">
        <f t="shared" si="27"/>
        <v>820.5</v>
      </c>
      <c r="AM36" s="1">
        <f t="shared" si="28"/>
        <v>3.2683383457149114E-2</v>
      </c>
      <c r="AN36">
        <v>15</v>
      </c>
      <c r="AO36">
        <f t="shared" si="13"/>
        <v>495</v>
      </c>
      <c r="BT36" s="7">
        <v>160</v>
      </c>
      <c r="BU36" t="s">
        <v>171</v>
      </c>
      <c r="BV36" s="7"/>
    </row>
    <row r="37" spans="1:74" x14ac:dyDescent="0.25">
      <c r="A37" s="7">
        <v>2020</v>
      </c>
      <c r="B37" s="13">
        <v>44060</v>
      </c>
      <c r="C37" s="13"/>
      <c r="D37" s="7">
        <v>34</v>
      </c>
      <c r="F37" s="5">
        <v>0.98</v>
      </c>
      <c r="G37" s="5">
        <v>0.8</v>
      </c>
      <c r="H37" s="5">
        <v>0.92</v>
      </c>
      <c r="I37" s="5">
        <v>0.82</v>
      </c>
      <c r="J37" s="6">
        <v>0.86</v>
      </c>
      <c r="L37" s="8">
        <f t="shared" si="18"/>
        <v>0.84749999999999992</v>
      </c>
      <c r="M37" s="8">
        <f t="shared" ref="M37:M56" si="32">AVERAGE(J30:J37)</f>
        <v>0.91</v>
      </c>
      <c r="N37" s="9">
        <v>0.95</v>
      </c>
      <c r="P37" s="1"/>
      <c r="Q37" s="1"/>
      <c r="R37" s="1"/>
      <c r="S37" s="1"/>
      <c r="T37" s="4"/>
      <c r="Z37" s="2">
        <v>754.5</v>
      </c>
      <c r="AA37" s="2">
        <v>234.75</v>
      </c>
      <c r="AB37" s="2">
        <f t="shared" si="0"/>
        <v>989.25</v>
      </c>
      <c r="AC37" s="1">
        <f t="shared" si="1"/>
        <v>0.23730098559514784</v>
      </c>
      <c r="AE37">
        <f t="shared" si="23"/>
        <v>25859</v>
      </c>
      <c r="AF37">
        <f t="shared" si="24"/>
        <v>5951</v>
      </c>
      <c r="AG37">
        <f t="shared" si="25"/>
        <v>31810</v>
      </c>
      <c r="AH37" s="1">
        <f t="shared" si="26"/>
        <v>0.18707953473750394</v>
      </c>
      <c r="AJ37">
        <v>26</v>
      </c>
      <c r="AK37" s="1">
        <f t="shared" si="7"/>
        <v>3.4459907223326709E-2</v>
      </c>
      <c r="AL37">
        <f t="shared" si="27"/>
        <v>846.5</v>
      </c>
      <c r="AM37" s="1">
        <f t="shared" si="28"/>
        <v>3.2735217912525622E-2</v>
      </c>
      <c r="AN37">
        <v>15</v>
      </c>
      <c r="AO37">
        <f t="shared" si="13"/>
        <v>510</v>
      </c>
      <c r="BT37" s="7">
        <v>165</v>
      </c>
      <c r="BU37" t="s">
        <v>172</v>
      </c>
      <c r="BV37" s="7"/>
    </row>
    <row r="38" spans="1:74" x14ac:dyDescent="0.25">
      <c r="A38" s="7">
        <v>2020</v>
      </c>
      <c r="B38" s="13">
        <v>44067</v>
      </c>
      <c r="C38" s="13"/>
      <c r="D38" s="7">
        <v>35</v>
      </c>
      <c r="F38" s="5">
        <v>0.85</v>
      </c>
      <c r="G38" s="5">
        <v>0.94</v>
      </c>
      <c r="H38" s="5">
        <v>1.03</v>
      </c>
      <c r="I38" s="5">
        <v>0.6</v>
      </c>
      <c r="J38" s="6">
        <v>0.94</v>
      </c>
      <c r="L38" s="8">
        <f t="shared" si="18"/>
        <v>0.85749999999999993</v>
      </c>
      <c r="M38" s="8">
        <f t="shared" si="32"/>
        <v>0.91625000000000001</v>
      </c>
      <c r="N38" s="9">
        <v>0.95</v>
      </c>
      <c r="P38" s="1"/>
      <c r="Q38" s="1"/>
      <c r="R38" s="1"/>
      <c r="S38" s="1"/>
      <c r="T38" s="4"/>
      <c r="Z38" s="2">
        <v>788</v>
      </c>
      <c r="AA38" s="2">
        <v>274.5</v>
      </c>
      <c r="AB38" s="2">
        <f t="shared" si="0"/>
        <v>1062.5</v>
      </c>
      <c r="AC38" s="1">
        <f t="shared" si="1"/>
        <v>0.25835294117647056</v>
      </c>
      <c r="AE38">
        <f t="shared" si="23"/>
        <v>26647</v>
      </c>
      <c r="AF38">
        <f t="shared" si="24"/>
        <v>6225.5</v>
      </c>
      <c r="AG38">
        <f t="shared" si="25"/>
        <v>32872.5</v>
      </c>
      <c r="AH38" s="1">
        <f t="shared" si="26"/>
        <v>0.18938322305878774</v>
      </c>
      <c r="AJ38">
        <v>6.5</v>
      </c>
      <c r="AK38" s="1">
        <f t="shared" si="7"/>
        <v>8.2487309644670055E-3</v>
      </c>
      <c r="AL38">
        <f t="shared" si="27"/>
        <v>853</v>
      </c>
      <c r="AM38" s="1">
        <f t="shared" si="28"/>
        <v>3.2011108192291818E-2</v>
      </c>
      <c r="AN38">
        <v>15</v>
      </c>
      <c r="AO38">
        <f t="shared" si="13"/>
        <v>525</v>
      </c>
      <c r="BT38" s="7">
        <v>170</v>
      </c>
      <c r="BU38" t="s">
        <v>173</v>
      </c>
      <c r="BV38" s="7"/>
    </row>
    <row r="39" spans="1:74" x14ac:dyDescent="0.25">
      <c r="A39" s="7">
        <v>2020</v>
      </c>
      <c r="B39" s="13">
        <v>44074</v>
      </c>
      <c r="C39" s="13"/>
      <c r="D39" s="7">
        <v>36</v>
      </c>
      <c r="F39" s="5">
        <v>0.75</v>
      </c>
      <c r="G39" s="5">
        <v>0.76</v>
      </c>
      <c r="H39" s="5">
        <v>0.94</v>
      </c>
      <c r="I39" s="5">
        <v>0.6</v>
      </c>
      <c r="J39" s="6">
        <v>0.83</v>
      </c>
      <c r="L39" s="8">
        <f t="shared" si="18"/>
        <v>0.87749999999999995</v>
      </c>
      <c r="M39" s="8">
        <f t="shared" si="32"/>
        <v>0.89875000000000016</v>
      </c>
      <c r="N39" s="9">
        <v>0.95</v>
      </c>
      <c r="P39" s="1"/>
      <c r="Q39" s="1"/>
      <c r="R39" s="1"/>
      <c r="S39" s="1"/>
      <c r="T39" s="4"/>
      <c r="Z39" s="2">
        <v>746.5</v>
      </c>
      <c r="AA39" s="2">
        <v>220</v>
      </c>
      <c r="AB39" s="2">
        <f t="shared" si="0"/>
        <v>966.5</v>
      </c>
      <c r="AC39" s="1">
        <f t="shared" si="1"/>
        <v>0.22762545266425246</v>
      </c>
      <c r="AE39">
        <f t="shared" si="23"/>
        <v>27393.5</v>
      </c>
      <c r="AF39">
        <f t="shared" si="24"/>
        <v>6445.5</v>
      </c>
      <c r="AG39">
        <f t="shared" si="25"/>
        <v>33839</v>
      </c>
      <c r="AH39" s="1">
        <f t="shared" si="26"/>
        <v>0.19047548686426904</v>
      </c>
      <c r="AJ39">
        <v>17</v>
      </c>
      <c r="AK39" s="1">
        <f t="shared" si="7"/>
        <v>2.277294038847957E-2</v>
      </c>
      <c r="AL39">
        <f t="shared" si="27"/>
        <v>870</v>
      </c>
      <c r="AM39" s="1">
        <f t="shared" si="28"/>
        <v>3.1759358972018911E-2</v>
      </c>
      <c r="AN39">
        <v>15</v>
      </c>
      <c r="AO39">
        <f t="shared" si="13"/>
        <v>540</v>
      </c>
      <c r="BT39" s="7">
        <v>175</v>
      </c>
      <c r="BU39" t="s">
        <v>174</v>
      </c>
      <c r="BV39" s="7"/>
    </row>
    <row r="40" spans="1:74" x14ac:dyDescent="0.25">
      <c r="A40" s="7">
        <v>2020</v>
      </c>
      <c r="B40" s="13">
        <v>44081</v>
      </c>
      <c r="C40" s="13"/>
      <c r="D40" s="7">
        <v>37</v>
      </c>
      <c r="F40" s="5">
        <v>1.21</v>
      </c>
      <c r="G40" s="5">
        <v>0.66</v>
      </c>
      <c r="H40" s="5">
        <v>0.74</v>
      </c>
      <c r="I40" s="5">
        <v>0.67</v>
      </c>
      <c r="J40" s="6">
        <v>0.75</v>
      </c>
      <c r="L40" s="8">
        <f t="shared" si="18"/>
        <v>0.84499999999999997</v>
      </c>
      <c r="M40" s="8">
        <f t="shared" si="32"/>
        <v>0.86250000000000004</v>
      </c>
      <c r="N40" s="9">
        <v>0.95</v>
      </c>
      <c r="P40" s="1"/>
      <c r="Q40" s="1"/>
      <c r="R40" s="1"/>
      <c r="S40" s="1"/>
      <c r="T40" s="4"/>
      <c r="Z40" s="2">
        <v>649</v>
      </c>
      <c r="AA40" s="2">
        <v>198</v>
      </c>
      <c r="AB40" s="2">
        <f t="shared" si="0"/>
        <v>847</v>
      </c>
      <c r="AC40" s="1">
        <f t="shared" si="1"/>
        <v>0.23376623376623376</v>
      </c>
      <c r="AE40">
        <f t="shared" si="23"/>
        <v>28042.5</v>
      </c>
      <c r="AF40">
        <f t="shared" si="24"/>
        <v>6643.5</v>
      </c>
      <c r="AG40">
        <f t="shared" si="25"/>
        <v>34686</v>
      </c>
      <c r="AH40" s="1">
        <f t="shared" si="26"/>
        <v>0.19153260681542986</v>
      </c>
      <c r="AJ40">
        <v>15.5</v>
      </c>
      <c r="AK40" s="1">
        <f t="shared" si="7"/>
        <v>2.3882896764252697E-2</v>
      </c>
      <c r="AL40">
        <f t="shared" si="27"/>
        <v>885.5</v>
      </c>
      <c r="AM40" s="1">
        <f t="shared" si="28"/>
        <v>3.1577070517963803E-2</v>
      </c>
      <c r="AN40">
        <v>15</v>
      </c>
      <c r="AO40">
        <f t="shared" si="13"/>
        <v>555</v>
      </c>
      <c r="BT40" s="7">
        <v>180</v>
      </c>
      <c r="BU40" t="s">
        <v>175</v>
      </c>
      <c r="BV40" s="7"/>
    </row>
    <row r="41" spans="1:74" x14ac:dyDescent="0.25">
      <c r="A41" s="7">
        <v>2020</v>
      </c>
      <c r="B41" s="13">
        <v>44088</v>
      </c>
      <c r="C41" s="13" t="s">
        <v>16</v>
      </c>
      <c r="D41" s="7">
        <v>38</v>
      </c>
      <c r="F41" s="5">
        <v>0.56000000000000005</v>
      </c>
      <c r="G41" s="5">
        <v>0.83</v>
      </c>
      <c r="H41" s="5">
        <v>0.75</v>
      </c>
      <c r="I41" s="5">
        <v>0.75</v>
      </c>
      <c r="J41" s="6">
        <v>0.8</v>
      </c>
      <c r="L41" s="8">
        <f t="shared" si="18"/>
        <v>0.83000000000000007</v>
      </c>
      <c r="M41" s="8">
        <f t="shared" si="32"/>
        <v>0.83875</v>
      </c>
      <c r="N41" s="9">
        <v>0.95</v>
      </c>
      <c r="P41" s="1"/>
      <c r="Q41" s="1"/>
      <c r="R41" s="1"/>
      <c r="S41" s="1"/>
      <c r="T41" s="4"/>
      <c r="Z41" s="2">
        <v>917.25</v>
      </c>
      <c r="AA41" s="2">
        <v>246</v>
      </c>
      <c r="AB41" s="2">
        <f t="shared" si="0"/>
        <v>1163.25</v>
      </c>
      <c r="AC41" s="1">
        <f t="shared" si="1"/>
        <v>0.21147646679561574</v>
      </c>
      <c r="AE41">
        <f t="shared" si="23"/>
        <v>28959.75</v>
      </c>
      <c r="AF41">
        <f t="shared" si="24"/>
        <v>6889.5</v>
      </c>
      <c r="AG41">
        <f t="shared" si="25"/>
        <v>35849.25</v>
      </c>
      <c r="AH41" s="1">
        <f t="shared" si="26"/>
        <v>0.19217975271449195</v>
      </c>
      <c r="AJ41">
        <v>11</v>
      </c>
      <c r="AK41" s="1">
        <f t="shared" si="7"/>
        <v>1.1992368492777324E-2</v>
      </c>
      <c r="AL41">
        <f t="shared" si="27"/>
        <v>896.5</v>
      </c>
      <c r="AM41" s="1">
        <f t="shared" si="28"/>
        <v>3.0956758949921875E-2</v>
      </c>
      <c r="AN41">
        <v>15</v>
      </c>
      <c r="AO41">
        <f t="shared" si="13"/>
        <v>570</v>
      </c>
      <c r="BT41" s="7">
        <v>185</v>
      </c>
      <c r="BU41" t="s">
        <v>176</v>
      </c>
      <c r="BV41" s="7"/>
    </row>
    <row r="42" spans="1:74" x14ac:dyDescent="0.25">
      <c r="A42" s="7">
        <v>2020</v>
      </c>
      <c r="B42" s="13">
        <v>44095</v>
      </c>
      <c r="C42" s="13"/>
      <c r="D42" s="7">
        <v>39</v>
      </c>
      <c r="F42" s="5">
        <v>1.05</v>
      </c>
      <c r="G42" s="5">
        <v>0.86</v>
      </c>
      <c r="H42" s="5">
        <v>0.94</v>
      </c>
      <c r="I42" s="5">
        <v>0</v>
      </c>
      <c r="J42" s="6">
        <v>0.9</v>
      </c>
      <c r="L42" s="8">
        <f t="shared" si="18"/>
        <v>0.82</v>
      </c>
      <c r="M42" s="8">
        <f t="shared" si="32"/>
        <v>0.83875</v>
      </c>
      <c r="N42" s="9">
        <v>0.95</v>
      </c>
      <c r="P42" s="1"/>
      <c r="Q42" s="1"/>
      <c r="R42" s="1"/>
      <c r="S42" s="1"/>
      <c r="T42" s="4"/>
      <c r="Z42" s="2">
        <v>801</v>
      </c>
      <c r="AA42" s="2">
        <v>266</v>
      </c>
      <c r="AB42" s="2">
        <f t="shared" si="0"/>
        <v>1067</v>
      </c>
      <c r="AC42" s="1">
        <f t="shared" si="1"/>
        <v>0.24929709465791941</v>
      </c>
      <c r="AE42">
        <f t="shared" si="23"/>
        <v>29760.75</v>
      </c>
      <c r="AF42">
        <f t="shared" si="24"/>
        <v>7155.5</v>
      </c>
      <c r="AG42">
        <f t="shared" si="25"/>
        <v>36916.25</v>
      </c>
      <c r="AH42" s="1">
        <f t="shared" si="26"/>
        <v>0.19383063014255239</v>
      </c>
      <c r="AJ42">
        <v>2</v>
      </c>
      <c r="AK42" s="1">
        <f t="shared" si="7"/>
        <v>2.4968789013732834E-3</v>
      </c>
      <c r="AL42">
        <f t="shared" si="27"/>
        <v>898.5</v>
      </c>
      <c r="AM42" s="1">
        <f t="shared" si="28"/>
        <v>3.0190771401930393E-2</v>
      </c>
      <c r="AN42">
        <v>15</v>
      </c>
      <c r="AO42">
        <f t="shared" si="13"/>
        <v>585</v>
      </c>
      <c r="BT42" s="7">
        <v>200</v>
      </c>
      <c r="BU42" t="s">
        <v>177</v>
      </c>
      <c r="BV42" s="7"/>
    </row>
    <row r="43" spans="1:74" x14ac:dyDescent="0.25">
      <c r="A43" s="7">
        <v>2020</v>
      </c>
      <c r="B43" s="13">
        <v>44102</v>
      </c>
      <c r="C43" s="13"/>
      <c r="D43" s="7">
        <v>40</v>
      </c>
      <c r="F43" s="5">
        <v>0.84</v>
      </c>
      <c r="G43" s="5">
        <v>0.74</v>
      </c>
      <c r="H43" s="5">
        <v>0.9</v>
      </c>
      <c r="I43" s="5">
        <v>0</v>
      </c>
      <c r="J43" s="6">
        <v>0.8</v>
      </c>
      <c r="L43" s="8">
        <f t="shared" si="18"/>
        <v>0.8125</v>
      </c>
      <c r="M43" s="8">
        <f t="shared" si="32"/>
        <v>0.84499999999999997</v>
      </c>
      <c r="N43" s="9">
        <v>0.95</v>
      </c>
      <c r="P43" s="1"/>
      <c r="Q43" s="1"/>
      <c r="R43" s="1"/>
      <c r="S43" s="1"/>
      <c r="T43" s="4"/>
      <c r="Z43" s="2">
        <v>765.75</v>
      </c>
      <c r="AA43" s="2">
        <v>326.5</v>
      </c>
      <c r="AB43" s="2">
        <f t="shared" si="0"/>
        <v>1092.25</v>
      </c>
      <c r="AC43" s="1">
        <f t="shared" si="1"/>
        <v>0.29892423895628289</v>
      </c>
      <c r="AE43">
        <f t="shared" si="23"/>
        <v>30526.5</v>
      </c>
      <c r="AF43">
        <f t="shared" si="24"/>
        <v>7482</v>
      </c>
      <c r="AG43">
        <f t="shared" si="25"/>
        <v>38008.5</v>
      </c>
      <c r="AH43" s="1">
        <f t="shared" si="26"/>
        <v>0.19685070444768935</v>
      </c>
      <c r="AJ43">
        <v>45</v>
      </c>
      <c r="AK43" s="1">
        <f t="shared" ref="AK43:AK56" si="33">AJ43/Z43</f>
        <v>5.8765915768854066E-2</v>
      </c>
      <c r="AL43">
        <f t="shared" si="27"/>
        <v>943.5</v>
      </c>
      <c r="AM43" s="1">
        <f t="shared" si="28"/>
        <v>3.090757210947865E-2</v>
      </c>
      <c r="AN43">
        <v>15</v>
      </c>
      <c r="AO43">
        <f t="shared" si="13"/>
        <v>600</v>
      </c>
      <c r="BT43" s="7">
        <v>205</v>
      </c>
      <c r="BU43" t="s">
        <v>178</v>
      </c>
      <c r="BV43" s="7"/>
    </row>
    <row r="44" spans="1:74" x14ac:dyDescent="0.25">
      <c r="A44" s="7">
        <v>2020</v>
      </c>
      <c r="B44" s="13">
        <v>44109</v>
      </c>
      <c r="C44" s="13"/>
      <c r="D44" s="7">
        <v>41</v>
      </c>
      <c r="F44" s="5">
        <v>0.72</v>
      </c>
      <c r="G44" s="5">
        <v>0.63</v>
      </c>
      <c r="H44" s="5">
        <v>0.91</v>
      </c>
      <c r="I44" s="5">
        <v>0</v>
      </c>
      <c r="J44" s="6">
        <v>0.73</v>
      </c>
      <c r="L44" s="8">
        <f t="shared" si="18"/>
        <v>0.8075</v>
      </c>
      <c r="M44" s="8">
        <f t="shared" si="32"/>
        <v>0.82624999999999993</v>
      </c>
      <c r="N44" s="9">
        <v>0.95</v>
      </c>
      <c r="P44" s="1"/>
      <c r="Q44" s="1"/>
      <c r="R44" s="1"/>
      <c r="S44" s="1"/>
      <c r="T44" s="4"/>
      <c r="Z44" s="2">
        <v>859.75</v>
      </c>
      <c r="AA44" s="2">
        <v>280.25</v>
      </c>
      <c r="AB44" s="2">
        <f t="shared" si="0"/>
        <v>1140</v>
      </c>
      <c r="AC44" s="1">
        <f t="shared" si="1"/>
        <v>0.24583333333333332</v>
      </c>
      <c r="AE44">
        <f t="shared" si="23"/>
        <v>31386.25</v>
      </c>
      <c r="AF44">
        <f t="shared" si="24"/>
        <v>7762.25</v>
      </c>
      <c r="AG44">
        <f t="shared" si="25"/>
        <v>39148.5</v>
      </c>
      <c r="AH44" s="1">
        <f t="shared" si="26"/>
        <v>0.19827707319565246</v>
      </c>
      <c r="AJ44">
        <v>35</v>
      </c>
      <c r="AK44" s="1">
        <f t="shared" si="33"/>
        <v>4.0709508578075024E-2</v>
      </c>
      <c r="AL44">
        <f t="shared" si="27"/>
        <v>978.5</v>
      </c>
      <c r="AM44" s="1">
        <f t="shared" si="28"/>
        <v>3.1176072324664465E-2</v>
      </c>
      <c r="AN44">
        <v>15</v>
      </c>
      <c r="AO44">
        <f t="shared" si="13"/>
        <v>615</v>
      </c>
      <c r="BT44" s="7">
        <v>210</v>
      </c>
      <c r="BU44" t="s">
        <v>179</v>
      </c>
      <c r="BV44" s="7"/>
    </row>
    <row r="45" spans="1:74" ht="15.75" customHeight="1" x14ac:dyDescent="0.25">
      <c r="A45" s="7">
        <v>2020</v>
      </c>
      <c r="B45" s="13">
        <v>44116</v>
      </c>
      <c r="C45" s="13" t="s">
        <v>17</v>
      </c>
      <c r="D45" s="7">
        <v>42</v>
      </c>
      <c r="F45" s="5">
        <v>0.99</v>
      </c>
      <c r="G45" s="5">
        <v>0.62</v>
      </c>
      <c r="H45" s="5">
        <v>1.2</v>
      </c>
      <c r="I45" s="5">
        <v>1</v>
      </c>
      <c r="J45" s="6">
        <v>0.81</v>
      </c>
      <c r="L45" s="8">
        <f t="shared" si="18"/>
        <v>0.81</v>
      </c>
      <c r="M45" s="8">
        <f t="shared" si="32"/>
        <v>0.82000000000000006</v>
      </c>
      <c r="N45" s="9">
        <v>0.95</v>
      </c>
      <c r="P45" s="1"/>
      <c r="Q45" s="1"/>
      <c r="R45" s="1"/>
      <c r="S45" s="1"/>
      <c r="T45" s="4"/>
      <c r="Z45" s="2">
        <v>803.75</v>
      </c>
      <c r="AA45" s="2">
        <v>245.25</v>
      </c>
      <c r="AB45" s="2">
        <f t="shared" si="0"/>
        <v>1049</v>
      </c>
      <c r="AC45" s="1">
        <f t="shared" si="1"/>
        <v>0.23379408960915157</v>
      </c>
      <c r="AE45">
        <f t="shared" si="23"/>
        <v>32190</v>
      </c>
      <c r="AF45">
        <f t="shared" si="24"/>
        <v>8007.5</v>
      </c>
      <c r="AG45">
        <f t="shared" si="25"/>
        <v>40197.5</v>
      </c>
      <c r="AH45" s="1">
        <f t="shared" si="26"/>
        <v>0.19920393059269856</v>
      </c>
      <c r="AJ45">
        <v>50</v>
      </c>
      <c r="AK45" s="1">
        <f t="shared" si="33"/>
        <v>6.2208398133748059E-2</v>
      </c>
      <c r="AL45">
        <f t="shared" si="27"/>
        <v>1028.5</v>
      </c>
      <c r="AM45" s="1">
        <f t="shared" si="28"/>
        <v>3.1950916433675057E-2</v>
      </c>
      <c r="AN45">
        <v>15</v>
      </c>
      <c r="AO45">
        <f t="shared" si="13"/>
        <v>630</v>
      </c>
      <c r="BT45" s="7">
        <v>215</v>
      </c>
      <c r="BU45" t="s">
        <v>180</v>
      </c>
      <c r="BV45" s="7"/>
    </row>
    <row r="46" spans="1:74" x14ac:dyDescent="0.25">
      <c r="A46" s="7">
        <v>2020</v>
      </c>
      <c r="B46" s="13">
        <v>44123</v>
      </c>
      <c r="C46" s="13"/>
      <c r="D46" s="7">
        <v>43</v>
      </c>
      <c r="F46" s="5">
        <v>0.77</v>
      </c>
      <c r="G46" s="5">
        <v>0.73</v>
      </c>
      <c r="H46" s="5">
        <v>0.98</v>
      </c>
      <c r="I46" s="5">
        <v>1</v>
      </c>
      <c r="J46" s="6">
        <v>0.82</v>
      </c>
      <c r="L46" s="8">
        <f t="shared" si="18"/>
        <v>0.78999999999999992</v>
      </c>
      <c r="M46" s="8">
        <f t="shared" si="32"/>
        <v>0.80500000000000016</v>
      </c>
      <c r="N46" s="9">
        <v>0.95</v>
      </c>
      <c r="P46" s="1"/>
      <c r="Q46" s="1"/>
      <c r="R46" s="1"/>
      <c r="S46" s="1"/>
      <c r="T46" s="4"/>
      <c r="Z46" s="2">
        <v>856.75</v>
      </c>
      <c r="AA46" s="2">
        <v>288.5</v>
      </c>
      <c r="AB46" s="2">
        <f t="shared" si="0"/>
        <v>1145.25</v>
      </c>
      <c r="AC46" s="1">
        <f t="shared" si="1"/>
        <v>0.25191006330495525</v>
      </c>
      <c r="AE46">
        <f t="shared" si="23"/>
        <v>33046.75</v>
      </c>
      <c r="AF46">
        <f t="shared" si="24"/>
        <v>8296</v>
      </c>
      <c r="AG46">
        <f t="shared" si="25"/>
        <v>41342.75</v>
      </c>
      <c r="AH46" s="1">
        <f t="shared" si="26"/>
        <v>0.20066396163777203</v>
      </c>
      <c r="AJ46">
        <v>89.25</v>
      </c>
      <c r="AK46" s="1">
        <f t="shared" si="33"/>
        <v>0.10417274584184417</v>
      </c>
      <c r="AL46">
        <f t="shared" si="27"/>
        <v>1117.75</v>
      </c>
      <c r="AM46" s="1">
        <f t="shared" si="28"/>
        <v>3.3823295785515975E-2</v>
      </c>
      <c r="AN46">
        <v>15</v>
      </c>
      <c r="AO46">
        <f t="shared" si="13"/>
        <v>645</v>
      </c>
      <c r="BT46" s="7">
        <v>220</v>
      </c>
      <c r="BU46" t="s">
        <v>181</v>
      </c>
      <c r="BV46" s="7"/>
    </row>
    <row r="47" spans="1:74" x14ac:dyDescent="0.25">
      <c r="A47" s="7">
        <v>2020</v>
      </c>
      <c r="B47" s="13">
        <v>44130</v>
      </c>
      <c r="C47" s="13"/>
      <c r="D47" s="7">
        <v>44</v>
      </c>
      <c r="F47" s="5">
        <v>1.04</v>
      </c>
      <c r="G47" s="5">
        <v>0.77</v>
      </c>
      <c r="H47" s="5">
        <v>0.9</v>
      </c>
      <c r="I47" s="5">
        <v>0</v>
      </c>
      <c r="J47" s="6">
        <v>0.83</v>
      </c>
      <c r="L47" s="8">
        <f t="shared" si="18"/>
        <v>0.79749999999999999</v>
      </c>
      <c r="M47" s="8">
        <f t="shared" si="32"/>
        <v>0.80500000000000005</v>
      </c>
      <c r="N47" s="9">
        <v>0.95</v>
      </c>
      <c r="P47" s="1"/>
      <c r="Q47" s="1"/>
      <c r="R47" s="1"/>
      <c r="S47" s="1"/>
      <c r="T47" s="4"/>
      <c r="Z47" s="2">
        <v>861.25</v>
      </c>
      <c r="AA47" s="2">
        <v>266.25</v>
      </c>
      <c r="AB47" s="2">
        <f t="shared" si="0"/>
        <v>1127.5</v>
      </c>
      <c r="AC47" s="1">
        <f t="shared" si="1"/>
        <v>0.23614190687361419</v>
      </c>
      <c r="AE47">
        <f t="shared" si="23"/>
        <v>33908</v>
      </c>
      <c r="AF47">
        <f t="shared" si="24"/>
        <v>8562.25</v>
      </c>
      <c r="AG47">
        <f t="shared" si="25"/>
        <v>42470.25</v>
      </c>
      <c r="AH47" s="1">
        <f t="shared" si="26"/>
        <v>0.20160582996332727</v>
      </c>
      <c r="AJ47">
        <v>41</v>
      </c>
      <c r="AK47" s="1">
        <f t="shared" si="33"/>
        <v>4.7605224963715533E-2</v>
      </c>
      <c r="AL47">
        <f t="shared" si="27"/>
        <v>1158.75</v>
      </c>
      <c r="AM47" s="1">
        <f t="shared" si="28"/>
        <v>3.4173351421493456E-2</v>
      </c>
      <c r="AN47">
        <v>15</v>
      </c>
      <c r="AO47">
        <f t="shared" si="13"/>
        <v>660</v>
      </c>
      <c r="BT47" s="7">
        <v>225</v>
      </c>
      <c r="BU47" t="s">
        <v>182</v>
      </c>
      <c r="BV47" s="7"/>
    </row>
    <row r="48" spans="1:74" x14ac:dyDescent="0.25">
      <c r="A48" s="7">
        <v>2020</v>
      </c>
      <c r="B48" s="13">
        <v>44137</v>
      </c>
      <c r="C48" s="13"/>
      <c r="D48" s="7">
        <v>45</v>
      </c>
      <c r="F48" s="5">
        <v>0.61</v>
      </c>
      <c r="G48" s="5">
        <v>0.56000000000000005</v>
      </c>
      <c r="H48" s="5">
        <v>0.86</v>
      </c>
      <c r="I48" s="5">
        <v>1.2</v>
      </c>
      <c r="J48" s="6">
        <v>0.7</v>
      </c>
      <c r="L48" s="8">
        <f t="shared" si="18"/>
        <v>0.79</v>
      </c>
      <c r="M48" s="8">
        <f t="shared" si="32"/>
        <v>0.79875000000000007</v>
      </c>
      <c r="N48" s="9">
        <v>0.95</v>
      </c>
      <c r="P48" s="1"/>
      <c r="Q48" s="1"/>
      <c r="R48" s="1"/>
      <c r="S48" s="1"/>
      <c r="T48" s="4"/>
      <c r="Z48" s="2">
        <v>889</v>
      </c>
      <c r="AA48" s="2">
        <v>186</v>
      </c>
      <c r="AB48" s="2">
        <f t="shared" si="0"/>
        <v>1075</v>
      </c>
      <c r="AC48" s="1">
        <f t="shared" si="1"/>
        <v>0.17302325581395347</v>
      </c>
      <c r="AE48">
        <f t="shared" si="23"/>
        <v>34797</v>
      </c>
      <c r="AF48">
        <f t="shared" si="24"/>
        <v>8748.25</v>
      </c>
      <c r="AG48">
        <f t="shared" si="25"/>
        <v>43545.25</v>
      </c>
      <c r="AH48" s="1">
        <f t="shared" si="26"/>
        <v>0.20090021299682514</v>
      </c>
      <c r="AJ48">
        <v>33</v>
      </c>
      <c r="AK48" s="1">
        <f t="shared" si="33"/>
        <v>3.7120359955005622E-2</v>
      </c>
      <c r="AL48">
        <f t="shared" si="27"/>
        <v>1191.75</v>
      </c>
      <c r="AM48" s="1">
        <f t="shared" si="28"/>
        <v>3.4248642124321063E-2</v>
      </c>
      <c r="AN48">
        <v>15</v>
      </c>
      <c r="AO48">
        <f t="shared" si="13"/>
        <v>675</v>
      </c>
      <c r="BT48" s="7">
        <v>230</v>
      </c>
      <c r="BU48" t="s">
        <v>183</v>
      </c>
      <c r="BV48" s="7"/>
    </row>
    <row r="49" spans="1:74" x14ac:dyDescent="0.25">
      <c r="A49" s="7">
        <v>2020</v>
      </c>
      <c r="B49" s="13">
        <v>44144</v>
      </c>
      <c r="C49" s="13"/>
      <c r="D49" s="7">
        <v>46</v>
      </c>
      <c r="F49" s="5">
        <v>1.07</v>
      </c>
      <c r="G49" s="5">
        <v>0.95</v>
      </c>
      <c r="H49" s="5">
        <v>0.92</v>
      </c>
      <c r="I49" s="5">
        <v>0.67</v>
      </c>
      <c r="J49" s="6">
        <v>0.94</v>
      </c>
      <c r="L49" s="8">
        <f t="shared" si="18"/>
        <v>0.8224999999999999</v>
      </c>
      <c r="M49" s="8">
        <f t="shared" si="32"/>
        <v>0.81625000000000014</v>
      </c>
      <c r="N49" s="9">
        <v>0.95</v>
      </c>
      <c r="P49" s="1"/>
      <c r="Q49" s="1"/>
      <c r="R49" s="1"/>
      <c r="S49" s="1"/>
      <c r="T49" s="4"/>
      <c r="Z49" s="2">
        <v>855.5</v>
      </c>
      <c r="AA49" s="2">
        <v>174</v>
      </c>
      <c r="AB49" s="2">
        <f t="shared" si="0"/>
        <v>1029.5</v>
      </c>
      <c r="AC49" s="1">
        <f t="shared" si="1"/>
        <v>0.16901408450704225</v>
      </c>
      <c r="AE49">
        <f t="shared" si="23"/>
        <v>35652.5</v>
      </c>
      <c r="AF49">
        <f t="shared" si="24"/>
        <v>8922.25</v>
      </c>
      <c r="AG49">
        <f t="shared" si="25"/>
        <v>44574.75</v>
      </c>
      <c r="AH49" s="1">
        <f t="shared" si="26"/>
        <v>0.20016376984727902</v>
      </c>
      <c r="AJ49">
        <v>62.5</v>
      </c>
      <c r="AK49" s="1">
        <f t="shared" si="33"/>
        <v>7.3056691992986561E-2</v>
      </c>
      <c r="AL49">
        <f t="shared" si="27"/>
        <v>1254.25</v>
      </c>
      <c r="AM49" s="1">
        <f t="shared" si="28"/>
        <v>3.5179861159806466E-2</v>
      </c>
      <c r="AN49">
        <v>15</v>
      </c>
      <c r="AO49">
        <f t="shared" si="13"/>
        <v>690</v>
      </c>
      <c r="BT49" s="7">
        <v>235</v>
      </c>
      <c r="BU49" t="s">
        <v>184</v>
      </c>
      <c r="BV49" s="7"/>
    </row>
    <row r="50" spans="1:74" x14ac:dyDescent="0.25">
      <c r="A50" s="7">
        <v>2020</v>
      </c>
      <c r="B50" s="13">
        <v>44151</v>
      </c>
      <c r="C50" s="13" t="s">
        <v>18</v>
      </c>
      <c r="D50" s="7">
        <v>47</v>
      </c>
      <c r="F50" s="5">
        <v>1</v>
      </c>
      <c r="G50" s="5">
        <v>0.89</v>
      </c>
      <c r="H50" s="5">
        <v>0.95</v>
      </c>
      <c r="I50" s="5">
        <v>0.54</v>
      </c>
      <c r="J50" s="6">
        <v>0.89</v>
      </c>
      <c r="L50" s="8">
        <f t="shared" si="18"/>
        <v>0.84</v>
      </c>
      <c r="M50" s="8">
        <f t="shared" si="32"/>
        <v>0.81499999999999984</v>
      </c>
      <c r="N50" s="9">
        <v>0.95</v>
      </c>
      <c r="P50" s="1"/>
      <c r="Q50" s="1"/>
      <c r="R50" s="1"/>
      <c r="S50" s="1"/>
      <c r="T50" s="4"/>
      <c r="Z50" s="2">
        <v>934</v>
      </c>
      <c r="AA50" s="2">
        <v>192</v>
      </c>
      <c r="AB50" s="2">
        <f t="shared" si="0"/>
        <v>1126</v>
      </c>
      <c r="AC50" s="1">
        <f t="shared" si="1"/>
        <v>0.17051509769094139</v>
      </c>
      <c r="AE50">
        <f t="shared" si="23"/>
        <v>36586.5</v>
      </c>
      <c r="AF50">
        <f t="shared" si="24"/>
        <v>9114.25</v>
      </c>
      <c r="AG50">
        <f t="shared" si="25"/>
        <v>45700.75</v>
      </c>
      <c r="AH50" s="1">
        <f t="shared" si="26"/>
        <v>0.19943326969469866</v>
      </c>
      <c r="AJ50">
        <v>50.5</v>
      </c>
      <c r="AK50" s="1">
        <f t="shared" si="33"/>
        <v>5.4068522483940042E-2</v>
      </c>
      <c r="AL50">
        <f t="shared" si="27"/>
        <v>1304.75</v>
      </c>
      <c r="AM50" s="1">
        <f t="shared" si="28"/>
        <v>3.5662061142771241E-2</v>
      </c>
      <c r="AN50">
        <v>15</v>
      </c>
      <c r="AO50">
        <f t="shared" si="13"/>
        <v>705</v>
      </c>
      <c r="BT50" s="7">
        <v>240</v>
      </c>
      <c r="BU50" t="s">
        <v>185</v>
      </c>
      <c r="BV50" s="7"/>
    </row>
    <row r="51" spans="1:74" x14ac:dyDescent="0.25">
      <c r="A51" s="7">
        <v>2020</v>
      </c>
      <c r="B51" s="13">
        <v>44158</v>
      </c>
      <c r="C51" s="13"/>
      <c r="D51" s="7">
        <v>48</v>
      </c>
      <c r="F51" s="5">
        <v>0.81</v>
      </c>
      <c r="G51" s="5">
        <v>1</v>
      </c>
      <c r="H51" s="5">
        <v>0.98</v>
      </c>
      <c r="I51" s="5">
        <v>1</v>
      </c>
      <c r="J51" s="6">
        <v>0.96</v>
      </c>
      <c r="L51" s="8">
        <f t="shared" si="18"/>
        <v>0.87249999999999994</v>
      </c>
      <c r="M51" s="8">
        <f t="shared" si="32"/>
        <v>0.83499999999999996</v>
      </c>
      <c r="N51" s="9">
        <v>0.95</v>
      </c>
      <c r="P51" s="1"/>
      <c r="Q51" s="1"/>
      <c r="R51" s="1"/>
      <c r="S51" s="1"/>
      <c r="T51" s="4"/>
      <c r="Z51" s="2">
        <v>477</v>
      </c>
      <c r="AA51" s="2">
        <v>97</v>
      </c>
      <c r="AB51" s="2">
        <f t="shared" si="0"/>
        <v>574</v>
      </c>
      <c r="AC51" s="1">
        <f t="shared" si="1"/>
        <v>0.16898954703832753</v>
      </c>
      <c r="AE51">
        <f t="shared" si="23"/>
        <v>37063.5</v>
      </c>
      <c r="AF51">
        <f t="shared" si="24"/>
        <v>9211.25</v>
      </c>
      <c r="AG51">
        <f t="shared" si="25"/>
        <v>46274.75</v>
      </c>
      <c r="AH51" s="1">
        <f t="shared" si="26"/>
        <v>0.19905564049508642</v>
      </c>
      <c r="AJ51">
        <v>0.5</v>
      </c>
      <c r="AK51" s="1">
        <f t="shared" si="33"/>
        <v>1.0482180293501049E-3</v>
      </c>
      <c r="AL51">
        <f t="shared" si="27"/>
        <v>1305.25</v>
      </c>
      <c r="AM51" s="1">
        <f t="shared" si="28"/>
        <v>3.5216587748054015E-2</v>
      </c>
      <c r="AN51">
        <v>15</v>
      </c>
      <c r="AO51">
        <f t="shared" si="13"/>
        <v>720</v>
      </c>
      <c r="BT51" s="7">
        <v>245</v>
      </c>
      <c r="BU51" t="s">
        <v>186</v>
      </c>
      <c r="BV51" s="7"/>
    </row>
    <row r="52" spans="1:74" x14ac:dyDescent="0.25">
      <c r="A52" s="7">
        <v>2020</v>
      </c>
      <c r="B52" s="13">
        <v>44165</v>
      </c>
      <c r="C52" s="13"/>
      <c r="D52" s="7">
        <v>49</v>
      </c>
      <c r="F52" s="5">
        <v>0.87</v>
      </c>
      <c r="G52" s="5">
        <v>0.89</v>
      </c>
      <c r="H52" s="5">
        <v>1.1000000000000001</v>
      </c>
      <c r="I52" s="5">
        <v>0.91</v>
      </c>
      <c r="J52" s="6">
        <v>0.92</v>
      </c>
      <c r="L52" s="8">
        <f t="shared" si="18"/>
        <v>0.92749999999999999</v>
      </c>
      <c r="M52" s="8">
        <f t="shared" si="32"/>
        <v>0.8587499999999999</v>
      </c>
      <c r="N52" s="9">
        <v>0.95</v>
      </c>
      <c r="P52" s="1"/>
      <c r="Q52" s="1"/>
      <c r="R52" s="1"/>
      <c r="S52" s="1"/>
      <c r="T52" s="4"/>
      <c r="Z52" s="2">
        <v>936.75</v>
      </c>
      <c r="AA52" s="2">
        <v>161.5</v>
      </c>
      <c r="AB52" s="2">
        <f t="shared" si="0"/>
        <v>1098.25</v>
      </c>
      <c r="AC52" s="1">
        <f t="shared" si="1"/>
        <v>0.14705212838606874</v>
      </c>
      <c r="AE52">
        <f t="shared" si="23"/>
        <v>38000.25</v>
      </c>
      <c r="AF52">
        <f t="shared" si="24"/>
        <v>9372.75</v>
      </c>
      <c r="AG52">
        <f t="shared" si="25"/>
        <v>47373</v>
      </c>
      <c r="AH52" s="1">
        <f t="shared" si="26"/>
        <v>0.19785004116268762</v>
      </c>
      <c r="AJ52">
        <v>0</v>
      </c>
      <c r="AK52" s="1">
        <f t="shared" si="33"/>
        <v>0</v>
      </c>
      <c r="AL52">
        <f t="shared" si="27"/>
        <v>1305.25</v>
      </c>
      <c r="AM52" s="1">
        <f t="shared" si="28"/>
        <v>3.4348458233827407E-2</v>
      </c>
      <c r="AN52">
        <v>15</v>
      </c>
      <c r="AO52">
        <f t="shared" si="13"/>
        <v>735</v>
      </c>
      <c r="BT52" s="7">
        <v>250</v>
      </c>
      <c r="BU52" t="s">
        <v>187</v>
      </c>
      <c r="BV52" s="7"/>
    </row>
    <row r="53" spans="1:74" x14ac:dyDescent="0.25">
      <c r="A53" s="7">
        <v>2020</v>
      </c>
      <c r="B53" s="13">
        <v>44172</v>
      </c>
      <c r="C53" s="13"/>
      <c r="D53" s="7">
        <v>50</v>
      </c>
      <c r="F53" s="5">
        <v>0.44</v>
      </c>
      <c r="G53" s="5">
        <v>0.98</v>
      </c>
      <c r="H53" s="5">
        <v>1.03</v>
      </c>
      <c r="I53" s="5">
        <v>1.01</v>
      </c>
      <c r="J53" s="6">
        <v>0.91</v>
      </c>
      <c r="L53" s="8">
        <f t="shared" si="18"/>
        <v>0.92</v>
      </c>
      <c r="M53" s="8">
        <f t="shared" si="32"/>
        <v>0.87124999999999997</v>
      </c>
      <c r="N53" s="9">
        <v>0.95</v>
      </c>
      <c r="P53" s="1"/>
      <c r="Q53" s="1"/>
      <c r="R53" s="1"/>
      <c r="S53" s="1"/>
      <c r="T53" s="4"/>
      <c r="Z53" s="2">
        <v>886.5</v>
      </c>
      <c r="AA53" s="2">
        <v>163.5</v>
      </c>
      <c r="AB53" s="2">
        <f t="shared" si="0"/>
        <v>1050</v>
      </c>
      <c r="AC53" s="1">
        <f t="shared" si="1"/>
        <v>0.15571428571428572</v>
      </c>
      <c r="AE53">
        <f t="shared" si="23"/>
        <v>38886.75</v>
      </c>
      <c r="AF53">
        <f t="shared" si="24"/>
        <v>9536.25</v>
      </c>
      <c r="AG53">
        <f t="shared" si="25"/>
        <v>48423</v>
      </c>
      <c r="AH53" s="1">
        <f t="shared" si="26"/>
        <v>0.19693637321107738</v>
      </c>
      <c r="AJ53">
        <v>33.5</v>
      </c>
      <c r="AK53" s="1">
        <f t="shared" si="33"/>
        <v>3.7789058093626621E-2</v>
      </c>
      <c r="AL53">
        <f t="shared" si="27"/>
        <v>1338.75</v>
      </c>
      <c r="AM53" s="1">
        <f t="shared" si="28"/>
        <v>3.4426893479141352E-2</v>
      </c>
      <c r="AN53">
        <v>15</v>
      </c>
      <c r="AO53">
        <f t="shared" si="13"/>
        <v>750</v>
      </c>
      <c r="BT53" s="7">
        <v>252</v>
      </c>
      <c r="BU53" t="s">
        <v>188</v>
      </c>
      <c r="BV53" s="7"/>
    </row>
    <row r="54" spans="1:74" x14ac:dyDescent="0.25">
      <c r="A54" s="7">
        <v>2020</v>
      </c>
      <c r="B54" s="13">
        <v>44179</v>
      </c>
      <c r="C54" s="13" t="s">
        <v>19</v>
      </c>
      <c r="D54" s="7">
        <v>51</v>
      </c>
      <c r="F54" s="5">
        <v>0.77</v>
      </c>
      <c r="G54" s="5">
        <v>1.0900000000000001</v>
      </c>
      <c r="H54" s="5">
        <v>0.9</v>
      </c>
      <c r="I54" s="5">
        <v>0.48</v>
      </c>
      <c r="J54" s="6">
        <v>0.9</v>
      </c>
      <c r="L54" s="8">
        <f t="shared" si="18"/>
        <v>0.92249999999999999</v>
      </c>
      <c r="M54" s="8">
        <f t="shared" si="32"/>
        <v>0.88125000000000009</v>
      </c>
      <c r="N54" s="9">
        <v>0.95</v>
      </c>
      <c r="Z54" s="2">
        <v>693</v>
      </c>
      <c r="AA54" s="2">
        <v>180</v>
      </c>
      <c r="AB54" s="2">
        <f t="shared" si="0"/>
        <v>873</v>
      </c>
      <c r="AC54" s="1">
        <f t="shared" si="1"/>
        <v>0.20618556701030927</v>
      </c>
      <c r="AE54">
        <f t="shared" si="23"/>
        <v>39579.75</v>
      </c>
      <c r="AF54">
        <f t="shared" si="24"/>
        <v>9716.25</v>
      </c>
      <c r="AG54">
        <f t="shared" si="25"/>
        <v>49296</v>
      </c>
      <c r="AH54" s="1">
        <f t="shared" si="26"/>
        <v>0.19710017039922104</v>
      </c>
      <c r="AJ54">
        <v>10</v>
      </c>
      <c r="AK54" s="1">
        <f t="shared" si="33"/>
        <v>1.443001443001443E-2</v>
      </c>
      <c r="AL54">
        <f t="shared" si="27"/>
        <v>1348.75</v>
      </c>
      <c r="AN54">
        <v>15</v>
      </c>
      <c r="AO54">
        <f t="shared" si="13"/>
        <v>765</v>
      </c>
      <c r="BT54" s="7">
        <v>255</v>
      </c>
      <c r="BU54" t="s">
        <v>189</v>
      </c>
      <c r="BV54" s="7"/>
    </row>
    <row r="55" spans="1:74" x14ac:dyDescent="0.25">
      <c r="A55" s="7">
        <v>2020</v>
      </c>
      <c r="B55" s="13">
        <v>44186</v>
      </c>
      <c r="C55" s="13"/>
      <c r="D55" s="7">
        <v>52</v>
      </c>
      <c r="F55" s="5">
        <v>0.75</v>
      </c>
      <c r="G55" s="5">
        <v>1.02</v>
      </c>
      <c r="H55" s="5">
        <v>0.92</v>
      </c>
      <c r="I55" s="5">
        <v>0.78</v>
      </c>
      <c r="J55" s="6">
        <v>0.93</v>
      </c>
      <c r="L55" s="8">
        <f t="shared" si="18"/>
        <v>0.91500000000000004</v>
      </c>
      <c r="M55" s="8">
        <f t="shared" si="32"/>
        <v>0.89375000000000004</v>
      </c>
      <c r="N55" s="9">
        <v>0.95</v>
      </c>
      <c r="Z55" s="2">
        <v>298</v>
      </c>
      <c r="AA55" s="2">
        <v>77</v>
      </c>
      <c r="AB55" s="2">
        <f t="shared" si="0"/>
        <v>375</v>
      </c>
      <c r="AC55" s="1">
        <f t="shared" si="1"/>
        <v>0.20533333333333334</v>
      </c>
      <c r="AE55">
        <f t="shared" si="23"/>
        <v>39877.75</v>
      </c>
      <c r="AF55">
        <f t="shared" si="24"/>
        <v>9793.25</v>
      </c>
      <c r="AG55">
        <f t="shared" si="25"/>
        <v>49671</v>
      </c>
      <c r="AH55" s="1">
        <f t="shared" si="26"/>
        <v>0.19716232811902318</v>
      </c>
      <c r="AJ55">
        <v>6</v>
      </c>
      <c r="AK55" s="1">
        <f t="shared" si="33"/>
        <v>2.0134228187919462E-2</v>
      </c>
      <c r="AL55">
        <f t="shared" si="27"/>
        <v>1354.75</v>
      </c>
      <c r="AN55">
        <v>15</v>
      </c>
      <c r="AO55">
        <f t="shared" si="13"/>
        <v>780</v>
      </c>
      <c r="BT55" s="7">
        <v>257</v>
      </c>
      <c r="BU55" t="s">
        <v>190</v>
      </c>
      <c r="BV55" s="7"/>
    </row>
    <row r="56" spans="1:74" x14ac:dyDescent="0.25">
      <c r="A56" s="7">
        <v>2020</v>
      </c>
      <c r="B56" s="13">
        <v>44193</v>
      </c>
      <c r="D56" s="7">
        <v>53</v>
      </c>
      <c r="F56" s="5">
        <v>0.95</v>
      </c>
      <c r="G56" s="5">
        <v>1.1399999999999999</v>
      </c>
      <c r="H56" s="5">
        <v>1.2</v>
      </c>
      <c r="I56" s="5">
        <v>0.52</v>
      </c>
      <c r="J56" s="6">
        <v>1.07</v>
      </c>
      <c r="L56" s="8">
        <f t="shared" si="18"/>
        <v>0.95250000000000012</v>
      </c>
      <c r="M56" s="8">
        <f t="shared" si="32"/>
        <v>0.94000000000000006</v>
      </c>
      <c r="N56" s="8">
        <v>0.95</v>
      </c>
      <c r="Z56" s="2">
        <v>356</v>
      </c>
      <c r="AA56" s="2">
        <v>105</v>
      </c>
      <c r="AB56" s="2">
        <f t="shared" si="0"/>
        <v>461</v>
      </c>
      <c r="AC56" s="1">
        <f t="shared" si="1"/>
        <v>0.22776572668112799</v>
      </c>
      <c r="AE56">
        <f t="shared" si="23"/>
        <v>40233.75</v>
      </c>
      <c r="AF56">
        <f t="shared" si="24"/>
        <v>9898.25</v>
      </c>
      <c r="AG56">
        <f t="shared" si="25"/>
        <v>50132</v>
      </c>
      <c r="AH56" s="1">
        <f t="shared" si="26"/>
        <v>0.19744374850394958</v>
      </c>
      <c r="AJ56">
        <v>16</v>
      </c>
      <c r="AK56" s="1">
        <f t="shared" si="33"/>
        <v>4.49438202247191E-2</v>
      </c>
      <c r="AL56">
        <f t="shared" si="27"/>
        <v>1370.75</v>
      </c>
      <c r="AN56">
        <v>15</v>
      </c>
      <c r="AO56">
        <f t="shared" si="13"/>
        <v>795</v>
      </c>
      <c r="BT56" s="7">
        <v>260</v>
      </c>
      <c r="BU56" t="s">
        <v>191</v>
      </c>
      <c r="BV56" s="7"/>
    </row>
    <row r="57" spans="1:74" x14ac:dyDescent="0.25">
      <c r="BT57" s="7">
        <v>261</v>
      </c>
      <c r="BU57" t="s">
        <v>192</v>
      </c>
      <c r="BV57" s="7"/>
    </row>
    <row r="58" spans="1:74" x14ac:dyDescent="0.25">
      <c r="BT58" s="7">
        <v>262</v>
      </c>
      <c r="BU58" t="s">
        <v>193</v>
      </c>
      <c r="BV58" s="7"/>
    </row>
    <row r="59" spans="1:74" x14ac:dyDescent="0.25">
      <c r="BT59" s="7">
        <v>265</v>
      </c>
      <c r="BU59" t="s">
        <v>194</v>
      </c>
      <c r="BV59" s="7"/>
    </row>
    <row r="60" spans="1:74" x14ac:dyDescent="0.25">
      <c r="BT60" s="7">
        <v>270</v>
      </c>
      <c r="BU60" t="s">
        <v>195</v>
      </c>
      <c r="BV60" s="7"/>
    </row>
    <row r="61" spans="1:74" x14ac:dyDescent="0.25">
      <c r="BT61" s="7">
        <v>272</v>
      </c>
      <c r="BU61" t="s">
        <v>196</v>
      </c>
      <c r="BV61" s="7"/>
    </row>
    <row r="62" spans="1:74" x14ac:dyDescent="0.25">
      <c r="BT62" s="7">
        <v>275</v>
      </c>
      <c r="BU62" t="s">
        <v>197</v>
      </c>
      <c r="BV62" s="7"/>
    </row>
    <row r="63" spans="1:74" x14ac:dyDescent="0.25">
      <c r="BT63" s="7">
        <v>280</v>
      </c>
      <c r="BU63" t="s">
        <v>198</v>
      </c>
      <c r="BV63" s="7"/>
    </row>
    <row r="64" spans="1:74" x14ac:dyDescent="0.25">
      <c r="BT64" s="7">
        <v>282</v>
      </c>
      <c r="BU64" t="s">
        <v>199</v>
      </c>
      <c r="BV64" s="7"/>
    </row>
    <row r="65" spans="72:74" x14ac:dyDescent="0.25">
      <c r="BT65" s="7">
        <v>285</v>
      </c>
      <c r="BU65" t="s">
        <v>200</v>
      </c>
      <c r="BV65" s="7"/>
    </row>
    <row r="66" spans="72:74" x14ac:dyDescent="0.25">
      <c r="BT66" s="7">
        <v>290</v>
      </c>
      <c r="BU66" t="s">
        <v>201</v>
      </c>
      <c r="BV66" s="7"/>
    </row>
    <row r="67" spans="72:74" x14ac:dyDescent="0.25">
      <c r="BT67" s="7">
        <v>292</v>
      </c>
      <c r="BU67" t="s">
        <v>202</v>
      </c>
      <c r="BV67" s="7"/>
    </row>
    <row r="68" spans="72:74" x14ac:dyDescent="0.25">
      <c r="BT68" s="7">
        <v>295</v>
      </c>
      <c r="BU68" t="s">
        <v>203</v>
      </c>
      <c r="BV68" s="7"/>
    </row>
    <row r="69" spans="72:74" x14ac:dyDescent="0.25">
      <c r="BT69" s="7">
        <v>300</v>
      </c>
      <c r="BU69" t="s">
        <v>204</v>
      </c>
      <c r="BV69" s="7"/>
    </row>
    <row r="70" spans="72:74" x14ac:dyDescent="0.25">
      <c r="BT70" s="7">
        <v>305</v>
      </c>
      <c r="BU70" t="s">
        <v>205</v>
      </c>
      <c r="BV70" s="7"/>
    </row>
    <row r="71" spans="72:74" x14ac:dyDescent="0.25">
      <c r="BT71" s="7">
        <v>310</v>
      </c>
      <c r="BU71" t="s">
        <v>206</v>
      </c>
      <c r="BV71" s="7"/>
    </row>
    <row r="72" spans="72:74" x14ac:dyDescent="0.25">
      <c r="BT72" s="7">
        <v>315</v>
      </c>
      <c r="BU72" t="s">
        <v>207</v>
      </c>
      <c r="BV72" s="7"/>
    </row>
    <row r="73" spans="72:74" x14ac:dyDescent="0.25">
      <c r="BT73" s="7">
        <v>320</v>
      </c>
      <c r="BU73" t="s">
        <v>208</v>
      </c>
      <c r="BV73" s="7"/>
    </row>
    <row r="74" spans="72:74" x14ac:dyDescent="0.25">
      <c r="BT74" s="7">
        <v>325</v>
      </c>
      <c r="BU74" t="s">
        <v>209</v>
      </c>
      <c r="BV74" s="7"/>
    </row>
    <row r="75" spans="72:74" x14ac:dyDescent="0.25">
      <c r="BT75" s="7">
        <v>326</v>
      </c>
      <c r="BU75" t="s">
        <v>210</v>
      </c>
      <c r="BV75" s="7"/>
    </row>
    <row r="76" spans="72:74" x14ac:dyDescent="0.25">
      <c r="BT76" s="7">
        <v>350</v>
      </c>
      <c r="BU76" t="s">
        <v>211</v>
      </c>
      <c r="BV76" s="7"/>
    </row>
    <row r="77" spans="72:74" x14ac:dyDescent="0.25">
      <c r="BT77" s="7">
        <v>355</v>
      </c>
      <c r="BU77" t="s">
        <v>212</v>
      </c>
      <c r="BV77" s="7"/>
    </row>
    <row r="78" spans="72:74" x14ac:dyDescent="0.25">
      <c r="BT78" s="7">
        <v>360</v>
      </c>
      <c r="BU78" t="s">
        <v>213</v>
      </c>
      <c r="BV78" s="7"/>
    </row>
    <row r="79" spans="72:74" x14ac:dyDescent="0.25">
      <c r="BT79" s="7">
        <v>365</v>
      </c>
      <c r="BU79" t="s">
        <v>214</v>
      </c>
      <c r="BV79" s="7"/>
    </row>
    <row r="80" spans="72:74" x14ac:dyDescent="0.25">
      <c r="BT80" s="7">
        <v>366</v>
      </c>
      <c r="BU80" t="s">
        <v>215</v>
      </c>
      <c r="BV80" s="7"/>
    </row>
    <row r="81" spans="72:74" x14ac:dyDescent="0.25">
      <c r="BT81" s="7">
        <v>370</v>
      </c>
      <c r="BU81" t="s">
        <v>216</v>
      </c>
      <c r="BV81" s="7"/>
    </row>
    <row r="82" spans="72:74" x14ac:dyDescent="0.25">
      <c r="BT82" s="7">
        <v>375</v>
      </c>
      <c r="BU82" t="s">
        <v>217</v>
      </c>
      <c r="BV82" s="7"/>
    </row>
    <row r="83" spans="72:74" x14ac:dyDescent="0.25">
      <c r="BT83" s="7">
        <v>380</v>
      </c>
      <c r="BU83" t="s">
        <v>218</v>
      </c>
      <c r="BV83" s="7"/>
    </row>
    <row r="84" spans="72:74" x14ac:dyDescent="0.25">
      <c r="BT84" s="7">
        <v>382</v>
      </c>
      <c r="BU84" t="s">
        <v>219</v>
      </c>
      <c r="BV84" s="7"/>
    </row>
    <row r="85" spans="72:74" x14ac:dyDescent="0.25">
      <c r="BT85" s="7">
        <v>383</v>
      </c>
      <c r="BU85" t="s">
        <v>220</v>
      </c>
      <c r="BV85" s="7"/>
    </row>
    <row r="86" spans="72:74" x14ac:dyDescent="0.25">
      <c r="BT86" s="7">
        <v>385</v>
      </c>
      <c r="BU86" t="s">
        <v>221</v>
      </c>
      <c r="BV86" s="7"/>
    </row>
    <row r="87" spans="72:74" x14ac:dyDescent="0.25">
      <c r="BT87" s="7">
        <v>390</v>
      </c>
      <c r="BU87" t="s">
        <v>222</v>
      </c>
      <c r="BV87" s="7"/>
    </row>
    <row r="88" spans="72:74" x14ac:dyDescent="0.25">
      <c r="BT88" s="7">
        <v>395</v>
      </c>
      <c r="BU88" t="s">
        <v>223</v>
      </c>
      <c r="BV88" s="7"/>
    </row>
    <row r="89" spans="72:74" x14ac:dyDescent="0.25">
      <c r="BT89" s="7">
        <v>450</v>
      </c>
      <c r="BU89" t="s">
        <v>224</v>
      </c>
      <c r="BV89" s="7"/>
    </row>
    <row r="90" spans="72:74" x14ac:dyDescent="0.25">
      <c r="BT90" s="7">
        <v>455</v>
      </c>
      <c r="BU90" t="s">
        <v>225</v>
      </c>
      <c r="BV90" s="7"/>
    </row>
    <row r="91" spans="72:74" x14ac:dyDescent="0.25">
      <c r="BT91" s="7">
        <v>460</v>
      </c>
      <c r="BU91" t="s">
        <v>226</v>
      </c>
      <c r="BV91" s="7"/>
    </row>
    <row r="92" spans="72:74" x14ac:dyDescent="0.25">
      <c r="BT92" s="7">
        <v>465</v>
      </c>
      <c r="BU92" t="s">
        <v>227</v>
      </c>
      <c r="BV92" s="7"/>
    </row>
    <row r="93" spans="72:74" x14ac:dyDescent="0.25">
      <c r="BT93" s="7">
        <v>470</v>
      </c>
      <c r="BU93" t="s">
        <v>228</v>
      </c>
      <c r="BV93" s="7"/>
    </row>
    <row r="94" spans="72:74" x14ac:dyDescent="0.25">
      <c r="BT94" s="7">
        <v>475</v>
      </c>
      <c r="BU94" t="s">
        <v>229</v>
      </c>
      <c r="BV94" s="7"/>
    </row>
    <row r="95" spans="72:74" x14ac:dyDescent="0.25">
      <c r="BT95" s="7">
        <v>477</v>
      </c>
      <c r="BU95" t="s">
        <v>230</v>
      </c>
      <c r="BV95" s="7"/>
    </row>
    <row r="96" spans="72:74" x14ac:dyDescent="0.25">
      <c r="BT96" s="7">
        <v>478</v>
      </c>
      <c r="BU96" t="s">
        <v>231</v>
      </c>
      <c r="BV96" s="7"/>
    </row>
    <row r="97" spans="72:74" x14ac:dyDescent="0.25">
      <c r="BT97" s="7">
        <v>479</v>
      </c>
      <c r="BU97" t="s">
        <v>232</v>
      </c>
      <c r="BV97" s="7"/>
    </row>
    <row r="98" spans="72:74" x14ac:dyDescent="0.25">
      <c r="BT98" s="7">
        <v>482</v>
      </c>
      <c r="BU98" t="s">
        <v>233</v>
      </c>
      <c r="BV98" s="7"/>
    </row>
    <row r="99" spans="72:74" x14ac:dyDescent="0.25">
      <c r="BT99" s="7">
        <v>483</v>
      </c>
      <c r="BU99" t="s">
        <v>234</v>
      </c>
      <c r="BV99" s="7"/>
    </row>
    <row r="100" spans="72:74" x14ac:dyDescent="0.25">
      <c r="BT100" s="7">
        <v>485</v>
      </c>
      <c r="BU100" t="s">
        <v>235</v>
      </c>
      <c r="BV100" s="7"/>
    </row>
    <row r="101" spans="72:74" x14ac:dyDescent="0.25">
      <c r="BT101" s="7">
        <v>490</v>
      </c>
      <c r="BU101" t="s">
        <v>236</v>
      </c>
      <c r="BV101" s="7"/>
    </row>
    <row r="102" spans="72:74" x14ac:dyDescent="0.25">
      <c r="BT102" s="7">
        <v>495</v>
      </c>
      <c r="BU102" t="s">
        <v>237</v>
      </c>
      <c r="BV102" s="7"/>
    </row>
    <row r="103" spans="72:74" x14ac:dyDescent="0.25">
      <c r="BT103" s="7">
        <v>500</v>
      </c>
      <c r="BU103" t="s">
        <v>238</v>
      </c>
      <c r="BV103" s="7"/>
    </row>
    <row r="104" spans="72:74" x14ac:dyDescent="0.25">
      <c r="BT104" s="7">
        <v>510</v>
      </c>
      <c r="BU104" t="s">
        <v>239</v>
      </c>
      <c r="BV104" s="7"/>
    </row>
    <row r="105" spans="72:74" x14ac:dyDescent="0.25">
      <c r="BT105" s="7">
        <v>515</v>
      </c>
      <c r="BU105" t="s">
        <v>240</v>
      </c>
      <c r="BV105" s="7"/>
    </row>
    <row r="106" spans="72:74" x14ac:dyDescent="0.25">
      <c r="BT106" s="7">
        <v>520</v>
      </c>
      <c r="BU106" t="s">
        <v>241</v>
      </c>
      <c r="BV106" s="7"/>
    </row>
    <row r="107" spans="72:74" x14ac:dyDescent="0.25">
      <c r="BT107" s="7">
        <v>530</v>
      </c>
      <c r="BU107" t="s">
        <v>242</v>
      </c>
      <c r="BV107" s="7"/>
    </row>
    <row r="108" spans="72:74" x14ac:dyDescent="0.25">
      <c r="BT108" s="7">
        <v>540</v>
      </c>
      <c r="BU108" t="s">
        <v>243</v>
      </c>
      <c r="BV108" s="7"/>
    </row>
    <row r="109" spans="72:74" x14ac:dyDescent="0.25">
      <c r="BT109" s="7">
        <v>545</v>
      </c>
      <c r="BU109" t="s">
        <v>244</v>
      </c>
      <c r="BV109" s="7"/>
    </row>
    <row r="110" spans="72:74" x14ac:dyDescent="0.25">
      <c r="BT110" s="7">
        <v>580</v>
      </c>
      <c r="BU110" t="s">
        <v>245</v>
      </c>
      <c r="BV110" s="7"/>
    </row>
    <row r="111" spans="72:74" x14ac:dyDescent="0.25">
      <c r="BT111" s="7">
        <v>590</v>
      </c>
      <c r="BU111" t="s">
        <v>246</v>
      </c>
      <c r="BV111" s="7"/>
    </row>
    <row r="112" spans="72:74" x14ac:dyDescent="0.25">
      <c r="BT112" s="7">
        <v>600</v>
      </c>
      <c r="BU112" t="s">
        <v>247</v>
      </c>
      <c r="BV112" s="7"/>
    </row>
    <row r="113" spans="72:74" x14ac:dyDescent="0.25">
      <c r="BT113" s="7">
        <v>605</v>
      </c>
      <c r="BU113" t="s">
        <v>248</v>
      </c>
      <c r="BV113" s="7"/>
    </row>
    <row r="114" spans="72:74" x14ac:dyDescent="0.25">
      <c r="BT114" s="7">
        <v>610</v>
      </c>
      <c r="BU114" t="s">
        <v>249</v>
      </c>
      <c r="BV114" s="7"/>
    </row>
    <row r="115" spans="72:74" x14ac:dyDescent="0.25">
      <c r="BT115" s="7">
        <v>615</v>
      </c>
      <c r="BU115" t="s">
        <v>250</v>
      </c>
      <c r="BV115" s="7"/>
    </row>
    <row r="116" spans="72:74" x14ac:dyDescent="0.25">
      <c r="BT116" s="7">
        <v>616</v>
      </c>
      <c r="BU116" t="s">
        <v>251</v>
      </c>
      <c r="BV116" s="7"/>
    </row>
    <row r="117" spans="72:74" x14ac:dyDescent="0.25">
      <c r="BT117" s="7">
        <v>620</v>
      </c>
      <c r="BU117" t="s">
        <v>252</v>
      </c>
      <c r="BV117" s="7"/>
    </row>
    <row r="118" spans="72:74" x14ac:dyDescent="0.25">
      <c r="BT118" s="7">
        <v>625</v>
      </c>
      <c r="BU118" t="s">
        <v>253</v>
      </c>
      <c r="BV118" s="7"/>
    </row>
    <row r="119" spans="72:74" x14ac:dyDescent="0.25">
      <c r="BT119" s="7">
        <v>630</v>
      </c>
      <c r="BU119" t="s">
        <v>254</v>
      </c>
      <c r="BV119" s="7"/>
    </row>
    <row r="120" spans="72:74" x14ac:dyDescent="0.25">
      <c r="BT120" s="7">
        <v>635</v>
      </c>
      <c r="BU120" t="s">
        <v>255</v>
      </c>
      <c r="BV120" s="7"/>
    </row>
    <row r="121" spans="72:74" x14ac:dyDescent="0.25">
      <c r="BT121" s="7">
        <v>637</v>
      </c>
      <c r="BU121" t="s">
        <v>256</v>
      </c>
      <c r="BV121" s="7"/>
    </row>
    <row r="122" spans="72:74" x14ac:dyDescent="0.25">
      <c r="BT122" s="7">
        <v>638</v>
      </c>
      <c r="BU122" t="s">
        <v>257</v>
      </c>
      <c r="BV122" s="7"/>
    </row>
    <row r="123" spans="72:74" x14ac:dyDescent="0.25">
      <c r="BT123" s="7">
        <v>640</v>
      </c>
      <c r="BU123" t="s">
        <v>258</v>
      </c>
      <c r="BV123" s="7"/>
    </row>
    <row r="124" spans="72:74" x14ac:dyDescent="0.25">
      <c r="BT124" s="7">
        <v>641</v>
      </c>
      <c r="BU124" t="s">
        <v>259</v>
      </c>
      <c r="BV124" s="7"/>
    </row>
    <row r="125" spans="72:74" x14ac:dyDescent="0.25">
      <c r="BT125" s="7">
        <v>645</v>
      </c>
      <c r="BU125" t="s">
        <v>260</v>
      </c>
      <c r="BV125" s="7"/>
    </row>
    <row r="126" spans="72:74" x14ac:dyDescent="0.25">
      <c r="BT126" s="7">
        <v>700</v>
      </c>
      <c r="BU126" t="s">
        <v>261</v>
      </c>
      <c r="BV126" s="7"/>
    </row>
    <row r="127" spans="72:74" x14ac:dyDescent="0.25">
      <c r="BT127" s="7">
        <v>705</v>
      </c>
      <c r="BU127" t="s">
        <v>262</v>
      </c>
      <c r="BV127" s="7"/>
    </row>
    <row r="128" spans="72:74" x14ac:dyDescent="0.25">
      <c r="BT128" s="7">
        <v>710</v>
      </c>
      <c r="BU128" t="s">
        <v>263</v>
      </c>
      <c r="BV128" s="7"/>
    </row>
    <row r="129" spans="72:74" x14ac:dyDescent="0.25">
      <c r="BT129" s="7">
        <v>711</v>
      </c>
      <c r="BU129" t="s">
        <v>264</v>
      </c>
      <c r="BV129" s="7"/>
    </row>
    <row r="130" spans="72:74" x14ac:dyDescent="0.25">
      <c r="BT130" s="7">
        <v>715</v>
      </c>
      <c r="BU130" t="s">
        <v>265</v>
      </c>
      <c r="BV130" s="7"/>
    </row>
    <row r="131" spans="72:74" x14ac:dyDescent="0.25">
      <c r="BT131" s="7">
        <v>717</v>
      </c>
      <c r="BU131" t="s">
        <v>266</v>
      </c>
      <c r="BV131" s="7"/>
    </row>
    <row r="132" spans="72:74" x14ac:dyDescent="0.25">
      <c r="BT132" s="7">
        <v>720</v>
      </c>
      <c r="BU132" t="s">
        <v>267</v>
      </c>
      <c r="BV132" s="7"/>
    </row>
    <row r="133" spans="72:74" x14ac:dyDescent="0.25">
      <c r="BT133" s="7">
        <v>721</v>
      </c>
      <c r="BU133" t="s">
        <v>268</v>
      </c>
      <c r="BV133" s="7"/>
    </row>
    <row r="134" spans="72:74" x14ac:dyDescent="0.25">
      <c r="BT134" s="7">
        <v>725</v>
      </c>
      <c r="BU134" t="s">
        <v>269</v>
      </c>
      <c r="BV134" s="7"/>
    </row>
    <row r="135" spans="72:74" x14ac:dyDescent="0.25">
      <c r="BT135" s="7">
        <v>726</v>
      </c>
      <c r="BU135" t="s">
        <v>270</v>
      </c>
      <c r="BV135" s="7"/>
    </row>
    <row r="136" spans="72:74" x14ac:dyDescent="0.25">
      <c r="BT136" s="7">
        <v>730</v>
      </c>
      <c r="BU136" t="s">
        <v>271</v>
      </c>
      <c r="BV136" s="7"/>
    </row>
    <row r="137" spans="72:74" x14ac:dyDescent="0.25">
      <c r="BT137" s="7">
        <v>735</v>
      </c>
      <c r="BU137" t="s">
        <v>272</v>
      </c>
      <c r="BV137" s="7"/>
    </row>
    <row r="138" spans="72:74" x14ac:dyDescent="0.25">
      <c r="BT138" s="7">
        <v>740</v>
      </c>
      <c r="BU138" t="s">
        <v>273</v>
      </c>
      <c r="BV138" s="7"/>
    </row>
    <row r="139" spans="72:74" x14ac:dyDescent="0.25">
      <c r="BT139" s="7">
        <v>745</v>
      </c>
      <c r="BU139" t="s">
        <v>274</v>
      </c>
      <c r="BV139" s="7"/>
    </row>
    <row r="140" spans="72:74" x14ac:dyDescent="0.25">
      <c r="BT140" s="7">
        <v>750</v>
      </c>
      <c r="BU140" t="s">
        <v>275</v>
      </c>
      <c r="BV140" s="7"/>
    </row>
    <row r="141" spans="72:74" x14ac:dyDescent="0.25">
      <c r="BT141" s="7">
        <v>755</v>
      </c>
      <c r="BU141" t="s">
        <v>276</v>
      </c>
      <c r="BV141" s="7"/>
    </row>
    <row r="142" spans="72:74" x14ac:dyDescent="0.25">
      <c r="BT142" s="7">
        <v>760</v>
      </c>
      <c r="BU142" t="s">
        <v>277</v>
      </c>
      <c r="BV142" s="7"/>
    </row>
    <row r="143" spans="72:74" x14ac:dyDescent="0.25">
      <c r="BT143" s="7">
        <v>765</v>
      </c>
      <c r="BU143" t="s">
        <v>278</v>
      </c>
      <c r="BV143" s="7"/>
    </row>
    <row r="144" spans="72:74" x14ac:dyDescent="0.25">
      <c r="BT144" s="7">
        <v>770</v>
      </c>
      <c r="BU144" t="s">
        <v>279</v>
      </c>
      <c r="BV144" s="7"/>
    </row>
    <row r="145" spans="72:74" x14ac:dyDescent="0.25">
      <c r="BT145" s="7">
        <v>800</v>
      </c>
      <c r="BU145" t="s">
        <v>280</v>
      </c>
      <c r="BV145" s="7"/>
    </row>
    <row r="146" spans="72:74" x14ac:dyDescent="0.25">
      <c r="BT146" s="7">
        <v>801</v>
      </c>
      <c r="BU146" t="s">
        <v>281</v>
      </c>
      <c r="BV146" s="7"/>
    </row>
    <row r="147" spans="72:74" x14ac:dyDescent="0.25">
      <c r="BT147" s="7">
        <v>802</v>
      </c>
      <c r="BU147" t="s">
        <v>282</v>
      </c>
      <c r="BV147" s="7"/>
    </row>
    <row r="148" spans="72:74" x14ac:dyDescent="0.25">
      <c r="BT148" s="7">
        <v>850</v>
      </c>
      <c r="BU148" t="s">
        <v>283</v>
      </c>
      <c r="BV148" s="7"/>
    </row>
    <row r="149" spans="72:74" x14ac:dyDescent="0.25">
      <c r="BT149" s="7">
        <v>855</v>
      </c>
      <c r="BU149" t="s">
        <v>284</v>
      </c>
      <c r="BV149" s="7"/>
    </row>
    <row r="150" spans="72:74" x14ac:dyDescent="0.25">
      <c r="BT150" s="7">
        <v>860</v>
      </c>
      <c r="BU150" t="s">
        <v>285</v>
      </c>
      <c r="BV150" s="7"/>
    </row>
    <row r="151" spans="72:74" x14ac:dyDescent="0.25">
      <c r="BT151" s="7">
        <v>900</v>
      </c>
      <c r="BU151" t="s">
        <v>286</v>
      </c>
      <c r="BV151" s="7"/>
    </row>
    <row r="152" spans="72:74" x14ac:dyDescent="0.25">
      <c r="BT152" s="7">
        <v>910</v>
      </c>
      <c r="BU152" t="s">
        <v>287</v>
      </c>
      <c r="BV152" s="7"/>
    </row>
    <row r="153" spans="72:74" x14ac:dyDescent="0.25">
      <c r="BT153" s="7">
        <v>920</v>
      </c>
      <c r="BU153" t="s">
        <v>288</v>
      </c>
      <c r="BV153" s="7"/>
    </row>
    <row r="154" spans="72:74" x14ac:dyDescent="0.25">
      <c r="BT154" s="7">
        <v>940</v>
      </c>
      <c r="BU154" t="s">
        <v>289</v>
      </c>
      <c r="BV154" s="7"/>
    </row>
    <row r="155" spans="72:74" x14ac:dyDescent="0.25">
      <c r="BT155" s="7">
        <v>950</v>
      </c>
      <c r="BU155" t="s">
        <v>290</v>
      </c>
      <c r="BV155" s="7"/>
    </row>
    <row r="156" spans="72:74" x14ac:dyDescent="0.25">
      <c r="BT156" s="7">
        <v>960</v>
      </c>
      <c r="BU156" t="s">
        <v>291</v>
      </c>
      <c r="BV156" s="7"/>
    </row>
    <row r="157" spans="72:74" x14ac:dyDescent="0.25">
      <c r="BT157" s="7">
        <v>970</v>
      </c>
      <c r="BU157" t="s">
        <v>292</v>
      </c>
      <c r="BV157" s="7"/>
    </row>
    <row r="158" spans="72:74" x14ac:dyDescent="0.25">
      <c r="BT158" s="7">
        <v>971</v>
      </c>
      <c r="BU158" t="s">
        <v>293</v>
      </c>
      <c r="BV158" s="7"/>
    </row>
    <row r="159" spans="72:74" x14ac:dyDescent="0.25">
      <c r="BT159" s="7">
        <v>972</v>
      </c>
      <c r="BU159" t="s">
        <v>294</v>
      </c>
      <c r="BV159" s="7"/>
    </row>
    <row r="160" spans="72:74" x14ac:dyDescent="0.25">
      <c r="BT160" s="7">
        <v>973</v>
      </c>
      <c r="BU160" t="s">
        <v>295</v>
      </c>
      <c r="BV160" s="7"/>
    </row>
    <row r="161" spans="72:74" x14ac:dyDescent="0.25">
      <c r="BT161" s="7">
        <v>974</v>
      </c>
      <c r="BU161" t="s">
        <v>296</v>
      </c>
      <c r="BV161" s="7"/>
    </row>
    <row r="162" spans="72:74" x14ac:dyDescent="0.25">
      <c r="BT162" s="7">
        <v>975</v>
      </c>
      <c r="BU162" t="s">
        <v>297</v>
      </c>
      <c r="BV162" s="7"/>
    </row>
  </sheetData>
  <mergeCells count="10">
    <mergeCell ref="BT2:BY2"/>
    <mergeCell ref="F2:J2"/>
    <mergeCell ref="Z2:AC2"/>
    <mergeCell ref="AE2:AH2"/>
    <mergeCell ref="V2:X2"/>
    <mergeCell ref="BL2:BQ2"/>
    <mergeCell ref="BF2:BI2"/>
    <mergeCell ref="AJ2:AO2"/>
    <mergeCell ref="P2:T2"/>
    <mergeCell ref="L2:N2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A41A-8EA3-4471-8393-6A031CCD6B2C}">
  <sheetPr>
    <pageSetUpPr autoPageBreaks="0"/>
  </sheetPr>
  <dimension ref="B1:AG58"/>
  <sheetViews>
    <sheetView zoomScale="71" zoomScaleNormal="71" workbookViewId="0">
      <selection activeCell="S23" sqref="S23"/>
    </sheetView>
  </sheetViews>
  <sheetFormatPr defaultRowHeight="15" x14ac:dyDescent="0.25"/>
  <cols>
    <col min="1" max="1" width="3.28515625" customWidth="1"/>
    <col min="2" max="2" width="2.5703125" customWidth="1"/>
    <col min="15" max="15" width="5.28515625" customWidth="1"/>
    <col min="16" max="17" width="14.7109375" customWidth="1"/>
    <col min="18" max="18" width="12.7109375" customWidth="1"/>
    <col min="19" max="19" width="16.7109375" customWidth="1"/>
    <col min="20" max="20" width="5" customWidth="1"/>
    <col min="21" max="22" width="14.7109375" customWidth="1"/>
    <col min="23" max="23" width="12.7109375" customWidth="1"/>
    <col min="24" max="24" width="16.7109375" customWidth="1"/>
  </cols>
  <sheetData>
    <row r="1" spans="2:33" ht="31.5" x14ac:dyDescent="0.25">
      <c r="B1" s="10"/>
      <c r="C1" s="172" t="s">
        <v>50</v>
      </c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1" t="s">
        <v>27</v>
      </c>
      <c r="P1" s="173">
        <f ca="1">TODAY()</f>
        <v>46098</v>
      </c>
      <c r="Q1" s="173"/>
      <c r="R1" s="173"/>
      <c r="S1" s="173"/>
      <c r="T1" s="173"/>
      <c r="U1" s="173"/>
      <c r="V1" s="173"/>
      <c r="W1" s="173"/>
      <c r="X1" s="173"/>
      <c r="Y1" s="53"/>
      <c r="Z1" s="12"/>
      <c r="AA1" s="12"/>
      <c r="AB1" s="10"/>
      <c r="AC1" s="10"/>
      <c r="AD1" s="10"/>
      <c r="AE1" s="10"/>
      <c r="AF1" s="10"/>
      <c r="AG1" s="10"/>
    </row>
    <row r="2" spans="2:33" ht="8.25" customHeight="1" x14ac:dyDescent="0.25"/>
    <row r="3" spans="2:33" ht="23.25" x14ac:dyDescent="0.35">
      <c r="P3" s="234" t="s">
        <v>110</v>
      </c>
      <c r="Q3" s="235"/>
      <c r="R3" s="235"/>
      <c r="S3" s="235"/>
      <c r="T3" s="235"/>
      <c r="U3" s="235"/>
      <c r="V3" s="235"/>
      <c r="W3" s="235"/>
      <c r="X3" s="236"/>
    </row>
    <row r="4" spans="2:33" ht="10.5" customHeight="1" x14ac:dyDescent="0.25"/>
    <row r="5" spans="2:33" ht="18.95" customHeight="1" x14ac:dyDescent="0.3">
      <c r="P5" s="55" t="s">
        <v>113</v>
      </c>
      <c r="Q5" s="56" t="s">
        <v>112</v>
      </c>
      <c r="R5" s="56" t="s">
        <v>111</v>
      </c>
      <c r="S5" s="56" t="s">
        <v>114</v>
      </c>
      <c r="T5" s="57"/>
      <c r="U5" s="56" t="s">
        <v>113</v>
      </c>
      <c r="V5" s="56" t="s">
        <v>112</v>
      </c>
      <c r="W5" s="56" t="s">
        <v>111</v>
      </c>
      <c r="X5" s="58" t="s">
        <v>114</v>
      </c>
    </row>
    <row r="6" spans="2:33" ht="18.95" customHeight="1" x14ac:dyDescent="0.3">
      <c r="P6" s="59" t="s">
        <v>119</v>
      </c>
      <c r="Q6" s="60">
        <v>44133</v>
      </c>
      <c r="R6" s="61"/>
      <c r="S6" s="62"/>
      <c r="U6" s="59" t="s">
        <v>135</v>
      </c>
      <c r="V6" s="60">
        <v>44137</v>
      </c>
      <c r="W6" s="63"/>
      <c r="X6" s="62"/>
    </row>
    <row r="7" spans="2:33" ht="18.95" customHeight="1" x14ac:dyDescent="0.3">
      <c r="P7" s="59" t="s">
        <v>116</v>
      </c>
      <c r="Q7" s="60">
        <v>44137</v>
      </c>
      <c r="R7" s="63"/>
      <c r="S7" s="62"/>
      <c r="U7" s="59" t="s">
        <v>136</v>
      </c>
      <c r="V7" s="60">
        <v>44137</v>
      </c>
      <c r="W7" s="63"/>
      <c r="X7" s="62"/>
    </row>
    <row r="8" spans="2:33" ht="18.95" customHeight="1" x14ac:dyDescent="0.3">
      <c r="P8" s="59" t="s">
        <v>118</v>
      </c>
      <c r="Q8" s="60">
        <v>44137</v>
      </c>
      <c r="R8" s="63"/>
      <c r="S8" s="62"/>
      <c r="U8" s="59" t="s">
        <v>137</v>
      </c>
      <c r="V8" s="60">
        <v>44144</v>
      </c>
      <c r="W8" s="63"/>
      <c r="X8" s="62"/>
    </row>
    <row r="9" spans="2:33" ht="18.95" customHeight="1" x14ac:dyDescent="0.3">
      <c r="P9" s="59" t="s">
        <v>129</v>
      </c>
      <c r="Q9" s="60">
        <v>44138</v>
      </c>
      <c r="R9" s="61"/>
      <c r="S9" s="62"/>
      <c r="U9" s="59" t="s">
        <v>138</v>
      </c>
      <c r="V9" s="60">
        <v>44144</v>
      </c>
      <c r="W9" s="63"/>
      <c r="X9" s="62"/>
    </row>
    <row r="10" spans="2:33" ht="18.95" customHeight="1" x14ac:dyDescent="0.3">
      <c r="P10" s="59" t="s">
        <v>115</v>
      </c>
      <c r="Q10" s="60">
        <v>44139</v>
      </c>
      <c r="R10" s="63"/>
      <c r="S10" s="62"/>
      <c r="U10" s="59" t="s">
        <v>139</v>
      </c>
      <c r="V10" s="60">
        <v>44151</v>
      </c>
      <c r="W10" s="63"/>
      <c r="X10" s="62"/>
    </row>
    <row r="11" spans="2:33" ht="18.95" customHeight="1" x14ac:dyDescent="0.3">
      <c r="P11" s="59" t="s">
        <v>117</v>
      </c>
      <c r="Q11" s="60">
        <v>44139</v>
      </c>
      <c r="R11" s="63"/>
      <c r="S11" s="62"/>
      <c r="U11" s="59" t="s">
        <v>140</v>
      </c>
      <c r="V11" s="60">
        <v>44158</v>
      </c>
      <c r="W11" s="63"/>
      <c r="X11" s="62"/>
    </row>
    <row r="12" spans="2:33" ht="18.95" customHeight="1" x14ac:dyDescent="0.3">
      <c r="P12" s="59" t="s">
        <v>122</v>
      </c>
      <c r="Q12" s="60">
        <v>44145</v>
      </c>
      <c r="R12" s="63"/>
      <c r="S12" s="62"/>
      <c r="U12" s="59" t="s">
        <v>141</v>
      </c>
      <c r="V12" s="60">
        <v>44158</v>
      </c>
      <c r="W12" s="63"/>
      <c r="X12" s="62"/>
    </row>
    <row r="13" spans="2:33" ht="18.95" customHeight="1" x14ac:dyDescent="0.3">
      <c r="P13" s="59" t="s">
        <v>123</v>
      </c>
      <c r="Q13" s="60">
        <v>44145</v>
      </c>
      <c r="R13" s="63"/>
      <c r="S13" s="62"/>
      <c r="U13" s="59" t="s">
        <v>142</v>
      </c>
      <c r="V13" s="60">
        <v>44165</v>
      </c>
      <c r="W13" s="63"/>
      <c r="X13" s="62"/>
    </row>
    <row r="14" spans="2:33" ht="18.95" customHeight="1" x14ac:dyDescent="0.3">
      <c r="P14" s="59" t="s">
        <v>120</v>
      </c>
      <c r="Q14" s="60">
        <v>44151</v>
      </c>
      <c r="R14" s="63"/>
      <c r="S14" s="62"/>
      <c r="U14" s="59" t="s">
        <v>143</v>
      </c>
      <c r="V14" s="60">
        <v>44165</v>
      </c>
      <c r="W14" s="63"/>
      <c r="X14" s="62"/>
    </row>
    <row r="15" spans="2:33" ht="18.95" customHeight="1" x14ac:dyDescent="0.3">
      <c r="P15" s="59" t="s">
        <v>121</v>
      </c>
      <c r="Q15" s="60">
        <v>44151</v>
      </c>
      <c r="R15" s="63"/>
      <c r="S15" s="62"/>
      <c r="U15" s="59" t="s">
        <v>144</v>
      </c>
      <c r="V15" s="60">
        <v>44165</v>
      </c>
      <c r="W15" s="63"/>
      <c r="X15" s="62"/>
    </row>
    <row r="16" spans="2:33" ht="18.95" customHeight="1" x14ac:dyDescent="0.3">
      <c r="P16" s="59" t="s">
        <v>128</v>
      </c>
      <c r="Q16" s="60">
        <v>44152</v>
      </c>
      <c r="R16" s="63"/>
      <c r="S16" s="62"/>
      <c r="U16" s="59" t="s">
        <v>145</v>
      </c>
      <c r="V16" s="60">
        <v>44172</v>
      </c>
      <c r="W16" s="63"/>
      <c r="X16" s="62"/>
    </row>
    <row r="17" spans="16:24" ht="18.95" customHeight="1" x14ac:dyDescent="0.3">
      <c r="P17" s="59" t="s">
        <v>126</v>
      </c>
      <c r="Q17" s="60">
        <v>44153</v>
      </c>
      <c r="R17" s="63"/>
      <c r="S17" s="62"/>
      <c r="U17" s="59" t="s">
        <v>146</v>
      </c>
      <c r="V17" s="60">
        <v>44172</v>
      </c>
      <c r="W17" s="63"/>
      <c r="X17" s="62"/>
    </row>
    <row r="18" spans="16:24" ht="18.95" customHeight="1" x14ac:dyDescent="0.3">
      <c r="P18" s="59" t="s">
        <v>127</v>
      </c>
      <c r="Q18" s="60">
        <v>44153</v>
      </c>
      <c r="R18" s="63"/>
      <c r="S18" s="62"/>
      <c r="U18" s="59" t="s">
        <v>147</v>
      </c>
      <c r="V18" s="60">
        <v>44172</v>
      </c>
      <c r="W18" s="63"/>
      <c r="X18" s="62"/>
    </row>
    <row r="19" spans="16:24" ht="18.95" customHeight="1" x14ac:dyDescent="0.3">
      <c r="P19" s="59" t="s">
        <v>124</v>
      </c>
      <c r="Q19" s="60">
        <v>44165</v>
      </c>
      <c r="R19" s="63"/>
      <c r="S19" s="62"/>
      <c r="U19" s="59" t="s">
        <v>130</v>
      </c>
      <c r="V19" s="60">
        <v>44175</v>
      </c>
      <c r="W19" s="61"/>
      <c r="X19" s="62"/>
    </row>
    <row r="20" spans="16:24" ht="18.95" customHeight="1" x14ac:dyDescent="0.3">
      <c r="P20" s="59" t="s">
        <v>125</v>
      </c>
      <c r="Q20" s="60">
        <v>44165</v>
      </c>
      <c r="R20" s="63"/>
      <c r="S20" s="62"/>
      <c r="U20" s="59" t="s">
        <v>131</v>
      </c>
      <c r="V20" s="60">
        <v>44181</v>
      </c>
      <c r="W20" s="61"/>
      <c r="X20" s="62"/>
    </row>
    <row r="21" spans="16:24" ht="18.95" customHeight="1" x14ac:dyDescent="0.3">
      <c r="P21" s="59" t="s">
        <v>133</v>
      </c>
      <c r="Q21" s="60">
        <v>44165</v>
      </c>
      <c r="R21" s="62"/>
      <c r="S21" s="62"/>
      <c r="U21" s="59" t="s">
        <v>132</v>
      </c>
      <c r="V21" s="60">
        <v>44186</v>
      </c>
      <c r="W21" s="61"/>
      <c r="X21" s="62"/>
    </row>
    <row r="22" spans="16:24" ht="18.95" customHeight="1" x14ac:dyDescent="0.3">
      <c r="P22" s="59" t="s">
        <v>134</v>
      </c>
      <c r="Q22" s="60">
        <v>44165</v>
      </c>
      <c r="R22" s="62"/>
      <c r="S22" s="62"/>
      <c r="U22" s="59"/>
      <c r="V22" s="60"/>
      <c r="W22" s="62"/>
      <c r="X22" s="62"/>
    </row>
    <row r="23" spans="16:24" ht="18.95" customHeight="1" x14ac:dyDescent="0.3">
      <c r="P23" s="59"/>
      <c r="Q23" s="60"/>
      <c r="R23" s="62"/>
      <c r="S23" s="62"/>
      <c r="U23" s="59"/>
      <c r="V23" s="60"/>
      <c r="W23" s="62"/>
      <c r="X23" s="62"/>
    </row>
    <row r="24" spans="16:24" ht="18.95" customHeight="1" x14ac:dyDescent="0.3">
      <c r="P24" s="59"/>
      <c r="Q24" s="60"/>
      <c r="R24" s="62"/>
      <c r="S24" s="62"/>
      <c r="U24" s="62"/>
      <c r="V24" s="62"/>
      <c r="W24" s="62"/>
      <c r="X24" s="62"/>
    </row>
    <row r="25" spans="16:24" ht="18.95" customHeight="1" x14ac:dyDescent="0.3">
      <c r="P25" s="59"/>
      <c r="Q25" s="60"/>
      <c r="R25" s="62"/>
      <c r="S25" s="62"/>
      <c r="T25" s="54"/>
      <c r="U25" s="62"/>
      <c r="V25" s="62"/>
      <c r="W25" s="62"/>
      <c r="X25" s="62"/>
    </row>
    <row r="26" spans="16:24" ht="18.75" customHeight="1" x14ac:dyDescent="0.3">
      <c r="P26" s="49"/>
      <c r="Q26" s="50"/>
    </row>
    <row r="27" spans="16:24" ht="18.95" customHeight="1" x14ac:dyDescent="0.3">
      <c r="P27" s="51"/>
      <c r="Q27" s="51"/>
      <c r="R27" s="51"/>
      <c r="S27" s="51"/>
      <c r="T27" s="51"/>
      <c r="U27" s="51"/>
      <c r="V27" s="51"/>
    </row>
    <row r="28" spans="16:24" ht="23.25" customHeight="1" x14ac:dyDescent="0.25">
      <c r="P28" s="231" t="s">
        <v>148</v>
      </c>
      <c r="Q28" s="232"/>
      <c r="R28" s="232"/>
      <c r="S28" s="232"/>
      <c r="T28" s="232"/>
      <c r="U28" s="232"/>
      <c r="V28" s="232"/>
      <c r="W28" s="232"/>
      <c r="X28" s="233"/>
    </row>
    <row r="29" spans="16:24" ht="8.25" customHeight="1" x14ac:dyDescent="0.3">
      <c r="P29" s="51"/>
      <c r="Q29" s="51"/>
      <c r="R29" s="51"/>
      <c r="S29" s="51"/>
      <c r="T29" s="51"/>
      <c r="U29" s="51"/>
      <c r="V29" s="51"/>
    </row>
    <row r="30" spans="16:24" ht="18.95" customHeight="1" x14ac:dyDescent="0.35">
      <c r="P30" s="238" t="s">
        <v>88</v>
      </c>
      <c r="Q30" s="238"/>
      <c r="R30" s="238"/>
      <c r="S30" s="238"/>
      <c r="T30" s="238"/>
      <c r="U30" s="238"/>
      <c r="V30" s="238"/>
      <c r="W30" s="52" t="s">
        <v>89</v>
      </c>
      <c r="X30" s="52" t="s">
        <v>90</v>
      </c>
    </row>
    <row r="31" spans="16:24" ht="18.95" customHeight="1" x14ac:dyDescent="0.25">
      <c r="P31" s="228"/>
      <c r="Q31" s="228"/>
      <c r="R31" s="228"/>
      <c r="S31" s="228"/>
      <c r="T31" s="228"/>
      <c r="U31" s="228"/>
      <c r="V31" s="228"/>
      <c r="W31" s="229"/>
      <c r="X31" s="230"/>
    </row>
    <row r="32" spans="16:24" ht="18.95" customHeight="1" x14ac:dyDescent="0.25">
      <c r="P32" s="228"/>
      <c r="Q32" s="228"/>
      <c r="R32" s="228"/>
      <c r="S32" s="228"/>
      <c r="T32" s="228"/>
      <c r="U32" s="228"/>
      <c r="V32" s="228"/>
      <c r="W32" s="229"/>
      <c r="X32" s="229"/>
    </row>
    <row r="33" spans="11:24" ht="18.95" customHeight="1" x14ac:dyDescent="0.25">
      <c r="P33" s="228"/>
      <c r="Q33" s="228"/>
      <c r="R33" s="228"/>
      <c r="S33" s="228"/>
      <c r="T33" s="228"/>
      <c r="U33" s="228"/>
      <c r="V33" s="228"/>
      <c r="W33" s="229"/>
      <c r="X33" s="229"/>
    </row>
    <row r="34" spans="11:24" ht="18.95" customHeight="1" x14ac:dyDescent="0.25">
      <c r="P34" s="228"/>
      <c r="Q34" s="228"/>
      <c r="R34" s="228"/>
      <c r="S34" s="228"/>
      <c r="T34" s="228"/>
      <c r="U34" s="228"/>
      <c r="V34" s="228"/>
      <c r="W34" s="229"/>
      <c r="X34" s="229"/>
    </row>
    <row r="35" spans="11:24" ht="18.95" customHeight="1" x14ac:dyDescent="0.25">
      <c r="K35" s="43"/>
      <c r="L35" s="43"/>
      <c r="M35" s="43"/>
      <c r="N35" s="43"/>
      <c r="O35" s="43"/>
      <c r="P35" s="228"/>
      <c r="Q35" s="228"/>
      <c r="R35" s="228"/>
      <c r="S35" s="228"/>
      <c r="T35" s="228"/>
      <c r="U35" s="228"/>
      <c r="V35" s="228"/>
      <c r="W35" s="229"/>
      <c r="X35" s="229"/>
    </row>
    <row r="36" spans="11:24" ht="18.95" customHeight="1" x14ac:dyDescent="0.25">
      <c r="P36" s="228"/>
      <c r="Q36" s="228"/>
      <c r="R36" s="228"/>
      <c r="S36" s="228"/>
      <c r="T36" s="228"/>
      <c r="U36" s="228"/>
      <c r="V36" s="228"/>
      <c r="W36" s="229"/>
      <c r="X36" s="229"/>
    </row>
    <row r="37" spans="11:24" ht="18.95" customHeight="1" x14ac:dyDescent="0.35">
      <c r="K37" s="44"/>
      <c r="L37" s="44"/>
      <c r="M37" s="44"/>
      <c r="N37" s="44"/>
      <c r="O37" s="44"/>
      <c r="P37" s="228"/>
      <c r="Q37" s="228"/>
      <c r="R37" s="228"/>
      <c r="S37" s="228"/>
      <c r="T37" s="228"/>
      <c r="U37" s="228"/>
      <c r="V37" s="228"/>
      <c r="W37" s="237"/>
      <c r="X37" s="237"/>
    </row>
    <row r="38" spans="11:24" ht="18.95" customHeight="1" x14ac:dyDescent="0.35">
      <c r="K38" s="44"/>
      <c r="L38" s="44"/>
      <c r="M38" s="44"/>
      <c r="N38" s="44"/>
      <c r="O38" s="44"/>
      <c r="P38" s="228"/>
      <c r="Q38" s="228"/>
      <c r="R38" s="228"/>
      <c r="S38" s="228"/>
      <c r="T38" s="228"/>
      <c r="U38" s="228"/>
      <c r="V38" s="228"/>
      <c r="W38" s="237"/>
      <c r="X38" s="237"/>
    </row>
    <row r="39" spans="11:24" ht="18.95" customHeight="1" x14ac:dyDescent="0.25">
      <c r="K39" s="40"/>
      <c r="L39" s="40"/>
      <c r="M39" s="40"/>
      <c r="N39" s="40"/>
      <c r="O39" s="40"/>
      <c r="P39" s="228"/>
      <c r="Q39" s="228"/>
      <c r="R39" s="228"/>
      <c r="S39" s="228"/>
      <c r="T39" s="228"/>
      <c r="U39" s="228"/>
      <c r="V39" s="228"/>
      <c r="W39" s="237"/>
      <c r="X39" s="237"/>
    </row>
    <row r="40" spans="11:24" ht="18.95" customHeight="1" x14ac:dyDescent="0.25"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68"/>
      <c r="X40" s="68"/>
    </row>
    <row r="41" spans="11:24" ht="18.95" customHeight="1" x14ac:dyDescent="0.25"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68"/>
      <c r="X41" s="68"/>
    </row>
    <row r="42" spans="11:24" ht="18.95" customHeight="1" x14ac:dyDescent="0.25"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68"/>
      <c r="X42" s="68"/>
    </row>
    <row r="43" spans="11:24" ht="15" customHeight="1" x14ac:dyDescent="0.25"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1"/>
      <c r="V43" s="41"/>
      <c r="W43" s="42"/>
      <c r="X43" s="41"/>
    </row>
    <row r="44" spans="11:24" ht="15" customHeight="1" x14ac:dyDescent="0.25"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1"/>
      <c r="V44" s="41"/>
      <c r="W44" s="41"/>
      <c r="X44" s="41"/>
    </row>
    <row r="45" spans="11:24" ht="15" customHeight="1" x14ac:dyDescent="0.25"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1"/>
      <c r="V45" s="41"/>
      <c r="W45" s="41"/>
      <c r="X45" s="41"/>
    </row>
    <row r="46" spans="11:24" ht="15" customHeight="1" x14ac:dyDescent="0.25"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1"/>
      <c r="V46" s="41"/>
      <c r="W46" s="41"/>
      <c r="X46" s="41"/>
    </row>
    <row r="47" spans="11:24" ht="15" customHeight="1" x14ac:dyDescent="0.25"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1"/>
      <c r="V47" s="41"/>
      <c r="W47" s="42"/>
      <c r="X47" s="41"/>
    </row>
    <row r="48" spans="11:24" ht="15" customHeight="1" x14ac:dyDescent="0.25"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1"/>
      <c r="V48" s="41"/>
      <c r="W48" s="41"/>
      <c r="X48" s="41"/>
    </row>
    <row r="49" spans="11:24" ht="15" customHeight="1" x14ac:dyDescent="0.25"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1"/>
      <c r="V49" s="41"/>
      <c r="W49" s="41"/>
      <c r="X49" s="41"/>
    </row>
    <row r="50" spans="11:24" ht="15" customHeight="1" x14ac:dyDescent="0.25"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1"/>
      <c r="V50" s="41"/>
      <c r="W50" s="41"/>
      <c r="X50" s="41"/>
    </row>
    <row r="51" spans="11:24" ht="15" customHeight="1" x14ac:dyDescent="0.25"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8"/>
      <c r="W51" s="39"/>
      <c r="X51" s="38"/>
    </row>
    <row r="52" spans="11:24" ht="15" customHeight="1" x14ac:dyDescent="0.25"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8"/>
      <c r="V52" s="38"/>
      <c r="W52" s="38"/>
      <c r="X52" s="38"/>
    </row>
    <row r="53" spans="11:24" ht="15" customHeight="1" x14ac:dyDescent="0.25"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8"/>
      <c r="W53" s="38"/>
      <c r="X53" s="38"/>
    </row>
    <row r="54" spans="11:24" ht="15" customHeight="1" x14ac:dyDescent="0.25"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8"/>
      <c r="W54" s="38"/>
      <c r="X54" s="38"/>
    </row>
    <row r="55" spans="11:24" ht="15" customHeight="1" x14ac:dyDescent="0.25"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8"/>
      <c r="W55" s="39"/>
      <c r="X55" s="38"/>
    </row>
    <row r="56" spans="11:24" ht="15" customHeight="1" x14ac:dyDescent="0.25"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8"/>
      <c r="W56" s="38"/>
      <c r="X56" s="38"/>
    </row>
    <row r="57" spans="11:24" ht="15" customHeight="1" x14ac:dyDescent="0.25"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8"/>
      <c r="W57" s="38"/>
      <c r="X57" s="38"/>
    </row>
    <row r="58" spans="11:24" ht="15" customHeight="1" x14ac:dyDescent="0.25"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8"/>
      <c r="W58" s="38"/>
      <c r="X58" s="38"/>
    </row>
  </sheetData>
  <sortState xmlns:xlrd2="http://schemas.microsoft.com/office/spreadsheetml/2017/richdata2" ref="P6:Q37">
    <sortCondition ref="Q6:Q37"/>
  </sortState>
  <mergeCells count="14">
    <mergeCell ref="X37:X39"/>
    <mergeCell ref="P30:V30"/>
    <mergeCell ref="P34:V36"/>
    <mergeCell ref="X34:X36"/>
    <mergeCell ref="W34:W36"/>
    <mergeCell ref="P37:V39"/>
    <mergeCell ref="W37:W39"/>
    <mergeCell ref="C1:N1"/>
    <mergeCell ref="P1:X1"/>
    <mergeCell ref="P31:V33"/>
    <mergeCell ref="W31:W33"/>
    <mergeCell ref="X31:X33"/>
    <mergeCell ref="P28:X28"/>
    <mergeCell ref="P3:X3"/>
  </mergeCells>
  <phoneticPr fontId="14" type="noConversion"/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C1A1-528A-4E7F-871B-113DD0A1FB6E}">
  <dimension ref="B1:AG58"/>
  <sheetViews>
    <sheetView zoomScale="64" zoomScaleNormal="64" workbookViewId="0">
      <selection activeCell="Q23" sqref="Q23:Z26"/>
    </sheetView>
  </sheetViews>
  <sheetFormatPr defaultRowHeight="15" x14ac:dyDescent="0.25"/>
  <cols>
    <col min="1" max="1" width="2.5703125" customWidth="1"/>
    <col min="16" max="16" width="3.42578125" customWidth="1"/>
  </cols>
  <sheetData>
    <row r="1" spans="2:33" ht="31.5" x14ac:dyDescent="0.25">
      <c r="B1" s="10"/>
      <c r="C1" s="10"/>
      <c r="D1" s="172" t="s">
        <v>50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1" t="s">
        <v>27</v>
      </c>
      <c r="T1" s="173">
        <f ca="1">TODAY()</f>
        <v>46098</v>
      </c>
      <c r="U1" s="173"/>
      <c r="V1" s="173"/>
      <c r="W1" s="173"/>
      <c r="X1" s="173"/>
      <c r="Y1" s="173"/>
      <c r="Z1" s="12"/>
      <c r="AA1" s="12"/>
      <c r="AB1" s="10"/>
      <c r="AC1" s="10"/>
      <c r="AD1" s="10"/>
      <c r="AE1" s="10"/>
      <c r="AF1" s="10"/>
      <c r="AG1" s="10"/>
    </row>
    <row r="2" spans="2:33" ht="14.25" customHeight="1" x14ac:dyDescent="0.25"/>
    <row r="3" spans="2:33" ht="27" customHeight="1" x14ac:dyDescent="0.25">
      <c r="B3" s="174" t="s">
        <v>54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  <c r="P3" s="17"/>
      <c r="Q3" s="174" t="s">
        <v>299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6"/>
    </row>
    <row r="5" spans="2:33" x14ac:dyDescent="0.25">
      <c r="Q5" s="166" t="s">
        <v>88</v>
      </c>
      <c r="R5" s="167"/>
      <c r="S5" s="167"/>
      <c r="T5" s="167"/>
      <c r="U5" s="167"/>
      <c r="V5" s="167"/>
      <c r="W5" s="167"/>
      <c r="X5" s="167"/>
      <c r="Y5" s="167"/>
      <c r="Z5" s="168"/>
      <c r="AA5" s="166" t="s">
        <v>89</v>
      </c>
      <c r="AB5" s="168"/>
      <c r="AC5" s="166" t="s">
        <v>90</v>
      </c>
      <c r="AD5" s="168"/>
    </row>
    <row r="6" spans="2:33" x14ac:dyDescent="0.25">
      <c r="Q6" s="169"/>
      <c r="R6" s="170"/>
      <c r="S6" s="170"/>
      <c r="T6" s="170"/>
      <c r="U6" s="170"/>
      <c r="V6" s="170"/>
      <c r="W6" s="170"/>
      <c r="X6" s="170"/>
      <c r="Y6" s="170"/>
      <c r="Z6" s="171"/>
      <c r="AA6" s="169"/>
      <c r="AB6" s="171"/>
      <c r="AC6" s="169"/>
      <c r="AD6" s="171"/>
    </row>
    <row r="7" spans="2:33" x14ac:dyDescent="0.25">
      <c r="Q7" s="198" t="s">
        <v>99</v>
      </c>
      <c r="R7" s="184"/>
      <c r="S7" s="184"/>
      <c r="T7" s="184"/>
      <c r="U7" s="184"/>
      <c r="V7" s="184"/>
      <c r="W7" s="184"/>
      <c r="X7" s="184"/>
      <c r="Y7" s="184"/>
      <c r="Z7" s="185"/>
      <c r="AA7" s="192" t="s">
        <v>92</v>
      </c>
      <c r="AB7" s="193"/>
      <c r="AC7" s="160"/>
      <c r="AD7" s="193"/>
    </row>
    <row r="8" spans="2:33" x14ac:dyDescent="0.25">
      <c r="Q8" s="186"/>
      <c r="R8" s="187"/>
      <c r="S8" s="187"/>
      <c r="T8" s="187"/>
      <c r="U8" s="187"/>
      <c r="V8" s="187"/>
      <c r="W8" s="187"/>
      <c r="X8" s="187"/>
      <c r="Y8" s="187"/>
      <c r="Z8" s="188"/>
      <c r="AA8" s="194"/>
      <c r="AB8" s="195"/>
      <c r="AC8" s="194"/>
      <c r="AD8" s="195"/>
    </row>
    <row r="9" spans="2:33" x14ac:dyDescent="0.25">
      <c r="Q9" s="186"/>
      <c r="R9" s="187"/>
      <c r="S9" s="187"/>
      <c r="T9" s="187"/>
      <c r="U9" s="187"/>
      <c r="V9" s="187"/>
      <c r="W9" s="187"/>
      <c r="X9" s="187"/>
      <c r="Y9" s="187"/>
      <c r="Z9" s="188"/>
      <c r="AA9" s="194"/>
      <c r="AB9" s="195"/>
      <c r="AC9" s="194"/>
      <c r="AD9" s="195"/>
    </row>
    <row r="10" spans="2:33" x14ac:dyDescent="0.25">
      <c r="Q10" s="189"/>
      <c r="R10" s="190"/>
      <c r="S10" s="190"/>
      <c r="T10" s="190"/>
      <c r="U10" s="190"/>
      <c r="V10" s="190"/>
      <c r="W10" s="190"/>
      <c r="X10" s="190"/>
      <c r="Y10" s="190"/>
      <c r="Z10" s="191"/>
      <c r="AA10" s="196"/>
      <c r="AB10" s="197"/>
      <c r="AC10" s="196"/>
      <c r="AD10" s="197"/>
    </row>
    <row r="11" spans="2:33" x14ac:dyDescent="0.25">
      <c r="Q11" s="198" t="s">
        <v>95</v>
      </c>
      <c r="R11" s="184"/>
      <c r="S11" s="184"/>
      <c r="T11" s="184"/>
      <c r="U11" s="184"/>
      <c r="V11" s="184"/>
      <c r="W11" s="184"/>
      <c r="X11" s="184"/>
      <c r="Y11" s="184"/>
      <c r="Z11" s="185"/>
      <c r="AA11" s="192" t="s">
        <v>96</v>
      </c>
      <c r="AB11" s="193"/>
      <c r="AC11" s="160"/>
      <c r="AD11" s="193"/>
    </row>
    <row r="12" spans="2:33" x14ac:dyDescent="0.25">
      <c r="Q12" s="186"/>
      <c r="R12" s="187"/>
      <c r="S12" s="187"/>
      <c r="T12" s="187"/>
      <c r="U12" s="187"/>
      <c r="V12" s="187"/>
      <c r="W12" s="187"/>
      <c r="X12" s="187"/>
      <c r="Y12" s="187"/>
      <c r="Z12" s="188"/>
      <c r="AA12" s="194"/>
      <c r="AB12" s="195"/>
      <c r="AC12" s="194"/>
      <c r="AD12" s="195"/>
    </row>
    <row r="13" spans="2:33" x14ac:dyDescent="0.25">
      <c r="Q13" s="186"/>
      <c r="R13" s="187"/>
      <c r="S13" s="187"/>
      <c r="T13" s="187"/>
      <c r="U13" s="187"/>
      <c r="V13" s="187"/>
      <c r="W13" s="187"/>
      <c r="X13" s="187"/>
      <c r="Y13" s="187"/>
      <c r="Z13" s="188"/>
      <c r="AA13" s="194"/>
      <c r="AB13" s="195"/>
      <c r="AC13" s="194"/>
      <c r="AD13" s="195"/>
    </row>
    <row r="14" spans="2:33" x14ac:dyDescent="0.25">
      <c r="Q14" s="189"/>
      <c r="R14" s="190"/>
      <c r="S14" s="190"/>
      <c r="T14" s="190"/>
      <c r="U14" s="190"/>
      <c r="V14" s="190"/>
      <c r="W14" s="190"/>
      <c r="X14" s="190"/>
      <c r="Y14" s="190"/>
      <c r="Z14" s="191"/>
      <c r="AA14" s="196"/>
      <c r="AB14" s="197"/>
      <c r="AC14" s="196"/>
      <c r="AD14" s="197"/>
    </row>
    <row r="15" spans="2:33" x14ac:dyDescent="0.25">
      <c r="Q15" s="198" t="s">
        <v>93</v>
      </c>
      <c r="R15" s="184"/>
      <c r="S15" s="184"/>
      <c r="T15" s="184"/>
      <c r="U15" s="184"/>
      <c r="V15" s="184"/>
      <c r="W15" s="184"/>
      <c r="X15" s="184"/>
      <c r="Y15" s="184"/>
      <c r="Z15" s="185"/>
      <c r="AA15" s="192" t="s">
        <v>94</v>
      </c>
      <c r="AB15" s="193"/>
      <c r="AC15" s="160"/>
      <c r="AD15" s="193"/>
    </row>
    <row r="16" spans="2:33" x14ac:dyDescent="0.25">
      <c r="Q16" s="186"/>
      <c r="R16" s="187"/>
      <c r="S16" s="187"/>
      <c r="T16" s="187"/>
      <c r="U16" s="187"/>
      <c r="V16" s="187"/>
      <c r="W16" s="187"/>
      <c r="X16" s="187"/>
      <c r="Y16" s="187"/>
      <c r="Z16" s="188"/>
      <c r="AA16" s="194"/>
      <c r="AB16" s="195"/>
      <c r="AC16" s="194"/>
      <c r="AD16" s="195"/>
    </row>
    <row r="17" spans="2:30" x14ac:dyDescent="0.25">
      <c r="Q17" s="186"/>
      <c r="R17" s="187"/>
      <c r="S17" s="187"/>
      <c r="T17" s="187"/>
      <c r="U17" s="187"/>
      <c r="V17" s="187"/>
      <c r="W17" s="187"/>
      <c r="X17" s="187"/>
      <c r="Y17" s="187"/>
      <c r="Z17" s="188"/>
      <c r="AA17" s="194"/>
      <c r="AB17" s="195"/>
      <c r="AC17" s="194"/>
      <c r="AD17" s="195"/>
    </row>
    <row r="18" spans="2:30" x14ac:dyDescent="0.25">
      <c r="Q18" s="189"/>
      <c r="R18" s="190"/>
      <c r="S18" s="190"/>
      <c r="T18" s="190"/>
      <c r="U18" s="190"/>
      <c r="V18" s="190"/>
      <c r="W18" s="190"/>
      <c r="X18" s="190"/>
      <c r="Y18" s="190"/>
      <c r="Z18" s="191"/>
      <c r="AA18" s="196"/>
      <c r="AB18" s="197"/>
      <c r="AC18" s="196"/>
      <c r="AD18" s="197"/>
    </row>
    <row r="19" spans="2:30" x14ac:dyDescent="0.25">
      <c r="Q19" s="198" t="s">
        <v>97</v>
      </c>
      <c r="R19" s="184"/>
      <c r="S19" s="184"/>
      <c r="T19" s="184"/>
      <c r="U19" s="184"/>
      <c r="V19" s="184"/>
      <c r="W19" s="184"/>
      <c r="X19" s="184"/>
      <c r="Y19" s="184"/>
      <c r="Z19" s="185"/>
      <c r="AA19" s="192" t="s">
        <v>60</v>
      </c>
      <c r="AB19" s="193"/>
      <c r="AC19" s="160"/>
      <c r="AD19" s="193"/>
    </row>
    <row r="20" spans="2:30" x14ac:dyDescent="0.25">
      <c r="Q20" s="186"/>
      <c r="R20" s="187"/>
      <c r="S20" s="187"/>
      <c r="T20" s="187"/>
      <c r="U20" s="187"/>
      <c r="V20" s="187"/>
      <c r="W20" s="187"/>
      <c r="X20" s="187"/>
      <c r="Y20" s="187"/>
      <c r="Z20" s="188"/>
      <c r="AA20" s="194"/>
      <c r="AB20" s="195"/>
      <c r="AC20" s="194"/>
      <c r="AD20" s="195"/>
    </row>
    <row r="21" spans="2:30" x14ac:dyDescent="0.25">
      <c r="Q21" s="186"/>
      <c r="R21" s="187"/>
      <c r="S21" s="187"/>
      <c r="T21" s="187"/>
      <c r="U21" s="187"/>
      <c r="V21" s="187"/>
      <c r="W21" s="187"/>
      <c r="X21" s="187"/>
      <c r="Y21" s="187"/>
      <c r="Z21" s="188"/>
      <c r="AA21" s="194"/>
      <c r="AB21" s="195"/>
      <c r="AC21" s="194"/>
      <c r="AD21" s="195"/>
    </row>
    <row r="22" spans="2:30" x14ac:dyDescent="0.25">
      <c r="Q22" s="189"/>
      <c r="R22" s="190"/>
      <c r="S22" s="190"/>
      <c r="T22" s="190"/>
      <c r="U22" s="190"/>
      <c r="V22" s="190"/>
      <c r="W22" s="190"/>
      <c r="X22" s="190"/>
      <c r="Y22" s="190"/>
      <c r="Z22" s="191"/>
      <c r="AA22" s="196"/>
      <c r="AB22" s="197"/>
      <c r="AC22" s="196"/>
      <c r="AD22" s="197"/>
    </row>
    <row r="23" spans="2:30" x14ac:dyDescent="0.25">
      <c r="Q23" s="198" t="s">
        <v>98</v>
      </c>
      <c r="R23" s="184"/>
      <c r="S23" s="184"/>
      <c r="T23" s="184"/>
      <c r="U23" s="184"/>
      <c r="V23" s="184"/>
      <c r="W23" s="184"/>
      <c r="X23" s="184"/>
      <c r="Y23" s="184"/>
      <c r="Z23" s="185"/>
      <c r="AA23" s="192" t="s">
        <v>60</v>
      </c>
      <c r="AB23" s="193"/>
      <c r="AC23" s="160"/>
      <c r="AD23" s="193"/>
    </row>
    <row r="24" spans="2:30" x14ac:dyDescent="0.25">
      <c r="Q24" s="186"/>
      <c r="R24" s="187"/>
      <c r="S24" s="187"/>
      <c r="T24" s="187"/>
      <c r="U24" s="187"/>
      <c r="V24" s="187"/>
      <c r="W24" s="187"/>
      <c r="X24" s="187"/>
      <c r="Y24" s="187"/>
      <c r="Z24" s="188"/>
      <c r="AA24" s="194"/>
      <c r="AB24" s="195"/>
      <c r="AC24" s="194"/>
      <c r="AD24" s="195"/>
    </row>
    <row r="25" spans="2:30" x14ac:dyDescent="0.25">
      <c r="Q25" s="186"/>
      <c r="R25" s="187"/>
      <c r="S25" s="187"/>
      <c r="T25" s="187"/>
      <c r="U25" s="187"/>
      <c r="V25" s="187"/>
      <c r="W25" s="187"/>
      <c r="X25" s="187"/>
      <c r="Y25" s="187"/>
      <c r="Z25" s="188"/>
      <c r="AA25" s="194"/>
      <c r="AB25" s="195"/>
      <c r="AC25" s="194"/>
      <c r="AD25" s="195"/>
    </row>
    <row r="26" spans="2:30" x14ac:dyDescent="0.25">
      <c r="Q26" s="189"/>
      <c r="R26" s="190"/>
      <c r="S26" s="190"/>
      <c r="T26" s="190"/>
      <c r="U26" s="190"/>
      <c r="V26" s="190"/>
      <c r="W26" s="190"/>
      <c r="X26" s="190"/>
      <c r="Y26" s="190"/>
      <c r="Z26" s="191"/>
      <c r="AA26" s="196"/>
      <c r="AB26" s="197"/>
      <c r="AC26" s="196"/>
      <c r="AD26" s="197"/>
    </row>
    <row r="27" spans="2:30" x14ac:dyDescent="0.25">
      <c r="Q27" s="198"/>
      <c r="R27" s="184"/>
      <c r="S27" s="184"/>
      <c r="T27" s="184"/>
      <c r="U27" s="184"/>
      <c r="V27" s="184"/>
      <c r="W27" s="184"/>
      <c r="X27" s="184"/>
      <c r="Y27" s="184"/>
      <c r="Z27" s="185"/>
      <c r="AA27" s="192"/>
      <c r="AB27" s="193"/>
      <c r="AC27" s="160"/>
      <c r="AD27" s="193"/>
    </row>
    <row r="28" spans="2:30" x14ac:dyDescent="0.25">
      <c r="Q28" s="186"/>
      <c r="R28" s="187"/>
      <c r="S28" s="187"/>
      <c r="T28" s="187"/>
      <c r="U28" s="187"/>
      <c r="V28" s="187"/>
      <c r="W28" s="187"/>
      <c r="X28" s="187"/>
      <c r="Y28" s="187"/>
      <c r="Z28" s="188"/>
      <c r="AA28" s="194"/>
      <c r="AB28" s="195"/>
      <c r="AC28" s="194"/>
      <c r="AD28" s="195"/>
    </row>
    <row r="29" spans="2:30" x14ac:dyDescent="0.25">
      <c r="Q29" s="186"/>
      <c r="R29" s="187"/>
      <c r="S29" s="187"/>
      <c r="T29" s="187"/>
      <c r="U29" s="187"/>
      <c r="V29" s="187"/>
      <c r="W29" s="187"/>
      <c r="X29" s="187"/>
      <c r="Y29" s="187"/>
      <c r="Z29" s="188"/>
      <c r="AA29" s="194"/>
      <c r="AB29" s="195"/>
      <c r="AC29" s="194"/>
      <c r="AD29" s="195"/>
    </row>
    <row r="30" spans="2:30" ht="27" customHeight="1" x14ac:dyDescent="0.25">
      <c r="B30" s="14"/>
      <c r="C30" s="19" t="s">
        <v>55</v>
      </c>
      <c r="D30" s="19"/>
      <c r="E30" s="23">
        <f>'2020 Data'!J40</f>
        <v>0.75</v>
      </c>
      <c r="F30" s="19"/>
      <c r="G30" s="19" t="s">
        <v>56</v>
      </c>
      <c r="H30" s="15"/>
      <c r="I30" s="15"/>
      <c r="J30" s="24">
        <f>'2020 Data'!L40</f>
        <v>0.84499999999999997</v>
      </c>
      <c r="K30" s="15"/>
      <c r="L30" s="19" t="s">
        <v>57</v>
      </c>
      <c r="M30" s="15"/>
      <c r="N30" s="24">
        <f>'2020 Data'!M40</f>
        <v>0.86250000000000004</v>
      </c>
      <c r="O30" s="16"/>
      <c r="Q30" s="189"/>
      <c r="R30" s="190"/>
      <c r="S30" s="190"/>
      <c r="T30" s="190"/>
      <c r="U30" s="190"/>
      <c r="V30" s="190"/>
      <c r="W30" s="190"/>
      <c r="X30" s="190"/>
      <c r="Y30" s="190"/>
      <c r="Z30" s="191"/>
      <c r="AA30" s="196"/>
      <c r="AB30" s="197"/>
      <c r="AC30" s="196"/>
      <c r="AD30" s="197"/>
    </row>
    <row r="32" spans="2:30" hidden="1" x14ac:dyDescent="0.25"/>
    <row r="33" spans="2:30" hidden="1" x14ac:dyDescent="0.25"/>
    <row r="35" spans="2:30" ht="21" x14ac:dyDescent="0.25">
      <c r="B35" s="174" t="s">
        <v>298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6"/>
      <c r="Q35" s="174" t="s">
        <v>305</v>
      </c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6"/>
    </row>
    <row r="36" spans="2:30" ht="9" customHeight="1" x14ac:dyDescent="0.25"/>
    <row r="37" spans="2:30" ht="26.25" customHeight="1" x14ac:dyDescent="0.35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Q37" s="239" t="s">
        <v>155</v>
      </c>
      <c r="R37" s="239"/>
      <c r="S37" s="239"/>
      <c r="T37" s="239"/>
      <c r="U37" s="239"/>
      <c r="V37" s="239"/>
      <c r="W37" s="239"/>
      <c r="X37" s="52" t="s">
        <v>14</v>
      </c>
      <c r="Y37" s="52" t="s">
        <v>15</v>
      </c>
      <c r="Z37" s="52" t="s">
        <v>300</v>
      </c>
      <c r="AA37" s="52" t="s">
        <v>17</v>
      </c>
      <c r="AB37" s="52" t="s">
        <v>18</v>
      </c>
      <c r="AC37" s="52" t="s">
        <v>19</v>
      </c>
      <c r="AD37" s="52" t="s">
        <v>8</v>
      </c>
    </row>
    <row r="38" spans="2:30" ht="15" customHeight="1" x14ac:dyDescent="0.35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Q38" s="243" t="s">
        <v>301</v>
      </c>
      <c r="R38" s="243"/>
      <c r="S38" s="243"/>
      <c r="T38" s="243"/>
      <c r="U38" s="243"/>
      <c r="V38" s="243"/>
      <c r="W38" s="243"/>
      <c r="X38" s="240">
        <v>0.89</v>
      </c>
      <c r="Y38" s="240">
        <v>0.87</v>
      </c>
      <c r="Z38" s="240">
        <v>0.34</v>
      </c>
      <c r="AA38" s="240"/>
      <c r="AB38" s="240"/>
      <c r="AC38" s="240"/>
      <c r="AD38" s="240"/>
    </row>
    <row r="39" spans="2:30" ht="15" customHeight="1" x14ac:dyDescent="0.25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8"/>
      <c r="M39" s="38"/>
      <c r="N39" s="39"/>
      <c r="O39" s="38"/>
      <c r="Q39" s="243"/>
      <c r="R39" s="243"/>
      <c r="S39" s="243"/>
      <c r="T39" s="243"/>
      <c r="U39" s="243"/>
      <c r="V39" s="243"/>
      <c r="W39" s="243"/>
      <c r="X39" s="241"/>
      <c r="Y39" s="241"/>
      <c r="Z39" s="241"/>
      <c r="AA39" s="241"/>
      <c r="AB39" s="241"/>
      <c r="AC39" s="241"/>
      <c r="AD39" s="241"/>
    </row>
    <row r="40" spans="2:30" ht="15" customHeight="1" x14ac:dyDescent="0.25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8"/>
      <c r="M40" s="38"/>
      <c r="N40" s="38"/>
      <c r="O40" s="38"/>
      <c r="Q40" s="243"/>
      <c r="R40" s="243"/>
      <c r="S40" s="243"/>
      <c r="T40" s="243"/>
      <c r="U40" s="243"/>
      <c r="V40" s="243"/>
      <c r="W40" s="243"/>
      <c r="X40" s="241"/>
      <c r="Y40" s="241"/>
      <c r="Z40" s="241"/>
      <c r="AA40" s="241"/>
      <c r="AB40" s="241"/>
      <c r="AC40" s="241"/>
      <c r="AD40" s="241"/>
    </row>
    <row r="41" spans="2:30" ht="15" customHeight="1" x14ac:dyDescent="0.2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  <c r="M41" s="38"/>
      <c r="N41" s="38"/>
      <c r="O41" s="38"/>
      <c r="Q41" s="243"/>
      <c r="R41" s="243"/>
      <c r="S41" s="243"/>
      <c r="T41" s="243"/>
      <c r="U41" s="243"/>
      <c r="V41" s="243"/>
      <c r="W41" s="243"/>
      <c r="X41" s="242"/>
      <c r="Y41" s="242"/>
      <c r="Z41" s="242"/>
      <c r="AA41" s="242"/>
      <c r="AB41" s="242"/>
      <c r="AC41" s="242"/>
      <c r="AD41" s="242"/>
    </row>
    <row r="42" spans="2:30" ht="15" customHeight="1" x14ac:dyDescent="0.25"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8"/>
      <c r="M42" s="38"/>
      <c r="N42" s="38"/>
      <c r="O42" s="38"/>
      <c r="Q42" s="243" t="s">
        <v>248</v>
      </c>
      <c r="R42" s="243"/>
      <c r="S42" s="243"/>
      <c r="T42" s="243"/>
      <c r="U42" s="243"/>
      <c r="V42" s="243"/>
      <c r="W42" s="243"/>
      <c r="X42" s="240">
        <v>0.65</v>
      </c>
      <c r="Y42" s="240">
        <v>0.66</v>
      </c>
      <c r="Z42" s="240">
        <v>0.37</v>
      </c>
      <c r="AA42" s="240"/>
      <c r="AB42" s="240"/>
      <c r="AC42" s="240"/>
      <c r="AD42" s="240"/>
    </row>
    <row r="43" spans="2:30" ht="15" customHeight="1" x14ac:dyDescent="0.2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  <c r="M43" s="38"/>
      <c r="N43" s="39"/>
      <c r="O43" s="38"/>
      <c r="Q43" s="243"/>
      <c r="R43" s="243"/>
      <c r="S43" s="243"/>
      <c r="T43" s="243"/>
      <c r="U43" s="243"/>
      <c r="V43" s="243"/>
      <c r="W43" s="243"/>
      <c r="X43" s="241"/>
      <c r="Y43" s="241"/>
      <c r="Z43" s="241"/>
      <c r="AA43" s="241"/>
      <c r="AB43" s="241"/>
      <c r="AC43" s="241"/>
      <c r="AD43" s="241"/>
    </row>
    <row r="44" spans="2:30" ht="15" customHeight="1" x14ac:dyDescent="0.25"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8"/>
      <c r="M44" s="38"/>
      <c r="N44" s="38"/>
      <c r="O44" s="38"/>
      <c r="Q44" s="243"/>
      <c r="R44" s="243"/>
      <c r="S44" s="243"/>
      <c r="T44" s="243"/>
      <c r="U44" s="243"/>
      <c r="V44" s="243"/>
      <c r="W44" s="243"/>
      <c r="X44" s="241"/>
      <c r="Y44" s="241"/>
      <c r="Z44" s="241"/>
      <c r="AA44" s="241"/>
      <c r="AB44" s="241"/>
      <c r="AC44" s="241"/>
      <c r="AD44" s="241"/>
    </row>
    <row r="45" spans="2:30" ht="15" customHeight="1" x14ac:dyDescent="0.25"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8"/>
      <c r="M45" s="38"/>
      <c r="N45" s="38"/>
      <c r="O45" s="38"/>
      <c r="Q45" s="243"/>
      <c r="R45" s="243"/>
      <c r="S45" s="243"/>
      <c r="T45" s="243"/>
      <c r="U45" s="243"/>
      <c r="V45" s="243"/>
      <c r="W45" s="243"/>
      <c r="X45" s="242"/>
      <c r="Y45" s="242"/>
      <c r="Z45" s="242"/>
      <c r="AA45" s="242"/>
      <c r="AB45" s="242"/>
      <c r="AC45" s="242"/>
      <c r="AD45" s="242"/>
    </row>
    <row r="46" spans="2:30" ht="15" customHeight="1" x14ac:dyDescent="0.25"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8"/>
      <c r="M46" s="38"/>
      <c r="N46" s="38"/>
      <c r="O46" s="38"/>
      <c r="Q46" s="243" t="s">
        <v>302</v>
      </c>
      <c r="R46" s="243"/>
      <c r="S46" s="243"/>
      <c r="T46" s="243"/>
      <c r="U46" s="243"/>
      <c r="V46" s="243"/>
      <c r="W46" s="243"/>
      <c r="X46" s="240">
        <v>0.7</v>
      </c>
      <c r="Y46" s="240">
        <v>0.87</v>
      </c>
      <c r="Z46" s="240">
        <v>0.81</v>
      </c>
      <c r="AA46" s="240"/>
      <c r="AB46" s="240"/>
      <c r="AC46" s="240"/>
      <c r="AD46" s="240"/>
    </row>
    <row r="47" spans="2:30" ht="15" customHeight="1" x14ac:dyDescent="0.25"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8"/>
      <c r="M47" s="38"/>
      <c r="N47" s="39"/>
      <c r="O47" s="38"/>
      <c r="Q47" s="243"/>
      <c r="R47" s="243"/>
      <c r="S47" s="243"/>
      <c r="T47" s="243"/>
      <c r="U47" s="243"/>
      <c r="V47" s="243"/>
      <c r="W47" s="243"/>
      <c r="X47" s="241"/>
      <c r="Y47" s="241"/>
      <c r="Z47" s="241"/>
      <c r="AA47" s="241"/>
      <c r="AB47" s="241"/>
      <c r="AC47" s="241"/>
      <c r="AD47" s="241"/>
    </row>
    <row r="48" spans="2:30" ht="15" customHeight="1" x14ac:dyDescent="0.25"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8"/>
      <c r="M48" s="38"/>
      <c r="N48" s="38"/>
      <c r="O48" s="38"/>
      <c r="Q48" s="243"/>
      <c r="R48" s="243"/>
      <c r="S48" s="243"/>
      <c r="T48" s="243"/>
      <c r="U48" s="243"/>
      <c r="V48" s="243"/>
      <c r="W48" s="243"/>
      <c r="X48" s="241"/>
      <c r="Y48" s="241"/>
      <c r="Z48" s="241"/>
      <c r="AA48" s="241"/>
      <c r="AB48" s="241"/>
      <c r="AC48" s="241"/>
      <c r="AD48" s="241"/>
    </row>
    <row r="49" spans="2:30" ht="15" customHeight="1" x14ac:dyDescent="0.25"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8"/>
      <c r="M49" s="38"/>
      <c r="N49" s="38"/>
      <c r="O49" s="38"/>
      <c r="Q49" s="243"/>
      <c r="R49" s="243"/>
      <c r="S49" s="243"/>
      <c r="T49" s="243"/>
      <c r="U49" s="243"/>
      <c r="V49" s="243"/>
      <c r="W49" s="243"/>
      <c r="X49" s="242"/>
      <c r="Y49" s="242"/>
      <c r="Z49" s="242"/>
      <c r="AA49" s="242"/>
      <c r="AB49" s="242"/>
      <c r="AC49" s="242"/>
      <c r="AD49" s="242"/>
    </row>
    <row r="50" spans="2:30" ht="15" customHeight="1" x14ac:dyDescent="0.25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8"/>
      <c r="M50" s="38"/>
      <c r="N50" s="38"/>
      <c r="O50" s="38"/>
      <c r="Q50" s="243" t="s">
        <v>303</v>
      </c>
      <c r="R50" s="243"/>
      <c r="S50" s="243"/>
      <c r="T50" s="243"/>
      <c r="U50" s="243"/>
      <c r="V50" s="243"/>
      <c r="W50" s="243"/>
      <c r="X50" s="240">
        <v>0.67</v>
      </c>
      <c r="Y50" s="240">
        <v>1.04</v>
      </c>
      <c r="Z50" s="240">
        <v>0.93</v>
      </c>
      <c r="AA50" s="240"/>
      <c r="AB50" s="240"/>
      <c r="AC50" s="240"/>
      <c r="AD50" s="240"/>
    </row>
    <row r="51" spans="2:30" ht="15" customHeight="1" x14ac:dyDescent="0.25"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8"/>
      <c r="M51" s="38"/>
      <c r="N51" s="39"/>
      <c r="O51" s="38"/>
      <c r="Q51" s="243"/>
      <c r="R51" s="243"/>
      <c r="S51" s="243"/>
      <c r="T51" s="243"/>
      <c r="U51" s="243"/>
      <c r="V51" s="243"/>
      <c r="W51" s="243"/>
      <c r="X51" s="241"/>
      <c r="Y51" s="241"/>
      <c r="Z51" s="241"/>
      <c r="AA51" s="241"/>
      <c r="AB51" s="241"/>
      <c r="AC51" s="241"/>
      <c r="AD51" s="241"/>
    </row>
    <row r="52" spans="2:30" ht="15" customHeight="1" x14ac:dyDescent="0.25"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8"/>
      <c r="M52" s="38"/>
      <c r="N52" s="38"/>
      <c r="O52" s="38"/>
      <c r="Q52" s="243"/>
      <c r="R52" s="243"/>
      <c r="S52" s="243"/>
      <c r="T52" s="243"/>
      <c r="U52" s="243"/>
      <c r="V52" s="243"/>
      <c r="W52" s="243"/>
      <c r="X52" s="241"/>
      <c r="Y52" s="241"/>
      <c r="Z52" s="241"/>
      <c r="AA52" s="241"/>
      <c r="AB52" s="241"/>
      <c r="AC52" s="241"/>
      <c r="AD52" s="241"/>
    </row>
    <row r="53" spans="2:30" ht="15" customHeight="1" x14ac:dyDescent="0.25"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8"/>
      <c r="M53" s="38"/>
      <c r="N53" s="38"/>
      <c r="O53" s="38"/>
      <c r="Q53" s="243"/>
      <c r="R53" s="243"/>
      <c r="S53" s="243"/>
      <c r="T53" s="243"/>
      <c r="U53" s="243"/>
      <c r="V53" s="243"/>
      <c r="W53" s="243"/>
      <c r="X53" s="242"/>
      <c r="Y53" s="242"/>
      <c r="Z53" s="242"/>
      <c r="AA53" s="242"/>
      <c r="AB53" s="242"/>
      <c r="AC53" s="242"/>
      <c r="AD53" s="242"/>
    </row>
    <row r="54" spans="2:30" ht="15" customHeight="1" x14ac:dyDescent="0.25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8"/>
      <c r="M54" s="38"/>
      <c r="N54" s="38"/>
      <c r="O54" s="38"/>
      <c r="Q54" s="243" t="s">
        <v>304</v>
      </c>
      <c r="R54" s="243"/>
      <c r="S54" s="243"/>
      <c r="T54" s="243"/>
      <c r="U54" s="243"/>
      <c r="V54" s="243"/>
      <c r="W54" s="243"/>
      <c r="X54" s="240">
        <v>0.18</v>
      </c>
      <c r="Y54" s="240">
        <v>0.28000000000000003</v>
      </c>
      <c r="Z54" s="240">
        <v>0.65</v>
      </c>
      <c r="AA54" s="240"/>
      <c r="AB54" s="240"/>
      <c r="AC54" s="240"/>
      <c r="AD54" s="240"/>
    </row>
    <row r="55" spans="2:30" ht="15" customHeight="1" x14ac:dyDescent="0.25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  <c r="M55" s="38"/>
      <c r="N55" s="39"/>
      <c r="O55" s="38"/>
      <c r="Q55" s="243"/>
      <c r="R55" s="243"/>
      <c r="S55" s="243"/>
      <c r="T55" s="243"/>
      <c r="U55" s="243"/>
      <c r="V55" s="243"/>
      <c r="W55" s="243"/>
      <c r="X55" s="241"/>
      <c r="Y55" s="241"/>
      <c r="Z55" s="241"/>
      <c r="AA55" s="241"/>
      <c r="AB55" s="241"/>
      <c r="AC55" s="241"/>
      <c r="AD55" s="241"/>
    </row>
    <row r="56" spans="2:30" ht="15" customHeight="1" x14ac:dyDescent="0.25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8"/>
      <c r="M56" s="38"/>
      <c r="N56" s="38"/>
      <c r="O56" s="38"/>
      <c r="Q56" s="243"/>
      <c r="R56" s="243"/>
      <c r="S56" s="243"/>
      <c r="T56" s="243"/>
      <c r="U56" s="243"/>
      <c r="V56" s="243"/>
      <c r="W56" s="243"/>
      <c r="X56" s="241"/>
      <c r="Y56" s="241"/>
      <c r="Z56" s="241"/>
      <c r="AA56" s="241"/>
      <c r="AB56" s="241"/>
      <c r="AC56" s="241"/>
      <c r="AD56" s="241"/>
    </row>
    <row r="57" spans="2:30" ht="15" customHeight="1" x14ac:dyDescent="0.25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8"/>
      <c r="M57" s="38"/>
      <c r="N57" s="38"/>
      <c r="O57" s="38"/>
      <c r="Q57" s="243"/>
      <c r="R57" s="243"/>
      <c r="S57" s="243"/>
      <c r="T57" s="243"/>
      <c r="U57" s="243"/>
      <c r="V57" s="243"/>
      <c r="W57" s="243"/>
      <c r="X57" s="242"/>
      <c r="Y57" s="242"/>
      <c r="Z57" s="242"/>
      <c r="AA57" s="242"/>
      <c r="AB57" s="242"/>
      <c r="AC57" s="242"/>
      <c r="AD57" s="242"/>
    </row>
    <row r="58" spans="2:30" ht="15" customHeight="1" x14ac:dyDescent="0.25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8"/>
      <c r="M58" s="38"/>
      <c r="N58" s="38"/>
      <c r="O58" s="38"/>
    </row>
  </sheetData>
  <mergeCells count="68">
    <mergeCell ref="AC54:AC57"/>
    <mergeCell ref="AD54:AD57"/>
    <mergeCell ref="Q54:W57"/>
    <mergeCell ref="X54:X57"/>
    <mergeCell ref="Y54:Y57"/>
    <mergeCell ref="Z54:Z57"/>
    <mergeCell ref="AA54:AA57"/>
    <mergeCell ref="AB54:AB57"/>
    <mergeCell ref="AB46:AB49"/>
    <mergeCell ref="AC46:AC49"/>
    <mergeCell ref="AD46:AD49"/>
    <mergeCell ref="Q50:W53"/>
    <mergeCell ref="X50:X53"/>
    <mergeCell ref="Y50:Y53"/>
    <mergeCell ref="Z50:Z53"/>
    <mergeCell ref="AA50:AA53"/>
    <mergeCell ref="AB50:AB53"/>
    <mergeCell ref="AC50:AC53"/>
    <mergeCell ref="AD50:AD53"/>
    <mergeCell ref="Q46:W49"/>
    <mergeCell ref="X46:X49"/>
    <mergeCell ref="Y46:Y49"/>
    <mergeCell ref="Z46:Z49"/>
    <mergeCell ref="AA46:AA49"/>
    <mergeCell ref="AB38:AB41"/>
    <mergeCell ref="AC38:AC41"/>
    <mergeCell ref="AD38:AD41"/>
    <mergeCell ref="Q42:W45"/>
    <mergeCell ref="X42:X45"/>
    <mergeCell ref="Y42:Y45"/>
    <mergeCell ref="Z42:Z45"/>
    <mergeCell ref="AA42:AA45"/>
    <mergeCell ref="Q38:W41"/>
    <mergeCell ref="X38:X41"/>
    <mergeCell ref="Y38:Y41"/>
    <mergeCell ref="Z38:Z41"/>
    <mergeCell ref="AA38:AA41"/>
    <mergeCell ref="AB42:AB45"/>
    <mergeCell ref="AC42:AC45"/>
    <mergeCell ref="AD42:AD45"/>
    <mergeCell ref="AC15:AD18"/>
    <mergeCell ref="Q19:Z22"/>
    <mergeCell ref="AA19:AB22"/>
    <mergeCell ref="AC19:AD22"/>
    <mergeCell ref="Q37:W37"/>
    <mergeCell ref="Q23:Z26"/>
    <mergeCell ref="AA23:AB26"/>
    <mergeCell ref="AC23:AD26"/>
    <mergeCell ref="Q35:AD35"/>
    <mergeCell ref="Q27:Z30"/>
    <mergeCell ref="AA27:AB30"/>
    <mergeCell ref="AC27:AD30"/>
    <mergeCell ref="B35:O35"/>
    <mergeCell ref="AA11:AB14"/>
    <mergeCell ref="AC11:AD14"/>
    <mergeCell ref="Q11:Z14"/>
    <mergeCell ref="D1:R1"/>
    <mergeCell ref="T1:Y1"/>
    <mergeCell ref="B3:O3"/>
    <mergeCell ref="Q3:AD3"/>
    <mergeCell ref="Q5:Z6"/>
    <mergeCell ref="AA5:AB6"/>
    <mergeCell ref="AC5:AD6"/>
    <mergeCell ref="Q7:Z10"/>
    <mergeCell ref="AA7:AB10"/>
    <mergeCell ref="AC7:AD10"/>
    <mergeCell ref="Q15:Z18"/>
    <mergeCell ref="AA15:AB18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greaterThan" id="{44E14599-43BA-4723-8250-7D05303EA8C9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ellIs" priority="3" operator="greaterThan" id="{F7F0040A-0EF9-44FB-855E-B4405C471049}">
            <xm:f>'2020 Data'!$N$4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greaterThan" id="{1CC1C18F-661D-4785-A5A4-0C2959ADF6A4}">
            <xm:f>'2020 Data'!$N$4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N30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U5:Y62"/>
  <sheetViews>
    <sheetView topLeftCell="A37" workbookViewId="0">
      <selection activeCell="U52" sqref="U52:Y62"/>
    </sheetView>
  </sheetViews>
  <sheetFormatPr defaultRowHeight="15" x14ac:dyDescent="0.25"/>
  <sheetData>
    <row r="5" spans="21:25" x14ac:dyDescent="0.25">
      <c r="U5" t="s">
        <v>23</v>
      </c>
      <c r="V5">
        <v>120</v>
      </c>
      <c r="X5" t="s">
        <v>20</v>
      </c>
      <c r="Y5">
        <v>134</v>
      </c>
    </row>
    <row r="6" spans="21:25" x14ac:dyDescent="0.25">
      <c r="U6" t="s">
        <v>24</v>
      </c>
      <c r="V6">
        <v>60</v>
      </c>
      <c r="X6" t="s">
        <v>21</v>
      </c>
      <c r="Y6">
        <v>3</v>
      </c>
    </row>
    <row r="7" spans="21:25" x14ac:dyDescent="0.25">
      <c r="U7" t="s">
        <v>25</v>
      </c>
      <c r="V7">
        <v>120</v>
      </c>
      <c r="X7" t="s">
        <v>22</v>
      </c>
      <c r="Y7">
        <f>600-Y5-Y6</f>
        <v>463</v>
      </c>
    </row>
    <row r="8" spans="21:25" x14ac:dyDescent="0.25">
      <c r="U8" t="s">
        <v>26</v>
      </c>
      <c r="V8">
        <v>300</v>
      </c>
    </row>
    <row r="52" spans="21:25" x14ac:dyDescent="0.25">
      <c r="U52" t="s">
        <v>23</v>
      </c>
      <c r="V52">
        <v>20</v>
      </c>
      <c r="X52" t="s">
        <v>20</v>
      </c>
      <c r="Y52" s="98">
        <v>0.28000000000000003</v>
      </c>
    </row>
    <row r="53" spans="21:25" x14ac:dyDescent="0.25">
      <c r="U53" t="s">
        <v>24</v>
      </c>
      <c r="V53">
        <v>5</v>
      </c>
      <c r="X53" t="s">
        <v>21</v>
      </c>
      <c r="Y53" s="1">
        <v>5.0000000000000001E-3</v>
      </c>
    </row>
    <row r="54" spans="21:25" x14ac:dyDescent="0.25">
      <c r="U54" t="s">
        <v>25</v>
      </c>
      <c r="V54">
        <v>20</v>
      </c>
      <c r="X54" t="s">
        <v>22</v>
      </c>
      <c r="Y54" s="1">
        <f>0.9-Y52-Y53</f>
        <v>0.61499999999999999</v>
      </c>
    </row>
    <row r="55" spans="21:25" x14ac:dyDescent="0.25">
      <c r="U55" t="s">
        <v>26</v>
      </c>
      <c r="V55">
        <v>45</v>
      </c>
    </row>
    <row r="60" spans="21:25" x14ac:dyDescent="0.25">
      <c r="U60" t="s">
        <v>40</v>
      </c>
      <c r="V60" s="91">
        <v>42699</v>
      </c>
      <c r="W60" s="1">
        <f>V60/V62</f>
        <v>0.71709995969367191</v>
      </c>
    </row>
    <row r="61" spans="21:25" x14ac:dyDescent="0.25">
      <c r="U61" t="s">
        <v>337</v>
      </c>
      <c r="V61" s="91">
        <v>16845</v>
      </c>
      <c r="W61" s="1">
        <f>V61/V62</f>
        <v>0.28290004030632809</v>
      </c>
    </row>
    <row r="62" spans="21:25" x14ac:dyDescent="0.25">
      <c r="U62" t="s">
        <v>4</v>
      </c>
      <c r="V62" s="91">
        <f>SUM(V60:V61)</f>
        <v>59544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C34" sqref="C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P11" sqref="P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3:E46"/>
  <sheetViews>
    <sheetView workbookViewId="0">
      <selection activeCell="T24" sqref="T24"/>
    </sheetView>
  </sheetViews>
  <sheetFormatPr defaultRowHeight="15" x14ac:dyDescent="0.25"/>
  <sheetData>
    <row r="43" spans="2:5" x14ac:dyDescent="0.25">
      <c r="B43">
        <v>600</v>
      </c>
      <c r="D43" t="s">
        <v>20</v>
      </c>
      <c r="E43">
        <v>645</v>
      </c>
    </row>
    <row r="44" spans="2:5" x14ac:dyDescent="0.25">
      <c r="B44">
        <v>200</v>
      </c>
      <c r="D44" t="s">
        <v>21</v>
      </c>
      <c r="E44">
        <v>10</v>
      </c>
    </row>
    <row r="45" spans="2:5" x14ac:dyDescent="0.25">
      <c r="B45">
        <v>400</v>
      </c>
      <c r="D45" t="s">
        <v>22</v>
      </c>
      <c r="E45">
        <f>2400-E43-E44</f>
        <v>1745</v>
      </c>
    </row>
    <row r="46" spans="2:5" x14ac:dyDescent="0.25">
      <c r="B46">
        <v>1200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C27"/>
  <sheetViews>
    <sheetView workbookViewId="0">
      <selection activeCell="D3" sqref="D3"/>
    </sheetView>
  </sheetViews>
  <sheetFormatPr defaultRowHeight="15" x14ac:dyDescent="0.25"/>
  <cols>
    <col min="2" max="2" width="19" customWidth="1"/>
  </cols>
  <sheetData>
    <row r="3" spans="2:3" x14ac:dyDescent="0.25">
      <c r="B3" s="26" t="s">
        <v>76</v>
      </c>
      <c r="C3" s="25" t="s">
        <v>75</v>
      </c>
    </row>
    <row r="4" spans="2:3" x14ac:dyDescent="0.25">
      <c r="B4" t="s">
        <v>59</v>
      </c>
      <c r="C4" s="5">
        <v>0.94</v>
      </c>
    </row>
    <row r="5" spans="2:3" x14ac:dyDescent="0.25">
      <c r="B5" t="s">
        <v>60</v>
      </c>
      <c r="C5" s="5">
        <v>0.94</v>
      </c>
    </row>
    <row r="6" spans="2:3" x14ac:dyDescent="0.25">
      <c r="B6" t="s">
        <v>61</v>
      </c>
      <c r="C6" s="5">
        <v>0.92</v>
      </c>
    </row>
    <row r="7" spans="2:3" x14ac:dyDescent="0.25">
      <c r="B7" t="s">
        <v>62</v>
      </c>
      <c r="C7" s="5">
        <v>0.98</v>
      </c>
    </row>
    <row r="8" spans="2:3" x14ac:dyDescent="0.25">
      <c r="B8" t="s">
        <v>63</v>
      </c>
      <c r="C8" s="5">
        <v>0.96</v>
      </c>
    </row>
    <row r="9" spans="2:3" x14ac:dyDescent="0.25">
      <c r="B9" t="s">
        <v>64</v>
      </c>
      <c r="C9" s="5">
        <v>0.99</v>
      </c>
    </row>
    <row r="10" spans="2:3" x14ac:dyDescent="0.25">
      <c r="B10" t="s">
        <v>65</v>
      </c>
      <c r="C10" s="5">
        <v>0.91</v>
      </c>
    </row>
    <row r="11" spans="2:3" x14ac:dyDescent="0.25">
      <c r="B11" t="s">
        <v>66</v>
      </c>
      <c r="C11" s="5">
        <v>0.96</v>
      </c>
    </row>
    <row r="12" spans="2:3" x14ac:dyDescent="0.25">
      <c r="B12" t="s">
        <v>67</v>
      </c>
      <c r="C12" s="5">
        <v>0.98</v>
      </c>
    </row>
    <row r="13" spans="2:3" x14ac:dyDescent="0.25">
      <c r="B13" t="s">
        <v>68</v>
      </c>
      <c r="C13" s="5">
        <v>0.86</v>
      </c>
    </row>
    <row r="14" spans="2:3" x14ac:dyDescent="0.25">
      <c r="B14" t="s">
        <v>69</v>
      </c>
      <c r="C14" s="5">
        <v>0.97</v>
      </c>
    </row>
    <row r="15" spans="2:3" x14ac:dyDescent="0.25">
      <c r="B15" t="s">
        <v>70</v>
      </c>
      <c r="C15" s="5">
        <v>0.88</v>
      </c>
    </row>
    <row r="16" spans="2:3" x14ac:dyDescent="0.25">
      <c r="B16" t="s">
        <v>71</v>
      </c>
      <c r="C16" s="5">
        <v>0.73</v>
      </c>
    </row>
    <row r="17" spans="2:3" x14ac:dyDescent="0.25">
      <c r="B17" t="s">
        <v>72</v>
      </c>
      <c r="C17" s="5">
        <v>1.05</v>
      </c>
    </row>
    <row r="18" spans="2:3" x14ac:dyDescent="0.25">
      <c r="B18" t="s">
        <v>73</v>
      </c>
      <c r="C18" s="5">
        <v>0.83</v>
      </c>
    </row>
    <row r="19" spans="2:3" x14ac:dyDescent="0.25">
      <c r="B19" t="s">
        <v>74</v>
      </c>
      <c r="C19" s="5">
        <v>0.98</v>
      </c>
    </row>
    <row r="20" spans="2:3" x14ac:dyDescent="0.25">
      <c r="C20" s="1"/>
    </row>
    <row r="21" spans="2:3" x14ac:dyDescent="0.25">
      <c r="C21" s="1"/>
    </row>
    <row r="22" spans="2:3" x14ac:dyDescent="0.25">
      <c r="C22" s="1"/>
    </row>
    <row r="23" spans="2:3" x14ac:dyDescent="0.25">
      <c r="C23" s="1"/>
    </row>
    <row r="24" spans="2:3" x14ac:dyDescent="0.25">
      <c r="C24" s="1"/>
    </row>
    <row r="25" spans="2:3" x14ac:dyDescent="0.25">
      <c r="C25" s="1"/>
    </row>
    <row r="26" spans="2:3" x14ac:dyDescent="0.25">
      <c r="C26" s="1"/>
    </row>
    <row r="27" spans="2:3" x14ac:dyDescent="0.25">
      <c r="C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2026 Dashboard</vt:lpstr>
      <vt:lpstr>2026 Data</vt:lpstr>
      <vt:lpstr>2025 Dashboard</vt:lpstr>
      <vt:lpstr>2025 Data</vt:lpstr>
      <vt:lpstr>Safety</vt:lpstr>
      <vt:lpstr>QC Data 2026</vt:lpstr>
      <vt:lpstr>2026 QC 1</vt:lpstr>
      <vt:lpstr>2026 QC 2</vt:lpstr>
      <vt:lpstr>2024 Dashboard</vt:lpstr>
      <vt:lpstr>2024 Data</vt:lpstr>
      <vt:lpstr>QC Data 2024</vt:lpstr>
      <vt:lpstr>QC 1</vt:lpstr>
      <vt:lpstr>QC 2</vt:lpstr>
      <vt:lpstr>2023 Dashboard</vt:lpstr>
      <vt:lpstr>2023 Data</vt:lpstr>
      <vt:lpstr>QC Data 2023</vt:lpstr>
      <vt:lpstr>2022 Data</vt:lpstr>
      <vt:lpstr>2021 Data</vt:lpstr>
      <vt:lpstr>2020 Data</vt:lpstr>
      <vt:lpstr>On Time</vt:lpstr>
      <vt:lpstr>Cost</vt:lpstr>
      <vt:lpstr>Overhead</vt:lpstr>
      <vt:lpstr>Weekly Labor Efficiency</vt:lpstr>
      <vt:lpstr>Monthly Labor Efficiency</vt:lpstr>
      <vt:lpstr>Rework</vt:lpstr>
      <vt:lpstr>Efficiency x EE</vt:lpstr>
      <vt:lpstr>Operation</vt:lpstr>
      <vt:lpstr>'2023 Dashboard'!Print_Area</vt:lpstr>
      <vt:lpstr>'2024 Dashboard'!Print_Area</vt:lpstr>
      <vt:lpstr>'2025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John Corwin</cp:lastModifiedBy>
  <cp:lastPrinted>2026-02-23T12:56:10Z</cp:lastPrinted>
  <dcterms:created xsi:type="dcterms:W3CDTF">2019-01-07T22:40:18Z</dcterms:created>
  <dcterms:modified xsi:type="dcterms:W3CDTF">2026-03-17T14:03:08Z</dcterms:modified>
</cp:coreProperties>
</file>