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Dustin\Desktop\"/>
    </mc:Choice>
  </mc:AlternateContent>
  <xr:revisionPtr revIDLastSave="0" documentId="13_ncr:1_{8194E1DD-CCA9-447F-B5B5-CC5E30A70E74}" xr6:coauthVersionLast="47" xr6:coauthVersionMax="47" xr10:uidLastSave="{00000000-0000-0000-0000-000000000000}"/>
  <bookViews>
    <workbookView xWindow="-120" yWindow="-120" windowWidth="29040" windowHeight="15840" activeTab="3" xr2:uid="{00000000-000D-0000-FFFF-FFFF00000000}"/>
  </bookViews>
  <sheets>
    <sheet name="Key Initiatives" sheetId="17" r:id="rId1"/>
    <sheet name="Top Level" sheetId="8" r:id="rId2"/>
    <sheet name="Sales &amp; Marketing" sheetId="10" r:id="rId3"/>
    <sheet name="Ops Improvement" sheetId="11" r:id="rId4"/>
    <sheet name="Engineering" sheetId="9" r:id="rId5"/>
    <sheet name="Quality" sheetId="21" r:id="rId6"/>
    <sheet name="People &amp; Saftey" sheetId="14" r:id="rId7"/>
    <sheet name="Tracker" sheetId="19" r:id="rId8"/>
    <sheet name="2021 Tracker" sheetId="18" r:id="rId9"/>
    <sheet name="2019 Tracker" sheetId="16" r:id="rId10"/>
    <sheet name="Sheet2" sheetId="20" r:id="rId11"/>
    <sheet name="Questions" sheetId="15" r:id="rId12"/>
  </sheets>
  <definedNames>
    <definedName name="_xlnm._FilterDatabase" localSheetId="9" hidden="1">'2019 Tracker'!$B$3:$F$92</definedName>
    <definedName name="_xlnm._FilterDatabase" localSheetId="8" hidden="1">'2021 Tracker'!$A$3:$E$86</definedName>
    <definedName name="_xlnm.Print_Titles" localSheetId="9">'2019 Tracker'!$1:$3</definedName>
    <definedName name="_xlnm.Print_Titles" localSheetId="7">Tracker!$1:$3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14" l="1"/>
  <c r="C27" i="11"/>
  <c r="C15" i="9"/>
  <c r="C11" i="9"/>
  <c r="C28" i="21"/>
  <c r="C25" i="21"/>
  <c r="C18" i="21"/>
  <c r="C13" i="21"/>
  <c r="C9" i="21"/>
  <c r="C6" i="21"/>
  <c r="A2" i="21"/>
  <c r="C1" i="21"/>
  <c r="A1" i="21"/>
  <c r="C23" i="9"/>
  <c r="C19" i="9"/>
  <c r="C11" i="14"/>
  <c r="C24" i="11"/>
  <c r="C20" i="10"/>
  <c r="A2" i="19"/>
  <c r="A1" i="19"/>
  <c r="C21" i="11" l="1"/>
  <c r="C17" i="11" l="1"/>
  <c r="A2" i="18"/>
  <c r="A1" i="18"/>
  <c r="E106" i="16" l="1"/>
  <c r="B2" i="16"/>
  <c r="B1" i="16"/>
  <c r="A6" i="14" l="1"/>
  <c r="C6" i="9"/>
  <c r="C13" i="11"/>
  <c r="C10" i="11"/>
  <c r="C6" i="11"/>
  <c r="A6" i="10" l="1"/>
  <c r="C9" i="14" l="1"/>
  <c r="C17" i="10" l="1"/>
  <c r="C14" i="10" l="1"/>
  <c r="C8" i="10" l="1"/>
  <c r="A2" i="14" l="1"/>
  <c r="C1" i="14"/>
  <c r="A1" i="14"/>
  <c r="A2" i="11"/>
  <c r="C1" i="11"/>
  <c r="A1" i="11"/>
  <c r="A2" i="9"/>
  <c r="C1" i="9"/>
  <c r="A1" i="9"/>
  <c r="C1" i="10"/>
  <c r="A2" i="10"/>
  <c r="A1" i="10"/>
  <c r="C6" i="14"/>
  <c r="C11" i="10"/>
  <c r="C6" i="10"/>
</calcChain>
</file>

<file path=xl/sharedStrings.xml><?xml version="1.0" encoding="utf-8"?>
<sst xmlns="http://schemas.openxmlformats.org/spreadsheetml/2006/main" count="1632" uniqueCount="532">
  <si>
    <t>OBJECTIVES</t>
  </si>
  <si>
    <t>What are we trying to achieve</t>
  </si>
  <si>
    <t>GOALS</t>
  </si>
  <si>
    <t>What success looks like</t>
  </si>
  <si>
    <t>STRATEGIES</t>
  </si>
  <si>
    <t>How we’ll achieve success</t>
  </si>
  <si>
    <t>MEASURES</t>
  </si>
  <si>
    <t>Measure we’ll use to track progress</t>
  </si>
  <si>
    <t>CHAMPION</t>
  </si>
  <si>
    <t>VISION</t>
  </si>
  <si>
    <r>
      <t>·</t>
    </r>
    <r>
      <rPr>
        <sz val="7"/>
        <color theme="1"/>
        <rFont val="Times New Roman"/>
        <family val="1"/>
      </rPr>
      <t>        </t>
    </r>
  </si>
  <si>
    <t>STRATEGY</t>
  </si>
  <si>
    <t>ACTION PLANS</t>
  </si>
  <si>
    <t>David</t>
  </si>
  <si>
    <t>Ron</t>
  </si>
  <si>
    <t>Nick</t>
  </si>
  <si>
    <t>MEASURE</t>
  </si>
  <si>
    <t>SOURCE DATA</t>
  </si>
  <si>
    <t>JobBoss</t>
  </si>
  <si>
    <t>Quote Log</t>
  </si>
  <si>
    <t>Production Sch.</t>
  </si>
  <si>
    <t>OSHA Log</t>
  </si>
  <si>
    <t>Drawing Error Log</t>
  </si>
  <si>
    <t>OTD of Drawing Log</t>
  </si>
  <si>
    <t>Material Exceptions Log</t>
  </si>
  <si>
    <t>Major Material Variance Log</t>
  </si>
  <si>
    <t>Employee Retention Log</t>
  </si>
  <si>
    <t>Scott</t>
  </si>
  <si>
    <t>Sean</t>
  </si>
  <si>
    <t>Adam</t>
  </si>
  <si>
    <t>Continue to add structure and transparency to sales management process</t>
  </si>
  <si>
    <t>Add meeting to review existing orders and sales funnel against production schedule and backlog.  Meet weekly starting 1/8/2019.</t>
  </si>
  <si>
    <t>Research pharmaceutical equipment market by 4/15/2019</t>
  </si>
  <si>
    <t>Research heat exchanger market by 7/1/2019</t>
  </si>
  <si>
    <t>Formalize preventive maintenance schedule for all critical equipment.  PM performed as scheduled starting 1/2/2019.</t>
  </si>
  <si>
    <t>Tim</t>
  </si>
  <si>
    <t xml:space="preserve">Maintain weekly Downtime Quad Chart including SMART action log.  In use 1/2/2019. </t>
  </si>
  <si>
    <t>Maintain job boards with daily work assignments and "red / green" indicators.  In use 1/2/2019.</t>
  </si>
  <si>
    <t>Sherri</t>
  </si>
  <si>
    <t>Track and graph labor efficiency in the shop using JobBOSS on a weekly basis starting 1/7/2019.</t>
  </si>
  <si>
    <t xml:space="preserve">Track and graph rework hours on a weekly basis, and maintain record of causes starting 1/2/2019.  </t>
  </si>
  <si>
    <t>Establish weekly operations review meetings with Tim and Scott starting 1/7/2019.</t>
  </si>
  <si>
    <t>Design and build new, one-man sub-arc welding rig(s) by 7/1/2019</t>
  </si>
  <si>
    <t>Reduce round seam welding times by 25% by 7/1/2019</t>
  </si>
  <si>
    <t>Continue to hold formal Safety meetings every month starting January 2019</t>
  </si>
  <si>
    <t>Written investigation and corrective action within 1 day of each accident or near miss starting 1/2/2019</t>
  </si>
  <si>
    <t>Conduct rigging safety class for all shop employees every six months starting March 2019</t>
  </si>
  <si>
    <t>Perform quarterly inspections on all chains, shackles, and lifting straps.  First inspection by 3/29/2019.</t>
  </si>
  <si>
    <t>Attach easy-to-read sub-arc welding parameters to each sub-arc machine by 2/4/2019</t>
  </si>
  <si>
    <t xml:space="preserve">Modify existing fit-up rolls to improve turning consistency.  1st set by 3/5/2019.  Remaining sets by 5/31/2019. </t>
  </si>
  <si>
    <t>Develop plan to correct variable speed drives to address known durability and adjustability issues by 3/29/2019</t>
  </si>
  <si>
    <t>Update safety-related disciplinary policy.  Communicate to shop employees by 2/4/2019</t>
  </si>
  <si>
    <t>Top management to review safety action plan and safety metrics monthly starting 2/11/2019</t>
  </si>
  <si>
    <t>Convert from 2D to 3D design software by 9/30/2019</t>
  </si>
  <si>
    <t>Each drawing to be checked by a second designer / engineer prior to submission starting 1/2/2019</t>
  </si>
  <si>
    <t>Hold internal drawing review meetings prior to releasing drawings to customer starting 1/2/2019</t>
  </si>
  <si>
    <t>Analyze current quote pricing methodology and identify areas for improvement.  Analysis complete by 1/18/2019.</t>
  </si>
  <si>
    <t>Add weekly meeting to review existing orders and sales funnel against production schedule and backlog to identify potential gaps.  Meetings to start 1/8/2019.</t>
  </si>
  <si>
    <t>Leadership team:  annual reviews starting January 2019; interim meetings mid-year</t>
  </si>
  <si>
    <t>Shop floor personnel:  annual reviews plus additional as needed.  Schedule (who &amp; when) defined by 1/28/2019.</t>
  </si>
  <si>
    <t>Maintain skills / training matrix for shop floor personnel to identify skills gaps.  Review quarterly starting 2Q19.</t>
  </si>
  <si>
    <t>Put training plans (who, what, when) in place to close significant skills gaps.  Review quarterly starting 3Q19.</t>
  </si>
  <si>
    <t>Repair roof by 2/4/2019</t>
  </si>
  <si>
    <t>Audit procedure and checklist in place by 5/6/2019</t>
  </si>
  <si>
    <t>Set Min / Max and Reorder points for each shop floor consumable item by 2/18/2019.</t>
  </si>
  <si>
    <t>Get input from management team on 2019 strategic plan.  Inputs received and changes made by 2/15/2019.</t>
  </si>
  <si>
    <t>Develop and agree goals for each team member by 2/15/2019</t>
  </si>
  <si>
    <t>Research OEM market (i.e. JCB, Great Dane, Lummus, etc.) by 7/1/2019</t>
  </si>
  <si>
    <t>Create sales funnel / opportunity tracking chart to manage and guage to anticipated future order intake.  In use and updated weekly in team meeting starting 1/21/2019.</t>
  </si>
  <si>
    <t>Redefine design team responsibilities to add focus and accountability.  New roles communicated by 3/1/2019.</t>
  </si>
  <si>
    <t>Add weekly meeting to review factory schedule and workload with Ops team.  Meetings to start 1/8/2019.</t>
  </si>
  <si>
    <t>Clarify QC roles and responsibilities.  Assignment list published and meeting held by 1/14/2019.</t>
  </si>
  <si>
    <t>New out-riggers built and in use by 4/15/2019 (1st set)</t>
  </si>
  <si>
    <t>Measure and graph Drawing On Time Delivery starting 3/1/2019</t>
  </si>
  <si>
    <t xml:space="preserve">Track and graph On Time Completion statistics starting 4/1/2019.  </t>
  </si>
  <si>
    <t>Implement tracking system to track progress and status of QC activities for each job.  System in place by 2/4/2019.</t>
  </si>
  <si>
    <t>Increase Capacity and Drive Factory Improvement</t>
  </si>
  <si>
    <t>Draft written safety plan and review with shop and management stakeholders by 3/29/2019</t>
  </si>
  <si>
    <t>Align Savannah Tank leadership team</t>
  </si>
  <si>
    <t>Develop alternative(s) to current quote pricing methodology using Value Added Sales / Labor Hour as benchmark.  Alternatives reviewed and analyzed by 2/18/2019.</t>
  </si>
  <si>
    <t>Revised pricing methodology in use by 2/19/2019.</t>
  </si>
  <si>
    <t>Draft next day's work plans with team leads daily before end of shift.  Written work plans each day starting 1/4/2019.</t>
  </si>
  <si>
    <t>Study, challenge, and approve daily work plans.  Written sign-off starting 3/11/2019.</t>
  </si>
  <si>
    <t>Use plasma table to layout stainless shells starting 4/15/2019</t>
  </si>
  <si>
    <t>Collect, consolidate, and maintain sales-related data to enable KPI reporting.  Key metrics tracked by 3/18/2019.</t>
  </si>
  <si>
    <t>Build sales dashboard to track sales-related KPIs on weekly basis.  Dashboard in use by 3/18/2019.</t>
  </si>
  <si>
    <t>Develop standard templates for sales quotations, change orders, etc.  New templates in use by 4/1/2019.</t>
  </si>
  <si>
    <t>Roll stainless shells two-at-a-time (where possible) starting 3/25/2019</t>
  </si>
  <si>
    <t xml:space="preserve">Track and investigate customer complaints on a weekly basis, and maintain record of causes starting 1/2/2019.  </t>
  </si>
  <si>
    <t>Draft new hire training program to enable new employees to work independently faster.  Plan written by 4/22/2019.</t>
  </si>
  <si>
    <t>Hold monthly progress review meetings starting April 2019</t>
  </si>
  <si>
    <t>Work with Kevin Moore for shop floor improvement support.  Monthly calls and checkpoints starting 1/14/2019</t>
  </si>
  <si>
    <t>Does the timetable make sense?  If not, what is a reasonable timetable for completion that protects the overall goal?</t>
  </si>
  <si>
    <t xml:space="preserve">Are there any conflicting goals or worksteps?  </t>
  </si>
  <si>
    <t>Is the correct "Champion" selected?</t>
  </si>
  <si>
    <t>Work Plan Considerations:</t>
  </si>
  <si>
    <t>1.</t>
  </si>
  <si>
    <t>2.</t>
  </si>
  <si>
    <t>3.</t>
  </si>
  <si>
    <t>4.</t>
  </si>
  <si>
    <t>5.</t>
  </si>
  <si>
    <r>
      <t xml:space="preserve">Are the action items </t>
    </r>
    <r>
      <rPr>
        <b/>
        <i/>
        <sz val="24"/>
        <color theme="1"/>
        <rFont val="Calibri"/>
        <family val="2"/>
        <scheme val="minor"/>
      </rPr>
      <t>sufficient</t>
    </r>
    <r>
      <rPr>
        <sz val="24"/>
        <color theme="1"/>
        <rFont val="Calibri"/>
        <family val="2"/>
        <scheme val="minor"/>
      </rPr>
      <t xml:space="preserve"> to achieve our desired outcomes (measures)?  If not, what else do we need to do?</t>
    </r>
  </si>
  <si>
    <r>
      <t xml:space="preserve">Are the action items </t>
    </r>
    <r>
      <rPr>
        <b/>
        <i/>
        <sz val="24"/>
        <color theme="1"/>
        <rFont val="Calibri"/>
        <family val="2"/>
        <scheme val="minor"/>
      </rPr>
      <t>necessary</t>
    </r>
    <r>
      <rPr>
        <sz val="24"/>
        <color theme="1"/>
        <rFont val="Calibri"/>
        <family val="2"/>
        <scheme val="minor"/>
      </rPr>
      <t xml:space="preserve"> to achieve our desired outcomes (measures)?  If not, what can safely be removed?</t>
    </r>
  </si>
  <si>
    <t>Make 15-20 calls per week on target accounts and prospects starting week of 2/25/2019</t>
  </si>
  <si>
    <t>Make 5-10 calls per week on target accounts and prospects starting week of 4/5/2019</t>
  </si>
  <si>
    <t xml:space="preserve">New website online by 4/15/2019 </t>
  </si>
  <si>
    <t>Draft scope of work and objectives for SEO project.  Scope and objectives agreed by 4/15/2019.</t>
  </si>
  <si>
    <t>Hire outside resource to improve search engine results (SEO).  Resource hired by 5/15/2019.</t>
  </si>
  <si>
    <t>Draft scope of work and objectives for digital marketing project.  Scope and objectives agreed by 4/15/2019.</t>
  </si>
  <si>
    <t>Draft action plan to address digital marketing activities (Linked In, FB, etc.).  Plan in place by 5/1/2019.</t>
  </si>
  <si>
    <t>Improve semi-automated cost estimation program to streamline and standardize estimation process, and shorten review process.  Revisions made by 4/15/2019.</t>
  </si>
  <si>
    <t>Review and update labor estimation tables by 4/15/2019.</t>
  </si>
  <si>
    <t>Visual standards for shop interior by 5/1/2019</t>
  </si>
  <si>
    <t>Visual standards for shop exterior (yard) by 6/6/2019</t>
  </si>
  <si>
    <t>Track and graph hours of work released to shop starting 4/5/2019</t>
  </si>
  <si>
    <t>Train Niral on how to prepare and maintain QC documentation (see list).  Trained and competent by 12/31/2019.</t>
  </si>
  <si>
    <t>Add weekly meeting to review QC related issues and deliverables.  Meetings to start 4/1/2019.</t>
  </si>
  <si>
    <t>Hold category review for wire, hard goods, and gasses by 4/5/2019.</t>
  </si>
  <si>
    <t>Reorganize shop consumables within JobBoss for easier purchasing and tracking.  Complete by 5/1/2019.</t>
  </si>
  <si>
    <t>Sales</t>
  </si>
  <si>
    <t>Operations</t>
  </si>
  <si>
    <t xml:space="preserve">Train Nick, Rutang and Niral to be competent in AMETank.   </t>
  </si>
  <si>
    <t>People</t>
  </si>
  <si>
    <t xml:space="preserve">Implement visual management system in office (orders, quotes, backlog, hours in shop, drawing OTD, etc.) </t>
  </si>
  <si>
    <t xml:space="preserve">Implement visual management system.  Establish weekly / monthly review cycle and put on calendar </t>
  </si>
  <si>
    <t>Project Mgt.</t>
  </si>
  <si>
    <t>Complete</t>
  </si>
  <si>
    <t>Ongoing</t>
  </si>
  <si>
    <t>Write procedures for performing most common shop floor operations.  First (5) procedures written.</t>
  </si>
  <si>
    <t>Write procedures for performing most common shop floor operations.  Next (5) procedures written.</t>
  </si>
  <si>
    <t>Draft shop floor training:  How to read and understand Savannah Tank drawings (4/15/2019)</t>
  </si>
  <si>
    <t>Draft shop floor traininig:  Welding parameters, methods, and tips (get notes from Cory; review with Ron) by 4/29/2019</t>
  </si>
  <si>
    <t>Draft shop floor training:  Fit-up tolerances, guidelines, and best practices (5/13/2019)</t>
  </si>
  <si>
    <t>OWNER</t>
  </si>
  <si>
    <t>TIMING</t>
  </si>
  <si>
    <t>STATUS</t>
  </si>
  <si>
    <t>ACTION PLAN TRACKING REGISTER</t>
  </si>
  <si>
    <t>WORK STEP</t>
  </si>
  <si>
    <t>Total</t>
  </si>
  <si>
    <t>Pricing Plan - Review and adjust (if necessary) on monthly basis starting 4/1/2019.</t>
  </si>
  <si>
    <t>Outbound Selling &amp; Prospecting - Draft preliminary action plan by 2/18/2019</t>
  </si>
  <si>
    <t>Outbound Selling &amp; Prospecting Plan - Add structure (targets, timing, etc.) and finalize action plan by 4/5/2019</t>
  </si>
  <si>
    <t>Outbound Selling &amp; Prospecting - Shift office resources (Nick, Ron, etc.) as necessary to support quote volume.  Resources available by 2/25/2019.</t>
  </si>
  <si>
    <t>New Website - Send new page outline, website copy, and photos to GoDaddy by 1/31/2019</t>
  </si>
  <si>
    <t>Audit and track work plan attainment daily starting 3/25/2019.</t>
  </si>
  <si>
    <t xml:space="preserve">Monthly updates for shop floor team on operations performance (Safety, Quality, and Speed) </t>
  </si>
  <si>
    <t>Starting 4/29/2019</t>
  </si>
  <si>
    <t>Now 6/21</t>
  </si>
  <si>
    <t>Now 7/8</t>
  </si>
  <si>
    <t>Now 6/20</t>
  </si>
  <si>
    <t>Now 6/30</t>
  </si>
  <si>
    <t>Testing</t>
  </si>
  <si>
    <t>Tim to Check</t>
  </si>
  <si>
    <t>Now 7/15</t>
  </si>
  <si>
    <t>Scott to Review</t>
  </si>
  <si>
    <t>Ron to Advise 6/20</t>
  </si>
  <si>
    <t>Now 6/24</t>
  </si>
  <si>
    <t>Train Nick, Rutang and Niral to be competent in Compress and AMETank</t>
  </si>
  <si>
    <t>Now 12/31</t>
  </si>
  <si>
    <t>Now July</t>
  </si>
  <si>
    <t>???</t>
  </si>
  <si>
    <t>David to Reassign</t>
  </si>
  <si>
    <t>Operations:</t>
  </si>
  <si>
    <t>Engineering:</t>
  </si>
  <si>
    <t>People:</t>
  </si>
  <si>
    <t>Hire, retain, and develop key people.  Improve safety on shop floor</t>
  </si>
  <si>
    <t>Version 1.0</t>
  </si>
  <si>
    <t>Identify new outside resource for SEO project.  New vendor / program in place by 3/31/2021.</t>
  </si>
  <si>
    <t xml:space="preserve">Continue to maintain sales funnel chart to manage and guage anticipated future order intake </t>
  </si>
  <si>
    <t>Bob</t>
  </si>
  <si>
    <t>Expand and improve digital marketing efforts</t>
  </si>
  <si>
    <t>Produce sales video(s) to compensate for limited in-person selling activities.  First video by 6/1/2021</t>
  </si>
  <si>
    <t xml:space="preserve">Continue to maintain sales dashboard weekly starting 1/7/2021  </t>
  </si>
  <si>
    <t>Number of inquiries &gt; 300 (3-year average = 295)</t>
  </si>
  <si>
    <t>John</t>
  </si>
  <si>
    <t>Continue to track and graph labor efficiency in the shop using JobBOSS on a weekly basis starting 1/4/2021.</t>
  </si>
  <si>
    <t xml:space="preserve">Hold bi-weekly Quality meeting to address leading causes of re-work and customer complaints starting 1/13/2021 </t>
  </si>
  <si>
    <t>Scott / Sammy</t>
  </si>
  <si>
    <t>Use new plasma table to trim and layout shells starting 2/1/2021</t>
  </si>
  <si>
    <t>Sammy</t>
  </si>
  <si>
    <t>Put training plans (who, what, when) in place to close significant skills gaps.  Review quarterly starting 2Q21.</t>
  </si>
  <si>
    <t xml:space="preserve">Sales and Marketing:  </t>
  </si>
  <si>
    <t>Utilize schedule boards to manage job progression through shop.  Boards in use by 2/1/2021.</t>
  </si>
  <si>
    <t xml:space="preserve">Track and graph rework hours vs. goal on a weekly basis starting 1/4/2021   </t>
  </si>
  <si>
    <t>Draft next day's work plans daily before end of shift.  Written work plans each day starting 1/4/2021.</t>
  </si>
  <si>
    <t>Communicate daily assignments to each team member at morning start-up meetings starting 1/4/2021</t>
  </si>
  <si>
    <t>Install and trial robot to layout and cut holes in dished and conical heads.  Trial complete by 4/30/2021.</t>
  </si>
  <si>
    <t>Maintain job boards with daily work assignments and targets.  Fully deployed by 2/1/2021.</t>
  </si>
  <si>
    <t>Measure and graph Drawing On Time Delivery starting 2/15/2021</t>
  </si>
  <si>
    <t>Continue to hold internal drawing review meetings prior to releasing drawings to customer starting 1/4/2021</t>
  </si>
  <si>
    <t>Add bi-weekly meeting to review QC related issues and deliverables.  Meetings to start week of 1/11/2021.</t>
  </si>
  <si>
    <t>Maintain tracking system to track progress and status of QC activities for each job.  In use by 1/4/2021.</t>
  </si>
  <si>
    <t>Draft written Quality improvement action plan by 3/1/2021</t>
  </si>
  <si>
    <t>Improve Quality management and documentation</t>
  </si>
  <si>
    <t>Set weekly Engineering meeting with structured time for training starting week of 1/4/2021</t>
  </si>
  <si>
    <t>Make weekly calls on target accounts and prospects (see list) starting week of 1/25/2021</t>
  </si>
  <si>
    <t>Compress Savannah Tank brochure and PowerPoint presentation to smaller file size by 2/15/2021</t>
  </si>
  <si>
    <t>Test new Pay-Per-Click ad campaign by 3/31/2021</t>
  </si>
  <si>
    <t>Hold quarterly meetings to review effectiveness of digital marketing activities and discuss next steps.  First meeting by 6/29/2021.</t>
  </si>
  <si>
    <t>Add tracking graph for target accounts and prospecting goal.  Complete by 2/15/2021.</t>
  </si>
  <si>
    <t>Investigate possible reciprocal agreements with manufacturers reps (agitators, pumps, etc.) by 4/30/2021</t>
  </si>
  <si>
    <t>Research OEM market (i.e. JCB, Great Dane, Lummus, etc.) by 9/30/2021</t>
  </si>
  <si>
    <t>Approach mixer manufacturers (Chemineer, Lightnin, etc.) as possible source for project leads.  Viability determined by 4/30/2021.</t>
  </si>
  <si>
    <t>Develop new collateral piece for mail campaign.  In print by 6/28/2021.</t>
  </si>
  <si>
    <t>Train Niral and Rutang on tank cost estimation.  Training for "standard" tank estimation complete by 4/5/2021.</t>
  </si>
  <si>
    <t>Determine ST&amp;E 2021 Quality KPIs.  Track and graph on weekly / monthly basis starting 2/1/2021.</t>
  </si>
  <si>
    <t>Put process in place to ensure required QC documentation can be sent to customers within 5 business days of tank shipment.  Process in place by 3/1/2021.</t>
  </si>
  <si>
    <t>Install SigmaNest and post processor on ESAB plasma table by 2/1/2021</t>
  </si>
  <si>
    <t>Program plasma table (including cones and shell layouts) in Engineering office starting 2/1/2021</t>
  </si>
  <si>
    <t>Review and update Min / Max and Reorder points for each shop floor consumable item by 2/15/2021.</t>
  </si>
  <si>
    <t>Hold category review to confirm pricing for wire, hard goods, and gasses by 6/1/2021.</t>
  </si>
  <si>
    <t>Continue to review and approve weekly shop supplies orders starting 1/4/2021</t>
  </si>
  <si>
    <t>Annual reviews for all employees every 12 months</t>
  </si>
  <si>
    <t>Continue to hold formal Safety meetings every month starting January 2021</t>
  </si>
  <si>
    <t>Keith</t>
  </si>
  <si>
    <t>Conduct weekly saftey walks and report findings starting 1/18/2021</t>
  </si>
  <si>
    <t>Draft written safety plan and review with shop and management stakeholders by 4/5/2021</t>
  </si>
  <si>
    <t>Top management to review safety metrics and action plan monthly starting 2/4/2021</t>
  </si>
  <si>
    <t>Build new wall and sliding door at east end of shop.  Complete by 3/15/2021.</t>
  </si>
  <si>
    <t>Conduct "refresher" rigging safety class for all shop team leads by 6/1/2021</t>
  </si>
  <si>
    <t>Build new shop breakroom / training room.  Complete by 7/15/2021.</t>
  </si>
  <si>
    <t>Improve shop restroom facilities.  Complete by 7/15/2021.</t>
  </si>
  <si>
    <t xml:space="preserve">Track and graph On Time Completion statistics starting 2/1/2021 </t>
  </si>
  <si>
    <t>Reduce round seam welding times by 25% by 10/4/2021</t>
  </si>
  <si>
    <t>Attach easy-to-read sub-arc welding parameters to each sub-arc machine by 2/15/2021</t>
  </si>
  <si>
    <t xml:space="preserve">Confirm all fit-up rolls turn smoothly and consistently.  Address any issues by 3/31/2021. </t>
  </si>
  <si>
    <t>Design and build new, one-man sub-arc welding rig(s) by 8/31/2021</t>
  </si>
  <si>
    <t xml:space="preserve">Modify sub-arc tractors to improve durability and protect from electrical faults.  All modifications made by 8/31/2021  </t>
  </si>
  <si>
    <t>Maintain skills / training matrix for shop floor personnel to identify skills gaps.  Review quarterly starting 2Q21.</t>
  </si>
  <si>
    <t>Support robotics integration and trial initiative with software and programming.  Trial complete by 4/30/2021.</t>
  </si>
  <si>
    <t>Continue to flex office resources (Nick, Ron, Rutang, etc.) as necessary to support quote volume starting 1/4/2021</t>
  </si>
  <si>
    <t>Track and graph shop downtime by cause starting 2/15/2021</t>
  </si>
  <si>
    <t>Formalize preventive maintenance schedule for all critical equipment.  PM performed as scheduled starting 2/15/2021.</t>
  </si>
  <si>
    <t xml:space="preserve">Draft quarterly "lesson plan" defining training topics to be covered.  Review quarterly starting 2/1/2021.   </t>
  </si>
  <si>
    <t>Summarize key points from weekly training meetings in writing.  Written weekly summaries starting 1/20/2021.</t>
  </si>
  <si>
    <t>Hold weekly meeting to review sales metrics, prospecting activities, and sales funnel against production schedule and backlog.  Meetings to start 1/12/2021.</t>
  </si>
  <si>
    <t>Visual cleanliness and organization standards for shop interior by 3/1/2021</t>
  </si>
  <si>
    <t>Visual cleanliness and organization standards for shop exterior (yard) by 4/12/2021</t>
  </si>
  <si>
    <t>Cleanliness and organization audit procedures and checklists in place by 3/1/2021</t>
  </si>
  <si>
    <t>Engineering</t>
  </si>
  <si>
    <t>Target areas for consumables cost reduction identified by 3/15/2021</t>
  </si>
  <si>
    <t>Develop and agree goals for each leadership team member by 2/15/2021</t>
  </si>
  <si>
    <t>90-day reviews for all new employees (shop)</t>
  </si>
  <si>
    <t>Annual reviews for all employees (shop) every 12 months</t>
  </si>
  <si>
    <t>Written investigation and corrective action report within 1 day of each accident or near miss starting 1/4/2021</t>
  </si>
  <si>
    <t>Make minor revisions / updates to Savannah Tank brochure.  Complete by 3/1/2021.</t>
  </si>
  <si>
    <t>Study, challenge, and approve daily work plans.  After approval, bring work plans to David every day starting 2/1/2021</t>
  </si>
  <si>
    <t>Roll stainless shells two-at-a-time (where practical) starting 1/4/2021</t>
  </si>
  <si>
    <t xml:space="preserve">Implement formal Savannah Tank welding training program (see curriculum) by 4/5/2021 </t>
  </si>
  <si>
    <t>Hold training class on how to read and understand Savannah Tank drawings (March 2021)</t>
  </si>
  <si>
    <t>Hold training class on fit-up tolerances, guidelines, and best practices (June 2021)</t>
  </si>
  <si>
    <t>Hold bi-weekly meeting to review equipment issues, maintenance records, and PM schedule starting 2/1/2021</t>
  </si>
  <si>
    <t>Action plan(s) for consumables cost reduction implemented by 6/1/2021</t>
  </si>
  <si>
    <t>Get input from management team on 2021 strategy and action plan.  Inputs received and changes made by 2/1/2021.</t>
  </si>
  <si>
    <t>Hold monthly progress review meetings on strategy implemenation and action plans starting April 2021</t>
  </si>
  <si>
    <t>Annual performance reviews (leadership team) completed by 12/15/2021</t>
  </si>
  <si>
    <t>Interim performance reviews (leadership team) completed by 7/15/2021</t>
  </si>
  <si>
    <t>Draft new, more meaningful performance review form (shop).  Review and agree with management team by 3/15/2021.</t>
  </si>
  <si>
    <t>Maintain monthly calendar for scheduled performance reviews (shop).  In use by 3/15/2021.</t>
  </si>
  <si>
    <t xml:space="preserve">Continue quarterly inspections on all chains, shackles, and lifting straps  </t>
  </si>
  <si>
    <t>Review sales metrics with management team 2x / month starting February 2021</t>
  </si>
  <si>
    <t>Not Possible</t>
  </si>
  <si>
    <t>Increase Sales and Marketing to Drive Order Flow and Maintain Healthy Backlog</t>
  </si>
  <si>
    <t>Communicate daily assignments to each team member at morning start-up meetings starting 1/4/2022</t>
  </si>
  <si>
    <t>Study, challenge, and discuss daily work plans starting 1/10/2022</t>
  </si>
  <si>
    <t>Review sales metrics with management team 2x / month starting January 2022</t>
  </si>
  <si>
    <t>Chris</t>
  </si>
  <si>
    <t>Leverage engineering resources to support growth and improve quality</t>
  </si>
  <si>
    <t>Meet with SEO agency monthly to drive progress and track performance.  Meetings to start in February 2024.</t>
  </si>
  <si>
    <t>Hire new SEO agency to drive up Google search rankings.  New agency in place by 2/1/2024.</t>
  </si>
  <si>
    <t>Hold weekly meeting to review sales metrics, prospecting activities, and sales funnel.  Review production schedule and backlog to identify potential gaps and opportunities to fill them.  Meetings to start 1/30/2024.</t>
  </si>
  <si>
    <t>Maintain Quote Log and Sales Funnel to guage anticipated order intake starting 1/2/2024</t>
  </si>
  <si>
    <t xml:space="preserve">Maintain sales dashboard weekly starting 2/5/2024  </t>
  </si>
  <si>
    <t>Hire new Operations Manager to drive improvement on shop floor.  Hired by 2/15/2024</t>
  </si>
  <si>
    <t>Increase shop floor workforce skill level</t>
  </si>
  <si>
    <t xml:space="preserve">Re-launch formal Savannah Tank welding and fabrication training program by 1/2/2024 </t>
  </si>
  <si>
    <t>Increase recruitment efforts with increased emphasis on hiring experienced welders and fabricators</t>
  </si>
  <si>
    <t>Jermaine</t>
  </si>
  <si>
    <t>Re-train all sub-arc operators on sub-arc set-up and operation (incl. video).  Training complete by 3/18/2024</t>
  </si>
  <si>
    <t>Reduce round seam welding times by 25% by 10/1/2024</t>
  </si>
  <si>
    <t>Utilize cobot welding system to semi-automate routine welding tasks.  Cobot in use by 6/3/2024.</t>
  </si>
  <si>
    <t>Legal entity established and management in place by 5/1/2024</t>
  </si>
  <si>
    <t>Engineering, operations, and support staff in place by 6/1/2024</t>
  </si>
  <si>
    <t>Weld procedures and QC processes in place by 6/15/2024</t>
  </si>
  <si>
    <t>Facility operational and orders in production by 7/1/2024</t>
  </si>
  <si>
    <t>Maintain job stands with job numbers, target completion dates, build plans, etc.  Fully deployed by 3/1/2024.</t>
  </si>
  <si>
    <t>Track and graph labor efficiency in the shop using JobBOSS on a weekly basis starting 1/2/2024.</t>
  </si>
  <si>
    <t>Continue to track and graph rework hours vs. goal on a weekly basis starting 1/2/2024</t>
  </si>
  <si>
    <t>Attach easy-to-read sub-arc welding parameters to each sub-arc machine by 3/1/2024</t>
  </si>
  <si>
    <t>Maintain skills / training matrix for shop floor personnel to identify skills gaps.  Review quarterly starting 3Q24.</t>
  </si>
  <si>
    <t>Formalize preventive maintenance schedule for all critical equipment.  PM performed as scheduled starting 1/2/2024.</t>
  </si>
  <si>
    <t>Hold bi-weekly meeting to review equipment issues, maintenance records, and PM schedule starting 3/1/2024</t>
  </si>
  <si>
    <t>Modify sub-arc tractors to improve durability and protect from electrical faults.  All modifications made by 8/31/2024</t>
  </si>
  <si>
    <t>Utilize Engineering Resources in US and India to Support Sales Growth.  Continue to Drive Quality Improvement.</t>
  </si>
  <si>
    <t xml:space="preserve">Support sales effort with timely design calculations and cost estimates.  Reduce costs by strategically shifting production and engineering work from US to India.  Continue to improve Quality management and documentation. </t>
  </si>
  <si>
    <t>Train Aalhad on cost estimation by 3/29/2024</t>
  </si>
  <si>
    <t>Train new engineer in India on cost estimation by 7/1/2024</t>
  </si>
  <si>
    <t xml:space="preserve">Establish operation in India to provide additional engineering resources for calculations, drawings, BOMs, burn files, etc.  </t>
  </si>
  <si>
    <t>Dustin</t>
  </si>
  <si>
    <t>Continue bi-weekly meetings to review QC related issues and deliverables.  Meetings to start week of 1/2/2024.</t>
  </si>
  <si>
    <t>Continue to track progress and status of QC activities for each job.  In use by 1/2/2024.</t>
  </si>
  <si>
    <t xml:space="preserve">Draft written Quality improvement action plan by 2/28/2024.  Add to agenda at bi-weekly Quality meetings.  </t>
  </si>
  <si>
    <t>Use new plasma table to layout and cut holes in dished and conical heads.  Operational by 3/1/2024.</t>
  </si>
  <si>
    <t>Make new outriggers with hydraulic actuation to push shells into position.  Prototype set complete by 6/3/2024</t>
  </si>
  <si>
    <t>Test new, one-man sub-arc welding rig by 3/15/2024</t>
  </si>
  <si>
    <t>Arrange formal, on-site sub-arc welding training from Lincoln.  Training complete by 3/18/2024</t>
  </si>
  <si>
    <t>Re-train all sub-arc operators on sub-arc set-up and operation (incl. video).  Training complete by 3/29/2024</t>
  </si>
  <si>
    <t>Draft next day's work plans daily before end of shift.  Written work plans each day starting 1/4/2022.</t>
  </si>
  <si>
    <t>Track and graph On Time Completion statistics starting 7/1/2024</t>
  </si>
  <si>
    <t>Engineering, operations, and support staff hired by 6/1/2024</t>
  </si>
  <si>
    <t>Nick / Haresh</t>
  </si>
  <si>
    <t>Improve materials management function</t>
  </si>
  <si>
    <t>Fill Receiving / Tool Room position by 2/1/2024</t>
  </si>
  <si>
    <t>Draft written job instrutions for key responsibilities (receiving, tank washing, pressure testing, etc.)</t>
  </si>
  <si>
    <t>Establish reorder points and quantities for all shop floor consumables by 4/15/2024</t>
  </si>
  <si>
    <t>Identify ways to reduce costs.  Bring consumables costs down to $4.65 / shop labor hour for 2024.</t>
  </si>
  <si>
    <t>Continue to flex office resources (Aalhad, Nick, Manish, etc.) as necessary to support quote volume starting 1/2/2024</t>
  </si>
  <si>
    <t>Review target VPH against actual costs per hour on monthly basis starting 2/5/2024.</t>
  </si>
  <si>
    <t>Maintain $28 - $32 spread between VPH and CPH.  Monitor VPH monthly starting 2/5/2024.</t>
  </si>
  <si>
    <t>Ask customers for opportunity to quote agitators, spray balls, etc. when quoting new tanks starting January 2024</t>
  </si>
  <si>
    <t>Analyze opportunity to build heat exchangers in India for US market under Savannah Tank name.  Analysis complete by 7/1/2024.</t>
  </si>
  <si>
    <t>Analyze opportunity to import a range of standard tanks from India.  Analysis complete by 10/1/2024.</t>
  </si>
  <si>
    <t>David / Dustin</t>
  </si>
  <si>
    <t>Continue to hold formal Safety meetings every month starting January 2024</t>
  </si>
  <si>
    <t>Draft written safety plan and review with shop and management stakeholders by 3/1/2024</t>
  </si>
  <si>
    <t>Conduct weekly saftey walks and report findings starting 4/15/2024</t>
  </si>
  <si>
    <t>Written investigation and corrective action report within 1 day of each accident or near miss starting 1/4/2024</t>
  </si>
  <si>
    <t>Arrange "refresher" rigging safety class for all shop team leads by 6/1/2024</t>
  </si>
  <si>
    <t>Continue regular equipment inspections</t>
  </si>
  <si>
    <t>Electrical and extension cords:  Quarterly</t>
  </si>
  <si>
    <t>Ladders:  Quarterly</t>
  </si>
  <si>
    <t>Safety harnesses and lanyards:  Quarterly</t>
  </si>
  <si>
    <t>Lifting straps, chains, plate clamps, and come alongs:  Quarterly</t>
  </si>
  <si>
    <t>Engineers and CAD draftsmen trained (drawings, calculations, BOMs, etc.) by 8/1/2024</t>
  </si>
  <si>
    <t>Facility operational and orders in production by 8/1/2024</t>
  </si>
  <si>
    <t>Review progress against goals on a monthly basis starting March 2024</t>
  </si>
  <si>
    <t>Get input from management team on 2024 initiatives and action plans.  Plans agreed by 2/28/2024.</t>
  </si>
  <si>
    <t>Expand use of LinkedIn</t>
  </si>
  <si>
    <t>Contact MS Jeong for referrals and contacts within Enchem by 2/28/2024</t>
  </si>
  <si>
    <t>Maintain regular contact with Chris and Kathy at SYMS.  New orders from SYMS &gt; $750K by 12/31/2024.</t>
  </si>
  <si>
    <t>Use research and networking to make contacts at SK Battery, LG, and Panasonic.  RFQs totalling more than $2 million from SK, LG &amp; Panasonic (combined) by 12/31/2024.</t>
  </si>
  <si>
    <t>New RFQs from Enchem &gt; $750K by 12/31/2024</t>
  </si>
  <si>
    <t>Expand relationships in EV battery market.  Generate at least $2 million in new EV battery orders by 12/31/2024.</t>
  </si>
  <si>
    <t>90-day reviews for all new shop employees</t>
  </si>
  <si>
    <t xml:space="preserve">Recruit skilled people and develop them to be the best in the industry.  Continue to build a safety mindset on the shop floor.  </t>
  </si>
  <si>
    <t>Maintain monthly calendar for scheduled performance reviews.  In use by 4/15/2024.</t>
  </si>
  <si>
    <t>Draft new, more meaningful performance review form for shop floor employess by 3/29/2024.</t>
  </si>
  <si>
    <t>Increase recruitment efforts with greater emphasis on hiring experienced welders and fabricators.  Grow number of  experienced welders and fabricators from 10 to 15 by 7/1/2024.</t>
  </si>
  <si>
    <t>Create video library of shop floor skills, techniques, tips &amp; tricks.  10 videos complete by 12/31/2024.</t>
  </si>
  <si>
    <t>Ops</t>
  </si>
  <si>
    <t>Eng</t>
  </si>
  <si>
    <t>Set and agree goals for each team member by 3/15/2024</t>
  </si>
  <si>
    <t>Top management to review safety metrics and action plan monthly starting 3/15/2024</t>
  </si>
  <si>
    <t>Legal entity in India established and management in place by 5/1/2024</t>
  </si>
  <si>
    <t>Weld procedures and QC processes in place by 6/15/2024 (India)</t>
  </si>
  <si>
    <t>Establish operation in India to provide additional engineering resources for calculations, drawings, BOMs, burn files, etc.   Operational by 7/1/2024</t>
  </si>
  <si>
    <t>Use and maintain centralized work boards to communicate and track daily work assignments.  Implement by 4/15/2024</t>
  </si>
  <si>
    <t>Attach easy-to-read sub-arc welding parameters to each sub-arc machine by 4/1/2024</t>
  </si>
  <si>
    <t>Schedule and hold demonstration for new ESAB sub-arc tractor by 5/20/2024</t>
  </si>
  <si>
    <t>Test new, one-man sub-arc welding rig by 5/20/2024</t>
  </si>
  <si>
    <t>Assess progress against daily work plans and take appropriate action when results fail to meet targets.  Start 4/15/2024</t>
  </si>
  <si>
    <t>Make new outriggers and / or under shell alignment wheels with hydraulic actuation to push shells into position during fit-up.  Prototype set(s) complete by 6/3/2024</t>
  </si>
  <si>
    <t>Expand use of LinkedIn to continue to improve brand awareness and perception with customer base.  Plan developed by 5/30/2024.</t>
  </si>
  <si>
    <t>Analyze opportunity to build polished, food / pharma grade tanks in India.  Analysis complete by 10/1/2024.</t>
  </si>
  <si>
    <t>Trainer</t>
  </si>
  <si>
    <t>Jason</t>
  </si>
  <si>
    <t>Modify sub-arc tractors to improve durability and accuracy.  All modifications made by 8/31/2024</t>
  </si>
  <si>
    <t>Hold on-site training with Lincoln rep on how to set up and operate sub-arc on floor, inside tank, and on top of tank (incl. video) by 5/20/2024</t>
  </si>
  <si>
    <t>Use new plasma table to layout and cut holes in dished and conical heads.  In use by 4/1/2024.</t>
  </si>
  <si>
    <t>Get Arc-Boss welding system fully operational and implemented into regular shop use by 6/15/2024</t>
  </si>
  <si>
    <t>Purchase, provide training, and implement pipe beveler for use in nozzle making and coil prep by 4/29/2024</t>
  </si>
  <si>
    <t>Implement new grinding work area / station to reduce part clean-up times by 8/1/2024</t>
  </si>
  <si>
    <t xml:space="preserve">India Facility operational and orders in production by 8/1/2024 </t>
  </si>
  <si>
    <t>Engineering, operations, and support staff hired by 6/1/2024 (India)</t>
  </si>
  <si>
    <t>Train new engineer in India on cost estimation by 8/15/2024</t>
  </si>
  <si>
    <t>Draft written safety plan and review with shop and management stakeholders by 4/15/2024</t>
  </si>
  <si>
    <t>Top management to review safety metrics and action plan monthly starting 5/1/2024</t>
  </si>
  <si>
    <t>Maintain shopwide job boards with job numbers, target completion dates, build plans, etc.  Fully deployed by 4/15/2024.</t>
  </si>
  <si>
    <t>Draft daily work plans to set "stretch" targets for each team member, each day starting 4/15/2024</t>
  </si>
  <si>
    <t>Need to update</t>
  </si>
  <si>
    <t>Review target VPH against actual costs per hour on monthly basis starting 2/6/2025.</t>
  </si>
  <si>
    <t>Meet with SEO agency monthly to drive progress and track performance.  Meetings to start in January 2025.</t>
  </si>
  <si>
    <t>Expand use of LinkedIn to continue to improve brand awareness and perception with customer base.  Plan developed by 4/30/2025.</t>
  </si>
  <si>
    <t>Maintain Quote Log and Sales Funnel to guage anticipated order intake starting 1/6/2025</t>
  </si>
  <si>
    <t xml:space="preserve">Maintain sales dashboard weekly starting 2/3/2025  </t>
  </si>
  <si>
    <t>Hold weekly meeting to review sales metrics, prospecting activities, and sales funnel.  Review production schedule and backlog to identify potential gaps and opportunities to fill them.  Meetings to start 2/4/2025.</t>
  </si>
  <si>
    <t>Utilize new equipment to increase shop floor productivity.  Make jobs faster and easier.</t>
  </si>
  <si>
    <t>Install and use column and boom sub-arc welding system to reduce outside round seam welding time by 40%.  In use by 3/3/2025</t>
  </si>
  <si>
    <t>Modify new plasma table to reduce layout time when cutting holes in dished and conical heads.  Complete by 3/31/2025.</t>
  </si>
  <si>
    <t>Find new equipment to reduce time needed to wash tanks.  Test new equipment by 3/31/2025</t>
  </si>
  <si>
    <t>Engineering, operations, and support staff in place by 5/1/2025</t>
  </si>
  <si>
    <t>Weld procedures and QC processes in place by 6/15/2025</t>
  </si>
  <si>
    <t>Facility operational and orders in production by 7/1/2025</t>
  </si>
  <si>
    <t>Identify ways to reduce consumables costs.  Bring consumables costs down to $4.65 / shop labor hour for 2025.</t>
  </si>
  <si>
    <t>Continue to hold formal Safety meetings every month starting January 2025</t>
  </si>
  <si>
    <t>Implement "lift plans" for non-standard crane lifts and equipment moves.  In place starting 1/6/2025.</t>
  </si>
  <si>
    <t>Savannah Tank India Orders &gt; $1.5 million</t>
  </si>
  <si>
    <t>Review sales metrics with management team monthly starting February 2025</t>
  </si>
  <si>
    <t xml:space="preserve">Generate sufficient order flow to maximize available shop production time.  Grow sales funnel through increased customer contact and digital marketing. Utilize Savannah Tank India to expand product range and reduce costs on labor-intensive products.  </t>
  </si>
  <si>
    <t>Expand capacity and profitably meet increased demand by making measureable improvements in Quality, Safety, Cost, and Speed (Delivery).  Establish factory in India for additional capacity and to build labor-intensive products.</t>
  </si>
  <si>
    <t>Favorable cost variance on major raw materials &gt; 3% vs. quoted prices</t>
  </si>
  <si>
    <t>Legal entity established and management in place by 2/15/2025</t>
  </si>
  <si>
    <t>Leverage India's cost position and abundant skilled labor pool to expand U.S. product range to include heat exchangers and polished tanks.  Sales from India &gt; $1.5 million by 12/31/2025.</t>
  </si>
  <si>
    <t>Maintain gross margins.  Monitor costs and keep prices and VPH in line with inflation.</t>
  </si>
  <si>
    <t>Maintain gross margins as material and labor costs rise.  Monitor costs and keep prices and VPH in line with inflation.</t>
  </si>
  <si>
    <t>Continue to improve management and control of shop floor and daily work activities</t>
  </si>
  <si>
    <t>Check progress of work plans with supervisors 2 - 3x each day and address any significant variances from plan.  Routine in place starting 1/20/2025</t>
  </si>
  <si>
    <t>Make new under shell alignment wheels with hydraulic actuation to push shells into position during fit-up.  First set in use by 4/15/2025.</t>
  </si>
  <si>
    <t>Get Arc-Boss welding system fully operational and implemented into regular shop use by 9/1/2025</t>
  </si>
  <si>
    <t>Increase recruitment efforts with greater emphasis on hiring experienced welders and fabricators starting 2/15/2025</t>
  </si>
  <si>
    <t>Create new employee training team and develop in-house training plans for on-boarding new hires.  Trainers selected and program ready to use by 3/31/2025.</t>
  </si>
  <si>
    <t xml:space="preserve">Establish operation in India to manufacture labor-intensive products and components  </t>
  </si>
  <si>
    <t>Expand Savannah Tank Team in US and India to Meet Increased Customer Demand.  Embed a Culture of Safety, Quality, and Efficiency on the Shop Floor.</t>
  </si>
  <si>
    <t>Update shop floor safety assessment tool by 1/15/2025</t>
  </si>
  <si>
    <t>Continue to write-up accident and near miss reports within 1 day of any incident starting 1/6/2025</t>
  </si>
  <si>
    <t>Arrange "refresher" rigging safety class for all shop employees by 7/1/2025</t>
  </si>
  <si>
    <t>Continue to build a safety mindset on the shop floor</t>
  </si>
  <si>
    <t xml:space="preserve">Conduct bi-weekly safety walks with shop supervisors using new assessment tool starting week of 1/13/2025 </t>
  </si>
  <si>
    <t>Improve facility safety and security infrastructure</t>
  </si>
  <si>
    <t>Add or replace security lighting in hydro area, management parking, and front gate.  Complete by 3/1/2025.</t>
  </si>
  <si>
    <t>Upgrade security camera and alarm system.  Implemented by 3/1/2025.</t>
  </si>
  <si>
    <t>Extend engineering expertise to include heat exchangers</t>
  </si>
  <si>
    <t>Improve day-to-day shop floor management and address production issues in real time</t>
  </si>
  <si>
    <t>Pursue opportunities to source labor intensive assemblies (jackets, coils, etc.) from India</t>
  </si>
  <si>
    <t>Leverage India's cost position to be more competitive on labor-intensive products in US market</t>
  </si>
  <si>
    <t>Increase shop floor workforce engagement</t>
  </si>
  <si>
    <t>Implement incentives (lunches, gift cards, etc.) when shop performance targets are achieved starting February 2025</t>
  </si>
  <si>
    <t xml:space="preserve">Draft written Quality improvement action plan to address leading causes (top 2 in hours and top 2 in cost) of rework for 2024.  Plan in place by 1/17/2025.  </t>
  </si>
  <si>
    <t>Continue bi-weekly meetings to review QC related issues and deliverables.  Meetings to start week of 1/13/2025.</t>
  </si>
  <si>
    <t>Draft written plan to manage Quality for products built in India (Savannah Tank India and elsewhere) by 3/3/2025.</t>
  </si>
  <si>
    <t>Criteria 1:  Equipment built in India must be as good as or better than equipment built in Savannah</t>
  </si>
  <si>
    <t>Criteria 2:  All QC discrepancies to be identified and corrected in India -- not in Savannah</t>
  </si>
  <si>
    <t>Post weekly factory performance metrics (Safety, Quality, Efficiency, On-Time Completion, etc.) in shop starting 2/3/2025</t>
  </si>
  <si>
    <t>Expand and upgrade employee break room by 6/30/2025.</t>
  </si>
  <si>
    <t>Expand network of contacts with EPCs through networking, referrals, meetings, and phone calls.  30 new contacts by 12/31/2025.</t>
  </si>
  <si>
    <t>Expand network of contacts with major chemical companies across the Southeast through networking, referrals, meetings, and phone calls.  30 new contacts by 12/31/2025.</t>
  </si>
  <si>
    <t>Evaluate CRM systems for potential implementation in late 2025.  3-4 systems evaluated by 9/30/2025.</t>
  </si>
  <si>
    <t>Criteria 3:  Savannah Tank India to have ASME U and R stamps by 7/31/2025</t>
  </si>
  <si>
    <t>Electrical and extension cords:  Quarterly starting Q1-2025</t>
  </si>
  <si>
    <t>Ladders:  Quarterly starting Q1-2025</t>
  </si>
  <si>
    <t>Safety harnesses and lanyards:  Quarterly starting Q1-2025</t>
  </si>
  <si>
    <t>Lifting straps, chains, plate clamps, and come alongs:  Annually (Q3-2025)</t>
  </si>
  <si>
    <t>Increase shop floor headcount to keep customer lead times below 20 weeks</t>
  </si>
  <si>
    <t xml:space="preserve">Supervisors to draft daily written work plans for each employee.  Copies to Dustin and David daily starting 1/20/2025. </t>
  </si>
  <si>
    <t>Maintain $28 - $32 spread between quoted VPH and actual CPH.  Monitor VPH monthly starting 2/6/2025.</t>
  </si>
  <si>
    <t>Total orders &gt; $20.0 million</t>
  </si>
  <si>
    <t>Weekly shop backlog &gt; 12,000 hours throughout 2026</t>
  </si>
  <si>
    <t>Total 2025 Value Added Sales (Orders) &gt; $160 / Labor Hour</t>
  </si>
  <si>
    <t>2026 Financials</t>
  </si>
  <si>
    <t>Quoted value at or above $100 million (20% "Win Rate")</t>
  </si>
  <si>
    <t>Expand capacity and profitably meet increased demand by making measureable improvements in Quality, Safety, Cost, and Speed (Delivery).  Leverage India factory for additional capacity and labor-intensive products.</t>
  </si>
  <si>
    <t>Attain ISO-9001 certification in India by 6/30/2026</t>
  </si>
  <si>
    <t>US customer lead times less than 20 weeks throughout 2026</t>
  </si>
  <si>
    <t>Zero OSHA violations / citations in 2026</t>
  </si>
  <si>
    <t>Grow order intake to $20.0 million and maintain margins</t>
  </si>
  <si>
    <t>Hire Project Manager to improve project execution and On-Time Delivery</t>
  </si>
  <si>
    <t>Utilize ZoomInfo to identify and target new, high-probability opportunities</t>
  </si>
  <si>
    <t>Pursue high-volume projects with AI data centers via new Savannah-based production facility</t>
  </si>
  <si>
    <t>Use OTTO to automate cost estimation workflow</t>
  </si>
  <si>
    <t>Fill open Finishing Area Supervisor position to drive improvement in Finishing department</t>
  </si>
  <si>
    <t>Establish new, high-volume / data center production facility in Savannah</t>
  </si>
  <si>
    <t xml:space="preserve">Use technology (Compress, Inventor, AI, etc.) to reduce drawing times </t>
  </si>
  <si>
    <t>Develop workflow automation application(s) to accelerate "Order-to-Shop Release" workflow</t>
  </si>
  <si>
    <t>Attain ISO-9001 certification for Savannah Tank India</t>
  </si>
  <si>
    <t>Hire additional QC Inspector to support growth and maintain QC vigilence on the shop floor</t>
  </si>
  <si>
    <t>Hire additional welders / fabricators to support increased demand and staff new production facility</t>
  </si>
  <si>
    <t>Expand and upgrade shop floor supervisors' office.  Add QC inspection office.</t>
  </si>
  <si>
    <t xml:space="preserve">Update safety walk evaluation tool and conduct regular safety walks   </t>
  </si>
  <si>
    <t>Transition from AME Tank to Compress for API calculations</t>
  </si>
  <si>
    <t>Launch new website and continue to drive digital marketing efforts (SEO, social media, etc.)</t>
  </si>
  <si>
    <t>Increase U.S. capacity by 50% with less than 25% increase in shop floor headcount</t>
  </si>
  <si>
    <t>Utilize new equipment (column &amp; boom, cobot, Arc-Boss, etc.) to reduce labor input</t>
  </si>
  <si>
    <t xml:space="preserve">Improve and stabilize entire India-to-U.S. supply chain, from order placement to Savannah delivery </t>
  </si>
  <si>
    <t>Raise the bar on ST&amp;E engineering group in India.  Improve quality and speed (calcs, drawings, BOMs, etc.)</t>
  </si>
  <si>
    <t>Hire Estimator in India to support increased volume of RFQs and proposals</t>
  </si>
  <si>
    <t>Make key hires in India (Estimator, Engineering Manager)</t>
  </si>
  <si>
    <t>Hire Project Manager (U.S.) to improve project execution, customer communication, and On-Time Delivery</t>
  </si>
  <si>
    <t>Key Initiatives - 2026</t>
  </si>
  <si>
    <t xml:space="preserve">  G.P. &gt; $5.0 Million</t>
  </si>
  <si>
    <t xml:space="preserve">  Revenue &gt; $14.0 Million</t>
  </si>
  <si>
    <t>Savannah Tank and Equipment</t>
  </si>
  <si>
    <t>Establish and deploy a consistent set of quality standards across U.S. and India operations that aligns with our "premier" quality positioning.   Define, document, and maintain clear acceptance standards across all facets of Savannah Tank's worldwide operations (fabrication, welding, finishing, etc.)</t>
  </si>
  <si>
    <r>
      <rPr>
        <b/>
        <i/>
        <sz val="20"/>
        <color theme="3"/>
        <rFont val="Calibri"/>
        <family val="2"/>
        <scheme val="minor"/>
      </rPr>
      <t>"Quality You Can See.  People You Can Trust</t>
    </r>
    <r>
      <rPr>
        <b/>
        <sz val="20"/>
        <color theme="3"/>
        <rFont val="Calibri"/>
        <family val="2"/>
        <scheme val="minor"/>
      </rPr>
      <t>."</t>
    </r>
  </si>
  <si>
    <t>Develop and deploy Visual Quality Standards Guide across U.S. and India operations by 12/31/2026</t>
  </si>
  <si>
    <t>Provide calculations to Sales team in 3 business days or less, with measured error rate less than 5% for 2026.</t>
  </si>
  <si>
    <t>Use Compress &amp; Inventor to reduce drawing times by 30%</t>
  </si>
  <si>
    <t>Add technical resource with expertise in heat transfer and heat exchangers</t>
  </si>
  <si>
    <t>Support sales effort with timely design calculations and cost estimates.  Reduce costs by strategically shifting engineering work from US to India.</t>
  </si>
  <si>
    <t>Zero customer complaints / quality "escapes" (U.S.) in 2026</t>
  </si>
  <si>
    <t>Zero customer complaints / quality "escapes" (India) in 2026</t>
  </si>
  <si>
    <t>U.S. On Time Completion at 90% or above (full-year average)</t>
  </si>
  <si>
    <t>U.S. Rework hours &lt; 1.25% of direct labor hours</t>
  </si>
  <si>
    <t>Retain U.S. ASME certification with successful ASME Joint Review (May 2026)</t>
  </si>
  <si>
    <t>Enhance Engineering Resources in US and India to Support Sales Growth.  Bring India Engineering Team Up To Savannah Tank Standards.</t>
  </si>
  <si>
    <t>India On Time Delivery at 90% or above (full-year average)</t>
  </si>
  <si>
    <t>Zero lost time accidents in 2026 (U.S.)</t>
  </si>
  <si>
    <t>Zero lost time accidents in 2026 (India)</t>
  </si>
  <si>
    <t>Build a business-wide Quality Management System that supports growth and clearly defines Savannah Tank's standards of excellence.</t>
  </si>
  <si>
    <t>Implement comprehensive, reliable, and timely process to review and approve India fabrication prior to shipment to U.S.  Process in place by 4/1/2026.</t>
  </si>
  <si>
    <t>We will be the premier manufacturer of custom tanks, pressure vessels, and process equipment in the eastern United States.  We consistently live up to our "Quality You Can See.  People You Can Trust." mindset.</t>
  </si>
  <si>
    <t xml:space="preserve">U.S. Cost of Quality &lt; $1.75 per direct labor hour </t>
  </si>
  <si>
    <t>U.S. Overhead &lt; 25% of total shop hours</t>
  </si>
  <si>
    <t>Implement automated cost estimation application (OTTO MVP) to reduce estimation time.  In daily use by 3/1/2026.</t>
  </si>
  <si>
    <t>Hire experienced estimator in India to support growing cost estimation demand in U.S. and India.  In place by 3/1/2026.</t>
  </si>
  <si>
    <t>Hire Project Manager (U.S.) to improve project execution, customer communication, and On-Time Delivery.  In place by 3/1/2026.</t>
  </si>
  <si>
    <t>New high-volume / data center production facility in operation by 3/1/2026</t>
  </si>
  <si>
    <t>OGSM 2026</t>
  </si>
  <si>
    <t>Define Savannah Tank's quality standards and ensure compliance across all manufacturing locations</t>
  </si>
  <si>
    <t>Establish written / visual Quality standards that define Savannah Tank's "premier" quality position</t>
  </si>
  <si>
    <t>Implement a Quality Management System that deploys our QC standards across all locations</t>
  </si>
  <si>
    <t>Retain ASME Section VIII, Div. 1 certification</t>
  </si>
  <si>
    <t xml:space="preserve">Draft and implement written Quality improvement plan for U.S. operation.  Make Quality meetings action-oriented. </t>
  </si>
  <si>
    <t>Quality:</t>
  </si>
  <si>
    <t>India drawing accuracy &gt; 90% "First Pass Approval Rate" by 2/1/2026</t>
  </si>
  <si>
    <t>Build a reliable &amp; timely system to thoroughly inspect and approve India fabrication prior to shipment to U.S.</t>
  </si>
  <si>
    <t>Establish and deploy a consistent set of quality standards across U.S. and India operations that aligns with our "premier" quality positioning.   Define, document, and maintain clear acceptance standards across all facets of Savannah Tank's worldwide operations</t>
  </si>
  <si>
    <t>Align Savannah Tank leadership team on 2026 objectives and goals</t>
  </si>
  <si>
    <t>Get input from management team on 2026 initiatives and action plans.  Plans agreed by 1/31/2026.</t>
  </si>
  <si>
    <t>Set and agree goals for each team member by 1/31/2026</t>
  </si>
  <si>
    <t>Review progress against goals on a monthly basis starting March 2026</t>
  </si>
  <si>
    <t>Hold quarterly "state of the union" meetings with all shop employees starting Q1-2026</t>
  </si>
  <si>
    <t>U.S. shop-wide Labor Efficiency of 93% or above (full-year average)</t>
  </si>
  <si>
    <t>Post weekly shop performance metrics (Safety, Quality, Efficiency, On-Time Completion, etc.) in shop starting 2/3/2026</t>
  </si>
  <si>
    <t>Fill Receiving / Tool Room position by 2/1/2026</t>
  </si>
  <si>
    <t>Establish reorder points and quantities for all shop floor consumables by 4/15/2026</t>
  </si>
  <si>
    <t>Purchase Lissmac grinding machine to reduce part clean-up times.  Installed by 9/1/2026.</t>
  </si>
  <si>
    <t>Track and graph labor efficiency in the shop using JobBOSS on a weekly basis starting 1/5/2026.</t>
  </si>
  <si>
    <t>Continue to track and graph rework hours vs. goal on a weekly basis starting 1/5/2026</t>
  </si>
  <si>
    <t>Track and graph On Time Completion statistics starting 3/15/2026</t>
  </si>
  <si>
    <t>Install and use cobot welding system to automate RFSO nozzle making. Especially for data center tanks. In use by 2/2/2026.</t>
  </si>
  <si>
    <t>Utilize cobot welding system to automate jacket welding.  In use by 6/15/2026</t>
  </si>
  <si>
    <t>Utilize cobot welding system to automate outside long seam shell welding.  In use by 3/2/2025.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</si>
</sst>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2">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7"/>
      <color theme="1"/>
      <name val="Times New Roman"/>
      <family val="1"/>
    </font>
    <font>
      <b/>
      <sz val="16"/>
      <color theme="3"/>
      <name val="Calibri"/>
      <family val="2"/>
      <scheme val="minor"/>
    </font>
    <font>
      <sz val="16"/>
      <color theme="1"/>
      <name val="Calibri"/>
      <family val="2"/>
      <scheme val="minor"/>
    </font>
    <font>
      <sz val="16"/>
      <color theme="1"/>
      <name val="Bridon"/>
    </font>
    <font>
      <sz val="16"/>
      <color theme="3"/>
      <name val="Bridon"/>
    </font>
    <font>
      <b/>
      <sz val="18"/>
      <color theme="3"/>
      <name val="Calibri"/>
      <family val="2"/>
      <scheme val="minor"/>
    </font>
    <font>
      <sz val="18"/>
      <color theme="1"/>
      <name val="Calibri"/>
      <family val="2"/>
      <scheme val="minor"/>
    </font>
    <font>
      <sz val="18"/>
      <color theme="3"/>
      <name val="Bridon"/>
    </font>
    <font>
      <sz val="11"/>
      <color theme="1"/>
      <name val="Symbol"/>
      <family val="1"/>
      <charset val="2"/>
    </font>
    <font>
      <b/>
      <sz val="14"/>
      <color theme="0"/>
      <name val="Calibri"/>
      <family val="2"/>
      <scheme val="minor"/>
    </font>
    <font>
      <sz val="14"/>
      <color theme="0"/>
      <name val="Calibri"/>
      <family val="2"/>
      <scheme val="minor"/>
    </font>
    <font>
      <b/>
      <sz val="14"/>
      <color theme="3"/>
      <name val="Calibri"/>
      <family val="2"/>
      <scheme val="minor"/>
    </font>
    <font>
      <b/>
      <sz val="20"/>
      <color theme="3"/>
      <name val="Calibri"/>
      <family val="2"/>
      <scheme val="minor"/>
    </font>
    <font>
      <sz val="11"/>
      <color theme="1"/>
      <name val="Calibri"/>
      <family val="2"/>
      <scheme val="minor"/>
    </font>
    <font>
      <sz val="24"/>
      <color theme="1"/>
      <name val="Calibri"/>
      <family val="2"/>
      <scheme val="minor"/>
    </font>
    <font>
      <b/>
      <i/>
      <sz val="24"/>
      <color theme="1"/>
      <name val="Calibri"/>
      <family val="2"/>
      <scheme val="minor"/>
    </font>
    <font>
      <b/>
      <sz val="12"/>
      <color theme="1"/>
      <name val="Calibri"/>
      <family val="2"/>
      <scheme val="minor"/>
    </font>
    <font>
      <b/>
      <i/>
      <sz val="20"/>
      <color theme="3"/>
      <name val="Calibri"/>
      <family val="2"/>
      <scheme val="minor"/>
    </font>
  </fonts>
  <fills count="7">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s>
  <borders count="24">
    <border>
      <left/>
      <right/>
      <top/>
      <bottom/>
      <diagonal/>
    </border>
    <border>
      <left/>
      <right style="medium">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rgb="FF000000"/>
      </right>
      <top style="medium">
        <color indexed="64"/>
      </top>
      <bottom/>
      <diagonal/>
    </border>
    <border>
      <left style="medium">
        <color rgb="FF000000"/>
      </left>
      <right/>
      <top style="medium">
        <color indexed="64"/>
      </top>
      <bottom/>
      <diagonal/>
    </border>
    <border>
      <left/>
      <right style="medium">
        <color rgb="FF000000"/>
      </right>
      <top style="medium">
        <color indexed="64"/>
      </top>
      <bottom/>
      <diagonal/>
    </border>
    <border>
      <left style="medium">
        <color indexed="64"/>
      </left>
      <right style="medium">
        <color rgb="FF000000"/>
      </right>
      <top/>
      <bottom style="medium">
        <color rgb="FF000000"/>
      </bottom>
      <diagonal/>
    </border>
    <border>
      <left/>
      <right style="medium">
        <color indexed="64"/>
      </right>
      <top/>
      <bottom style="medium">
        <color rgb="FF000000"/>
      </bottom>
      <diagonal/>
    </border>
  </borders>
  <cellStyleXfs count="2">
    <xf numFmtId="0" fontId="0" fillId="0" borderId="0"/>
    <xf numFmtId="44" fontId="17" fillId="0" borderId="0" applyFont="0" applyFill="0" applyBorder="0" applyAlignment="0" applyProtection="0"/>
  </cellStyleXfs>
  <cellXfs count="149">
    <xf numFmtId="0" fontId="0" fillId="0" borderId="0" xfId="0"/>
    <xf numFmtId="0" fontId="3" fillId="2" borderId="0" xfId="0" applyFont="1" applyFill="1"/>
    <xf numFmtId="0" fontId="0" fillId="0" borderId="0" xfId="0" applyAlignment="1">
      <alignment horizontal="left" vertical="top"/>
    </xf>
    <xf numFmtId="0" fontId="6" fillId="0" borderId="0" xfId="0" applyFont="1"/>
    <xf numFmtId="0" fontId="10" fillId="0" borderId="0" xfId="0" applyFont="1"/>
    <xf numFmtId="0" fontId="0" fillId="2" borderId="0" xfId="0" applyFill="1"/>
    <xf numFmtId="0" fontId="5" fillId="2" borderId="0" xfId="0" applyFont="1" applyFill="1" applyAlignment="1">
      <alignment horizontal="left" vertical="top"/>
    </xf>
    <xf numFmtId="0" fontId="6" fillId="2" borderId="0" xfId="0" applyFont="1" applyFill="1" applyAlignment="1">
      <alignment horizontal="left" vertical="top"/>
    </xf>
    <xf numFmtId="0" fontId="7" fillId="2" borderId="0" xfId="0" applyFont="1" applyFill="1" applyAlignment="1">
      <alignment horizontal="right" vertical="top"/>
    </xf>
    <xf numFmtId="0" fontId="8" fillId="2" borderId="0" xfId="0" applyFont="1" applyFill="1" applyAlignment="1">
      <alignment horizontal="right" vertical="top"/>
    </xf>
    <xf numFmtId="0" fontId="0" fillId="2" borderId="9" xfId="0" applyFill="1" applyBorder="1" applyAlignment="1">
      <alignment horizontal="left" vertical="top" wrapText="1"/>
    </xf>
    <xf numFmtId="0" fontId="12" fillId="2" borderId="4" xfId="0" applyFont="1" applyFill="1" applyBorder="1" applyAlignment="1">
      <alignment horizontal="left" vertical="top" wrapText="1"/>
    </xf>
    <xf numFmtId="0" fontId="2" fillId="2" borderId="2" xfId="0" applyFont="1" applyFill="1" applyBorder="1" applyAlignment="1">
      <alignment vertical="top" wrapText="1"/>
    </xf>
    <xf numFmtId="0" fontId="0" fillId="2" borderId="4" xfId="0" applyFill="1" applyBorder="1" applyAlignment="1">
      <alignment vertical="top" wrapText="1"/>
    </xf>
    <xf numFmtId="0" fontId="0" fillId="2" borderId="11" xfId="0" applyFill="1" applyBorder="1" applyAlignment="1">
      <alignment vertical="top" wrapText="1"/>
    </xf>
    <xf numFmtId="0" fontId="14" fillId="0" borderId="0" xfId="0" applyFont="1" applyAlignment="1">
      <alignment horizontal="center"/>
    </xf>
    <xf numFmtId="0" fontId="9" fillId="2" borderId="0" xfId="0" applyFont="1" applyFill="1" applyAlignment="1">
      <alignment horizontal="left" vertical="top"/>
    </xf>
    <xf numFmtId="0" fontId="11" fillId="2" borderId="0" xfId="0" applyFont="1" applyFill="1" applyAlignment="1">
      <alignment horizontal="right" vertical="top"/>
    </xf>
    <xf numFmtId="0" fontId="15" fillId="2" borderId="0" xfId="0" applyFont="1" applyFill="1" applyAlignment="1">
      <alignment horizontal="left" vertical="top"/>
    </xf>
    <xf numFmtId="0" fontId="0" fillId="2" borderId="12" xfId="0" applyFill="1" applyBorder="1" applyAlignment="1">
      <alignment horizontal="left" vertical="top" wrapText="1"/>
    </xf>
    <xf numFmtId="0" fontId="1" fillId="2" borderId="13" xfId="0" applyFont="1" applyFill="1" applyBorder="1" applyAlignment="1">
      <alignment horizontal="left" vertical="top" wrapText="1"/>
    </xf>
    <xf numFmtId="0" fontId="1" fillId="2" borderId="14" xfId="0" applyFont="1" applyFill="1" applyBorder="1" applyAlignment="1">
      <alignment horizontal="left" vertical="top" wrapText="1"/>
    </xf>
    <xf numFmtId="0" fontId="0" fillId="2" borderId="11" xfId="0" applyFill="1" applyBorder="1" applyAlignment="1">
      <alignment horizontal="center" vertical="top" wrapText="1"/>
    </xf>
    <xf numFmtId="0" fontId="12" fillId="2" borderId="8" xfId="0" applyFont="1" applyFill="1" applyBorder="1" applyAlignment="1">
      <alignment horizontal="left" vertical="top" wrapText="1"/>
    </xf>
    <xf numFmtId="0" fontId="1" fillId="2" borderId="7" xfId="0" applyFont="1" applyFill="1" applyBorder="1" applyAlignment="1">
      <alignment horizontal="left" vertical="top" wrapText="1"/>
    </xf>
    <xf numFmtId="0" fontId="0" fillId="2" borderId="10" xfId="0" applyFill="1" applyBorder="1" applyAlignment="1">
      <alignment horizontal="center" vertical="top" wrapText="1"/>
    </xf>
    <xf numFmtId="0" fontId="12" fillId="2" borderId="0" xfId="0" applyFont="1" applyFill="1" applyAlignment="1">
      <alignment horizontal="right" vertical="top" wrapText="1"/>
    </xf>
    <xf numFmtId="0" fontId="1" fillId="2" borderId="11" xfId="0" applyFont="1" applyFill="1" applyBorder="1" applyAlignment="1">
      <alignment horizontal="left" vertical="top" wrapText="1"/>
    </xf>
    <xf numFmtId="0" fontId="12" fillId="2" borderId="6" xfId="0" applyFont="1" applyFill="1" applyBorder="1" applyAlignment="1">
      <alignment horizontal="right" vertical="top" wrapText="1"/>
    </xf>
    <xf numFmtId="0" fontId="12" fillId="2" borderId="7" xfId="0" applyFont="1" applyFill="1" applyBorder="1" applyAlignment="1">
      <alignment horizontal="right" vertical="top"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2" borderId="4" xfId="0" applyFill="1" applyBorder="1" applyAlignment="1">
      <alignment horizontal="center" vertical="top" wrapText="1"/>
    </xf>
    <xf numFmtId="0" fontId="0" fillId="2" borderId="11"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12" xfId="0" applyFill="1" applyBorder="1" applyAlignment="1">
      <alignment horizontal="center" vertical="center" wrapText="1"/>
    </xf>
    <xf numFmtId="0" fontId="2" fillId="2" borderId="7" xfId="0" applyFont="1" applyFill="1" applyBorder="1" applyAlignment="1">
      <alignment vertical="center" wrapText="1"/>
    </xf>
    <xf numFmtId="0" fontId="2" fillId="2" borderId="3" xfId="0" applyFont="1" applyFill="1" applyBorder="1" applyAlignment="1">
      <alignment vertical="center" wrapText="1"/>
    </xf>
    <xf numFmtId="0" fontId="2" fillId="2" borderId="6" xfId="0" applyFont="1" applyFill="1" applyBorder="1" applyAlignment="1">
      <alignment horizontal="center" vertical="center" wrapText="1"/>
    </xf>
    <xf numFmtId="0" fontId="2" fillId="2" borderId="11" xfId="0" applyFont="1" applyFill="1" applyBorder="1" applyAlignment="1">
      <alignment vertical="center" wrapText="1"/>
    </xf>
    <xf numFmtId="0" fontId="0" fillId="2" borderId="7" xfId="0" applyFill="1" applyBorder="1"/>
    <xf numFmtId="0" fontId="0" fillId="2" borderId="11" xfId="0" applyFill="1" applyBorder="1"/>
    <xf numFmtId="0" fontId="0" fillId="2" borderId="11" xfId="0"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top"/>
    </xf>
    <xf numFmtId="0" fontId="1" fillId="2" borderId="13" xfId="0" applyFont="1" applyFill="1" applyBorder="1" applyAlignment="1">
      <alignment horizontal="right" vertical="top" wrapText="1"/>
    </xf>
    <xf numFmtId="0" fontId="1" fillId="2" borderId="17" xfId="0" applyFont="1" applyFill="1" applyBorder="1" applyAlignment="1">
      <alignment horizontal="left" vertical="top" wrapText="1"/>
    </xf>
    <xf numFmtId="0" fontId="0" fillId="2" borderId="7" xfId="0" applyFill="1" applyBorder="1" applyAlignment="1">
      <alignment horizontal="right" vertical="top" wrapText="1"/>
    </xf>
    <xf numFmtId="0" fontId="12" fillId="2" borderId="8" xfId="0" applyFont="1" applyFill="1" applyBorder="1" applyAlignment="1">
      <alignment horizontal="right" vertical="top" wrapText="1"/>
    </xf>
    <xf numFmtId="0" fontId="1" fillId="2" borderId="16" xfId="0" applyFont="1" applyFill="1" applyBorder="1" applyAlignment="1">
      <alignment horizontal="center" vertical="top" wrapText="1"/>
    </xf>
    <xf numFmtId="0" fontId="0" fillId="2" borderId="3" xfId="0" applyFill="1" applyBorder="1" applyAlignment="1">
      <alignment horizontal="center" vertical="top"/>
    </xf>
    <xf numFmtId="0" fontId="13" fillId="3" borderId="8" xfId="0" applyFont="1" applyFill="1" applyBorder="1" applyAlignment="1">
      <alignment horizontal="center" vertical="top" wrapText="1"/>
    </xf>
    <xf numFmtId="0" fontId="13" fillId="3" borderId="12" xfId="0" applyFont="1" applyFill="1" applyBorder="1" applyAlignment="1">
      <alignment horizontal="center" vertical="top" wrapText="1"/>
    </xf>
    <xf numFmtId="0" fontId="0" fillId="0" borderId="11" xfId="0" applyBorder="1" applyAlignment="1">
      <alignment horizontal="left" vertical="top"/>
    </xf>
    <xf numFmtId="0" fontId="2" fillId="2" borderId="7" xfId="0" applyFont="1" applyFill="1" applyBorder="1" applyAlignment="1">
      <alignment horizontal="center" vertical="center" wrapText="1"/>
    </xf>
    <xf numFmtId="0" fontId="0" fillId="2" borderId="11" xfId="0" applyFill="1" applyBorder="1" applyAlignment="1">
      <alignment horizontal="left" vertical="top" wrapText="1"/>
    </xf>
    <xf numFmtId="0" fontId="13" fillId="3" borderId="9" xfId="0" applyFont="1" applyFill="1" applyBorder="1" applyAlignment="1">
      <alignment horizontal="center" vertical="top" wrapText="1"/>
    </xf>
    <xf numFmtId="0" fontId="0" fillId="2" borderId="4" xfId="0" applyFill="1" applyBorder="1" applyAlignment="1">
      <alignment horizontal="left" vertical="top" wrapText="1"/>
    </xf>
    <xf numFmtId="0" fontId="13" fillId="3" borderId="2" xfId="0" applyFont="1" applyFill="1" applyBorder="1" applyAlignment="1">
      <alignment horizontal="center" vertical="top" wrapText="1"/>
    </xf>
    <xf numFmtId="0" fontId="2" fillId="2" borderId="2" xfId="0" applyFont="1" applyFill="1" applyBorder="1" applyAlignment="1">
      <alignment horizontal="left" vertical="top" wrapText="1"/>
    </xf>
    <xf numFmtId="0" fontId="13" fillId="3" borderId="18" xfId="0" applyFont="1" applyFill="1" applyBorder="1" applyAlignment="1">
      <alignment horizontal="center" vertical="top" wrapText="1"/>
    </xf>
    <xf numFmtId="0" fontId="1" fillId="2" borderId="3" xfId="0" applyFont="1" applyFill="1" applyBorder="1" applyAlignment="1">
      <alignment horizontal="left" vertical="top" wrapText="1"/>
    </xf>
    <xf numFmtId="0" fontId="13" fillId="3" borderId="19" xfId="0" applyFont="1" applyFill="1" applyBorder="1" applyAlignment="1">
      <alignment horizontal="center" vertical="top" wrapText="1"/>
    </xf>
    <xf numFmtId="0" fontId="13" fillId="3" borderId="22" xfId="0" applyFont="1" applyFill="1" applyBorder="1" applyAlignment="1">
      <alignment horizontal="center" vertical="top" wrapText="1"/>
    </xf>
    <xf numFmtId="0" fontId="1" fillId="2" borderId="11" xfId="0" applyFont="1" applyFill="1" applyBorder="1" applyAlignment="1">
      <alignment horizontal="center" vertical="top" wrapText="1"/>
    </xf>
    <xf numFmtId="0" fontId="2" fillId="2" borderId="4" xfId="0" applyFont="1" applyFill="1" applyBorder="1" applyAlignment="1">
      <alignment vertical="center" wrapText="1"/>
    </xf>
    <xf numFmtId="9" fontId="0" fillId="2" borderId="3" xfId="0" applyNumberFormat="1" applyFill="1" applyBorder="1" applyAlignment="1">
      <alignment horizontal="center" vertical="top" wrapText="1"/>
    </xf>
    <xf numFmtId="164" fontId="0" fillId="2" borderId="2" xfId="1" applyNumberFormat="1" applyFont="1" applyFill="1" applyBorder="1" applyAlignment="1">
      <alignment horizontal="right" vertical="top" wrapText="1"/>
    </xf>
    <xf numFmtId="0" fontId="0" fillId="2" borderId="3" xfId="0" applyFill="1" applyBorder="1" applyAlignment="1">
      <alignment horizontal="right" vertical="top" wrapText="1"/>
    </xf>
    <xf numFmtId="164" fontId="0" fillId="2" borderId="3" xfId="1" applyNumberFormat="1" applyFont="1" applyFill="1" applyBorder="1" applyAlignment="1">
      <alignment horizontal="right" vertical="top" wrapText="1"/>
    </xf>
    <xf numFmtId="9" fontId="0" fillId="2" borderId="11" xfId="0" applyNumberFormat="1" applyFill="1" applyBorder="1" applyAlignment="1">
      <alignment horizontal="center" vertical="top"/>
    </xf>
    <xf numFmtId="0" fontId="12" fillId="0" borderId="7" xfId="0" applyFont="1" applyBorder="1" applyAlignment="1">
      <alignment horizontal="right" vertical="top" wrapText="1"/>
    </xf>
    <xf numFmtId="0" fontId="0" fillId="0" borderId="3" xfId="0" applyBorder="1" applyAlignment="1">
      <alignment horizontal="center" vertical="top" wrapText="1"/>
    </xf>
    <xf numFmtId="0" fontId="0" fillId="2" borderId="3" xfId="0" applyFill="1" applyBorder="1" applyAlignment="1">
      <alignment horizontal="left" vertical="top" wrapText="1"/>
    </xf>
    <xf numFmtId="0" fontId="0" fillId="2" borderId="0" xfId="0" applyFill="1" applyAlignment="1">
      <alignment horizontal="left" vertical="top" wrapText="1"/>
    </xf>
    <xf numFmtId="0" fontId="0" fillId="2" borderId="3" xfId="0" applyFill="1" applyBorder="1" applyAlignment="1">
      <alignment horizontal="left" vertical="center" wrapText="1"/>
    </xf>
    <xf numFmtId="0" fontId="0" fillId="0" borderId="11" xfId="0" applyBorder="1" applyAlignment="1">
      <alignment horizontal="left" vertical="top" wrapText="1"/>
    </xf>
    <xf numFmtId="0" fontId="0" fillId="0" borderId="11" xfId="0" applyBorder="1" applyAlignment="1">
      <alignment vertical="top" wrapText="1"/>
    </xf>
    <xf numFmtId="0" fontId="0" fillId="2" borderId="3" xfId="0" applyFill="1" applyBorder="1" applyAlignment="1">
      <alignment vertical="top" wrapText="1"/>
    </xf>
    <xf numFmtId="0" fontId="2" fillId="2" borderId="15" xfId="0" applyFont="1" applyFill="1" applyBorder="1" applyAlignment="1">
      <alignment horizontal="center" vertical="center" wrapText="1"/>
    </xf>
    <xf numFmtId="0" fontId="13" fillId="3" borderId="0" xfId="0" applyFont="1" applyFill="1" applyAlignment="1">
      <alignment horizontal="center" vertical="top" wrapText="1"/>
    </xf>
    <xf numFmtId="0" fontId="1" fillId="2" borderId="16" xfId="0" applyFont="1" applyFill="1" applyBorder="1" applyAlignment="1">
      <alignment horizontal="left" vertical="top" wrapText="1"/>
    </xf>
    <xf numFmtId="0" fontId="2" fillId="2" borderId="0" xfId="0" applyFont="1" applyFill="1" applyAlignment="1">
      <alignment vertical="center" wrapText="1"/>
    </xf>
    <xf numFmtId="0" fontId="0" fillId="2" borderId="0" xfId="0" applyFill="1" applyAlignment="1">
      <alignment horizontal="center" vertical="center" wrapText="1"/>
    </xf>
    <xf numFmtId="0" fontId="0" fillId="2" borderId="12" xfId="0" applyFill="1" applyBorder="1" applyAlignment="1">
      <alignment horizontal="center" vertical="top" wrapText="1"/>
    </xf>
    <xf numFmtId="0" fontId="13" fillId="3" borderId="10" xfId="0" applyFont="1" applyFill="1" applyBorder="1" applyAlignment="1">
      <alignment horizontal="center" vertical="top" wrapText="1"/>
    </xf>
    <xf numFmtId="0" fontId="13" fillId="3" borderId="6" xfId="0" applyFont="1" applyFill="1" applyBorder="1" applyAlignment="1">
      <alignment horizontal="center" vertical="top" wrapText="1"/>
    </xf>
    <xf numFmtId="0" fontId="13" fillId="3" borderId="15" xfId="0" applyFont="1" applyFill="1" applyBorder="1" applyAlignment="1">
      <alignment horizontal="center" vertical="top" wrapText="1"/>
    </xf>
    <xf numFmtId="0" fontId="0" fillId="2" borderId="10" xfId="0" applyFill="1" applyBorder="1" applyAlignment="1">
      <alignment horizontal="left" vertical="top" wrapText="1"/>
    </xf>
    <xf numFmtId="0" fontId="0" fillId="0" borderId="0" xfId="0" applyAlignment="1">
      <alignment horizontal="left" vertical="top" wrapText="1"/>
    </xf>
    <xf numFmtId="0" fontId="18" fillId="0" borderId="0" xfId="0" applyFont="1"/>
    <xf numFmtId="0" fontId="18" fillId="0" borderId="0" xfId="0" quotePrefix="1" applyFont="1" applyAlignment="1">
      <alignment horizontal="center"/>
    </xf>
    <xf numFmtId="0" fontId="18" fillId="0" borderId="0" xfId="0" applyFont="1" applyAlignment="1">
      <alignment horizontal="center"/>
    </xf>
    <xf numFmtId="0" fontId="2" fillId="0" borderId="0" xfId="0" applyFont="1"/>
    <xf numFmtId="0" fontId="0" fillId="0" borderId="0" xfId="0" applyAlignment="1">
      <alignment horizontal="center"/>
    </xf>
    <xf numFmtId="14" fontId="0" fillId="0" borderId="0" xfId="0" applyNumberFormat="1" applyAlignment="1">
      <alignment horizontal="center"/>
    </xf>
    <xf numFmtId="0" fontId="15" fillId="2" borderId="0" xfId="0" applyFont="1" applyFill="1" applyAlignment="1">
      <alignment horizontal="center" vertical="center"/>
    </xf>
    <xf numFmtId="0" fontId="15" fillId="2" borderId="9" xfId="0" applyFont="1" applyFill="1" applyBorder="1" applyAlignment="1">
      <alignment horizontal="center" vertical="center"/>
    </xf>
    <xf numFmtId="0" fontId="0" fillId="4" borderId="0" xfId="0" applyFill="1" applyAlignment="1">
      <alignment horizontal="center"/>
    </xf>
    <xf numFmtId="0" fontId="12" fillId="0" borderId="0" xfId="0" applyFont="1" applyAlignment="1">
      <alignment horizontal="right" vertical="top" wrapText="1"/>
    </xf>
    <xf numFmtId="14" fontId="0" fillId="5" borderId="0" xfId="0" applyNumberFormat="1" applyFill="1" applyAlignment="1">
      <alignment horizontal="center"/>
    </xf>
    <xf numFmtId="0" fontId="0" fillId="0" borderId="11" xfId="0" applyBorder="1" applyAlignment="1">
      <alignment horizontal="left" vertical="center" wrapText="1"/>
    </xf>
    <xf numFmtId="14" fontId="0" fillId="0" borderId="0" xfId="0" applyNumberFormat="1"/>
    <xf numFmtId="0" fontId="0" fillId="6" borderId="0" xfId="0" applyFill="1"/>
    <xf numFmtId="14" fontId="0" fillId="6" borderId="0" xfId="0" applyNumberFormat="1" applyFill="1"/>
    <xf numFmtId="0" fontId="0" fillId="2" borderId="8" xfId="0" applyFill="1" applyBorder="1" applyAlignment="1">
      <alignment horizontal="left" vertical="top" wrapText="1"/>
    </xf>
    <xf numFmtId="0" fontId="0" fillId="2" borderId="10" xfId="0" applyFill="1" applyBorder="1" applyAlignment="1">
      <alignment vertical="top" wrapText="1"/>
    </xf>
    <xf numFmtId="0" fontId="1" fillId="2" borderId="17" xfId="0" applyFont="1" applyFill="1" applyBorder="1" applyAlignment="1">
      <alignment horizontal="right" vertical="top" wrapText="1"/>
    </xf>
    <xf numFmtId="0" fontId="0" fillId="2" borderId="11" xfId="0" applyFill="1" applyBorder="1" applyAlignment="1">
      <alignment vertical="center" wrapText="1"/>
    </xf>
    <xf numFmtId="0" fontId="0" fillId="0" borderId="12" xfId="0" applyBorder="1" applyAlignment="1">
      <alignment horizontal="left" vertical="top" wrapText="1"/>
    </xf>
    <xf numFmtId="0" fontId="0" fillId="0" borderId="10" xfId="0" applyBorder="1" applyAlignment="1">
      <alignment vertical="top" wrapText="1"/>
    </xf>
    <xf numFmtId="0" fontId="12" fillId="2" borderId="15" xfId="0" applyFont="1" applyFill="1" applyBorder="1" applyAlignment="1">
      <alignment horizontal="right" vertical="top" wrapText="1"/>
    </xf>
    <xf numFmtId="0" fontId="12" fillId="2" borderId="9" xfId="0" applyFont="1" applyFill="1" applyBorder="1" applyAlignment="1">
      <alignment horizontal="right" vertical="top" wrapText="1"/>
    </xf>
    <xf numFmtId="0" fontId="20" fillId="0" borderId="0" xfId="0" applyFont="1" applyAlignment="1">
      <alignment horizontal="center"/>
    </xf>
    <xf numFmtId="0" fontId="0" fillId="0" borderId="10" xfId="0" applyBorder="1" applyAlignment="1">
      <alignment horizontal="left" vertical="top" wrapText="1"/>
    </xf>
    <xf numFmtId="0" fontId="0" fillId="0" borderId="11" xfId="0" applyBorder="1" applyAlignment="1">
      <alignment horizontal="left" vertical="top" wrapText="1"/>
    </xf>
    <xf numFmtId="49" fontId="2" fillId="2" borderId="2" xfId="0" applyNumberFormat="1" applyFont="1" applyFill="1" applyBorder="1" applyAlignment="1">
      <alignment horizontal="left" vertical="top" wrapText="1"/>
    </xf>
    <xf numFmtId="49" fontId="2" fillId="2" borderId="3" xfId="0" applyNumberFormat="1" applyFont="1" applyFill="1" applyBorder="1" applyAlignment="1">
      <alignment horizontal="left" vertical="top" wrapText="1"/>
    </xf>
    <xf numFmtId="0" fontId="0" fillId="2" borderId="3" xfId="0" applyFill="1" applyBorder="1" applyAlignment="1">
      <alignment horizontal="left" vertical="top" wrapText="1"/>
    </xf>
    <xf numFmtId="0" fontId="16" fillId="2" borderId="0" xfId="0" applyFont="1" applyFill="1" applyAlignment="1">
      <alignment horizontal="center" vertical="top"/>
    </xf>
    <xf numFmtId="0" fontId="13" fillId="3" borderId="10" xfId="0" applyFont="1" applyFill="1" applyBorder="1" applyAlignment="1">
      <alignment horizontal="center" vertical="top" wrapText="1"/>
    </xf>
    <xf numFmtId="0" fontId="13" fillId="3" borderId="23" xfId="0" applyFont="1" applyFill="1" applyBorder="1" applyAlignment="1">
      <alignment horizontal="center" vertical="top" wrapText="1"/>
    </xf>
    <xf numFmtId="0" fontId="13" fillId="3" borderId="20" xfId="0" applyFont="1" applyFill="1" applyBorder="1" applyAlignment="1">
      <alignment horizontal="center" vertical="top" wrapText="1"/>
    </xf>
    <xf numFmtId="0" fontId="13" fillId="3" borderId="21" xfId="0" applyFont="1" applyFill="1" applyBorder="1" applyAlignment="1">
      <alignment horizontal="center" vertical="top" wrapText="1"/>
    </xf>
    <xf numFmtId="0" fontId="13" fillId="3" borderId="5" xfId="0" applyFont="1" applyFill="1" applyBorder="1" applyAlignment="1">
      <alignment horizontal="center" vertical="top" wrapText="1"/>
    </xf>
    <xf numFmtId="0" fontId="13" fillId="3" borderId="1" xfId="0" applyFont="1" applyFill="1" applyBorder="1" applyAlignment="1">
      <alignment horizontal="center"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13" fillId="3" borderId="2" xfId="0" applyFont="1" applyFill="1" applyBorder="1" applyAlignment="1">
      <alignment horizontal="center" vertical="top" wrapText="1"/>
    </xf>
    <xf numFmtId="0" fontId="13" fillId="3" borderId="4" xfId="0" applyFont="1" applyFill="1" applyBorder="1" applyAlignment="1">
      <alignment horizontal="center" vertical="top" wrapText="1"/>
    </xf>
    <xf numFmtId="0" fontId="13" fillId="3" borderId="7" xfId="0" applyFont="1" applyFill="1" applyBorder="1" applyAlignment="1">
      <alignment horizontal="center" vertical="top" wrapText="1"/>
    </xf>
    <xf numFmtId="0" fontId="13" fillId="3" borderId="11" xfId="0" applyFont="1" applyFill="1" applyBorder="1" applyAlignment="1">
      <alignment horizontal="center" vertical="top" wrapText="1"/>
    </xf>
    <xf numFmtId="0" fontId="13" fillId="3" borderId="6" xfId="0" applyFont="1" applyFill="1" applyBorder="1" applyAlignment="1">
      <alignment horizontal="center" vertical="top" wrapText="1"/>
    </xf>
    <xf numFmtId="0" fontId="13" fillId="3" borderId="15" xfId="0" applyFont="1" applyFill="1" applyBorder="1" applyAlignment="1">
      <alignment horizontal="center" vertical="top" wrapText="1"/>
    </xf>
    <xf numFmtId="0" fontId="0" fillId="2" borderId="11" xfId="0" applyFill="1" applyBorder="1" applyAlignment="1">
      <alignment horizontal="left" vertical="top" wrapText="1"/>
    </xf>
    <xf numFmtId="0" fontId="0" fillId="2" borderId="0" xfId="0" applyFill="1" applyAlignment="1">
      <alignment horizontal="left" vertical="top" wrapText="1"/>
    </xf>
    <xf numFmtId="0" fontId="0" fillId="0" borderId="0" xfId="0" applyAlignment="1">
      <alignment horizontal="left" vertical="top" wrapText="1"/>
    </xf>
    <xf numFmtId="0" fontId="0" fillId="6" borderId="0" xfId="0" applyFill="1" applyAlignment="1">
      <alignment horizontal="left" vertical="top" wrapText="1"/>
    </xf>
    <xf numFmtId="0" fontId="0" fillId="6" borderId="11" xfId="0" applyFill="1" applyBorder="1" applyAlignment="1">
      <alignment horizontal="left" vertical="top" wrapText="1"/>
    </xf>
    <xf numFmtId="0" fontId="13" fillId="3" borderId="8" xfId="0" applyFont="1" applyFill="1" applyBorder="1" applyAlignment="1">
      <alignment horizontal="center" vertical="top" wrapText="1"/>
    </xf>
    <xf numFmtId="0" fontId="13" fillId="3" borderId="12" xfId="0" applyFont="1" applyFill="1" applyBorder="1" applyAlignment="1">
      <alignment horizontal="center"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center" wrapText="1"/>
    </xf>
    <xf numFmtId="0" fontId="0" fillId="2" borderId="15" xfId="0" applyFill="1" applyBorder="1" applyAlignment="1">
      <alignment horizontal="left" vertical="top" wrapText="1"/>
    </xf>
    <xf numFmtId="0" fontId="0" fillId="0" borderId="15" xfId="0" applyBorder="1" applyAlignment="1">
      <alignment horizontal="left" vertical="top" wrapText="1"/>
    </xf>
    <xf numFmtId="0" fontId="16" fillId="2" borderId="0" xfId="0" applyFont="1" applyFill="1" applyAlignment="1">
      <alignment horizontal="center" vertical="center"/>
    </xf>
    <xf numFmtId="0" fontId="16" fillId="2" borderId="9" xfId="0" applyFont="1" applyFill="1" applyBorder="1" applyAlignment="1">
      <alignment horizontal="center" vertical="center"/>
    </xf>
    <xf numFmtId="0" fontId="16" fillId="2" borderId="9" xfId="0" applyFont="1" applyFill="1" applyBorder="1" applyAlignment="1">
      <alignment horizontal="center" vertical="top"/>
    </xf>
  </cellXfs>
  <cellStyles count="2">
    <cellStyle name="Currency" xfId="1" builtinId="4"/>
    <cellStyle name="Normal" xfId="0" builtinId="0"/>
  </cellStyles>
  <dxfs count="0"/>
  <tableStyles count="0" defaultTableStyle="TableStyleMedium9" defaultPivotStyle="PivotStyleLight16"/>
  <colors>
    <mruColors>
      <color rgb="FF99FF66"/>
      <color rgb="FFCC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619124</xdr:colOff>
      <xdr:row>0</xdr:row>
      <xdr:rowOff>57150</xdr:rowOff>
    </xdr:from>
    <xdr:to>
      <xdr:col>4</xdr:col>
      <xdr:colOff>981075</xdr:colOff>
      <xdr:row>1</xdr:row>
      <xdr:rowOff>211857</xdr:rowOff>
    </xdr:to>
    <xdr:pic>
      <xdr:nvPicPr>
        <xdr:cNvPr id="2" name="Picture 1">
          <a:extLst>
            <a:ext uri="{FF2B5EF4-FFF2-40B4-BE49-F238E27FC236}">
              <a16:creationId xmlns:a16="http://schemas.microsoft.com/office/drawing/2014/main" id="{AA348483-4C23-4ACB-A1A0-A9DCC618491C}"/>
            </a:ext>
          </a:extLst>
        </xdr:cNvPr>
        <xdr:cNvPicPr>
          <a:picLocks noChangeAspect="1"/>
        </xdr:cNvPicPr>
      </xdr:nvPicPr>
      <xdr:blipFill>
        <a:blip xmlns:r="http://schemas.openxmlformats.org/officeDocument/2006/relationships" r:embed="rId1"/>
        <a:stretch>
          <a:fillRect/>
        </a:stretch>
      </xdr:blipFill>
      <xdr:spPr>
        <a:xfrm>
          <a:off x="12544424" y="57150"/>
          <a:ext cx="1219201" cy="4976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66676</xdr:colOff>
      <xdr:row>0</xdr:row>
      <xdr:rowOff>57150</xdr:rowOff>
    </xdr:from>
    <xdr:to>
      <xdr:col>4</xdr:col>
      <xdr:colOff>981076</xdr:colOff>
      <xdr:row>1</xdr:row>
      <xdr:rowOff>227785</xdr:rowOff>
    </xdr:to>
    <xdr:pic>
      <xdr:nvPicPr>
        <xdr:cNvPr id="2" name="Picture 1">
          <a:extLst>
            <a:ext uri="{FF2B5EF4-FFF2-40B4-BE49-F238E27FC236}">
              <a16:creationId xmlns:a16="http://schemas.microsoft.com/office/drawing/2014/main" id="{06981529-A10B-4A28-B823-8C62D18ECF46}"/>
            </a:ext>
          </a:extLst>
        </xdr:cNvPr>
        <xdr:cNvPicPr>
          <a:picLocks noChangeAspect="1"/>
        </xdr:cNvPicPr>
      </xdr:nvPicPr>
      <xdr:blipFill>
        <a:blip xmlns:r="http://schemas.openxmlformats.org/officeDocument/2006/relationships" r:embed="rId1"/>
        <a:stretch>
          <a:fillRect/>
        </a:stretch>
      </xdr:blipFill>
      <xdr:spPr>
        <a:xfrm>
          <a:off x="11991976" y="57150"/>
          <a:ext cx="1771650" cy="5135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228600</xdr:colOff>
      <xdr:row>0</xdr:row>
      <xdr:rowOff>47625</xdr:rowOff>
    </xdr:from>
    <xdr:to>
      <xdr:col>5</xdr:col>
      <xdr:colOff>790182</xdr:colOff>
      <xdr:row>1</xdr:row>
      <xdr:rowOff>211246</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10925175" y="47625"/>
          <a:ext cx="2076057" cy="49699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48"/>
  <sheetViews>
    <sheetView zoomScale="120" zoomScaleNormal="120" workbookViewId="0">
      <selection activeCell="A2" sqref="A2"/>
    </sheetView>
  </sheetViews>
  <sheetFormatPr defaultRowHeight="15"/>
  <cols>
    <col min="1" max="1" width="20.85546875" customWidth="1"/>
    <col min="2" max="2" width="102.42578125" customWidth="1"/>
  </cols>
  <sheetData>
    <row r="1" spans="1:2" ht="15.75">
      <c r="A1" s="114" t="s">
        <v>477</v>
      </c>
      <c r="B1" s="114"/>
    </row>
    <row r="3" spans="1:2">
      <c r="A3" s="94" t="s">
        <v>181</v>
      </c>
      <c r="B3" s="94" t="s">
        <v>454</v>
      </c>
    </row>
    <row r="4" spans="1:2">
      <c r="A4" s="94"/>
      <c r="B4" t="s">
        <v>458</v>
      </c>
    </row>
    <row r="5" spans="1:2">
      <c r="A5" s="94"/>
      <c r="B5" t="s">
        <v>476</v>
      </c>
    </row>
    <row r="6" spans="1:2">
      <c r="A6" s="94"/>
      <c r="B6" t="s">
        <v>474</v>
      </c>
    </row>
    <row r="7" spans="1:2">
      <c r="A7" s="94"/>
      <c r="B7" t="s">
        <v>457</v>
      </c>
    </row>
    <row r="8" spans="1:2">
      <c r="A8" s="94"/>
      <c r="B8" t="s">
        <v>424</v>
      </c>
    </row>
    <row r="9" spans="1:2">
      <c r="A9" s="94"/>
      <c r="B9" t="s">
        <v>403</v>
      </c>
    </row>
    <row r="10" spans="1:2">
      <c r="B10" t="s">
        <v>469</v>
      </c>
    </row>
    <row r="11" spans="1:2">
      <c r="B11" t="s">
        <v>456</v>
      </c>
    </row>
    <row r="14" spans="1:2">
      <c r="A14" s="94" t="s">
        <v>162</v>
      </c>
      <c r="B14" s="94" t="s">
        <v>470</v>
      </c>
    </row>
    <row r="15" spans="1:2">
      <c r="B15" t="s">
        <v>460</v>
      </c>
    </row>
    <row r="16" spans="1:2">
      <c r="B16" t="s">
        <v>422</v>
      </c>
    </row>
    <row r="17" spans="1:2">
      <c r="B17" t="s">
        <v>471</v>
      </c>
    </row>
    <row r="18" spans="1:2">
      <c r="B18" t="s">
        <v>442</v>
      </c>
    </row>
    <row r="19" spans="1:2">
      <c r="B19" t="s">
        <v>459</v>
      </c>
    </row>
    <row r="20" spans="1:2">
      <c r="B20" t="s">
        <v>472</v>
      </c>
    </row>
    <row r="21" spans="1:2">
      <c r="B21" t="s">
        <v>423</v>
      </c>
    </row>
    <row r="23" spans="1:2">
      <c r="A23" s="94"/>
      <c r="B23" s="94"/>
    </row>
    <row r="24" spans="1:2">
      <c r="A24" s="94" t="s">
        <v>163</v>
      </c>
      <c r="B24" s="94" t="s">
        <v>267</v>
      </c>
    </row>
    <row r="25" spans="1:2">
      <c r="B25" t="s">
        <v>473</v>
      </c>
    </row>
    <row r="26" spans="1:2">
      <c r="B26" t="s">
        <v>461</v>
      </c>
    </row>
    <row r="27" spans="1:2">
      <c r="B27" t="s">
        <v>468</v>
      </c>
    </row>
    <row r="28" spans="1:2">
      <c r="B28" t="s">
        <v>462</v>
      </c>
    </row>
    <row r="29" spans="1:2">
      <c r="B29" t="s">
        <v>421</v>
      </c>
    </row>
    <row r="32" spans="1:2">
      <c r="A32" s="94" t="s">
        <v>512</v>
      </c>
      <c r="B32" s="94" t="s">
        <v>507</v>
      </c>
    </row>
    <row r="33" spans="1:2">
      <c r="B33" t="s">
        <v>510</v>
      </c>
    </row>
    <row r="34" spans="1:2">
      <c r="B34" t="s">
        <v>508</v>
      </c>
    </row>
    <row r="35" spans="1:2">
      <c r="B35" t="s">
        <v>509</v>
      </c>
    </row>
    <row r="36" spans="1:2">
      <c r="B36" t="s">
        <v>464</v>
      </c>
    </row>
    <row r="37" spans="1:2">
      <c r="B37" t="s">
        <v>511</v>
      </c>
    </row>
    <row r="38" spans="1:2">
      <c r="B38" t="s">
        <v>514</v>
      </c>
    </row>
    <row r="39" spans="1:2">
      <c r="B39" t="s">
        <v>463</v>
      </c>
    </row>
    <row r="41" spans="1:2">
      <c r="A41" s="94"/>
      <c r="B41" s="94"/>
    </row>
    <row r="42" spans="1:2">
      <c r="A42" s="94" t="s">
        <v>164</v>
      </c>
      <c r="B42" s="94" t="s">
        <v>165</v>
      </c>
    </row>
    <row r="43" spans="1:2">
      <c r="A43" s="94"/>
      <c r="B43" t="s">
        <v>465</v>
      </c>
    </row>
    <row r="44" spans="1:2">
      <c r="A44" s="94"/>
      <c r="B44" t="s">
        <v>455</v>
      </c>
    </row>
    <row r="45" spans="1:2">
      <c r="A45" s="94"/>
      <c r="B45" t="s">
        <v>467</v>
      </c>
    </row>
    <row r="46" spans="1:2">
      <c r="A46" s="94"/>
      <c r="B46" t="s">
        <v>466</v>
      </c>
    </row>
    <row r="47" spans="1:2">
      <c r="B47" t="s">
        <v>475</v>
      </c>
    </row>
    <row r="48" spans="1:2">
      <c r="A48" s="94"/>
    </row>
  </sheetData>
  <mergeCells count="1">
    <mergeCell ref="A1:B1"/>
  </mergeCells>
  <pageMargins left="0.7" right="0.7" top="0.75" bottom="0.75" header="0.3" footer="0.3"/>
  <pageSetup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5"/>
  <sheetViews>
    <sheetView showGridLines="0" zoomScaleNormal="100" workbookViewId="0">
      <selection activeCell="F16" sqref="F16"/>
    </sheetView>
  </sheetViews>
  <sheetFormatPr defaultRowHeight="15"/>
  <cols>
    <col min="1" max="1" width="21.28515625" style="2" customWidth="1"/>
    <col min="2" max="2" width="2.28515625" style="2" customWidth="1"/>
    <col min="3" max="3" width="23.7109375" style="2" customWidth="1"/>
    <col min="4" max="4" width="48" style="2" customWidth="1"/>
    <col min="5" max="5" width="2.5703125" style="2" customWidth="1"/>
    <col min="6" max="6" width="72.28515625" style="2" customWidth="1"/>
    <col min="7" max="7" width="16.140625" style="2" customWidth="1"/>
    <col min="8" max="8" width="26.7109375" hidden="1" customWidth="1"/>
    <col min="9" max="9" width="15.85546875" hidden="1" customWidth="1"/>
  </cols>
  <sheetData>
    <row r="1" spans="1:9" s="4" customFormat="1" ht="26.25">
      <c r="A1" s="16" t="s">
        <v>506</v>
      </c>
      <c r="B1" s="16"/>
      <c r="C1" s="120" t="s">
        <v>480</v>
      </c>
      <c r="D1" s="120"/>
      <c r="E1" s="120"/>
      <c r="F1" s="120"/>
      <c r="G1" s="17"/>
    </row>
    <row r="2" spans="1:9" s="3" customFormat="1" ht="27" thickBot="1">
      <c r="A2" s="18" t="s">
        <v>166</v>
      </c>
      <c r="B2" s="18"/>
      <c r="C2" s="120" t="s">
        <v>482</v>
      </c>
      <c r="D2" s="120"/>
      <c r="E2" s="120"/>
      <c r="F2" s="120"/>
      <c r="G2" s="9"/>
    </row>
    <row r="3" spans="1:9" s="15" customFormat="1" ht="18.75">
      <c r="A3" s="63" t="s">
        <v>0</v>
      </c>
      <c r="B3" s="123" t="s">
        <v>2</v>
      </c>
      <c r="C3" s="124"/>
      <c r="D3" s="88" t="s">
        <v>4</v>
      </c>
      <c r="E3" s="87"/>
      <c r="F3" s="86" t="s">
        <v>6</v>
      </c>
      <c r="G3" s="121" t="s">
        <v>8</v>
      </c>
      <c r="H3" s="59" t="s">
        <v>17</v>
      </c>
      <c r="I3" s="59" t="s">
        <v>16</v>
      </c>
    </row>
    <row r="4" spans="1:9" s="15" customFormat="1" ht="38.25" thickBot="1">
      <c r="A4" s="64" t="s">
        <v>1</v>
      </c>
      <c r="B4" s="125" t="s">
        <v>3</v>
      </c>
      <c r="C4" s="126"/>
      <c r="D4" s="81" t="s">
        <v>5</v>
      </c>
      <c r="E4" s="52"/>
      <c r="F4" s="53" t="s">
        <v>7</v>
      </c>
      <c r="G4" s="122"/>
      <c r="H4" s="61"/>
      <c r="I4" s="61">
        <v>2015</v>
      </c>
    </row>
    <row r="5" spans="1:9" s="1" customFormat="1" ht="15.75" thickBot="1">
      <c r="A5" s="24"/>
      <c r="B5" s="20"/>
      <c r="C5" s="21"/>
      <c r="D5" s="82"/>
      <c r="E5" s="24"/>
      <c r="F5" s="27"/>
      <c r="G5" s="65"/>
    </row>
    <row r="6" spans="1:9" s="5" customFormat="1" ht="15" customHeight="1">
      <c r="A6" s="60"/>
      <c r="B6" s="39"/>
      <c r="C6" s="80"/>
      <c r="D6" s="127" t="s">
        <v>262</v>
      </c>
      <c r="E6" s="28" t="s">
        <v>10</v>
      </c>
      <c r="F6" s="89" t="s">
        <v>445</v>
      </c>
      <c r="G6" s="30" t="s">
        <v>266</v>
      </c>
      <c r="H6" s="30" t="s">
        <v>19</v>
      </c>
      <c r="I6" s="68">
        <v>6245641</v>
      </c>
    </row>
    <row r="7" spans="1:9" s="5" customFormat="1" ht="15" customHeight="1">
      <c r="A7" s="38"/>
      <c r="B7" s="37"/>
      <c r="C7" s="83"/>
      <c r="D7" s="128"/>
      <c r="E7" s="29" t="s">
        <v>10</v>
      </c>
      <c r="F7" s="56" t="s">
        <v>396</v>
      </c>
      <c r="G7" s="31" t="s">
        <v>266</v>
      </c>
      <c r="H7" s="31" t="s">
        <v>19</v>
      </c>
      <c r="I7" s="69">
        <v>232</v>
      </c>
    </row>
    <row r="8" spans="1:9" s="5" customFormat="1" ht="15" customHeight="1">
      <c r="A8" s="38"/>
      <c r="B8" s="55"/>
      <c r="C8" s="84"/>
      <c r="D8" s="119" t="s">
        <v>398</v>
      </c>
      <c r="E8" s="29" t="s">
        <v>10</v>
      </c>
      <c r="F8" s="56" t="s">
        <v>446</v>
      </c>
      <c r="G8" s="31" t="s">
        <v>266</v>
      </c>
      <c r="H8" s="31" t="s">
        <v>19</v>
      </c>
      <c r="I8" s="70">
        <v>26657907</v>
      </c>
    </row>
    <row r="9" spans="1:9" s="5" customFormat="1" ht="15" customHeight="1">
      <c r="A9" s="38"/>
      <c r="B9" s="55"/>
      <c r="C9" s="84"/>
      <c r="D9" s="119"/>
      <c r="E9" s="29" t="s">
        <v>10</v>
      </c>
      <c r="F9" s="77" t="s">
        <v>447</v>
      </c>
      <c r="G9" s="31" t="s">
        <v>266</v>
      </c>
      <c r="H9" s="31"/>
      <c r="I9" s="70"/>
    </row>
    <row r="10" spans="1:9" s="5" customFormat="1" ht="15" customHeight="1">
      <c r="A10" s="38"/>
      <c r="B10" s="55"/>
      <c r="C10" s="84"/>
      <c r="D10" s="119"/>
      <c r="E10" s="29" t="s">
        <v>10</v>
      </c>
      <c r="F10" s="77" t="s">
        <v>173</v>
      </c>
      <c r="G10" s="31" t="s">
        <v>266</v>
      </c>
      <c r="H10" s="31"/>
      <c r="I10" s="70"/>
    </row>
    <row r="11" spans="1:9" s="5" customFormat="1" ht="15" customHeight="1" thickBot="1">
      <c r="A11" s="38"/>
      <c r="B11" s="55"/>
      <c r="C11" s="84"/>
      <c r="D11" s="119"/>
      <c r="E11" s="29" t="s">
        <v>10</v>
      </c>
      <c r="F11" s="77" t="s">
        <v>449</v>
      </c>
      <c r="G11" s="31" t="s">
        <v>266</v>
      </c>
      <c r="H11" s="32"/>
      <c r="I11" s="32"/>
    </row>
    <row r="12" spans="1:9" s="5" customFormat="1" ht="15" customHeight="1">
      <c r="A12" s="38"/>
      <c r="B12" s="55"/>
      <c r="C12" s="33"/>
      <c r="D12" s="119"/>
      <c r="E12" s="29"/>
      <c r="F12" s="77"/>
      <c r="G12" s="31"/>
      <c r="H12" s="30" t="s">
        <v>20</v>
      </c>
      <c r="I12" s="30"/>
    </row>
    <row r="13" spans="1:9" s="5" customFormat="1" ht="15" customHeight="1" thickBot="1">
      <c r="A13" s="38" t="s">
        <v>9</v>
      </c>
      <c r="B13" s="55"/>
      <c r="C13" s="33"/>
      <c r="D13" s="79"/>
      <c r="E13" s="49"/>
      <c r="F13" s="19"/>
      <c r="G13" s="32"/>
      <c r="H13" s="31" t="s">
        <v>22</v>
      </c>
      <c r="I13" s="31"/>
    </row>
    <row r="14" spans="1:9" s="5" customFormat="1" ht="15" customHeight="1">
      <c r="A14" s="119" t="s">
        <v>499</v>
      </c>
      <c r="B14" s="55"/>
      <c r="C14" s="43" t="s">
        <v>448</v>
      </c>
      <c r="D14" s="12" t="s">
        <v>76</v>
      </c>
      <c r="E14" s="26" t="s">
        <v>10</v>
      </c>
      <c r="F14" s="90" t="s">
        <v>505</v>
      </c>
      <c r="G14" s="30" t="s">
        <v>298</v>
      </c>
      <c r="H14" s="31" t="s">
        <v>23</v>
      </c>
      <c r="I14" s="31"/>
    </row>
    <row r="15" spans="1:9" s="5" customFormat="1" ht="15" customHeight="1">
      <c r="A15" s="119"/>
      <c r="B15" s="55"/>
      <c r="C15" s="102" t="s">
        <v>479</v>
      </c>
      <c r="D15" s="119" t="s">
        <v>450</v>
      </c>
      <c r="E15" s="26" t="s">
        <v>10</v>
      </c>
      <c r="F15" s="75" t="s">
        <v>521</v>
      </c>
      <c r="G15" s="31" t="s">
        <v>298</v>
      </c>
      <c r="H15" s="31" t="s">
        <v>24</v>
      </c>
      <c r="I15" s="31"/>
    </row>
    <row r="16" spans="1:9" s="5" customFormat="1" ht="15" customHeight="1">
      <c r="A16" s="119"/>
      <c r="B16" s="55"/>
      <c r="C16" s="102" t="s">
        <v>478</v>
      </c>
      <c r="D16" s="119"/>
      <c r="E16" s="26" t="s">
        <v>10</v>
      </c>
      <c r="F16" s="75" t="s">
        <v>490</v>
      </c>
      <c r="G16" s="31" t="s">
        <v>298</v>
      </c>
      <c r="H16" s="31"/>
      <c r="I16" s="31"/>
    </row>
    <row r="17" spans="1:9" s="5" customFormat="1" ht="15" customHeight="1">
      <c r="A17" s="119"/>
      <c r="B17" s="55"/>
      <c r="C17" s="43"/>
      <c r="D17" s="119"/>
      <c r="E17" s="26" t="s">
        <v>10</v>
      </c>
      <c r="F17" s="90" t="s">
        <v>491</v>
      </c>
      <c r="G17" s="31" t="s">
        <v>298</v>
      </c>
      <c r="H17" s="31" t="s">
        <v>25</v>
      </c>
      <c r="I17" s="31"/>
    </row>
    <row r="18" spans="1:9" s="5" customFormat="1" ht="15" customHeight="1" thickBot="1">
      <c r="A18" s="119"/>
      <c r="B18" s="55"/>
      <c r="C18" s="43"/>
      <c r="D18" s="119"/>
      <c r="E18" s="26" t="s">
        <v>10</v>
      </c>
      <c r="F18" s="90" t="s">
        <v>500</v>
      </c>
      <c r="G18" s="31" t="s">
        <v>298</v>
      </c>
      <c r="H18" s="32"/>
      <c r="I18" s="32"/>
    </row>
    <row r="19" spans="1:9" s="5" customFormat="1" ht="15" customHeight="1">
      <c r="A19" s="119"/>
      <c r="B19" s="55"/>
      <c r="C19" s="33"/>
      <c r="D19" s="119"/>
      <c r="E19" s="26" t="s">
        <v>10</v>
      </c>
      <c r="F19" s="90" t="s">
        <v>501</v>
      </c>
      <c r="G19" s="31" t="s">
        <v>298</v>
      </c>
      <c r="H19" s="30" t="s">
        <v>18</v>
      </c>
      <c r="I19" s="30"/>
    </row>
    <row r="20" spans="1:9" s="5" customFormat="1" ht="15" customHeight="1">
      <c r="A20" s="119"/>
      <c r="B20" s="55"/>
      <c r="C20" s="33"/>
      <c r="D20" s="74"/>
      <c r="E20" s="26" t="s">
        <v>10</v>
      </c>
      <c r="F20" s="75" t="s">
        <v>494</v>
      </c>
      <c r="G20" s="31" t="s">
        <v>15</v>
      </c>
      <c r="H20" s="31"/>
      <c r="I20" s="31"/>
    </row>
    <row r="21" spans="1:9" s="5" customFormat="1" ht="15" customHeight="1" thickBot="1">
      <c r="A21" s="119"/>
      <c r="B21" s="41"/>
      <c r="C21" s="42"/>
      <c r="D21" s="13"/>
      <c r="E21" s="23"/>
      <c r="F21" s="19"/>
      <c r="G21" s="32"/>
      <c r="H21" s="31" t="s">
        <v>18</v>
      </c>
      <c r="I21" s="31"/>
    </row>
    <row r="22" spans="1:9" s="5" customFormat="1" ht="15" customHeight="1">
      <c r="A22" s="119"/>
      <c r="B22" s="37"/>
      <c r="C22" s="40"/>
      <c r="D22" s="117" t="s">
        <v>493</v>
      </c>
      <c r="E22" s="28" t="s">
        <v>10</v>
      </c>
      <c r="F22" s="115" t="s">
        <v>484</v>
      </c>
      <c r="G22" s="30" t="s">
        <v>15</v>
      </c>
      <c r="H22" s="31" t="s">
        <v>18</v>
      </c>
      <c r="I22" s="31"/>
    </row>
    <row r="23" spans="1:9" s="5" customFormat="1" ht="15" customHeight="1">
      <c r="A23" s="119"/>
      <c r="B23" s="55"/>
      <c r="C23" s="43"/>
      <c r="D23" s="118"/>
      <c r="E23" s="29"/>
      <c r="F23" s="116"/>
      <c r="G23" s="31"/>
      <c r="H23" s="31" t="s">
        <v>18</v>
      </c>
      <c r="I23" s="67">
        <v>0.11</v>
      </c>
    </row>
    <row r="24" spans="1:9" s="5" customFormat="1" ht="15" customHeight="1" thickBot="1">
      <c r="A24" s="119"/>
      <c r="B24" s="55"/>
      <c r="C24" s="43"/>
      <c r="D24" s="118"/>
      <c r="E24" s="29" t="s">
        <v>10</v>
      </c>
      <c r="F24" s="77" t="s">
        <v>400</v>
      </c>
      <c r="G24" s="31" t="s">
        <v>15</v>
      </c>
      <c r="H24" s="32"/>
      <c r="I24" s="32"/>
    </row>
    <row r="25" spans="1:9" s="5" customFormat="1" ht="15" customHeight="1">
      <c r="A25" s="119"/>
      <c r="B25" s="55"/>
      <c r="C25" s="44"/>
      <c r="D25" s="119" t="s">
        <v>487</v>
      </c>
      <c r="E25" s="29" t="s">
        <v>10</v>
      </c>
      <c r="F25" s="77" t="s">
        <v>513</v>
      </c>
      <c r="G25" s="31" t="s">
        <v>15</v>
      </c>
      <c r="H25" s="22" t="s">
        <v>26</v>
      </c>
      <c r="I25" s="22"/>
    </row>
    <row r="26" spans="1:9" s="5" customFormat="1" ht="15" customHeight="1">
      <c r="A26" s="119"/>
      <c r="B26" s="55"/>
      <c r="C26" s="44"/>
      <c r="D26" s="119"/>
      <c r="E26" s="29" t="s">
        <v>10</v>
      </c>
      <c r="F26" s="77" t="s">
        <v>485</v>
      </c>
      <c r="G26" s="31" t="s">
        <v>15</v>
      </c>
      <c r="H26" s="22"/>
      <c r="I26" s="22"/>
    </row>
    <row r="27" spans="1:9" s="5" customFormat="1" ht="15" customHeight="1">
      <c r="A27" s="119"/>
      <c r="B27" s="55"/>
      <c r="C27" s="44"/>
      <c r="D27" s="119"/>
      <c r="E27" s="29" t="s">
        <v>10</v>
      </c>
      <c r="F27" s="56" t="s">
        <v>486</v>
      </c>
      <c r="G27" s="31" t="s">
        <v>15</v>
      </c>
      <c r="H27" s="22"/>
      <c r="I27" s="22"/>
    </row>
    <row r="28" spans="1:9" ht="15" customHeight="1" thickBot="1">
      <c r="A28" s="74"/>
      <c r="B28" s="55"/>
      <c r="C28" s="33"/>
      <c r="D28" s="74"/>
      <c r="E28" s="49"/>
      <c r="F28" s="110"/>
      <c r="G28" s="31"/>
      <c r="H28" s="22"/>
      <c r="I28" s="71"/>
    </row>
    <row r="29" spans="1:9" ht="15" customHeight="1">
      <c r="A29" s="74"/>
      <c r="B29" s="55"/>
      <c r="C29" s="84"/>
      <c r="D29" s="127" t="s">
        <v>497</v>
      </c>
      <c r="E29" s="28" t="s">
        <v>10</v>
      </c>
      <c r="F29" s="111" t="s">
        <v>488</v>
      </c>
      <c r="G29" s="30" t="s">
        <v>174</v>
      </c>
      <c r="H29" s="22"/>
      <c r="I29" s="71"/>
    </row>
    <row r="30" spans="1:9" ht="15" customHeight="1">
      <c r="A30" s="74"/>
      <c r="B30" s="55"/>
      <c r="C30" s="84"/>
      <c r="D30" s="128"/>
      <c r="E30" s="29" t="s">
        <v>10</v>
      </c>
      <c r="F30" s="77" t="s">
        <v>492</v>
      </c>
      <c r="G30" s="31" t="s">
        <v>174</v>
      </c>
      <c r="H30" s="22"/>
      <c r="I30" s="71"/>
    </row>
    <row r="31" spans="1:9" ht="15" customHeight="1">
      <c r="A31" s="74"/>
      <c r="B31" s="55"/>
      <c r="C31" s="84"/>
      <c r="D31" s="128"/>
      <c r="E31" s="29" t="s">
        <v>10</v>
      </c>
      <c r="F31" s="116" t="s">
        <v>483</v>
      </c>
      <c r="G31" s="31" t="s">
        <v>174</v>
      </c>
      <c r="H31" s="22"/>
      <c r="I31" s="71"/>
    </row>
    <row r="32" spans="1:9" ht="15" customHeight="1">
      <c r="A32" s="74"/>
      <c r="B32" s="55"/>
      <c r="C32" s="84"/>
      <c r="D32" s="119" t="s">
        <v>481</v>
      </c>
      <c r="E32" s="29"/>
      <c r="F32" s="116"/>
      <c r="G32" s="31"/>
      <c r="H32" s="22"/>
      <c r="I32" s="71"/>
    </row>
    <row r="33" spans="1:9" ht="15" customHeight="1">
      <c r="A33" s="74"/>
      <c r="B33" s="55"/>
      <c r="C33" s="84"/>
      <c r="D33" s="119"/>
      <c r="E33" s="29" t="s">
        <v>10</v>
      </c>
      <c r="F33" s="116" t="s">
        <v>498</v>
      </c>
      <c r="G33" s="31" t="s">
        <v>174</v>
      </c>
      <c r="H33" s="22"/>
      <c r="I33" s="71"/>
    </row>
    <row r="34" spans="1:9" ht="15" customHeight="1">
      <c r="A34" s="74"/>
      <c r="B34" s="55"/>
      <c r="C34" s="84"/>
      <c r="D34" s="119"/>
      <c r="E34" s="29"/>
      <c r="F34" s="116"/>
      <c r="G34" s="31"/>
      <c r="H34" s="22"/>
      <c r="I34" s="71"/>
    </row>
    <row r="35" spans="1:9" ht="15" customHeight="1">
      <c r="A35" s="74"/>
      <c r="B35" s="55"/>
      <c r="C35" s="84"/>
      <c r="D35" s="119"/>
      <c r="E35" s="29"/>
      <c r="F35" s="78"/>
      <c r="G35" s="31"/>
      <c r="H35" s="22"/>
      <c r="I35" s="71"/>
    </row>
    <row r="36" spans="1:9" ht="15" customHeight="1">
      <c r="A36" s="74"/>
      <c r="B36" s="55"/>
      <c r="C36" s="84"/>
      <c r="D36" s="119"/>
      <c r="E36" s="29" t="s">
        <v>10</v>
      </c>
      <c r="F36" s="78" t="s">
        <v>489</v>
      </c>
      <c r="G36" s="31" t="s">
        <v>15</v>
      </c>
      <c r="H36" s="22"/>
      <c r="I36" s="71"/>
    </row>
    <row r="37" spans="1:9" ht="15" customHeight="1">
      <c r="A37" s="74"/>
      <c r="B37" s="55"/>
      <c r="C37" s="84"/>
      <c r="D37" s="119"/>
      <c r="E37" s="29" t="s">
        <v>10</v>
      </c>
      <c r="F37" s="77" t="s">
        <v>451</v>
      </c>
      <c r="G37" s="31" t="s">
        <v>15</v>
      </c>
      <c r="H37" s="22"/>
      <c r="I37" s="71"/>
    </row>
    <row r="38" spans="1:9" ht="15" customHeight="1" thickBot="1">
      <c r="A38" s="74"/>
      <c r="B38" s="55"/>
      <c r="C38" s="84"/>
      <c r="D38" s="11"/>
      <c r="E38" s="23"/>
      <c r="F38" s="19"/>
      <c r="G38" s="32"/>
      <c r="H38" s="22"/>
      <c r="I38" s="22"/>
    </row>
    <row r="39" spans="1:9" ht="15" customHeight="1">
      <c r="A39" s="74"/>
      <c r="B39" s="55"/>
      <c r="C39" s="33"/>
      <c r="D39" s="128" t="s">
        <v>412</v>
      </c>
      <c r="E39" s="28" t="s">
        <v>10</v>
      </c>
      <c r="F39" s="54" t="s">
        <v>452</v>
      </c>
      <c r="G39" s="22" t="s">
        <v>298</v>
      </c>
      <c r="H39" s="22"/>
      <c r="I39" s="22"/>
    </row>
    <row r="40" spans="1:9" ht="15" customHeight="1">
      <c r="A40" s="74"/>
      <c r="B40" s="55"/>
      <c r="C40" s="33"/>
      <c r="D40" s="128"/>
      <c r="E40" s="26" t="s">
        <v>10</v>
      </c>
      <c r="F40" s="54" t="s">
        <v>495</v>
      </c>
      <c r="G40" s="31" t="s">
        <v>298</v>
      </c>
      <c r="H40" s="22"/>
      <c r="I40" s="22"/>
    </row>
    <row r="41" spans="1:9" ht="15" customHeight="1" thickBot="1">
      <c r="A41" s="38"/>
      <c r="B41" s="55"/>
      <c r="C41" s="33"/>
      <c r="D41" s="128"/>
      <c r="E41" s="26" t="s">
        <v>10</v>
      </c>
      <c r="F41" s="56" t="s">
        <v>453</v>
      </c>
      <c r="G41" s="31" t="s">
        <v>298</v>
      </c>
      <c r="H41" s="22"/>
      <c r="I41" s="22"/>
    </row>
    <row r="42" spans="1:9" ht="15" customHeight="1">
      <c r="A42" s="38"/>
      <c r="B42" s="55"/>
      <c r="C42" s="33"/>
      <c r="D42" s="119" t="s">
        <v>344</v>
      </c>
      <c r="E42" s="26"/>
      <c r="F42" s="54"/>
      <c r="G42" s="45"/>
      <c r="H42" s="25" t="s">
        <v>21</v>
      </c>
      <c r="I42" s="25">
        <v>0</v>
      </c>
    </row>
    <row r="43" spans="1:9" ht="15" customHeight="1">
      <c r="A43" s="38"/>
      <c r="B43" s="55"/>
      <c r="C43" s="33"/>
      <c r="D43" s="119"/>
      <c r="E43" s="26" t="s">
        <v>10</v>
      </c>
      <c r="F43" s="54" t="s">
        <v>496</v>
      </c>
      <c r="G43" s="31" t="s">
        <v>15</v>
      </c>
      <c r="H43" s="22" t="s">
        <v>21</v>
      </c>
      <c r="I43" s="22">
        <v>0</v>
      </c>
    </row>
    <row r="44" spans="1:9" ht="15" customHeight="1">
      <c r="A44" s="38"/>
      <c r="B44" s="55"/>
      <c r="C44" s="33"/>
      <c r="D44" s="119"/>
      <c r="E44" s="26"/>
      <c r="F44" s="54"/>
      <c r="G44" s="45"/>
      <c r="H44" s="22"/>
      <c r="I44" s="22"/>
    </row>
    <row r="45" spans="1:9" ht="15.75" thickBot="1">
      <c r="A45" s="66"/>
      <c r="B45" s="35"/>
      <c r="C45" s="36"/>
      <c r="D45" s="11"/>
      <c r="E45" s="23"/>
      <c r="F45" s="19"/>
      <c r="G45" s="85"/>
    </row>
  </sheetData>
  <mergeCells count="18">
    <mergeCell ref="D15:D19"/>
    <mergeCell ref="D8:D12"/>
    <mergeCell ref="A14:A27"/>
    <mergeCell ref="D39:D41"/>
    <mergeCell ref="D29:D31"/>
    <mergeCell ref="D32:D37"/>
    <mergeCell ref="C1:F1"/>
    <mergeCell ref="G3:G4"/>
    <mergeCell ref="B3:C3"/>
    <mergeCell ref="B4:C4"/>
    <mergeCell ref="D6:D7"/>
    <mergeCell ref="C2:F2"/>
    <mergeCell ref="F22:F23"/>
    <mergeCell ref="F33:F34"/>
    <mergeCell ref="D22:D24"/>
    <mergeCell ref="D25:D27"/>
    <mergeCell ref="D42:D44"/>
    <mergeCell ref="F31:F32"/>
  </mergeCells>
  <pageMargins left="0.4" right="0.4" top="0.5" bottom="0.5" header="0.3" footer="0.3"/>
  <pageSetup scale="6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39"/>
  <sheetViews>
    <sheetView showGridLines="0" zoomScale="110" zoomScaleNormal="110" workbookViewId="0">
      <selection activeCell="C23" sqref="C23"/>
    </sheetView>
  </sheetViews>
  <sheetFormatPr defaultRowHeight="15"/>
  <cols>
    <col min="1" max="1" width="21.28515625" style="2" customWidth="1"/>
    <col min="2" max="2" width="2.28515625" style="2" customWidth="1"/>
    <col min="3" max="3" width="29.140625" style="2" customWidth="1"/>
    <col min="4" max="4" width="2.85546875" style="2" customWidth="1"/>
    <col min="5" max="5" width="2.5703125" style="2" customWidth="1"/>
    <col min="6" max="6" width="103.28515625" style="2" customWidth="1"/>
    <col min="7" max="7" width="16.140625" style="2" customWidth="1"/>
  </cols>
  <sheetData>
    <row r="1" spans="1:7" s="4" customFormat="1" ht="26.25">
      <c r="A1" s="16" t="str">
        <f>'Top Level'!A1</f>
        <v>OGSM 2026</v>
      </c>
      <c r="B1" s="16"/>
      <c r="C1" s="120" t="str">
        <f>'Top Level'!C1:F1</f>
        <v>Savannah Tank and Equipment</v>
      </c>
      <c r="D1" s="120"/>
      <c r="E1" s="120"/>
      <c r="F1" s="120"/>
      <c r="G1" s="17"/>
    </row>
    <row r="2" spans="1:7" s="3" customFormat="1" ht="21.75" thickBot="1">
      <c r="A2" s="18" t="str">
        <f>'Top Level'!A2</f>
        <v>Version 1.0</v>
      </c>
      <c r="B2" s="18"/>
      <c r="C2" s="7"/>
      <c r="D2" s="6"/>
      <c r="E2" s="6"/>
      <c r="F2" s="8"/>
      <c r="G2" s="9"/>
    </row>
    <row r="3" spans="1:7" s="15" customFormat="1" ht="18.75" customHeight="1">
      <c r="A3" s="59" t="s">
        <v>11</v>
      </c>
      <c r="B3" s="133" t="s">
        <v>6</v>
      </c>
      <c r="C3" s="121"/>
      <c r="D3" s="133" t="s">
        <v>12</v>
      </c>
      <c r="E3" s="134"/>
      <c r="F3" s="121"/>
      <c r="G3" s="129" t="s">
        <v>8</v>
      </c>
    </row>
    <row r="4" spans="1:7" s="15" customFormat="1" ht="38.25" customHeight="1" thickBot="1">
      <c r="A4" s="61" t="s">
        <v>5</v>
      </c>
      <c r="B4" s="131" t="s">
        <v>7</v>
      </c>
      <c r="C4" s="132"/>
      <c r="D4" s="52"/>
      <c r="E4" s="57"/>
      <c r="F4" s="53"/>
      <c r="G4" s="130"/>
    </row>
    <row r="5" spans="1:7" s="1" customFormat="1" ht="15.75" thickBot="1">
      <c r="A5" s="24"/>
      <c r="B5" s="20"/>
      <c r="C5" s="21"/>
      <c r="D5" s="108"/>
      <c r="E5" s="47"/>
      <c r="F5" s="21"/>
      <c r="G5" s="50"/>
    </row>
    <row r="6" spans="1:7" s="5" customFormat="1" ht="15" customHeight="1">
      <c r="A6" s="127" t="str">
        <f>'Top Level'!D6:D7</f>
        <v>Increase Sales and Marketing to Drive Order Flow and Maintain Healthy Backlog</v>
      </c>
      <c r="B6" s="28" t="s">
        <v>10</v>
      </c>
      <c r="C6" s="107" t="str">
        <f>'Top Level'!F6</f>
        <v>Total orders &gt; $20.0 million</v>
      </c>
      <c r="D6" s="26" t="s">
        <v>10</v>
      </c>
      <c r="E6" s="136" t="s">
        <v>502</v>
      </c>
      <c r="F6" s="135"/>
      <c r="G6" s="51" t="s">
        <v>266</v>
      </c>
    </row>
    <row r="7" spans="1:7" s="5" customFormat="1" ht="15" customHeight="1">
      <c r="A7" s="128"/>
      <c r="B7" s="29"/>
      <c r="C7" s="14"/>
      <c r="D7" s="26"/>
      <c r="E7" s="26"/>
      <c r="F7" s="56"/>
      <c r="G7" s="51"/>
    </row>
    <row r="8" spans="1:7" s="5" customFormat="1" ht="15" customHeight="1">
      <c r="A8" s="128"/>
      <c r="B8" s="29" t="s">
        <v>10</v>
      </c>
      <c r="C8" s="135" t="str">
        <f>'Top Level'!F7</f>
        <v>Savannah Tank India Orders &gt; $1.5 million</v>
      </c>
      <c r="D8" s="26" t="s">
        <v>10</v>
      </c>
      <c r="E8" s="136" t="s">
        <v>503</v>
      </c>
      <c r="F8" s="135"/>
      <c r="G8" s="51" t="s">
        <v>15</v>
      </c>
    </row>
    <row r="9" spans="1:7" s="5" customFormat="1" ht="15" customHeight="1">
      <c r="A9" s="128"/>
      <c r="B9" s="29"/>
      <c r="C9" s="135"/>
      <c r="D9" s="26"/>
      <c r="E9" s="26"/>
      <c r="F9" s="78"/>
      <c r="G9" s="51"/>
    </row>
    <row r="10" spans="1:7" s="5" customFormat="1" ht="15" customHeight="1">
      <c r="A10" s="128"/>
      <c r="B10" s="29"/>
      <c r="C10" s="14"/>
      <c r="D10" s="26" t="s">
        <v>10</v>
      </c>
      <c r="E10" s="136" t="s">
        <v>504</v>
      </c>
      <c r="F10" s="135"/>
      <c r="G10" s="51" t="s">
        <v>266</v>
      </c>
    </row>
    <row r="11" spans="1:7" s="5" customFormat="1" ht="15" customHeight="1">
      <c r="A11" s="119" t="s">
        <v>398</v>
      </c>
      <c r="B11" s="29" t="s">
        <v>10</v>
      </c>
      <c r="C11" s="135" t="str">
        <f>'Top Level'!F8</f>
        <v>Weekly shop backlog &gt; 12,000 hours throughout 2026</v>
      </c>
      <c r="D11" s="26"/>
      <c r="E11" s="136"/>
      <c r="F11" s="135"/>
      <c r="G11" s="51" t="s">
        <v>266</v>
      </c>
    </row>
    <row r="12" spans="1:7" s="5" customFormat="1" ht="15" customHeight="1">
      <c r="A12" s="119"/>
      <c r="B12" s="29"/>
      <c r="C12" s="135"/>
      <c r="D12" s="26"/>
      <c r="E12" s="26"/>
      <c r="F12" s="78"/>
      <c r="G12" s="51"/>
    </row>
    <row r="13" spans="1:7" s="5" customFormat="1" ht="15" customHeight="1">
      <c r="A13" s="119"/>
      <c r="B13" s="29"/>
      <c r="C13" s="14"/>
      <c r="D13" s="26" t="s">
        <v>10</v>
      </c>
      <c r="E13" s="136" t="s">
        <v>402</v>
      </c>
      <c r="F13" s="135"/>
      <c r="G13" s="51" t="s">
        <v>266</v>
      </c>
    </row>
    <row r="14" spans="1:7" s="5" customFormat="1" ht="15" customHeight="1">
      <c r="A14" s="119"/>
      <c r="B14" s="29" t="s">
        <v>10</v>
      </c>
      <c r="C14" s="135" t="str">
        <f>'Top Level'!F9</f>
        <v>Total 2025 Value Added Sales (Orders) &gt; $160 / Labor Hour</v>
      </c>
      <c r="D14" s="26"/>
      <c r="E14" s="136"/>
      <c r="F14" s="135"/>
      <c r="G14" s="51"/>
    </row>
    <row r="15" spans="1:7" s="5" customFormat="1" ht="15" customHeight="1">
      <c r="A15" s="119"/>
      <c r="B15" s="41"/>
      <c r="C15" s="135"/>
      <c r="D15" s="26"/>
      <c r="E15" s="26"/>
      <c r="F15" s="56"/>
      <c r="G15" s="51"/>
    </row>
    <row r="16" spans="1:7" s="5" customFormat="1" ht="15" customHeight="1">
      <c r="A16" s="119"/>
      <c r="B16" s="41"/>
      <c r="C16" s="42"/>
      <c r="D16" s="26" t="s">
        <v>10</v>
      </c>
      <c r="E16" s="136" t="s">
        <v>434</v>
      </c>
      <c r="F16" s="135"/>
      <c r="G16" s="51" t="s">
        <v>266</v>
      </c>
    </row>
    <row r="17" spans="1:7" s="5" customFormat="1" ht="15" customHeight="1">
      <c r="A17" s="119"/>
      <c r="B17" s="29" t="s">
        <v>10</v>
      </c>
      <c r="C17" s="135" t="str">
        <f>'Top Level'!F10</f>
        <v>Number of inquiries &gt; 300 (3-year average = 295)</v>
      </c>
      <c r="D17" s="26"/>
      <c r="E17" s="136"/>
      <c r="F17" s="135"/>
      <c r="G17" s="51"/>
    </row>
    <row r="18" spans="1:7" s="5" customFormat="1" ht="15" customHeight="1">
      <c r="A18" s="119"/>
      <c r="B18" s="41"/>
      <c r="C18" s="135"/>
      <c r="D18" s="26"/>
      <c r="E18" s="136"/>
      <c r="F18" s="135"/>
      <c r="G18" s="51"/>
    </row>
    <row r="19" spans="1:7" s="5" customFormat="1" ht="15" customHeight="1">
      <c r="A19" s="119"/>
      <c r="B19" s="29"/>
      <c r="C19" s="14"/>
      <c r="D19" s="26" t="s">
        <v>10</v>
      </c>
      <c r="E19" s="136" t="s">
        <v>435</v>
      </c>
      <c r="F19" s="135"/>
      <c r="G19" s="51" t="s">
        <v>266</v>
      </c>
    </row>
    <row r="20" spans="1:7" s="5" customFormat="1" ht="15" customHeight="1">
      <c r="A20" s="119"/>
      <c r="B20" s="29" t="s">
        <v>10</v>
      </c>
      <c r="C20" s="135" t="str">
        <f>'Top Level'!F11</f>
        <v>Quoted value at or above $100 million (20% "Win Rate")</v>
      </c>
      <c r="D20" s="26"/>
      <c r="E20" s="136"/>
      <c r="F20" s="135"/>
      <c r="G20" s="51"/>
    </row>
    <row r="21" spans="1:7" s="5" customFormat="1" ht="15" customHeight="1">
      <c r="A21" s="119"/>
      <c r="B21" s="29"/>
      <c r="C21" s="135"/>
      <c r="D21" s="26"/>
      <c r="E21" s="75"/>
      <c r="F21" s="56"/>
      <c r="G21" s="51"/>
    </row>
    <row r="22" spans="1:7" s="5" customFormat="1" ht="15" customHeight="1">
      <c r="A22" s="119"/>
      <c r="B22" s="29"/>
      <c r="C22" s="78"/>
      <c r="D22" s="26" t="s">
        <v>10</v>
      </c>
      <c r="E22" s="136" t="s">
        <v>404</v>
      </c>
      <c r="F22" s="135"/>
      <c r="G22" s="51"/>
    </row>
    <row r="23" spans="1:7" s="5" customFormat="1" ht="15" customHeight="1">
      <c r="A23" s="119"/>
      <c r="B23" s="29"/>
      <c r="C23" s="77"/>
      <c r="D23" s="26"/>
      <c r="E23" s="26" t="s">
        <v>10</v>
      </c>
      <c r="F23" s="56" t="s">
        <v>380</v>
      </c>
      <c r="G23" s="51" t="s">
        <v>13</v>
      </c>
    </row>
    <row r="24" spans="1:7" s="5" customFormat="1" ht="15" customHeight="1">
      <c r="A24" s="37"/>
      <c r="B24" s="29"/>
      <c r="C24" s="14"/>
      <c r="D24" s="26"/>
      <c r="E24" s="26" t="s">
        <v>10</v>
      </c>
      <c r="F24" s="56" t="s">
        <v>444</v>
      </c>
      <c r="G24" s="51" t="s">
        <v>266</v>
      </c>
    </row>
    <row r="25" spans="1:7" s="5" customFormat="1" ht="15" customHeight="1">
      <c r="A25" s="37"/>
      <c r="B25" s="29"/>
      <c r="C25" s="14"/>
      <c r="D25" s="26"/>
      <c r="E25" s="75"/>
      <c r="F25" s="56"/>
      <c r="G25" s="31"/>
    </row>
    <row r="26" spans="1:7" s="5" customFormat="1" ht="15" customHeight="1">
      <c r="A26" s="37"/>
      <c r="B26" s="29"/>
      <c r="C26" s="14"/>
      <c r="D26" s="26" t="s">
        <v>10</v>
      </c>
      <c r="E26" s="136" t="s">
        <v>170</v>
      </c>
      <c r="F26" s="135"/>
      <c r="G26" s="31"/>
    </row>
    <row r="27" spans="1:7" ht="15" customHeight="1">
      <c r="A27" s="37"/>
      <c r="B27" s="29"/>
      <c r="C27" s="14"/>
      <c r="D27" s="26"/>
      <c r="E27" s="26" t="s">
        <v>10</v>
      </c>
      <c r="F27" s="56" t="s">
        <v>381</v>
      </c>
      <c r="G27" s="31" t="s">
        <v>13</v>
      </c>
    </row>
    <row r="28" spans="1:7" ht="15" customHeight="1">
      <c r="A28" s="37"/>
      <c r="B28" s="34"/>
      <c r="C28" s="33"/>
      <c r="D28" s="26"/>
      <c r="E28" s="26" t="s">
        <v>10</v>
      </c>
      <c r="F28" s="116" t="s">
        <v>382</v>
      </c>
      <c r="G28" s="31" t="s">
        <v>13</v>
      </c>
    </row>
    <row r="29" spans="1:7" ht="15" customHeight="1">
      <c r="A29" s="37"/>
      <c r="B29" s="34"/>
      <c r="C29" s="33"/>
      <c r="D29" s="26"/>
      <c r="E29" s="26"/>
      <c r="F29" s="116"/>
      <c r="G29" s="31"/>
    </row>
    <row r="30" spans="1:7" ht="15" customHeight="1">
      <c r="A30" s="37"/>
      <c r="B30" s="34"/>
      <c r="C30" s="33"/>
      <c r="D30" s="26"/>
      <c r="E30" s="100"/>
      <c r="F30" s="77"/>
      <c r="G30" s="31"/>
    </row>
    <row r="31" spans="1:7" ht="15" customHeight="1">
      <c r="A31" s="37"/>
      <c r="B31" s="34"/>
      <c r="C31" s="33"/>
      <c r="D31" s="26" t="s">
        <v>10</v>
      </c>
      <c r="E31" s="136" t="s">
        <v>30</v>
      </c>
      <c r="F31" s="135"/>
      <c r="G31" s="31"/>
    </row>
    <row r="32" spans="1:7" ht="15" customHeight="1">
      <c r="A32" s="37"/>
      <c r="B32" s="34"/>
      <c r="C32" s="33"/>
      <c r="D32" s="26"/>
      <c r="E32" s="26" t="s">
        <v>10</v>
      </c>
      <c r="F32" s="135" t="s">
        <v>385</v>
      </c>
      <c r="G32" s="31" t="s">
        <v>13</v>
      </c>
    </row>
    <row r="33" spans="1:7" ht="15" customHeight="1">
      <c r="A33" s="37"/>
      <c r="B33" s="34"/>
      <c r="C33" s="33"/>
      <c r="D33" s="26"/>
      <c r="E33" s="26"/>
      <c r="F33" s="135"/>
      <c r="G33" s="31"/>
    </row>
    <row r="34" spans="1:7" ht="15" customHeight="1">
      <c r="A34" s="37"/>
      <c r="B34" s="34"/>
      <c r="C34" s="33"/>
      <c r="D34" s="26"/>
      <c r="E34" s="26" t="s">
        <v>10</v>
      </c>
      <c r="F34" s="14" t="s">
        <v>383</v>
      </c>
      <c r="G34" s="31" t="s">
        <v>266</v>
      </c>
    </row>
    <row r="35" spans="1:7" ht="15" customHeight="1">
      <c r="A35" s="37"/>
      <c r="B35" s="34"/>
      <c r="C35" s="33"/>
      <c r="D35" s="26"/>
      <c r="E35" s="26" t="s">
        <v>10</v>
      </c>
      <c r="F35" s="56" t="s">
        <v>384</v>
      </c>
      <c r="G35" s="51" t="s">
        <v>266</v>
      </c>
    </row>
    <row r="36" spans="1:7" ht="15" customHeight="1">
      <c r="A36" s="37"/>
      <c r="B36" s="34"/>
      <c r="C36" s="33"/>
      <c r="D36" s="26"/>
      <c r="E36" s="26" t="s">
        <v>10</v>
      </c>
      <c r="F36" s="56" t="s">
        <v>397</v>
      </c>
      <c r="G36" s="51" t="s">
        <v>266</v>
      </c>
    </row>
    <row r="37" spans="1:7" ht="15" customHeight="1">
      <c r="A37" s="37"/>
      <c r="B37" s="34"/>
      <c r="C37" s="33"/>
      <c r="D37" s="26"/>
      <c r="E37" s="26" t="s">
        <v>10</v>
      </c>
      <c r="F37" s="56" t="s">
        <v>436</v>
      </c>
      <c r="G37" s="51" t="s">
        <v>266</v>
      </c>
    </row>
    <row r="38" spans="1:7">
      <c r="A38" s="37"/>
      <c r="B38" s="34"/>
      <c r="C38" s="33"/>
      <c r="D38" s="29"/>
      <c r="E38" s="100"/>
      <c r="F38" s="77"/>
      <c r="G38" s="73"/>
    </row>
    <row r="39" spans="1:7" ht="15.75" thickBot="1">
      <c r="A39" s="106"/>
      <c r="B39" s="35"/>
      <c r="C39" s="36"/>
      <c r="D39" s="49"/>
      <c r="E39" s="10"/>
      <c r="F39" s="19"/>
      <c r="G39" s="32"/>
    </row>
  </sheetData>
  <mergeCells count="24">
    <mergeCell ref="C1:F1"/>
    <mergeCell ref="C14:C15"/>
    <mergeCell ref="C11:C12"/>
    <mergeCell ref="E13:F14"/>
    <mergeCell ref="E18:F18"/>
    <mergeCell ref="E19:F20"/>
    <mergeCell ref="A6:A10"/>
    <mergeCell ref="A11:A23"/>
    <mergeCell ref="E31:F31"/>
    <mergeCell ref="F32:F33"/>
    <mergeCell ref="C17:C18"/>
    <mergeCell ref="E8:F8"/>
    <mergeCell ref="E22:F22"/>
    <mergeCell ref="F28:F29"/>
    <mergeCell ref="E26:F26"/>
    <mergeCell ref="C20:C21"/>
    <mergeCell ref="E16:F17"/>
    <mergeCell ref="E10:F11"/>
    <mergeCell ref="G3:G4"/>
    <mergeCell ref="B4:C4"/>
    <mergeCell ref="B3:C3"/>
    <mergeCell ref="D3:F3"/>
    <mergeCell ref="C8:C9"/>
    <mergeCell ref="E6:F6"/>
  </mergeCells>
  <pageMargins left="0.4" right="0.4" top="0.5" bottom="0.5" header="0.3" footer="0.3"/>
  <pageSetup scale="7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9"/>
  <sheetViews>
    <sheetView showGridLines="0" tabSelected="1" zoomScale="110" zoomScaleNormal="110" workbookViewId="0">
      <selection activeCell="F20" sqref="F20:G20"/>
    </sheetView>
  </sheetViews>
  <sheetFormatPr defaultRowHeight="15"/>
  <cols>
    <col min="1" max="1" width="21.28515625" style="2" customWidth="1"/>
    <col min="2" max="2" width="2.28515625" style="2" customWidth="1"/>
    <col min="3" max="3" width="29.140625" style="2" customWidth="1"/>
    <col min="4" max="4" width="2.85546875" style="2" customWidth="1"/>
    <col min="5" max="6" width="2.5703125" style="2" customWidth="1"/>
    <col min="7" max="7" width="103.42578125" style="2" customWidth="1"/>
    <col min="8" max="8" width="15.28515625" style="2" customWidth="1"/>
  </cols>
  <sheetData>
    <row r="1" spans="1:8" s="4" customFormat="1" ht="26.25">
      <c r="A1" s="16" t="str">
        <f>'Top Level'!A1</f>
        <v>OGSM 2026</v>
      </c>
      <c r="B1" s="16"/>
      <c r="C1" s="120" t="str">
        <f>'Top Level'!C1:F1</f>
        <v>Savannah Tank and Equipment</v>
      </c>
      <c r="D1" s="120"/>
      <c r="E1" s="120"/>
      <c r="F1" s="120"/>
      <c r="G1" s="120"/>
      <c r="H1" s="17"/>
    </row>
    <row r="2" spans="1:8" s="3" customFormat="1" ht="21.75" thickBot="1">
      <c r="A2" s="18" t="str">
        <f>'Top Level'!A2</f>
        <v>Version 1.0</v>
      </c>
      <c r="B2" s="18"/>
      <c r="C2" s="7"/>
      <c r="D2" s="6"/>
      <c r="E2" s="6"/>
      <c r="F2" s="6"/>
      <c r="G2" s="8"/>
      <c r="H2" s="9"/>
    </row>
    <row r="3" spans="1:8" s="15" customFormat="1" ht="18.75" customHeight="1">
      <c r="A3" s="59" t="s">
        <v>11</v>
      </c>
      <c r="B3" s="133" t="s">
        <v>6</v>
      </c>
      <c r="C3" s="121"/>
      <c r="D3" s="133" t="s">
        <v>12</v>
      </c>
      <c r="E3" s="134"/>
      <c r="F3" s="134"/>
      <c r="G3" s="121"/>
      <c r="H3" s="129" t="s">
        <v>8</v>
      </c>
    </row>
    <row r="4" spans="1:8" s="15" customFormat="1" ht="38.25" customHeight="1" thickBot="1">
      <c r="A4" s="61" t="s">
        <v>5</v>
      </c>
      <c r="B4" s="140" t="s">
        <v>7</v>
      </c>
      <c r="C4" s="141"/>
      <c r="D4" s="52"/>
      <c r="E4" s="57"/>
      <c r="F4" s="57"/>
      <c r="G4" s="53"/>
      <c r="H4" s="130"/>
    </row>
    <row r="5" spans="1:8" s="1" customFormat="1" ht="15.75" thickBot="1">
      <c r="A5" s="62"/>
      <c r="B5" s="20"/>
      <c r="C5" s="21"/>
      <c r="D5" s="46"/>
      <c r="E5" s="47"/>
      <c r="F5" s="47"/>
      <c r="G5" s="21"/>
      <c r="H5" s="50"/>
    </row>
    <row r="6" spans="1:8" s="5" customFormat="1" ht="15" customHeight="1">
      <c r="A6" s="127" t="s">
        <v>76</v>
      </c>
      <c r="B6" s="29" t="s">
        <v>10</v>
      </c>
      <c r="C6" s="142" t="str">
        <f>'Top Level'!F14</f>
        <v>New high-volume / data center production facility in operation by 3/1/2026</v>
      </c>
      <c r="D6" s="29" t="s">
        <v>10</v>
      </c>
      <c r="E6" s="136" t="s">
        <v>405</v>
      </c>
      <c r="F6" s="136"/>
      <c r="G6" s="135"/>
      <c r="H6" s="31"/>
    </row>
    <row r="7" spans="1:8" s="5" customFormat="1" ht="15" customHeight="1">
      <c r="A7" s="128"/>
      <c r="B7" s="55"/>
      <c r="C7" s="135"/>
      <c r="D7" s="29"/>
      <c r="E7" s="26" t="s">
        <v>10</v>
      </c>
      <c r="F7" s="136" t="s">
        <v>526</v>
      </c>
      <c r="G7" s="135"/>
      <c r="H7" s="73" t="s">
        <v>298</v>
      </c>
    </row>
    <row r="8" spans="1:8" s="5" customFormat="1" ht="15" customHeight="1">
      <c r="A8" s="128"/>
      <c r="B8" s="55"/>
      <c r="C8" s="135"/>
      <c r="D8" s="29"/>
      <c r="E8" s="26" t="s">
        <v>10</v>
      </c>
      <c r="F8" s="136" t="s">
        <v>527</v>
      </c>
      <c r="G8" s="135"/>
      <c r="H8" s="31" t="s">
        <v>174</v>
      </c>
    </row>
    <row r="9" spans="1:8" s="5" customFormat="1" ht="15" customHeight="1">
      <c r="A9" s="119" t="s">
        <v>399</v>
      </c>
      <c r="B9" s="55"/>
      <c r="C9" s="56"/>
      <c r="D9" s="29"/>
      <c r="E9" s="26" t="s">
        <v>10</v>
      </c>
      <c r="F9" s="137" t="s">
        <v>528</v>
      </c>
      <c r="G9" s="116"/>
      <c r="H9" s="31" t="s">
        <v>298</v>
      </c>
    </row>
    <row r="10" spans="1:8" s="5" customFormat="1" ht="15" customHeight="1">
      <c r="A10" s="119"/>
      <c r="B10" s="29" t="s">
        <v>10</v>
      </c>
      <c r="C10" s="135" t="str">
        <f>'Top Level'!F15</f>
        <v>U.S. shop-wide Labor Efficiency of 93% or above (full-year average)</v>
      </c>
      <c r="D10" s="29"/>
      <c r="E10" s="26" t="s">
        <v>10</v>
      </c>
      <c r="F10" s="138" t="s">
        <v>443</v>
      </c>
      <c r="G10" s="139"/>
      <c r="H10" s="31" t="s">
        <v>298</v>
      </c>
    </row>
    <row r="11" spans="1:8" s="5" customFormat="1" ht="15" customHeight="1">
      <c r="A11" s="119"/>
      <c r="B11" s="29"/>
      <c r="C11" s="135"/>
      <c r="D11" s="29"/>
      <c r="E11" s="26" t="s">
        <v>10</v>
      </c>
      <c r="F11" s="138" t="s">
        <v>406</v>
      </c>
      <c r="G11" s="139"/>
      <c r="H11" s="31" t="s">
        <v>298</v>
      </c>
    </row>
    <row r="12" spans="1:8" s="5" customFormat="1" ht="15" customHeight="1">
      <c r="A12" s="119"/>
      <c r="B12" s="55"/>
      <c r="C12" s="14"/>
      <c r="D12" s="29"/>
      <c r="E12" s="100"/>
      <c r="F12" s="138"/>
      <c r="G12" s="139"/>
      <c r="H12" s="31"/>
    </row>
    <row r="13" spans="1:8" s="5" customFormat="1" ht="15" customHeight="1">
      <c r="A13" s="119"/>
      <c r="B13" s="29" t="s">
        <v>10</v>
      </c>
      <c r="C13" s="135" t="str">
        <f>'Top Level'!F16</f>
        <v>U.S. On Time Completion at 90% or above (full-year average)</v>
      </c>
      <c r="D13" s="29"/>
      <c r="E13" s="100" t="s">
        <v>10</v>
      </c>
      <c r="F13" s="137" t="s">
        <v>522</v>
      </c>
      <c r="G13" s="116"/>
      <c r="H13" s="31" t="s">
        <v>298</v>
      </c>
    </row>
    <row r="14" spans="1:8" s="5" customFormat="1" ht="15" customHeight="1">
      <c r="A14" s="119"/>
      <c r="B14" s="55"/>
      <c r="C14" s="135"/>
      <c r="D14" s="29"/>
      <c r="E14" s="26"/>
      <c r="F14" s="75"/>
      <c r="G14" s="56"/>
      <c r="H14" s="31"/>
    </row>
    <row r="15" spans="1:8" s="5" customFormat="1" ht="15" customHeight="1">
      <c r="A15" s="119"/>
      <c r="B15" s="55"/>
      <c r="C15" s="135"/>
      <c r="D15" s="29" t="s">
        <v>10</v>
      </c>
      <c r="E15" s="136" t="s">
        <v>386</v>
      </c>
      <c r="F15" s="136"/>
      <c r="G15" s="135"/>
      <c r="H15" s="31"/>
    </row>
    <row r="16" spans="1:8" s="5" customFormat="1" ht="15" customHeight="1">
      <c r="A16" s="119"/>
      <c r="B16" s="29"/>
      <c r="C16" s="14"/>
      <c r="D16" s="29"/>
      <c r="E16" s="26" t="s">
        <v>10</v>
      </c>
      <c r="F16" s="136" t="s">
        <v>387</v>
      </c>
      <c r="G16" s="135"/>
      <c r="H16" s="31" t="s">
        <v>298</v>
      </c>
    </row>
    <row r="17" spans="1:8" s="5" customFormat="1" ht="15" customHeight="1">
      <c r="A17" s="119"/>
      <c r="B17" s="29" t="s">
        <v>10</v>
      </c>
      <c r="C17" s="135" t="str">
        <f>'Top Level'!F17</f>
        <v>U.S. Rework hours &lt; 1.25% of direct labor hours</v>
      </c>
      <c r="D17" s="29"/>
      <c r="E17" s="26"/>
      <c r="F17" s="136"/>
      <c r="G17" s="135"/>
      <c r="H17" s="31"/>
    </row>
    <row r="18" spans="1:8" s="5" customFormat="1" ht="15" customHeight="1">
      <c r="A18" s="119"/>
      <c r="B18" s="55"/>
      <c r="C18" s="135"/>
      <c r="D18" s="29"/>
      <c r="E18" s="26" t="s">
        <v>10</v>
      </c>
      <c r="F18" s="136" t="s">
        <v>529</v>
      </c>
      <c r="G18" s="135"/>
      <c r="H18" s="31" t="s">
        <v>298</v>
      </c>
    </row>
    <row r="19" spans="1:8" s="5" customFormat="1" ht="15" customHeight="1">
      <c r="A19" s="119"/>
      <c r="B19" s="29"/>
      <c r="C19" s="135"/>
      <c r="D19" s="29"/>
      <c r="E19" s="26" t="s">
        <v>10</v>
      </c>
      <c r="F19" s="136" t="s">
        <v>531</v>
      </c>
      <c r="G19" s="135"/>
      <c r="H19" s="31" t="s">
        <v>298</v>
      </c>
    </row>
    <row r="20" spans="1:8" s="5" customFormat="1" ht="15" customHeight="1">
      <c r="A20" s="119"/>
      <c r="B20" s="29"/>
      <c r="C20" s="14"/>
      <c r="D20" s="29"/>
      <c r="E20" s="26" t="s">
        <v>10</v>
      </c>
      <c r="F20" s="136" t="s">
        <v>530</v>
      </c>
      <c r="G20" s="135"/>
      <c r="H20" s="31" t="s">
        <v>298</v>
      </c>
    </row>
    <row r="21" spans="1:8" s="5" customFormat="1" ht="15" customHeight="1">
      <c r="A21" s="38"/>
      <c r="B21" s="29" t="s">
        <v>10</v>
      </c>
      <c r="C21" s="135" t="str">
        <f>'Top Level'!F18</f>
        <v xml:space="preserve">U.S. Cost of Quality &lt; $1.75 per direct labor hour </v>
      </c>
      <c r="D21" s="29"/>
      <c r="E21" s="26" t="s">
        <v>10</v>
      </c>
      <c r="F21" s="138" t="s">
        <v>388</v>
      </c>
      <c r="G21" s="139"/>
      <c r="H21" s="31" t="s">
        <v>298</v>
      </c>
    </row>
    <row r="22" spans="1:8" s="5" customFormat="1" ht="15" customHeight="1">
      <c r="A22" s="38"/>
      <c r="B22" s="34"/>
      <c r="C22" s="135"/>
      <c r="D22" s="29"/>
      <c r="E22" s="26" t="s">
        <v>10</v>
      </c>
      <c r="F22" s="138" t="s">
        <v>407</v>
      </c>
      <c r="G22" s="139"/>
      <c r="H22" s="31" t="s">
        <v>298</v>
      </c>
    </row>
    <row r="23" spans="1:8" s="5" customFormat="1" ht="15" customHeight="1">
      <c r="A23" s="38"/>
      <c r="B23" s="34"/>
      <c r="C23" s="14"/>
      <c r="D23" s="29"/>
      <c r="E23" s="26"/>
      <c r="F23" s="138"/>
      <c r="G23" s="139"/>
      <c r="H23" s="31"/>
    </row>
    <row r="24" spans="1:8" s="5" customFormat="1" ht="15" customHeight="1">
      <c r="A24" s="38"/>
      <c r="B24" s="29" t="s">
        <v>10</v>
      </c>
      <c r="C24" s="135" t="str">
        <f>'Top Level'!F19</f>
        <v>U.S. Overhead &lt; 25% of total shop hours</v>
      </c>
      <c r="D24" s="29"/>
      <c r="E24" s="26" t="s">
        <v>10</v>
      </c>
      <c r="F24" s="136" t="s">
        <v>389</v>
      </c>
      <c r="G24" s="135"/>
      <c r="H24" s="31" t="s">
        <v>298</v>
      </c>
    </row>
    <row r="25" spans="1:8" s="5" customFormat="1" ht="15" customHeight="1">
      <c r="A25" s="38"/>
      <c r="B25" s="34"/>
      <c r="C25" s="135"/>
      <c r="D25" s="29"/>
      <c r="E25" s="26" t="s">
        <v>10</v>
      </c>
      <c r="F25" s="136" t="s">
        <v>525</v>
      </c>
      <c r="G25" s="135"/>
      <c r="H25" s="31" t="s">
        <v>13</v>
      </c>
    </row>
    <row r="26" spans="1:8" s="5" customFormat="1" ht="15" customHeight="1">
      <c r="A26" s="38"/>
      <c r="B26" s="34"/>
      <c r="C26" s="14"/>
      <c r="D26" s="29"/>
      <c r="E26" s="26" t="s">
        <v>10</v>
      </c>
      <c r="F26" s="136" t="s">
        <v>408</v>
      </c>
      <c r="G26" s="135"/>
      <c r="H26" s="31" t="s">
        <v>298</v>
      </c>
    </row>
    <row r="27" spans="1:8" s="5" customFormat="1" ht="15" customHeight="1">
      <c r="A27" s="38"/>
      <c r="B27" s="29" t="s">
        <v>10</v>
      </c>
      <c r="C27" s="135" t="str">
        <f>'Top Level'!F20</f>
        <v>India On Time Delivery at 90% or above (full-year average)</v>
      </c>
      <c r="D27" s="29"/>
      <c r="E27" s="26"/>
      <c r="F27" s="75"/>
      <c r="G27" s="56"/>
      <c r="H27" s="31"/>
    </row>
    <row r="28" spans="1:8" s="5" customFormat="1" ht="15" customHeight="1">
      <c r="A28" s="38"/>
      <c r="B28" s="34"/>
      <c r="C28" s="135"/>
      <c r="D28" s="29" t="s">
        <v>10</v>
      </c>
      <c r="E28" s="137" t="s">
        <v>274</v>
      </c>
      <c r="F28" s="137"/>
      <c r="G28" s="116"/>
      <c r="H28" s="31"/>
    </row>
    <row r="29" spans="1:8" s="5" customFormat="1" ht="15" customHeight="1">
      <c r="A29" s="38"/>
      <c r="B29" s="34"/>
      <c r="C29" s="14"/>
      <c r="D29" s="29"/>
      <c r="E29" s="100" t="s">
        <v>10</v>
      </c>
      <c r="F29" s="137" t="s">
        <v>409</v>
      </c>
      <c r="G29" s="116"/>
      <c r="H29" s="31" t="s">
        <v>298</v>
      </c>
    </row>
    <row r="30" spans="1:8" s="5" customFormat="1" ht="15" customHeight="1">
      <c r="A30" s="38"/>
      <c r="B30" s="34"/>
      <c r="C30" s="135"/>
      <c r="D30" s="29"/>
      <c r="E30" s="100" t="s">
        <v>10</v>
      </c>
      <c r="F30" s="138" t="s">
        <v>410</v>
      </c>
      <c r="G30" s="139"/>
      <c r="H30" s="31" t="s">
        <v>298</v>
      </c>
    </row>
    <row r="31" spans="1:8" ht="15" customHeight="1">
      <c r="A31" s="76"/>
      <c r="B31" s="34"/>
      <c r="C31" s="135"/>
      <c r="D31" s="29"/>
      <c r="E31" s="100"/>
      <c r="F31" s="138"/>
      <c r="G31" s="139"/>
      <c r="H31" s="31"/>
    </row>
    <row r="32" spans="1:8" ht="15" customHeight="1">
      <c r="A32" s="38"/>
      <c r="B32" s="34"/>
      <c r="C32" s="14"/>
      <c r="E32" s="26"/>
      <c r="F32" s="75"/>
      <c r="G32" s="56"/>
      <c r="H32" s="31"/>
    </row>
    <row r="33" spans="1:8" ht="15" customHeight="1">
      <c r="A33" s="38"/>
      <c r="B33" s="34"/>
      <c r="C33" s="14"/>
      <c r="D33" s="29" t="s">
        <v>10</v>
      </c>
      <c r="E33" s="137" t="s">
        <v>411</v>
      </c>
      <c r="F33" s="137"/>
      <c r="G33" s="116"/>
      <c r="H33" s="31"/>
    </row>
    <row r="34" spans="1:8" ht="15" customHeight="1">
      <c r="A34" s="38"/>
      <c r="B34" s="34"/>
      <c r="C34" s="135"/>
      <c r="D34" s="29"/>
      <c r="E34" s="100" t="s">
        <v>10</v>
      </c>
      <c r="F34" s="137" t="s">
        <v>401</v>
      </c>
      <c r="G34" s="116"/>
      <c r="H34" s="31" t="s">
        <v>13</v>
      </c>
    </row>
    <row r="35" spans="1:8" ht="15" customHeight="1">
      <c r="A35" s="38"/>
      <c r="B35" s="34"/>
      <c r="C35" s="135"/>
      <c r="D35" s="29"/>
      <c r="E35" s="100" t="s">
        <v>10</v>
      </c>
      <c r="F35" s="137" t="s">
        <v>390</v>
      </c>
      <c r="G35" s="116"/>
      <c r="H35" s="31" t="s">
        <v>15</v>
      </c>
    </row>
    <row r="36" spans="1:8" ht="15" customHeight="1">
      <c r="A36" s="38"/>
      <c r="B36" s="34"/>
      <c r="C36" s="135"/>
      <c r="D36" s="29"/>
      <c r="E36" s="100" t="s">
        <v>10</v>
      </c>
      <c r="F36" s="137" t="s">
        <v>391</v>
      </c>
      <c r="G36" s="116"/>
      <c r="H36" s="31" t="s">
        <v>174</v>
      </c>
    </row>
    <row r="37" spans="1:8" ht="15" customHeight="1">
      <c r="A37" s="38"/>
      <c r="B37" s="34"/>
      <c r="C37" s="135"/>
      <c r="D37" s="29"/>
      <c r="E37" s="100" t="s">
        <v>10</v>
      </c>
      <c r="F37" s="137" t="s">
        <v>392</v>
      </c>
      <c r="G37" s="116"/>
      <c r="H37" s="31" t="s">
        <v>13</v>
      </c>
    </row>
    <row r="38" spans="1:8" ht="15" customHeight="1">
      <c r="A38" s="38"/>
      <c r="B38" s="34"/>
      <c r="C38" s="135"/>
      <c r="D38" s="29"/>
      <c r="E38" s="100"/>
      <c r="F38" s="90"/>
      <c r="G38" s="77"/>
      <c r="H38" s="31"/>
    </row>
    <row r="39" spans="1:8" ht="15" customHeight="1">
      <c r="A39" s="38"/>
      <c r="B39" s="34"/>
      <c r="C39" s="135"/>
      <c r="D39" s="29" t="s">
        <v>10</v>
      </c>
      <c r="E39" s="137" t="s">
        <v>311</v>
      </c>
      <c r="F39" s="137"/>
      <c r="G39" s="116"/>
      <c r="H39" s="31"/>
    </row>
    <row r="40" spans="1:8" ht="15" customHeight="1">
      <c r="A40" s="38"/>
      <c r="B40" s="34"/>
      <c r="C40" s="135"/>
      <c r="D40" s="29"/>
      <c r="E40" s="100" t="s">
        <v>10</v>
      </c>
      <c r="F40" s="137" t="s">
        <v>523</v>
      </c>
      <c r="G40" s="116"/>
      <c r="H40" s="31" t="s">
        <v>298</v>
      </c>
    </row>
    <row r="41" spans="1:8" ht="15" customHeight="1">
      <c r="A41" s="38"/>
      <c r="B41" s="34"/>
      <c r="C41" s="135"/>
      <c r="D41" s="29"/>
      <c r="E41" s="100" t="s">
        <v>10</v>
      </c>
      <c r="F41" s="137" t="s">
        <v>524</v>
      </c>
      <c r="G41" s="116"/>
      <c r="H41" s="31" t="s">
        <v>298</v>
      </c>
    </row>
    <row r="42" spans="1:8" ht="15" customHeight="1">
      <c r="A42" s="38"/>
      <c r="B42" s="34"/>
      <c r="C42" s="135"/>
      <c r="D42" s="29"/>
      <c r="E42" s="100" t="s">
        <v>10</v>
      </c>
      <c r="F42" s="138" t="s">
        <v>393</v>
      </c>
      <c r="G42" s="139"/>
      <c r="H42" s="31" t="s">
        <v>298</v>
      </c>
    </row>
    <row r="43" spans="1:8" ht="15" customHeight="1">
      <c r="A43" s="38"/>
      <c r="B43" s="34"/>
      <c r="C43" s="135"/>
      <c r="D43" s="29"/>
      <c r="E43" s="100"/>
      <c r="F43" s="90"/>
      <c r="G43" s="77"/>
      <c r="H43" s="31"/>
    </row>
    <row r="44" spans="1:8" ht="15" customHeight="1">
      <c r="A44" s="38"/>
      <c r="B44" s="29"/>
      <c r="C44" s="56"/>
      <c r="D44" s="29"/>
      <c r="E44" s="26"/>
      <c r="F44" s="75"/>
      <c r="G44" s="56"/>
      <c r="H44" s="31"/>
    </row>
    <row r="45" spans="1:8" ht="15" customHeight="1" thickBot="1">
      <c r="A45" s="58"/>
      <c r="B45" s="35"/>
      <c r="C45" s="36"/>
      <c r="D45" s="49"/>
      <c r="E45" s="10"/>
      <c r="F45" s="10"/>
      <c r="G45" s="19"/>
      <c r="H45" s="32"/>
    </row>
    <row r="46" spans="1:8" ht="15" customHeight="1"/>
    <row r="47" spans="1:8" ht="15" customHeight="1"/>
    <row r="48" spans="1:8" ht="15" customHeight="1"/>
    <row r="49" ht="15" customHeight="1"/>
  </sheetData>
  <mergeCells count="45">
    <mergeCell ref="F30:G31"/>
    <mergeCell ref="C24:C25"/>
    <mergeCell ref="C21:C22"/>
    <mergeCell ref="A6:A8"/>
    <mergeCell ref="F29:G29"/>
    <mergeCell ref="E15:G15"/>
    <mergeCell ref="E6:G6"/>
    <mergeCell ref="F7:G7"/>
    <mergeCell ref="F21:G21"/>
    <mergeCell ref="F13:G13"/>
    <mergeCell ref="C17:C19"/>
    <mergeCell ref="A9:A20"/>
    <mergeCell ref="C27:C28"/>
    <mergeCell ref="F36:G36"/>
    <mergeCell ref="F37:G37"/>
    <mergeCell ref="C13:C15"/>
    <mergeCell ref="H3:H4"/>
    <mergeCell ref="E28:G28"/>
    <mergeCell ref="F26:G26"/>
    <mergeCell ref="F22:G23"/>
    <mergeCell ref="F24:G24"/>
    <mergeCell ref="F25:G25"/>
    <mergeCell ref="F18:G18"/>
    <mergeCell ref="F16:G17"/>
    <mergeCell ref="F19:G19"/>
    <mergeCell ref="F20:G20"/>
    <mergeCell ref="F10:G10"/>
    <mergeCell ref="F11:G12"/>
    <mergeCell ref="C30:C31"/>
    <mergeCell ref="E39:G39"/>
    <mergeCell ref="F40:G40"/>
    <mergeCell ref="F41:G41"/>
    <mergeCell ref="F42:G42"/>
    <mergeCell ref="C1:G1"/>
    <mergeCell ref="C34:C43"/>
    <mergeCell ref="B3:C3"/>
    <mergeCell ref="D3:G3"/>
    <mergeCell ref="B4:C4"/>
    <mergeCell ref="C6:C8"/>
    <mergeCell ref="C10:C11"/>
    <mergeCell ref="F8:G8"/>
    <mergeCell ref="F9:G9"/>
    <mergeCell ref="E33:G33"/>
    <mergeCell ref="F34:G34"/>
    <mergeCell ref="F35:G35"/>
  </mergeCells>
  <pageMargins left="0.4" right="0.4" top="0.5" bottom="0.5" header="0.3" footer="0.3"/>
  <pageSetup scale="7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44"/>
  <sheetViews>
    <sheetView showGridLines="0" zoomScale="110" zoomScaleNormal="110" workbookViewId="0">
      <selection activeCell="D13" sqref="D13"/>
    </sheetView>
  </sheetViews>
  <sheetFormatPr defaultRowHeight="15"/>
  <cols>
    <col min="1" max="1" width="21.28515625" style="2" customWidth="1"/>
    <col min="2" max="2" width="2.28515625" style="2" customWidth="1"/>
    <col min="3" max="3" width="29.140625" style="2" customWidth="1"/>
    <col min="4" max="4" width="2.85546875" style="2" customWidth="1"/>
    <col min="5" max="6" width="2.5703125" style="2" customWidth="1"/>
    <col min="7" max="7" width="103.28515625" style="2" customWidth="1"/>
    <col min="8" max="8" width="16.140625" style="2" customWidth="1"/>
  </cols>
  <sheetData>
    <row r="1" spans="1:8" s="4" customFormat="1" ht="26.25">
      <c r="A1" s="16" t="str">
        <f>'Top Level'!A1</f>
        <v>OGSM 2026</v>
      </c>
      <c r="B1" s="16"/>
      <c r="C1" s="120" t="str">
        <f>'Top Level'!C1:F1</f>
        <v>Savannah Tank and Equipment</v>
      </c>
      <c r="D1" s="120"/>
      <c r="E1" s="120"/>
      <c r="F1" s="120"/>
      <c r="G1" s="120"/>
      <c r="H1" s="17"/>
    </row>
    <row r="2" spans="1:8" s="3" customFormat="1" ht="21.75" thickBot="1">
      <c r="A2" s="18" t="str">
        <f>'Top Level'!A2</f>
        <v>Version 1.0</v>
      </c>
      <c r="B2" s="18"/>
      <c r="C2" s="7"/>
      <c r="D2" s="6"/>
      <c r="E2" s="6"/>
      <c r="F2" s="6"/>
      <c r="G2" s="8"/>
      <c r="H2" s="9"/>
    </row>
    <row r="3" spans="1:8" s="15" customFormat="1" ht="18.75" customHeight="1">
      <c r="A3" s="59" t="s">
        <v>11</v>
      </c>
      <c r="B3" s="133" t="s">
        <v>6</v>
      </c>
      <c r="C3" s="121"/>
      <c r="D3" s="133" t="s">
        <v>12</v>
      </c>
      <c r="E3" s="134"/>
      <c r="F3" s="134"/>
      <c r="G3" s="121"/>
      <c r="H3" s="129" t="s">
        <v>8</v>
      </c>
    </row>
    <row r="4" spans="1:8" s="15" customFormat="1" ht="38.25" customHeight="1" thickBot="1">
      <c r="A4" s="61" t="s">
        <v>5</v>
      </c>
      <c r="B4" s="140" t="s">
        <v>7</v>
      </c>
      <c r="C4" s="141"/>
      <c r="D4" s="52"/>
      <c r="E4" s="57"/>
      <c r="F4" s="57"/>
      <c r="G4" s="53"/>
      <c r="H4" s="130"/>
    </row>
    <row r="5" spans="1:8" s="1" customFormat="1" ht="15.75" thickBot="1">
      <c r="A5" s="62"/>
      <c r="B5" s="20"/>
      <c r="C5" s="21"/>
      <c r="D5" s="46"/>
      <c r="E5" s="47"/>
      <c r="F5" s="47"/>
      <c r="G5" s="21"/>
      <c r="H5" s="50"/>
    </row>
    <row r="6" spans="1:8" s="5" customFormat="1" ht="15" customHeight="1">
      <c r="A6" s="117" t="s">
        <v>293</v>
      </c>
      <c r="B6" s="29" t="s">
        <v>10</v>
      </c>
      <c r="C6" s="142" t="str">
        <f>'Top Level'!F22</f>
        <v>Provide calculations to Sales team in 3 business days or less, with measured error rate less than 5% for 2026.</v>
      </c>
      <c r="D6" s="28" t="s">
        <v>10</v>
      </c>
      <c r="E6" s="136"/>
      <c r="F6" s="136"/>
      <c r="G6" s="135"/>
      <c r="H6" s="51"/>
    </row>
    <row r="7" spans="1:8" s="5" customFormat="1" ht="15" customHeight="1">
      <c r="A7" s="118"/>
      <c r="B7" s="37"/>
      <c r="C7" s="135"/>
      <c r="D7" s="48"/>
      <c r="E7" s="100"/>
      <c r="F7" s="137"/>
      <c r="G7" s="116"/>
      <c r="H7" s="31"/>
    </row>
    <row r="8" spans="1:8" s="5" customFormat="1" ht="15" customHeight="1">
      <c r="A8" s="118"/>
      <c r="B8" s="29"/>
      <c r="C8" s="135"/>
      <c r="D8" s="29"/>
      <c r="E8" s="100"/>
      <c r="F8" s="137"/>
      <c r="G8" s="116"/>
      <c r="H8" s="31"/>
    </row>
    <row r="9" spans="1:8" s="5" customFormat="1" ht="15" customHeight="1">
      <c r="A9" s="118"/>
      <c r="B9" s="29"/>
      <c r="C9" s="135"/>
      <c r="D9" s="29" t="s">
        <v>10</v>
      </c>
      <c r="E9" s="100"/>
      <c r="F9" s="137"/>
      <c r="G9" s="116"/>
      <c r="H9" s="31"/>
    </row>
    <row r="10" spans="1:8" s="5" customFormat="1" ht="15" customHeight="1">
      <c r="A10" s="118"/>
      <c r="B10" s="29"/>
      <c r="C10" s="78"/>
      <c r="D10" s="29"/>
      <c r="E10" s="100"/>
      <c r="F10" s="137"/>
      <c r="G10" s="116"/>
      <c r="H10" s="31"/>
    </row>
    <row r="11" spans="1:8" s="5" customFormat="1" ht="15" customHeight="1">
      <c r="A11" s="118"/>
      <c r="B11" s="29" t="s">
        <v>10</v>
      </c>
      <c r="C11" s="116" t="str">
        <f>'Top Level'!F24</f>
        <v>Favorable cost variance on major raw materials &gt; 3% vs. quoted prices</v>
      </c>
      <c r="D11" s="29"/>
      <c r="E11" s="100"/>
      <c r="F11" s="137"/>
      <c r="G11" s="116"/>
      <c r="H11" s="31"/>
    </row>
    <row r="12" spans="1:8" s="5" customFormat="1" ht="15" customHeight="1">
      <c r="A12" s="119" t="s">
        <v>294</v>
      </c>
      <c r="B12" s="29"/>
      <c r="C12" s="116"/>
      <c r="D12" s="29"/>
      <c r="E12" s="136"/>
      <c r="F12" s="136"/>
      <c r="G12" s="135"/>
      <c r="H12" s="51"/>
    </row>
    <row r="13" spans="1:8" s="5" customFormat="1" ht="15" customHeight="1">
      <c r="A13" s="119"/>
      <c r="B13" s="29"/>
      <c r="C13" s="116"/>
      <c r="D13" s="29" t="s">
        <v>10</v>
      </c>
      <c r="E13" s="136"/>
      <c r="F13" s="136"/>
      <c r="G13" s="135"/>
      <c r="H13" s="31"/>
    </row>
    <row r="14" spans="1:8" s="5" customFormat="1" ht="15" customHeight="1">
      <c r="A14" s="119"/>
      <c r="B14" s="29"/>
      <c r="C14" s="78"/>
      <c r="D14" s="72"/>
      <c r="E14" s="100"/>
      <c r="F14" s="137"/>
      <c r="G14" s="116"/>
      <c r="H14" s="31"/>
    </row>
    <row r="15" spans="1:8" s="5" customFormat="1" ht="15" customHeight="1">
      <c r="A15" s="119"/>
      <c r="B15" s="29" t="s">
        <v>10</v>
      </c>
      <c r="C15" s="135" t="str">
        <f>'Top Level'!F25</f>
        <v>India drawing accuracy &gt; 90% "First Pass Approval Rate" by 2/1/2026</v>
      </c>
      <c r="D15" s="29" t="s">
        <v>10</v>
      </c>
      <c r="E15" s="136"/>
      <c r="F15" s="136"/>
      <c r="G15" s="135"/>
      <c r="H15" s="31"/>
    </row>
    <row r="16" spans="1:8" s="5" customFormat="1" ht="15" customHeight="1">
      <c r="A16" s="119"/>
      <c r="B16" s="29"/>
      <c r="C16" s="135"/>
      <c r="D16" s="29"/>
      <c r="E16" s="75"/>
      <c r="F16" s="75"/>
      <c r="G16" s="56"/>
      <c r="H16" s="31"/>
    </row>
    <row r="17" spans="1:8" s="5" customFormat="1" ht="15" customHeight="1">
      <c r="A17" s="119"/>
      <c r="B17" s="29"/>
      <c r="C17" s="135"/>
      <c r="D17" s="29" t="s">
        <v>10</v>
      </c>
      <c r="E17" s="136"/>
      <c r="F17" s="136"/>
      <c r="G17" s="135"/>
      <c r="H17" s="31"/>
    </row>
    <row r="18" spans="1:8" s="5" customFormat="1" ht="15" customHeight="1">
      <c r="A18" s="119"/>
      <c r="B18" s="29"/>
      <c r="C18" s="14"/>
      <c r="D18" s="29"/>
      <c r="E18" s="136"/>
      <c r="F18" s="136"/>
      <c r="G18" s="135"/>
      <c r="H18" s="31"/>
    </row>
    <row r="19" spans="1:8" s="5" customFormat="1" ht="15" customHeight="1">
      <c r="A19" s="119"/>
      <c r="B19" s="29" t="s">
        <v>10</v>
      </c>
      <c r="C19" s="135" t="str">
        <f>'Top Level'!F26</f>
        <v>Use Compress &amp; Inventor to reduce drawing times by 30%</v>
      </c>
      <c r="D19" s="29"/>
      <c r="E19" s="26"/>
      <c r="F19" s="26"/>
      <c r="G19" s="14"/>
      <c r="H19" s="31"/>
    </row>
    <row r="20" spans="1:8" s="5" customFormat="1" ht="15" customHeight="1">
      <c r="A20" s="119"/>
      <c r="B20" s="29"/>
      <c r="C20" s="135"/>
      <c r="D20" s="29" t="s">
        <v>10</v>
      </c>
      <c r="E20" s="136"/>
      <c r="F20" s="136"/>
      <c r="G20" s="135"/>
      <c r="H20" s="31"/>
    </row>
    <row r="21" spans="1:8" s="5" customFormat="1" ht="15" customHeight="1">
      <c r="A21" s="119"/>
      <c r="B21" s="29"/>
      <c r="C21" s="135"/>
      <c r="D21" s="29"/>
      <c r="E21" s="136"/>
      <c r="F21" s="136"/>
      <c r="G21" s="135"/>
      <c r="H21" s="31"/>
    </row>
    <row r="22" spans="1:8" ht="15" customHeight="1">
      <c r="A22" s="119"/>
      <c r="B22" s="29"/>
      <c r="C22" s="14"/>
      <c r="D22" s="29"/>
      <c r="E22" s="26"/>
      <c r="F22" s="26"/>
      <c r="G22" s="77"/>
      <c r="H22" s="31"/>
    </row>
    <row r="23" spans="1:8" ht="15" customHeight="1">
      <c r="A23" s="119"/>
      <c r="B23" s="29" t="s">
        <v>10</v>
      </c>
      <c r="C23" s="135" t="str">
        <f>'Top Level'!F27</f>
        <v>Add technical resource with expertise in heat transfer and heat exchangers</v>
      </c>
      <c r="D23" s="29" t="s">
        <v>10</v>
      </c>
      <c r="E23" s="136"/>
      <c r="F23" s="136"/>
      <c r="G23" s="135"/>
      <c r="H23" s="51"/>
    </row>
    <row r="24" spans="1:8" ht="15" customHeight="1">
      <c r="A24" s="119"/>
      <c r="B24" s="29"/>
      <c r="C24" s="135"/>
      <c r="D24" s="29"/>
      <c r="E24" s="26"/>
      <c r="F24" s="136"/>
      <c r="G24" s="135"/>
      <c r="H24" s="51"/>
    </row>
    <row r="25" spans="1:8" ht="15" customHeight="1">
      <c r="A25" s="119"/>
      <c r="B25" s="29"/>
      <c r="C25" s="135"/>
      <c r="D25" s="29"/>
      <c r="E25" s="26"/>
      <c r="F25" s="136"/>
      <c r="G25" s="135"/>
      <c r="H25" s="51"/>
    </row>
    <row r="26" spans="1:8" ht="15" customHeight="1">
      <c r="A26" s="119"/>
      <c r="B26" s="29"/>
      <c r="C26" s="14"/>
      <c r="D26" s="29"/>
      <c r="E26" s="26"/>
      <c r="F26" s="136"/>
      <c r="G26" s="135"/>
      <c r="H26" s="51"/>
    </row>
    <row r="27" spans="1:8" ht="15" customHeight="1">
      <c r="A27" s="38"/>
      <c r="B27" s="29"/>
      <c r="C27" s="135"/>
      <c r="D27" s="29" t="s">
        <v>10</v>
      </c>
      <c r="E27" s="136"/>
      <c r="F27" s="136"/>
      <c r="G27" s="135"/>
      <c r="H27" s="51"/>
    </row>
    <row r="28" spans="1:8" ht="15" customHeight="1">
      <c r="A28" s="38"/>
      <c r="B28" s="29"/>
      <c r="C28" s="135"/>
      <c r="D28" s="29"/>
      <c r="E28" s="26"/>
      <c r="F28" s="136"/>
      <c r="G28" s="135"/>
      <c r="H28" s="31"/>
    </row>
    <row r="29" spans="1:8" ht="15" customHeight="1">
      <c r="A29" s="38"/>
      <c r="B29" s="34"/>
      <c r="C29" s="135"/>
      <c r="D29" s="29"/>
      <c r="E29" s="26"/>
      <c r="F29" s="136"/>
      <c r="G29" s="135"/>
      <c r="H29" s="31"/>
    </row>
    <row r="30" spans="1:8" ht="15" customHeight="1">
      <c r="A30" s="38"/>
      <c r="B30" s="34"/>
      <c r="C30" s="33"/>
      <c r="D30" s="29"/>
      <c r="E30" s="26"/>
      <c r="F30" s="136"/>
      <c r="G30" s="135"/>
      <c r="H30" s="31"/>
    </row>
    <row r="31" spans="1:8" ht="15" customHeight="1">
      <c r="A31" s="38"/>
      <c r="B31" s="29"/>
      <c r="C31" s="143"/>
      <c r="D31" s="29"/>
      <c r="E31" s="136"/>
      <c r="F31" s="136"/>
      <c r="G31" s="135"/>
      <c r="H31" s="73"/>
    </row>
    <row r="32" spans="1:8" ht="15" customHeight="1">
      <c r="A32" s="38"/>
      <c r="B32" s="34"/>
      <c r="C32" s="143"/>
      <c r="D32" s="29"/>
      <c r="E32" s="136"/>
      <c r="F32" s="136"/>
      <c r="G32" s="135"/>
      <c r="H32" s="51"/>
    </row>
    <row r="33" spans="1:8" ht="15" customHeight="1">
      <c r="A33" s="38"/>
      <c r="B33" s="34"/>
      <c r="C33" s="109"/>
      <c r="D33" s="29"/>
      <c r="E33" s="26"/>
      <c r="F33" s="136"/>
      <c r="G33" s="135"/>
      <c r="H33" s="51"/>
    </row>
    <row r="34" spans="1:8" ht="15" customHeight="1">
      <c r="A34" s="38"/>
      <c r="B34" s="29"/>
      <c r="C34" s="143"/>
      <c r="D34" s="29"/>
      <c r="E34" s="26"/>
      <c r="F34" s="26"/>
      <c r="G34" s="14"/>
      <c r="H34" s="51"/>
    </row>
    <row r="35" spans="1:8" ht="15" customHeight="1">
      <c r="A35" s="38"/>
      <c r="B35" s="34"/>
      <c r="C35" s="143"/>
      <c r="D35" s="29"/>
      <c r="E35" s="26"/>
      <c r="F35" s="26"/>
      <c r="G35" s="14"/>
      <c r="H35" s="51"/>
    </row>
    <row r="36" spans="1:8" ht="15" customHeight="1">
      <c r="A36" s="38"/>
      <c r="B36" s="34"/>
      <c r="C36" s="143"/>
      <c r="D36" s="29"/>
      <c r="E36" s="26"/>
      <c r="F36" s="136"/>
      <c r="G36" s="135"/>
      <c r="H36" s="51"/>
    </row>
    <row r="37" spans="1:8" ht="15" customHeight="1">
      <c r="A37" s="38"/>
      <c r="B37" s="34"/>
      <c r="C37" s="33"/>
      <c r="D37" s="29"/>
      <c r="E37" s="26"/>
      <c r="F37" s="75"/>
      <c r="G37" s="56"/>
      <c r="H37" s="51"/>
    </row>
    <row r="38" spans="1:8" ht="15" customHeight="1">
      <c r="A38" s="38"/>
      <c r="B38" s="29"/>
      <c r="C38" s="143"/>
      <c r="D38" s="29"/>
      <c r="E38" s="26"/>
      <c r="F38" s="75"/>
      <c r="G38" s="56"/>
      <c r="H38" s="51"/>
    </row>
    <row r="39" spans="1:8" ht="15" customHeight="1">
      <c r="A39" s="38"/>
      <c r="B39" s="34"/>
      <c r="C39" s="143"/>
      <c r="D39" s="29"/>
      <c r="E39" s="26"/>
      <c r="F39" s="75"/>
      <c r="G39" s="56"/>
      <c r="H39" s="51"/>
    </row>
    <row r="40" spans="1:8" ht="15" customHeight="1">
      <c r="A40" s="38"/>
      <c r="B40" s="34"/>
      <c r="C40" s="143"/>
      <c r="D40" s="29"/>
      <c r="E40" s="26"/>
      <c r="F40" s="136"/>
      <c r="G40" s="135"/>
      <c r="H40" s="51"/>
    </row>
    <row r="41" spans="1:8" ht="15" customHeight="1">
      <c r="A41" s="38"/>
      <c r="B41" s="34"/>
      <c r="C41" s="33"/>
      <c r="D41" s="29"/>
      <c r="E41" s="26"/>
      <c r="F41" s="26"/>
      <c r="G41" s="56"/>
      <c r="H41" s="51"/>
    </row>
    <row r="42" spans="1:8" ht="15" customHeight="1" thickBot="1">
      <c r="A42" s="58"/>
      <c r="B42" s="35"/>
      <c r="C42" s="36"/>
      <c r="D42" s="49"/>
      <c r="E42" s="10"/>
      <c r="F42" s="10"/>
      <c r="G42" s="19"/>
      <c r="H42" s="32"/>
    </row>
    <row r="43" spans="1:8" ht="15" customHeight="1"/>
    <row r="44" spans="1:8" ht="15" customHeight="1"/>
  </sheetData>
  <mergeCells count="41">
    <mergeCell ref="C38:C40"/>
    <mergeCell ref="F40:G40"/>
    <mergeCell ref="F33:G33"/>
    <mergeCell ref="E32:G32"/>
    <mergeCell ref="E17:G18"/>
    <mergeCell ref="E20:G21"/>
    <mergeCell ref="E27:G27"/>
    <mergeCell ref="F28:G28"/>
    <mergeCell ref="F29:G29"/>
    <mergeCell ref="F30:G30"/>
    <mergeCell ref="C15:C17"/>
    <mergeCell ref="A6:A11"/>
    <mergeCell ref="A12:A26"/>
    <mergeCell ref="E23:G23"/>
    <mergeCell ref="F9:G9"/>
    <mergeCell ref="F10:G10"/>
    <mergeCell ref="E12:G12"/>
    <mergeCell ref="E13:G13"/>
    <mergeCell ref="F11:G11"/>
    <mergeCell ref="F24:G24"/>
    <mergeCell ref="F25:G25"/>
    <mergeCell ref="F26:G26"/>
    <mergeCell ref="C6:C9"/>
    <mergeCell ref="C11:C13"/>
    <mergeCell ref="H3:H4"/>
    <mergeCell ref="D3:G3"/>
    <mergeCell ref="C27:C29"/>
    <mergeCell ref="C34:C36"/>
    <mergeCell ref="C19:C21"/>
    <mergeCell ref="C23:C25"/>
    <mergeCell ref="E31:G31"/>
    <mergeCell ref="E6:G6"/>
    <mergeCell ref="B3:C3"/>
    <mergeCell ref="F36:G36"/>
    <mergeCell ref="C31:C32"/>
    <mergeCell ref="C1:G1"/>
    <mergeCell ref="B4:C4"/>
    <mergeCell ref="E15:G15"/>
    <mergeCell ref="F7:G7"/>
    <mergeCell ref="F8:G8"/>
    <mergeCell ref="F14:G14"/>
  </mergeCells>
  <pageMargins left="0.4" right="0.4" top="0.5" bottom="0.5" header="0.3" footer="0.3"/>
  <pageSetup scale="7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C797-0FAA-46F4-AE4C-A45FAFDE304C}">
  <dimension ref="A1:H44"/>
  <sheetViews>
    <sheetView workbookViewId="0">
      <selection activeCell="D21" sqref="D21"/>
    </sheetView>
  </sheetViews>
  <sheetFormatPr defaultRowHeight="15"/>
  <cols>
    <col min="1" max="1" width="21.28515625" style="2" customWidth="1"/>
    <col min="2" max="2" width="2.28515625" style="2" customWidth="1"/>
    <col min="3" max="3" width="29.140625" style="2" customWidth="1"/>
    <col min="4" max="4" width="2.85546875" style="2" customWidth="1"/>
    <col min="5" max="6" width="2.5703125" style="2" customWidth="1"/>
    <col min="7" max="7" width="103.28515625" style="2" customWidth="1"/>
    <col min="8" max="8" width="16.140625" style="2" customWidth="1"/>
  </cols>
  <sheetData>
    <row r="1" spans="1:8" s="4" customFormat="1" ht="26.25">
      <c r="A1" s="16" t="str">
        <f>'Top Level'!A1</f>
        <v>OGSM 2026</v>
      </c>
      <c r="B1" s="16"/>
      <c r="C1" s="120" t="str">
        <f>'Top Level'!C1:F1</f>
        <v>Savannah Tank and Equipment</v>
      </c>
      <c r="D1" s="120"/>
      <c r="E1" s="120"/>
      <c r="F1" s="120"/>
      <c r="G1" s="120"/>
      <c r="H1" s="17"/>
    </row>
    <row r="2" spans="1:8" s="3" customFormat="1" ht="21.75" thickBot="1">
      <c r="A2" s="18" t="str">
        <f>'Top Level'!A2</f>
        <v>Version 1.0</v>
      </c>
      <c r="B2" s="18"/>
      <c r="C2" s="7"/>
      <c r="D2" s="6"/>
      <c r="E2" s="6"/>
      <c r="F2" s="6"/>
      <c r="G2" s="8"/>
      <c r="H2" s="9"/>
    </row>
    <row r="3" spans="1:8" s="15" customFormat="1" ht="18.75" customHeight="1">
      <c r="A3" s="59" t="s">
        <v>11</v>
      </c>
      <c r="B3" s="133" t="s">
        <v>6</v>
      </c>
      <c r="C3" s="121"/>
      <c r="D3" s="133" t="s">
        <v>12</v>
      </c>
      <c r="E3" s="134"/>
      <c r="F3" s="134"/>
      <c r="G3" s="121"/>
      <c r="H3" s="129" t="s">
        <v>8</v>
      </c>
    </row>
    <row r="4" spans="1:8" s="15" customFormat="1" ht="38.25" customHeight="1" thickBot="1">
      <c r="A4" s="61" t="s">
        <v>5</v>
      </c>
      <c r="B4" s="140" t="s">
        <v>7</v>
      </c>
      <c r="C4" s="141"/>
      <c r="D4" s="52"/>
      <c r="E4" s="57"/>
      <c r="F4" s="57"/>
      <c r="G4" s="53"/>
      <c r="H4" s="130"/>
    </row>
    <row r="5" spans="1:8" s="1" customFormat="1" ht="15.75" thickBot="1">
      <c r="A5" s="62"/>
      <c r="B5" s="20"/>
      <c r="C5" s="21"/>
      <c r="D5" s="46"/>
      <c r="E5" s="47"/>
      <c r="F5" s="47"/>
      <c r="G5" s="21"/>
      <c r="H5" s="50"/>
    </row>
    <row r="6" spans="1:8" s="5" customFormat="1" ht="15" customHeight="1">
      <c r="A6" s="117" t="s">
        <v>497</v>
      </c>
      <c r="B6" s="28" t="s">
        <v>10</v>
      </c>
      <c r="C6" s="142" t="str">
        <f>'Top Level'!F29</f>
        <v>Zero customer complaints / quality "escapes" (U.S.) in 2026</v>
      </c>
      <c r="D6" s="112" t="s">
        <v>10</v>
      </c>
      <c r="E6" s="144"/>
      <c r="F6" s="144"/>
      <c r="G6" s="142"/>
      <c r="H6" s="51"/>
    </row>
    <row r="7" spans="1:8" s="5" customFormat="1" ht="15" customHeight="1">
      <c r="A7" s="118"/>
      <c r="B7" s="37"/>
      <c r="C7" s="135"/>
      <c r="D7" s="26"/>
      <c r="E7" s="136"/>
      <c r="F7" s="136"/>
      <c r="G7" s="135"/>
      <c r="H7" s="31"/>
    </row>
    <row r="8" spans="1:8" s="5" customFormat="1" ht="15" customHeight="1">
      <c r="A8" s="118"/>
      <c r="B8" s="29"/>
      <c r="C8" s="14"/>
      <c r="D8" s="26"/>
      <c r="E8" s="136"/>
      <c r="F8" s="136"/>
      <c r="G8" s="135"/>
      <c r="H8" s="31"/>
    </row>
    <row r="9" spans="1:8" s="5" customFormat="1" ht="15" customHeight="1">
      <c r="A9" s="118"/>
      <c r="B9" s="29" t="s">
        <v>10</v>
      </c>
      <c r="C9" s="143" t="str">
        <f>'Top Level'!F30</f>
        <v>Retain U.S. ASME certification with successful ASME Joint Review (May 2026)</v>
      </c>
      <c r="D9" s="26" t="s">
        <v>10</v>
      </c>
      <c r="E9" s="136"/>
      <c r="F9" s="136"/>
      <c r="G9" s="135"/>
      <c r="H9" s="31"/>
    </row>
    <row r="10" spans="1:8" s="5" customFormat="1" ht="15" customHeight="1">
      <c r="A10" s="118"/>
      <c r="B10" s="29"/>
      <c r="C10" s="143"/>
      <c r="D10" s="26"/>
      <c r="E10" s="136"/>
      <c r="F10" s="136"/>
      <c r="G10" s="135"/>
      <c r="H10" s="31"/>
    </row>
    <row r="11" spans="1:8" s="5" customFormat="1" ht="15" customHeight="1">
      <c r="A11" s="118"/>
      <c r="B11" s="29"/>
      <c r="C11" s="143"/>
      <c r="D11" s="26" t="s">
        <v>10</v>
      </c>
      <c r="E11" s="136"/>
      <c r="F11" s="136"/>
      <c r="G11" s="135"/>
      <c r="H11" s="31"/>
    </row>
    <row r="12" spans="1:8" s="5" customFormat="1" ht="15" customHeight="1">
      <c r="A12" s="118"/>
      <c r="B12" s="29"/>
      <c r="C12" s="40"/>
      <c r="D12" s="26"/>
      <c r="E12" s="136"/>
      <c r="F12" s="136"/>
      <c r="G12" s="135"/>
      <c r="H12" s="51"/>
    </row>
    <row r="13" spans="1:8" s="5" customFormat="1" ht="15" customHeight="1">
      <c r="A13" s="119" t="s">
        <v>515</v>
      </c>
      <c r="B13" s="29" t="s">
        <v>10</v>
      </c>
      <c r="C13" s="143" t="str">
        <f>'Top Level'!F31</f>
        <v>Develop and deploy Visual Quality Standards Guide across U.S. and India operations by 12/31/2026</v>
      </c>
      <c r="D13" s="26" t="s">
        <v>10</v>
      </c>
      <c r="E13" s="136"/>
      <c r="F13" s="136"/>
      <c r="G13" s="135"/>
      <c r="H13" s="31"/>
    </row>
    <row r="14" spans="1:8" s="5" customFormat="1" ht="15" customHeight="1">
      <c r="A14" s="119"/>
      <c r="B14" s="29"/>
      <c r="C14" s="143"/>
      <c r="D14" s="26"/>
      <c r="E14" s="136"/>
      <c r="F14" s="136"/>
      <c r="G14" s="135"/>
      <c r="H14" s="31"/>
    </row>
    <row r="15" spans="1:8" s="5" customFormat="1" ht="15" customHeight="1">
      <c r="A15" s="119"/>
      <c r="B15" s="29"/>
      <c r="C15" s="143"/>
      <c r="D15" s="26" t="s">
        <v>10</v>
      </c>
      <c r="E15" s="136"/>
      <c r="F15" s="136"/>
      <c r="G15" s="135"/>
      <c r="H15" s="31"/>
    </row>
    <row r="16" spans="1:8" s="5" customFormat="1" ht="15" customHeight="1">
      <c r="A16" s="119"/>
      <c r="B16" s="29"/>
      <c r="C16" s="143"/>
      <c r="D16" s="26"/>
      <c r="E16" s="75"/>
      <c r="F16" s="75"/>
      <c r="G16" s="56"/>
      <c r="H16" s="31"/>
    </row>
    <row r="17" spans="1:8" s="5" customFormat="1" ht="15" customHeight="1">
      <c r="A17" s="119"/>
      <c r="B17" s="29"/>
      <c r="C17" s="40"/>
      <c r="D17" s="26" t="s">
        <v>10</v>
      </c>
      <c r="E17" s="136"/>
      <c r="F17" s="136"/>
      <c r="G17" s="135"/>
      <c r="H17" s="31"/>
    </row>
    <row r="18" spans="1:8" s="5" customFormat="1" ht="15" customHeight="1">
      <c r="A18" s="119"/>
      <c r="B18" s="29" t="s">
        <v>10</v>
      </c>
      <c r="C18" s="143" t="str">
        <f>'Top Level'!F33</f>
        <v>Implement comprehensive, reliable, and timely process to review and approve India fabrication prior to shipment to U.S.  Process in place by 4/1/2026.</v>
      </c>
      <c r="D18" s="26"/>
      <c r="E18" s="136"/>
      <c r="F18" s="136"/>
      <c r="G18" s="135"/>
      <c r="H18" s="31"/>
    </row>
    <row r="19" spans="1:8" s="5" customFormat="1" ht="15" customHeight="1">
      <c r="A19" s="119"/>
      <c r="B19" s="29"/>
      <c r="C19" s="143"/>
      <c r="D19" s="26"/>
      <c r="E19" s="26"/>
      <c r="F19" s="26"/>
      <c r="G19" s="14"/>
      <c r="H19" s="31"/>
    </row>
    <row r="20" spans="1:8" s="5" customFormat="1" ht="15" customHeight="1">
      <c r="A20" s="119"/>
      <c r="B20" s="29"/>
      <c r="C20" s="143"/>
      <c r="D20" s="26" t="s">
        <v>10</v>
      </c>
      <c r="E20" s="136" t="s">
        <v>427</v>
      </c>
      <c r="F20" s="136"/>
      <c r="G20" s="135"/>
      <c r="H20" s="31"/>
    </row>
    <row r="21" spans="1:8" s="5" customFormat="1" ht="15" customHeight="1">
      <c r="A21" s="119"/>
      <c r="B21" s="29"/>
      <c r="C21" s="143"/>
      <c r="D21" s="26"/>
      <c r="E21" s="136"/>
      <c r="F21" s="136"/>
      <c r="G21" s="135"/>
      <c r="H21" s="31"/>
    </row>
    <row r="22" spans="1:8" ht="15" customHeight="1">
      <c r="A22" s="119"/>
      <c r="B22" s="29"/>
      <c r="C22" s="143"/>
      <c r="D22" s="26"/>
      <c r="E22" s="26"/>
      <c r="F22" s="26"/>
      <c r="G22" s="77"/>
      <c r="H22" s="31"/>
    </row>
    <row r="23" spans="1:8" ht="15" customHeight="1">
      <c r="A23" s="119"/>
      <c r="B23" s="29"/>
      <c r="C23" s="143"/>
      <c r="D23" s="26" t="s">
        <v>10</v>
      </c>
      <c r="E23" s="136" t="s">
        <v>193</v>
      </c>
      <c r="F23" s="136"/>
      <c r="G23" s="135"/>
      <c r="H23" s="51"/>
    </row>
    <row r="24" spans="1:8" ht="15" customHeight="1">
      <c r="A24" s="119"/>
      <c r="B24" s="29"/>
      <c r="C24" s="40"/>
      <c r="D24" s="26"/>
      <c r="E24" s="26" t="s">
        <v>10</v>
      </c>
      <c r="F24" s="136" t="s">
        <v>428</v>
      </c>
      <c r="G24" s="135"/>
      <c r="H24" s="51"/>
    </row>
    <row r="25" spans="1:8" ht="15" customHeight="1">
      <c r="A25" s="119"/>
      <c r="B25" s="29" t="s">
        <v>10</v>
      </c>
      <c r="C25" s="143" t="str">
        <f>'Top Level'!F36</f>
        <v>Zero customer complaints / quality "escapes" (India) in 2026</v>
      </c>
      <c r="D25" s="26"/>
      <c r="E25" s="26" t="s">
        <v>10</v>
      </c>
      <c r="F25" s="136" t="s">
        <v>300</v>
      </c>
      <c r="G25" s="135"/>
      <c r="H25" s="51"/>
    </row>
    <row r="26" spans="1:8" ht="15" customHeight="1">
      <c r="A26" s="119"/>
      <c r="B26" s="29"/>
      <c r="C26" s="143"/>
      <c r="D26" s="26"/>
      <c r="E26" s="26"/>
      <c r="F26" s="136"/>
      <c r="G26" s="135"/>
      <c r="H26" s="51"/>
    </row>
    <row r="27" spans="1:8" ht="15" customHeight="1">
      <c r="A27" s="38"/>
      <c r="B27" s="29"/>
      <c r="C27" s="40"/>
      <c r="D27" s="26" t="s">
        <v>10</v>
      </c>
      <c r="E27" s="136" t="s">
        <v>429</v>
      </c>
      <c r="F27" s="136"/>
      <c r="G27" s="135"/>
      <c r="H27" s="51"/>
    </row>
    <row r="28" spans="1:8" ht="15" customHeight="1">
      <c r="A28" s="38"/>
      <c r="B28" s="29" t="s">
        <v>10</v>
      </c>
      <c r="C28" s="143" t="str">
        <f>'Top Level'!F37</f>
        <v>Attain ISO-9001 certification in India by 6/30/2026</v>
      </c>
      <c r="D28" s="26"/>
      <c r="E28" s="26" t="s">
        <v>10</v>
      </c>
      <c r="F28" s="136" t="s">
        <v>430</v>
      </c>
      <c r="G28" s="135"/>
      <c r="H28" s="31"/>
    </row>
    <row r="29" spans="1:8" ht="15" customHeight="1">
      <c r="A29" s="38"/>
      <c r="B29" s="34"/>
      <c r="C29" s="143"/>
      <c r="D29" s="26"/>
      <c r="E29" s="26" t="s">
        <v>10</v>
      </c>
      <c r="F29" s="136" t="s">
        <v>431</v>
      </c>
      <c r="G29" s="135"/>
      <c r="H29" s="31"/>
    </row>
    <row r="30" spans="1:8" ht="15" customHeight="1">
      <c r="A30" s="38"/>
      <c r="B30" s="34"/>
      <c r="C30" s="40"/>
      <c r="D30" s="26"/>
      <c r="E30" s="26" t="s">
        <v>10</v>
      </c>
      <c r="F30" s="136" t="s">
        <v>437</v>
      </c>
      <c r="G30" s="135"/>
      <c r="H30" s="31"/>
    </row>
    <row r="31" spans="1:8" ht="15" customHeight="1">
      <c r="A31" s="38"/>
      <c r="B31" s="29"/>
      <c r="C31" s="40"/>
      <c r="D31" s="26"/>
      <c r="E31" s="136"/>
      <c r="F31" s="136"/>
      <c r="G31" s="135"/>
      <c r="H31" s="73"/>
    </row>
    <row r="32" spans="1:8" ht="15" customHeight="1">
      <c r="A32" s="38"/>
      <c r="B32" s="34"/>
      <c r="C32" s="40"/>
      <c r="D32" s="26"/>
      <c r="E32" s="136"/>
      <c r="F32" s="136"/>
      <c r="G32" s="135"/>
      <c r="H32" s="51"/>
    </row>
    <row r="33" spans="1:8" ht="15" customHeight="1">
      <c r="A33" s="38"/>
      <c r="B33" s="34"/>
      <c r="C33" s="40"/>
      <c r="D33" s="26"/>
      <c r="E33" s="26"/>
      <c r="F33" s="136"/>
      <c r="G33" s="135"/>
      <c r="H33" s="51"/>
    </row>
    <row r="34" spans="1:8" ht="15" customHeight="1">
      <c r="A34" s="38"/>
      <c r="B34" s="29"/>
      <c r="C34" s="40"/>
      <c r="D34" s="26"/>
      <c r="E34" s="26"/>
      <c r="F34" s="26"/>
      <c r="G34" s="14"/>
      <c r="H34" s="51"/>
    </row>
    <row r="35" spans="1:8" ht="15" customHeight="1">
      <c r="A35" s="38"/>
      <c r="B35" s="34"/>
      <c r="C35" s="40"/>
      <c r="D35" s="26"/>
      <c r="E35" s="26"/>
      <c r="F35" s="26"/>
      <c r="G35" s="14"/>
      <c r="H35" s="51"/>
    </row>
    <row r="36" spans="1:8" ht="15" customHeight="1">
      <c r="A36" s="38"/>
      <c r="B36" s="34"/>
      <c r="C36" s="40"/>
      <c r="D36" s="26"/>
      <c r="E36" s="26"/>
      <c r="F36" s="136"/>
      <c r="G36" s="135"/>
      <c r="H36" s="51"/>
    </row>
    <row r="37" spans="1:8" ht="15" customHeight="1">
      <c r="A37" s="38"/>
      <c r="B37" s="34"/>
      <c r="C37" s="40"/>
      <c r="D37" s="26"/>
      <c r="E37" s="26"/>
      <c r="F37" s="75"/>
      <c r="G37" s="56"/>
      <c r="H37" s="51"/>
    </row>
    <row r="38" spans="1:8" ht="15" customHeight="1">
      <c r="A38" s="38"/>
      <c r="B38" s="29"/>
      <c r="C38" s="40"/>
      <c r="D38" s="26"/>
      <c r="E38" s="26"/>
      <c r="F38" s="75"/>
      <c r="G38" s="56"/>
      <c r="H38" s="51"/>
    </row>
    <row r="39" spans="1:8" ht="15" customHeight="1">
      <c r="A39" s="38"/>
      <c r="B39" s="34"/>
      <c r="C39" s="40"/>
      <c r="D39" s="26"/>
      <c r="E39" s="26"/>
      <c r="F39" s="75"/>
      <c r="G39" s="56"/>
      <c r="H39" s="51"/>
    </row>
    <row r="40" spans="1:8" ht="15" customHeight="1">
      <c r="A40" s="38"/>
      <c r="B40" s="34"/>
      <c r="C40" s="40"/>
      <c r="D40" s="26"/>
      <c r="E40" s="26"/>
      <c r="F40" s="136"/>
      <c r="G40" s="135"/>
      <c r="H40" s="51"/>
    </row>
    <row r="41" spans="1:8" ht="15" customHeight="1">
      <c r="A41" s="38"/>
      <c r="B41" s="34"/>
      <c r="C41" s="33"/>
      <c r="D41" s="26"/>
      <c r="E41" s="26"/>
      <c r="F41" s="26"/>
      <c r="G41" s="56"/>
      <c r="H41" s="51"/>
    </row>
    <row r="42" spans="1:8" ht="15" customHeight="1" thickBot="1">
      <c r="A42" s="58"/>
      <c r="B42" s="35"/>
      <c r="C42" s="36"/>
      <c r="D42" s="113"/>
      <c r="E42" s="10"/>
      <c r="F42" s="10"/>
      <c r="G42" s="19"/>
      <c r="H42" s="32"/>
    </row>
    <row r="43" spans="1:8" ht="15" customHeight="1"/>
    <row r="44" spans="1:8" ht="15" customHeight="1"/>
  </sheetData>
  <mergeCells count="38">
    <mergeCell ref="A6:A12"/>
    <mergeCell ref="A13:A26"/>
    <mergeCell ref="C13:C16"/>
    <mergeCell ref="C18:C23"/>
    <mergeCell ref="C25:C26"/>
    <mergeCell ref="C9:C11"/>
    <mergeCell ref="C28:C29"/>
    <mergeCell ref="F40:G40"/>
    <mergeCell ref="E7:G7"/>
    <mergeCell ref="E8:G8"/>
    <mergeCell ref="E9:G9"/>
    <mergeCell ref="E10:G10"/>
    <mergeCell ref="E11:G11"/>
    <mergeCell ref="E14:G14"/>
    <mergeCell ref="E31:G31"/>
    <mergeCell ref="E32:G32"/>
    <mergeCell ref="F33:G33"/>
    <mergeCell ref="F36:G36"/>
    <mergeCell ref="F26:G26"/>
    <mergeCell ref="E27:G27"/>
    <mergeCell ref="F28:G28"/>
    <mergeCell ref="F29:G29"/>
    <mergeCell ref="F30:G30"/>
    <mergeCell ref="E17:G18"/>
    <mergeCell ref="E20:G21"/>
    <mergeCell ref="E23:G23"/>
    <mergeCell ref="F24:G24"/>
    <mergeCell ref="F25:G25"/>
    <mergeCell ref="E13:G13"/>
    <mergeCell ref="E15:G15"/>
    <mergeCell ref="C1:G1"/>
    <mergeCell ref="B3:C3"/>
    <mergeCell ref="D3:G3"/>
    <mergeCell ref="H3:H4"/>
    <mergeCell ref="B4:C4"/>
    <mergeCell ref="C6:C7"/>
    <mergeCell ref="E6:G6"/>
    <mergeCell ref="E12:G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48"/>
  <sheetViews>
    <sheetView showGridLines="0" zoomScale="110" zoomScaleNormal="110" workbookViewId="0">
      <selection activeCell="G28" sqref="G28"/>
    </sheetView>
  </sheetViews>
  <sheetFormatPr defaultRowHeight="15"/>
  <cols>
    <col min="1" max="1" width="21.28515625" style="2" customWidth="1"/>
    <col min="2" max="2" width="2.28515625" style="2" customWidth="1"/>
    <col min="3" max="3" width="29.140625" style="2" customWidth="1"/>
    <col min="4" max="4" width="2.85546875" style="2" customWidth="1"/>
    <col min="5" max="6" width="2.5703125" style="2" customWidth="1"/>
    <col min="7" max="7" width="102.28515625" style="2" customWidth="1"/>
    <col min="8" max="8" width="16.140625" style="2" customWidth="1"/>
  </cols>
  <sheetData>
    <row r="1" spans="1:8" s="4" customFormat="1" ht="26.25">
      <c r="A1" s="16" t="str">
        <f>'Top Level'!A1</f>
        <v>OGSM 2026</v>
      </c>
      <c r="B1" s="16"/>
      <c r="C1" s="120" t="str">
        <f>'Top Level'!C1:F1</f>
        <v>Savannah Tank and Equipment</v>
      </c>
      <c r="D1" s="120"/>
      <c r="E1" s="120"/>
      <c r="F1" s="120"/>
      <c r="G1" s="120"/>
      <c r="H1" s="17"/>
    </row>
    <row r="2" spans="1:8" s="3" customFormat="1" ht="21.75" thickBot="1">
      <c r="A2" s="18" t="str">
        <f>'Top Level'!A2</f>
        <v>Version 1.0</v>
      </c>
      <c r="B2" s="18"/>
      <c r="C2" s="7"/>
      <c r="D2" s="6"/>
      <c r="E2" s="6"/>
      <c r="F2" s="6"/>
      <c r="G2" s="8"/>
      <c r="H2" s="9"/>
    </row>
    <row r="3" spans="1:8" s="15" customFormat="1" ht="18.75" customHeight="1">
      <c r="A3" s="59" t="s">
        <v>11</v>
      </c>
      <c r="B3" s="133" t="s">
        <v>6</v>
      </c>
      <c r="C3" s="121"/>
      <c r="D3" s="133" t="s">
        <v>12</v>
      </c>
      <c r="E3" s="134"/>
      <c r="F3" s="134"/>
      <c r="G3" s="121"/>
      <c r="H3" s="129" t="s">
        <v>8</v>
      </c>
    </row>
    <row r="4" spans="1:8" s="15" customFormat="1" ht="38.25" customHeight="1" thickBot="1">
      <c r="A4" s="61" t="s">
        <v>5</v>
      </c>
      <c r="B4" s="140" t="s">
        <v>7</v>
      </c>
      <c r="C4" s="141"/>
      <c r="D4" s="52"/>
      <c r="E4" s="57"/>
      <c r="F4" s="57"/>
      <c r="G4" s="53"/>
      <c r="H4" s="130"/>
    </row>
    <row r="5" spans="1:8" s="1" customFormat="1" ht="15.75" thickBot="1">
      <c r="A5" s="62"/>
      <c r="B5" s="20"/>
      <c r="C5" s="21"/>
      <c r="D5" s="46"/>
      <c r="E5" s="47"/>
      <c r="F5" s="47"/>
      <c r="G5" s="21"/>
      <c r="H5" s="50"/>
    </row>
    <row r="6" spans="1:8" s="5" customFormat="1" ht="15" customHeight="1">
      <c r="A6" s="127" t="str">
        <f>'Top Level'!D39</f>
        <v>Expand Savannah Tank Team in US and India to Meet Increased Customer Demand.  Embed a Culture of Safety, Quality, and Efficiency on the Shop Floor.</v>
      </c>
      <c r="B6" s="28" t="s">
        <v>10</v>
      </c>
      <c r="C6" s="142" t="str">
        <f>'Top Level'!F39</f>
        <v>US customer lead times less than 20 weeks throughout 2026</v>
      </c>
      <c r="D6" s="28" t="s">
        <v>10</v>
      </c>
      <c r="E6" s="145" t="s">
        <v>516</v>
      </c>
      <c r="F6" s="145"/>
      <c r="G6" s="115"/>
      <c r="H6" s="30"/>
    </row>
    <row r="7" spans="1:8" s="5" customFormat="1" ht="15" customHeight="1">
      <c r="A7" s="128"/>
      <c r="B7" s="37"/>
      <c r="C7" s="135"/>
      <c r="D7" s="48"/>
      <c r="E7" s="100" t="s">
        <v>10</v>
      </c>
      <c r="F7" s="137" t="s">
        <v>517</v>
      </c>
      <c r="G7" s="116"/>
      <c r="H7" s="31" t="s">
        <v>13</v>
      </c>
    </row>
    <row r="8" spans="1:8" s="5" customFormat="1" ht="15" customHeight="1">
      <c r="A8" s="128"/>
      <c r="B8" s="29"/>
      <c r="C8" s="14"/>
      <c r="D8" s="29"/>
      <c r="E8" s="100" t="s">
        <v>10</v>
      </c>
      <c r="F8" s="137" t="s">
        <v>518</v>
      </c>
      <c r="G8" s="116"/>
      <c r="H8" s="31" t="s">
        <v>13</v>
      </c>
    </row>
    <row r="9" spans="1:8" s="5" customFormat="1" ht="15" customHeight="1">
      <c r="A9" s="128"/>
      <c r="B9" s="29" t="s">
        <v>10</v>
      </c>
      <c r="C9" s="14" t="str">
        <f>'Top Level'!F40</f>
        <v>Zero lost time accidents in 2026 (U.S.)</v>
      </c>
      <c r="D9" s="29"/>
      <c r="E9" s="100" t="s">
        <v>10</v>
      </c>
      <c r="F9" s="137" t="s">
        <v>519</v>
      </c>
      <c r="G9" s="116"/>
      <c r="H9" s="31" t="s">
        <v>13</v>
      </c>
    </row>
    <row r="10" spans="1:8" s="5" customFormat="1" ht="15" customHeight="1">
      <c r="A10" s="128"/>
      <c r="B10" s="29"/>
      <c r="C10" s="14"/>
      <c r="D10" s="29"/>
      <c r="E10" s="100"/>
      <c r="F10" s="90"/>
      <c r="G10" s="77"/>
      <c r="H10" s="31"/>
    </row>
    <row r="11" spans="1:8" s="5" customFormat="1" ht="15" customHeight="1">
      <c r="A11" s="128"/>
      <c r="B11" s="29" t="s">
        <v>10</v>
      </c>
      <c r="C11" s="135" t="str">
        <f>'Top Level'!F41</f>
        <v>Zero OSHA violations / citations in 2026</v>
      </c>
      <c r="D11" s="29" t="s">
        <v>10</v>
      </c>
      <c r="E11" s="137" t="s">
        <v>425</v>
      </c>
      <c r="F11" s="137"/>
      <c r="G11" s="116"/>
      <c r="H11" s="31"/>
    </row>
    <row r="12" spans="1:8" s="5" customFormat="1" ht="15" customHeight="1">
      <c r="A12" s="128"/>
      <c r="B12" s="29"/>
      <c r="C12" s="135"/>
      <c r="D12" s="29"/>
      <c r="E12" s="100" t="s">
        <v>10</v>
      </c>
      <c r="F12" s="137" t="s">
        <v>520</v>
      </c>
      <c r="G12" s="116"/>
      <c r="H12" s="31" t="s">
        <v>298</v>
      </c>
    </row>
    <row r="13" spans="1:8" s="5" customFormat="1" ht="15" customHeight="1">
      <c r="A13" s="128"/>
      <c r="B13" s="29"/>
      <c r="C13" s="14"/>
      <c r="D13" s="29"/>
      <c r="E13" s="100" t="s">
        <v>10</v>
      </c>
      <c r="F13" s="137" t="s">
        <v>432</v>
      </c>
      <c r="G13" s="116"/>
      <c r="H13" s="31" t="s">
        <v>298</v>
      </c>
    </row>
    <row r="14" spans="1:8" s="5" customFormat="1" ht="15" customHeight="1">
      <c r="A14" s="119" t="s">
        <v>344</v>
      </c>
      <c r="B14" s="29" t="s">
        <v>10</v>
      </c>
      <c r="C14" s="135" t="str">
        <f>'Top Level'!F43</f>
        <v>Zero lost time accidents in 2026 (India)</v>
      </c>
      <c r="D14" s="29"/>
      <c r="E14" s="100" t="s">
        <v>10</v>
      </c>
      <c r="F14" s="137" t="s">
        <v>426</v>
      </c>
      <c r="G14" s="116"/>
      <c r="H14" s="31" t="s">
        <v>13</v>
      </c>
    </row>
    <row r="15" spans="1:8" s="5" customFormat="1" ht="15" customHeight="1">
      <c r="A15" s="119"/>
      <c r="B15" s="29"/>
      <c r="C15" s="135"/>
      <c r="D15" s="29"/>
      <c r="E15" s="136"/>
      <c r="F15" s="136"/>
      <c r="G15" s="135"/>
      <c r="H15" s="31"/>
    </row>
    <row r="16" spans="1:8" s="5" customFormat="1" ht="15" customHeight="1">
      <c r="A16" s="119"/>
      <c r="B16" s="29"/>
      <c r="C16" s="14"/>
      <c r="D16" s="29" t="s">
        <v>10</v>
      </c>
      <c r="E16" s="137" t="s">
        <v>274</v>
      </c>
      <c r="F16" s="137"/>
      <c r="G16" s="116"/>
      <c r="H16" s="31"/>
    </row>
    <row r="17" spans="1:8" s="5" customFormat="1" ht="15" customHeight="1">
      <c r="A17" s="119"/>
      <c r="B17" s="29"/>
      <c r="C17" s="135"/>
      <c r="D17" s="29"/>
      <c r="E17" s="100" t="s">
        <v>10</v>
      </c>
      <c r="F17" s="137" t="s">
        <v>409</v>
      </c>
      <c r="G17" s="116"/>
      <c r="H17" s="31" t="s">
        <v>298</v>
      </c>
    </row>
    <row r="18" spans="1:8" ht="15" customHeight="1">
      <c r="A18" s="119"/>
      <c r="B18" s="55"/>
      <c r="C18" s="135"/>
      <c r="D18" s="29"/>
      <c r="E18" s="100" t="s">
        <v>10</v>
      </c>
      <c r="F18" s="137" t="s">
        <v>410</v>
      </c>
      <c r="G18" s="116"/>
      <c r="H18" s="31" t="s">
        <v>298</v>
      </c>
    </row>
    <row r="19" spans="1:8" ht="15" customHeight="1">
      <c r="A19" s="119"/>
      <c r="B19" s="29"/>
      <c r="C19" s="14"/>
      <c r="D19" s="29"/>
      <c r="E19" s="26"/>
      <c r="F19" s="137"/>
      <c r="G19" s="116"/>
      <c r="H19" s="31"/>
    </row>
    <row r="20" spans="1:8" ht="15" customHeight="1">
      <c r="A20" s="119"/>
      <c r="B20" s="29"/>
      <c r="C20" s="56"/>
      <c r="D20" s="29"/>
      <c r="F20" s="136"/>
      <c r="G20" s="135"/>
      <c r="H20" s="31"/>
    </row>
    <row r="21" spans="1:8" ht="15" customHeight="1">
      <c r="A21" s="79"/>
      <c r="B21" s="29"/>
      <c r="C21" s="14"/>
      <c r="D21" s="29" t="s">
        <v>10</v>
      </c>
      <c r="E21" s="136" t="s">
        <v>416</v>
      </c>
      <c r="F21" s="136"/>
      <c r="G21" s="135"/>
      <c r="H21" s="31"/>
    </row>
    <row r="22" spans="1:8" ht="15" customHeight="1">
      <c r="A22" s="79"/>
      <c r="B22" s="29"/>
      <c r="C22" s="14"/>
      <c r="D22" s="29"/>
      <c r="E22" s="26" t="s">
        <v>10</v>
      </c>
      <c r="F22" s="136" t="s">
        <v>394</v>
      </c>
      <c r="G22" s="135"/>
      <c r="H22" s="31" t="s">
        <v>298</v>
      </c>
    </row>
    <row r="23" spans="1:8" ht="15" customHeight="1">
      <c r="A23" s="38"/>
      <c r="B23" s="29"/>
      <c r="C23" s="14"/>
      <c r="D23" s="29"/>
      <c r="E23" s="26" t="s">
        <v>10</v>
      </c>
      <c r="F23" s="136" t="s">
        <v>413</v>
      </c>
      <c r="G23" s="135"/>
      <c r="H23" s="31" t="s">
        <v>298</v>
      </c>
    </row>
    <row r="24" spans="1:8" ht="15" customHeight="1">
      <c r="A24" s="38"/>
      <c r="B24" s="29"/>
      <c r="C24" s="135"/>
      <c r="D24" s="29"/>
      <c r="E24" s="26" t="s">
        <v>10</v>
      </c>
      <c r="F24" s="136" t="s">
        <v>417</v>
      </c>
      <c r="G24" s="135"/>
      <c r="H24" s="31" t="s">
        <v>298</v>
      </c>
    </row>
    <row r="25" spans="1:8" ht="15" customHeight="1">
      <c r="A25" s="38"/>
      <c r="B25" s="34"/>
      <c r="C25" s="135"/>
      <c r="D25" s="29"/>
      <c r="E25" s="26" t="s">
        <v>10</v>
      </c>
      <c r="F25" s="136" t="s">
        <v>414</v>
      </c>
      <c r="G25" s="135"/>
      <c r="H25" s="31" t="s">
        <v>298</v>
      </c>
    </row>
    <row r="26" spans="1:8" ht="15" customHeight="1">
      <c r="A26" s="38"/>
      <c r="B26" s="34"/>
      <c r="C26" s="56"/>
      <c r="D26" s="29"/>
      <c r="E26" s="26" t="s">
        <v>10</v>
      </c>
      <c r="F26" s="136" t="s">
        <v>415</v>
      </c>
      <c r="G26" s="135"/>
      <c r="H26" s="31" t="s">
        <v>298</v>
      </c>
    </row>
    <row r="27" spans="1:8" ht="15" customHeight="1">
      <c r="A27" s="38"/>
      <c r="B27" s="34"/>
      <c r="C27" s="56"/>
      <c r="D27" s="29"/>
      <c r="E27" s="26" t="s">
        <v>10</v>
      </c>
      <c r="F27" s="136" t="s">
        <v>395</v>
      </c>
      <c r="G27" s="135"/>
      <c r="H27" s="31" t="s">
        <v>298</v>
      </c>
    </row>
    <row r="28" spans="1:8" ht="15" customHeight="1">
      <c r="A28" s="38"/>
      <c r="B28" s="34"/>
      <c r="C28" s="56"/>
      <c r="D28" s="29"/>
      <c r="E28" s="26"/>
      <c r="F28" s="75"/>
      <c r="G28" s="56"/>
      <c r="H28" s="31"/>
    </row>
    <row r="29" spans="1:8" ht="15" customHeight="1">
      <c r="A29" s="38"/>
      <c r="B29" s="34"/>
      <c r="C29" s="56"/>
      <c r="D29" s="29" t="s">
        <v>10</v>
      </c>
      <c r="E29" s="136" t="s">
        <v>328</v>
      </c>
      <c r="F29" s="136"/>
      <c r="G29" s="135"/>
      <c r="H29" s="31"/>
    </row>
    <row r="30" spans="1:8" ht="15" customHeight="1">
      <c r="A30" s="38"/>
      <c r="B30" s="34"/>
      <c r="C30" s="56"/>
      <c r="D30" s="29"/>
      <c r="E30" s="26" t="s">
        <v>10</v>
      </c>
      <c r="F30" s="136" t="s">
        <v>438</v>
      </c>
      <c r="G30" s="135"/>
      <c r="H30" s="31"/>
    </row>
    <row r="31" spans="1:8" ht="15" customHeight="1">
      <c r="A31" s="38"/>
      <c r="B31" s="34"/>
      <c r="C31" s="56"/>
      <c r="D31" s="29"/>
      <c r="E31" s="26" t="s">
        <v>10</v>
      </c>
      <c r="F31" s="136" t="s">
        <v>439</v>
      </c>
      <c r="G31" s="135"/>
      <c r="H31" s="31"/>
    </row>
    <row r="32" spans="1:8" ht="15" customHeight="1">
      <c r="A32" s="38"/>
      <c r="B32" s="34"/>
      <c r="C32" s="33"/>
      <c r="D32" s="29"/>
      <c r="E32" s="26" t="s">
        <v>10</v>
      </c>
      <c r="F32" s="136" t="s">
        <v>440</v>
      </c>
      <c r="G32" s="135"/>
      <c r="H32" s="31"/>
    </row>
    <row r="33" spans="1:8" ht="15" customHeight="1">
      <c r="A33" s="38"/>
      <c r="B33" s="34"/>
      <c r="C33" s="33"/>
      <c r="D33" s="29"/>
      <c r="E33" s="26" t="s">
        <v>10</v>
      </c>
      <c r="F33" s="136" t="s">
        <v>441</v>
      </c>
      <c r="G33" s="135"/>
      <c r="H33" s="31"/>
    </row>
    <row r="34" spans="1:8" ht="15" customHeight="1">
      <c r="A34" s="38"/>
      <c r="B34" s="34"/>
      <c r="C34" s="33"/>
      <c r="D34" s="29"/>
      <c r="E34" s="26"/>
      <c r="F34" s="75"/>
      <c r="G34" s="56"/>
      <c r="H34" s="31"/>
    </row>
    <row r="35" spans="1:8" ht="15" customHeight="1">
      <c r="A35" s="38"/>
      <c r="B35" s="34"/>
      <c r="C35" s="33"/>
      <c r="D35" s="29" t="s">
        <v>10</v>
      </c>
      <c r="E35" s="136" t="s">
        <v>418</v>
      </c>
      <c r="F35" s="136"/>
      <c r="G35" s="135"/>
      <c r="H35" s="31"/>
    </row>
    <row r="36" spans="1:8" ht="15" customHeight="1">
      <c r="A36" s="38"/>
      <c r="B36" s="34"/>
      <c r="C36" s="33"/>
      <c r="D36" s="29"/>
      <c r="E36" s="26" t="s">
        <v>10</v>
      </c>
      <c r="F36" s="136" t="s">
        <v>420</v>
      </c>
      <c r="G36" s="135"/>
      <c r="H36" s="31" t="s">
        <v>13</v>
      </c>
    </row>
    <row r="37" spans="1:8" ht="15" customHeight="1">
      <c r="A37" s="38"/>
      <c r="B37" s="34"/>
      <c r="C37" s="33"/>
      <c r="D37" s="29"/>
      <c r="E37" s="26" t="s">
        <v>10</v>
      </c>
      <c r="F37" s="136" t="s">
        <v>433</v>
      </c>
      <c r="G37" s="135"/>
      <c r="H37" s="31" t="s">
        <v>13</v>
      </c>
    </row>
    <row r="38" spans="1:8" ht="15" customHeight="1">
      <c r="A38" s="38"/>
      <c r="B38" s="34"/>
      <c r="C38" s="33"/>
      <c r="D38" s="29"/>
      <c r="E38" s="26" t="s">
        <v>10</v>
      </c>
      <c r="F38" s="136" t="s">
        <v>419</v>
      </c>
      <c r="G38" s="135"/>
      <c r="H38" s="31" t="s">
        <v>214</v>
      </c>
    </row>
    <row r="39" spans="1:8" ht="15" customHeight="1" thickBot="1">
      <c r="A39" s="66"/>
      <c r="B39" s="35"/>
      <c r="C39" s="36"/>
      <c r="D39" s="49"/>
      <c r="E39" s="10"/>
      <c r="F39" s="10"/>
      <c r="G39" s="19"/>
      <c r="H39" s="32"/>
    </row>
    <row r="40" spans="1:8" ht="15" customHeight="1"/>
    <row r="41" spans="1:8" ht="15" customHeight="1"/>
    <row r="42" spans="1:8" ht="15" customHeight="1"/>
    <row r="43" spans="1:8" ht="15" customHeight="1"/>
    <row r="44" spans="1:8" ht="15" customHeight="1"/>
    <row r="45" spans="1:8" ht="15" customHeight="1"/>
    <row r="46" spans="1:8" ht="15" customHeight="1"/>
    <row r="47" spans="1:8" ht="15" customHeight="1"/>
    <row r="48" spans="1:8" ht="15" customHeight="1"/>
  </sheetData>
  <mergeCells count="41">
    <mergeCell ref="A6:A13"/>
    <mergeCell ref="A14:A20"/>
    <mergeCell ref="C17:C18"/>
    <mergeCell ref="F38:G38"/>
    <mergeCell ref="C24:C25"/>
    <mergeCell ref="F14:G14"/>
    <mergeCell ref="E29:G29"/>
    <mergeCell ref="F31:G31"/>
    <mergeCell ref="E21:G21"/>
    <mergeCell ref="F22:G22"/>
    <mergeCell ref="F17:G17"/>
    <mergeCell ref="F13:G13"/>
    <mergeCell ref="F37:G37"/>
    <mergeCell ref="F26:G26"/>
    <mergeCell ref="F32:G32"/>
    <mergeCell ref="F33:G33"/>
    <mergeCell ref="H3:H4"/>
    <mergeCell ref="B4:C4"/>
    <mergeCell ref="E16:G16"/>
    <mergeCell ref="E15:G15"/>
    <mergeCell ref="F7:G7"/>
    <mergeCell ref="F8:G8"/>
    <mergeCell ref="F9:G9"/>
    <mergeCell ref="C11:C12"/>
    <mergeCell ref="C14:C15"/>
    <mergeCell ref="C1:G1"/>
    <mergeCell ref="B3:C3"/>
    <mergeCell ref="D3:G3"/>
    <mergeCell ref="E6:G6"/>
    <mergeCell ref="C6:C7"/>
    <mergeCell ref="E35:G35"/>
    <mergeCell ref="F36:G36"/>
    <mergeCell ref="E11:G11"/>
    <mergeCell ref="F12:G12"/>
    <mergeCell ref="F18:G19"/>
    <mergeCell ref="F30:G30"/>
    <mergeCell ref="F25:G25"/>
    <mergeCell ref="F27:G27"/>
    <mergeCell ref="F23:G23"/>
    <mergeCell ref="F24:G24"/>
    <mergeCell ref="F20:G20"/>
  </mergeCells>
  <pageMargins left="0.4" right="0.4" top="0.5" bottom="0.5" header="0.3" footer="0.3"/>
  <pageSetup scale="7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CAE4-E4B2-413C-B253-964A820B3685}">
  <sheetPr>
    <pageSetUpPr fitToPage="1"/>
  </sheetPr>
  <dimension ref="A1:E82"/>
  <sheetViews>
    <sheetView topLeftCell="A7" workbookViewId="0">
      <selection activeCell="E41" sqref="E41"/>
    </sheetView>
  </sheetViews>
  <sheetFormatPr defaultRowHeight="15"/>
  <cols>
    <col min="1" max="1" width="15" bestFit="1" customWidth="1"/>
    <col min="2" max="2" width="149.85546875" customWidth="1"/>
    <col min="3" max="3" width="14" customWidth="1"/>
    <col min="4" max="4" width="12.85546875" customWidth="1"/>
    <col min="5" max="5" width="16.42578125" customWidth="1"/>
  </cols>
  <sheetData>
    <row r="1" spans="1:5" ht="27" customHeight="1">
      <c r="A1" s="97" t="str">
        <f>'Top Level'!A1</f>
        <v>OGSM 2026</v>
      </c>
      <c r="B1" s="146" t="s">
        <v>136</v>
      </c>
      <c r="C1" s="120"/>
      <c r="D1" s="120"/>
      <c r="E1" s="120"/>
    </row>
    <row r="2" spans="1:5" ht="19.5" thickBot="1">
      <c r="A2" s="98" t="str">
        <f>'Top Level'!A2</f>
        <v>Version 1.0</v>
      </c>
      <c r="B2" s="147"/>
      <c r="C2" s="148"/>
      <c r="D2" s="148"/>
      <c r="E2" s="148"/>
    </row>
    <row r="3" spans="1:5" ht="21" customHeight="1">
      <c r="A3" s="59" t="s">
        <v>11</v>
      </c>
      <c r="B3" s="87" t="s">
        <v>137</v>
      </c>
      <c r="C3" s="59" t="s">
        <v>133</v>
      </c>
      <c r="D3" s="59" t="s">
        <v>134</v>
      </c>
      <c r="E3" s="59" t="s">
        <v>135</v>
      </c>
    </row>
    <row r="4" spans="1:5">
      <c r="A4" t="s">
        <v>119</v>
      </c>
      <c r="B4" t="s">
        <v>316</v>
      </c>
      <c r="C4" t="s">
        <v>13</v>
      </c>
      <c r="D4" s="103">
        <v>45293</v>
      </c>
      <c r="E4" s="95" t="s">
        <v>127</v>
      </c>
    </row>
    <row r="5" spans="1:5">
      <c r="A5" t="s">
        <v>119</v>
      </c>
      <c r="B5" t="s">
        <v>271</v>
      </c>
      <c r="C5" t="s">
        <v>266</v>
      </c>
      <c r="D5" s="103">
        <v>45293</v>
      </c>
      <c r="E5" s="95"/>
    </row>
    <row r="6" spans="1:5">
      <c r="A6" t="s">
        <v>349</v>
      </c>
      <c r="B6" t="s">
        <v>286</v>
      </c>
      <c r="C6" t="s">
        <v>298</v>
      </c>
      <c r="D6" s="103">
        <v>45293</v>
      </c>
      <c r="E6" s="95" t="s">
        <v>127</v>
      </c>
    </row>
    <row r="7" spans="1:5">
      <c r="A7" t="s">
        <v>349</v>
      </c>
      <c r="B7" t="s">
        <v>287</v>
      </c>
      <c r="C7" t="s">
        <v>174</v>
      </c>
      <c r="D7" s="103">
        <v>45293</v>
      </c>
      <c r="E7" s="95" t="s">
        <v>127</v>
      </c>
    </row>
    <row r="8" spans="1:5">
      <c r="A8" t="s">
        <v>349</v>
      </c>
      <c r="B8" t="s">
        <v>275</v>
      </c>
      <c r="C8" t="s">
        <v>13</v>
      </c>
      <c r="D8" s="103">
        <v>45293</v>
      </c>
      <c r="E8" s="95"/>
    </row>
    <row r="9" spans="1:5">
      <c r="A9" t="s">
        <v>350</v>
      </c>
      <c r="B9" t="s">
        <v>299</v>
      </c>
      <c r="C9" t="s">
        <v>174</v>
      </c>
      <c r="D9" s="103">
        <v>45293</v>
      </c>
      <c r="E9" s="95"/>
    </row>
    <row r="10" spans="1:5">
      <c r="A10" t="s">
        <v>350</v>
      </c>
      <c r="B10" t="s">
        <v>300</v>
      </c>
      <c r="C10" t="s">
        <v>174</v>
      </c>
      <c r="D10" s="103">
        <v>45293</v>
      </c>
      <c r="E10" s="95" t="s">
        <v>127</v>
      </c>
    </row>
    <row r="11" spans="1:5">
      <c r="A11" t="s">
        <v>122</v>
      </c>
      <c r="B11" t="s">
        <v>326</v>
      </c>
      <c r="C11" t="s">
        <v>177</v>
      </c>
      <c r="D11" s="103">
        <v>45295</v>
      </c>
      <c r="E11" s="95"/>
    </row>
    <row r="12" spans="1:5">
      <c r="A12" t="s">
        <v>119</v>
      </c>
      <c r="B12" t="s">
        <v>265</v>
      </c>
      <c r="C12" t="s">
        <v>266</v>
      </c>
      <c r="D12" s="103">
        <v>45306</v>
      </c>
      <c r="E12" s="95"/>
    </row>
    <row r="13" spans="1:5">
      <c r="A13" t="s">
        <v>119</v>
      </c>
      <c r="B13" t="s">
        <v>319</v>
      </c>
      <c r="C13" t="s">
        <v>266</v>
      </c>
      <c r="D13" s="103">
        <v>45306</v>
      </c>
      <c r="E13" s="95"/>
    </row>
    <row r="14" spans="1:5">
      <c r="A14" t="s">
        <v>119</v>
      </c>
      <c r="B14" t="s">
        <v>270</v>
      </c>
      <c r="C14" t="s">
        <v>13</v>
      </c>
      <c r="D14" s="103">
        <v>45321</v>
      </c>
      <c r="E14" s="95"/>
    </row>
    <row r="15" spans="1:5">
      <c r="A15" t="s">
        <v>122</v>
      </c>
      <c r="B15" t="s">
        <v>323</v>
      </c>
      <c r="C15" t="s">
        <v>177</v>
      </c>
      <c r="D15" s="103">
        <v>45322</v>
      </c>
      <c r="E15" s="95" t="s">
        <v>127</v>
      </c>
    </row>
    <row r="16" spans="1:5">
      <c r="A16" t="s">
        <v>119</v>
      </c>
      <c r="B16" t="s">
        <v>269</v>
      </c>
      <c r="C16" t="s">
        <v>13</v>
      </c>
      <c r="D16" s="103">
        <v>45323</v>
      </c>
      <c r="E16" s="95" t="s">
        <v>126</v>
      </c>
    </row>
    <row r="17" spans="1:5">
      <c r="A17" t="s">
        <v>349</v>
      </c>
      <c r="B17" t="s">
        <v>312</v>
      </c>
      <c r="C17" t="s">
        <v>27</v>
      </c>
      <c r="D17" s="103">
        <v>45323</v>
      </c>
      <c r="E17" s="96" t="s">
        <v>126</v>
      </c>
    </row>
    <row r="18" spans="1:5">
      <c r="A18" t="s">
        <v>119</v>
      </c>
      <c r="B18" t="s">
        <v>317</v>
      </c>
      <c r="C18" t="s">
        <v>13</v>
      </c>
      <c r="D18" s="103">
        <v>45327</v>
      </c>
      <c r="E18" s="95" t="s">
        <v>127</v>
      </c>
    </row>
    <row r="19" spans="1:5">
      <c r="A19" t="s">
        <v>119</v>
      </c>
      <c r="B19" t="s">
        <v>318</v>
      </c>
      <c r="C19" t="s">
        <v>266</v>
      </c>
      <c r="D19" s="103">
        <v>45327</v>
      </c>
      <c r="E19" s="95"/>
    </row>
    <row r="20" spans="1:5">
      <c r="A20" t="s">
        <v>119</v>
      </c>
      <c r="B20" t="s">
        <v>272</v>
      </c>
      <c r="C20" t="s">
        <v>266</v>
      </c>
      <c r="D20" s="103">
        <v>45327</v>
      </c>
      <c r="E20" s="95" t="s">
        <v>127</v>
      </c>
    </row>
    <row r="21" spans="1:5">
      <c r="A21" t="s">
        <v>349</v>
      </c>
      <c r="B21" t="s">
        <v>276</v>
      </c>
      <c r="C21" t="s">
        <v>364</v>
      </c>
      <c r="D21" s="103">
        <v>45337</v>
      </c>
      <c r="E21" s="95"/>
    </row>
    <row r="22" spans="1:5">
      <c r="A22" t="s">
        <v>119</v>
      </c>
      <c r="B22" t="s">
        <v>338</v>
      </c>
      <c r="C22" t="s">
        <v>13</v>
      </c>
      <c r="D22" s="103">
        <v>45350</v>
      </c>
      <c r="E22" s="95" t="s">
        <v>126</v>
      </c>
    </row>
    <row r="23" spans="1:5">
      <c r="A23" t="s">
        <v>119</v>
      </c>
      <c r="B23" t="s">
        <v>268</v>
      </c>
      <c r="C23" t="s">
        <v>13</v>
      </c>
      <c r="D23" s="103">
        <v>45350</v>
      </c>
      <c r="E23" s="95" t="s">
        <v>127</v>
      </c>
    </row>
    <row r="24" spans="1:5">
      <c r="A24" t="s">
        <v>350</v>
      </c>
      <c r="B24" t="s">
        <v>301</v>
      </c>
      <c r="C24" t="s">
        <v>174</v>
      </c>
      <c r="D24" s="103">
        <v>45350</v>
      </c>
      <c r="E24" s="95" t="s">
        <v>379</v>
      </c>
    </row>
    <row r="25" spans="1:5">
      <c r="A25" t="s">
        <v>122</v>
      </c>
      <c r="B25" t="s">
        <v>336</v>
      </c>
      <c r="C25" t="s">
        <v>13</v>
      </c>
      <c r="D25" s="103">
        <v>45350</v>
      </c>
      <c r="E25" s="95"/>
    </row>
    <row r="26" spans="1:5">
      <c r="A26" t="s">
        <v>349</v>
      </c>
      <c r="B26" t="s">
        <v>273</v>
      </c>
      <c r="C26" t="s">
        <v>13</v>
      </c>
      <c r="D26" s="103">
        <v>45352</v>
      </c>
      <c r="E26" s="95" t="s">
        <v>126</v>
      </c>
    </row>
    <row r="27" spans="1:5">
      <c r="A27" t="s">
        <v>122</v>
      </c>
      <c r="B27" t="s">
        <v>351</v>
      </c>
      <c r="C27" t="s">
        <v>13</v>
      </c>
      <c r="D27" s="103">
        <v>45366</v>
      </c>
      <c r="E27" s="95"/>
    </row>
    <row r="28" spans="1:5">
      <c r="A28" t="s">
        <v>122</v>
      </c>
      <c r="B28" t="s">
        <v>335</v>
      </c>
      <c r="C28" t="s">
        <v>13</v>
      </c>
      <c r="D28" s="103">
        <v>45366</v>
      </c>
      <c r="E28" s="95"/>
    </row>
    <row r="29" spans="1:5">
      <c r="A29" t="s">
        <v>350</v>
      </c>
      <c r="B29" t="s">
        <v>295</v>
      </c>
      <c r="C29" t="s">
        <v>266</v>
      </c>
      <c r="D29" s="103">
        <v>45380</v>
      </c>
      <c r="E29" s="95"/>
    </row>
    <row r="30" spans="1:5">
      <c r="A30" t="s">
        <v>122</v>
      </c>
      <c r="B30" t="s">
        <v>346</v>
      </c>
      <c r="C30" t="s">
        <v>322</v>
      </c>
      <c r="D30" s="103">
        <v>45380</v>
      </c>
      <c r="E30" s="95" t="s">
        <v>126</v>
      </c>
    </row>
    <row r="31" spans="1:5">
      <c r="A31" t="s">
        <v>122</v>
      </c>
      <c r="B31" t="s">
        <v>329</v>
      </c>
      <c r="C31" t="s">
        <v>214</v>
      </c>
      <c r="D31" s="103">
        <v>45380</v>
      </c>
      <c r="E31" s="95"/>
    </row>
    <row r="32" spans="1:5">
      <c r="A32" t="s">
        <v>122</v>
      </c>
      <c r="B32" t="s">
        <v>330</v>
      </c>
      <c r="C32" t="s">
        <v>214</v>
      </c>
      <c r="D32" s="103">
        <v>45380</v>
      </c>
      <c r="E32" s="95"/>
    </row>
    <row r="33" spans="1:5">
      <c r="A33" t="s">
        <v>122</v>
      </c>
      <c r="B33" t="s">
        <v>331</v>
      </c>
      <c r="C33" t="s">
        <v>214</v>
      </c>
      <c r="D33" s="103">
        <v>45380</v>
      </c>
      <c r="E33" s="95"/>
    </row>
    <row r="34" spans="1:5">
      <c r="A34" t="s">
        <v>122</v>
      </c>
      <c r="B34" t="s">
        <v>332</v>
      </c>
      <c r="C34" t="s">
        <v>214</v>
      </c>
      <c r="D34" s="103">
        <v>45380</v>
      </c>
      <c r="E34" s="95"/>
    </row>
    <row r="35" spans="1:5">
      <c r="A35" t="s">
        <v>349</v>
      </c>
      <c r="B35" t="s">
        <v>357</v>
      </c>
      <c r="C35" t="s">
        <v>298</v>
      </c>
      <c r="D35" s="103">
        <v>45383</v>
      </c>
      <c r="E35" s="95"/>
    </row>
    <row r="36" spans="1:5">
      <c r="A36" t="s">
        <v>349</v>
      </c>
      <c r="B36" t="s">
        <v>368</v>
      </c>
      <c r="C36" t="s">
        <v>13</v>
      </c>
      <c r="D36" s="103">
        <v>45383</v>
      </c>
      <c r="E36" s="96"/>
    </row>
    <row r="37" spans="1:5">
      <c r="A37" t="s">
        <v>122</v>
      </c>
      <c r="B37" t="s">
        <v>343</v>
      </c>
      <c r="C37" t="s">
        <v>298</v>
      </c>
      <c r="D37" s="105">
        <v>45383</v>
      </c>
      <c r="E37" s="95" t="s">
        <v>127</v>
      </c>
    </row>
    <row r="38" spans="1:5">
      <c r="A38" t="s">
        <v>122</v>
      </c>
      <c r="B38" t="s">
        <v>212</v>
      </c>
      <c r="C38" t="s">
        <v>298</v>
      </c>
      <c r="D38" s="105">
        <v>45383</v>
      </c>
      <c r="E38" s="95" t="s">
        <v>127</v>
      </c>
    </row>
    <row r="39" spans="1:5">
      <c r="A39" t="s">
        <v>349</v>
      </c>
      <c r="B39" t="s">
        <v>377</v>
      </c>
      <c r="C39" t="s">
        <v>298</v>
      </c>
      <c r="D39" s="103">
        <v>45397</v>
      </c>
      <c r="E39" s="95"/>
    </row>
    <row r="40" spans="1:5">
      <c r="A40" t="s">
        <v>349</v>
      </c>
      <c r="B40" t="s">
        <v>378</v>
      </c>
      <c r="C40" t="s">
        <v>177</v>
      </c>
      <c r="D40" s="103">
        <v>45397</v>
      </c>
      <c r="E40" s="95"/>
    </row>
    <row r="41" spans="1:5">
      <c r="A41" t="s">
        <v>349</v>
      </c>
      <c r="B41" t="s">
        <v>356</v>
      </c>
      <c r="C41" t="s">
        <v>298</v>
      </c>
      <c r="D41" s="103">
        <v>45397</v>
      </c>
      <c r="E41" s="95"/>
    </row>
    <row r="42" spans="1:5">
      <c r="A42" t="s">
        <v>349</v>
      </c>
      <c r="B42" t="s">
        <v>360</v>
      </c>
      <c r="C42" t="s">
        <v>298</v>
      </c>
      <c r="D42" s="103">
        <v>45397</v>
      </c>
      <c r="E42" s="95"/>
    </row>
    <row r="43" spans="1:5">
      <c r="A43" t="s">
        <v>349</v>
      </c>
      <c r="B43" t="s">
        <v>314</v>
      </c>
      <c r="C43" t="s">
        <v>365</v>
      </c>
      <c r="D43" s="103">
        <v>45397</v>
      </c>
      <c r="E43" s="95"/>
    </row>
    <row r="44" spans="1:5">
      <c r="A44" t="s">
        <v>122</v>
      </c>
      <c r="B44" t="s">
        <v>345</v>
      </c>
      <c r="C44" t="s">
        <v>38</v>
      </c>
      <c r="D44" s="103">
        <v>45397</v>
      </c>
      <c r="E44" s="95"/>
    </row>
    <row r="45" spans="1:5">
      <c r="A45" t="s">
        <v>122</v>
      </c>
      <c r="B45" t="s">
        <v>375</v>
      </c>
      <c r="C45" t="s">
        <v>13</v>
      </c>
      <c r="D45" s="105">
        <v>45397</v>
      </c>
      <c r="E45" s="95"/>
    </row>
    <row r="46" spans="1:5">
      <c r="A46" t="s">
        <v>122</v>
      </c>
      <c r="B46" t="s">
        <v>325</v>
      </c>
      <c r="C46" t="s">
        <v>322</v>
      </c>
      <c r="D46" s="103">
        <v>45397</v>
      </c>
      <c r="E46" s="95"/>
    </row>
    <row r="47" spans="1:5">
      <c r="A47" t="s">
        <v>349</v>
      </c>
      <c r="B47" t="s">
        <v>370</v>
      </c>
      <c r="C47" t="s">
        <v>298</v>
      </c>
      <c r="D47" s="103">
        <v>45411</v>
      </c>
      <c r="E47" s="96"/>
    </row>
    <row r="48" spans="1:5">
      <c r="A48" t="s">
        <v>349</v>
      </c>
      <c r="B48" t="s">
        <v>353</v>
      </c>
      <c r="C48" t="s">
        <v>13</v>
      </c>
      <c r="D48" s="103">
        <v>45413</v>
      </c>
      <c r="E48" s="95"/>
    </row>
    <row r="49" spans="1:5">
      <c r="A49" t="s">
        <v>122</v>
      </c>
      <c r="B49" t="s">
        <v>376</v>
      </c>
      <c r="C49" t="s">
        <v>13</v>
      </c>
      <c r="D49" s="103">
        <v>45413</v>
      </c>
      <c r="E49" s="95"/>
    </row>
    <row r="50" spans="1:5">
      <c r="A50" t="s">
        <v>349</v>
      </c>
      <c r="B50" t="s">
        <v>367</v>
      </c>
      <c r="C50" t="s">
        <v>298</v>
      </c>
      <c r="D50" s="103">
        <v>45432</v>
      </c>
      <c r="E50" s="95"/>
    </row>
    <row r="51" spans="1:5">
      <c r="A51" t="s">
        <v>349</v>
      </c>
      <c r="B51" t="s">
        <v>358</v>
      </c>
      <c r="C51" t="s">
        <v>298</v>
      </c>
      <c r="D51" s="103">
        <v>45432</v>
      </c>
      <c r="E51" s="95"/>
    </row>
    <row r="52" spans="1:5">
      <c r="A52" t="s">
        <v>349</v>
      </c>
      <c r="B52" t="s">
        <v>359</v>
      </c>
      <c r="C52" t="s">
        <v>298</v>
      </c>
      <c r="D52" s="103">
        <v>45432</v>
      </c>
      <c r="E52" s="95"/>
    </row>
    <row r="53" spans="1:5">
      <c r="A53" t="s">
        <v>349</v>
      </c>
      <c r="B53" t="s">
        <v>361</v>
      </c>
      <c r="C53" t="s">
        <v>298</v>
      </c>
      <c r="D53" s="103">
        <v>45439</v>
      </c>
      <c r="E53" s="96"/>
    </row>
    <row r="54" spans="1:5">
      <c r="A54" t="s">
        <v>119</v>
      </c>
      <c r="B54" t="s">
        <v>362</v>
      </c>
      <c r="C54" t="s">
        <v>13</v>
      </c>
      <c r="D54" s="103">
        <v>45442</v>
      </c>
      <c r="E54" s="95"/>
    </row>
    <row r="55" spans="1:5">
      <c r="A55" t="s">
        <v>349</v>
      </c>
      <c r="B55" t="s">
        <v>373</v>
      </c>
      <c r="C55" t="s">
        <v>15</v>
      </c>
      <c r="D55" s="103">
        <v>45444</v>
      </c>
      <c r="E55" s="95"/>
    </row>
    <row r="56" spans="1:5">
      <c r="A56" t="s">
        <v>122</v>
      </c>
      <c r="B56" t="s">
        <v>327</v>
      </c>
      <c r="C56" t="s">
        <v>13</v>
      </c>
      <c r="D56" s="103">
        <v>45444</v>
      </c>
      <c r="E56" s="95"/>
    </row>
    <row r="57" spans="1:5">
      <c r="A57" t="s">
        <v>349</v>
      </c>
      <c r="B57" t="s">
        <v>369</v>
      </c>
      <c r="C57" t="s">
        <v>298</v>
      </c>
      <c r="D57" s="103">
        <v>45458</v>
      </c>
      <c r="E57" s="96"/>
    </row>
    <row r="58" spans="1:5">
      <c r="A58" t="s">
        <v>349</v>
      </c>
      <c r="B58" t="s">
        <v>354</v>
      </c>
      <c r="C58" t="s">
        <v>174</v>
      </c>
      <c r="D58" s="103">
        <v>45458</v>
      </c>
      <c r="E58" s="95"/>
    </row>
    <row r="59" spans="1:5">
      <c r="A59" t="s">
        <v>119</v>
      </c>
      <c r="B59" t="s">
        <v>320</v>
      </c>
      <c r="C59" t="s">
        <v>13</v>
      </c>
      <c r="D59" s="103">
        <v>45474</v>
      </c>
      <c r="E59" s="95"/>
    </row>
    <row r="60" spans="1:5">
      <c r="A60" t="s">
        <v>349</v>
      </c>
      <c r="B60" t="s">
        <v>308</v>
      </c>
      <c r="C60" t="s">
        <v>298</v>
      </c>
      <c r="D60" s="103">
        <v>45474</v>
      </c>
      <c r="E60" s="95"/>
    </row>
    <row r="61" spans="1:5">
      <c r="A61" t="s">
        <v>349</v>
      </c>
      <c r="B61" t="s">
        <v>289</v>
      </c>
      <c r="C61" t="s">
        <v>298</v>
      </c>
      <c r="D61" s="103">
        <v>45474</v>
      </c>
      <c r="E61" s="95"/>
    </row>
    <row r="62" spans="1:5">
      <c r="A62" t="s">
        <v>350</v>
      </c>
      <c r="B62" t="s">
        <v>355</v>
      </c>
      <c r="C62" t="s">
        <v>13</v>
      </c>
      <c r="D62" s="103">
        <v>45474</v>
      </c>
      <c r="E62" s="95"/>
    </row>
    <row r="63" spans="1:5">
      <c r="A63" t="s">
        <v>122</v>
      </c>
      <c r="B63" t="s">
        <v>347</v>
      </c>
      <c r="C63" t="s">
        <v>364</v>
      </c>
      <c r="D63" s="103">
        <v>45474</v>
      </c>
      <c r="E63" s="95"/>
    </row>
    <row r="64" spans="1:5">
      <c r="A64" t="s">
        <v>349</v>
      </c>
      <c r="B64" t="s">
        <v>371</v>
      </c>
      <c r="C64" t="s">
        <v>298</v>
      </c>
      <c r="D64" s="103">
        <v>45505</v>
      </c>
      <c r="E64" s="96"/>
    </row>
    <row r="65" spans="1:5">
      <c r="A65" t="s">
        <v>349</v>
      </c>
      <c r="B65" t="s">
        <v>372</v>
      </c>
      <c r="C65" t="s">
        <v>13</v>
      </c>
      <c r="D65" s="103">
        <v>45505</v>
      </c>
      <c r="E65" s="96"/>
    </row>
    <row r="66" spans="1:5">
      <c r="A66" t="s">
        <v>350</v>
      </c>
      <c r="B66" t="s">
        <v>333</v>
      </c>
      <c r="C66" t="s">
        <v>15</v>
      </c>
      <c r="D66" s="103">
        <v>45505</v>
      </c>
      <c r="E66" s="96"/>
    </row>
    <row r="67" spans="1:5">
      <c r="A67" t="s">
        <v>350</v>
      </c>
      <c r="B67" t="s">
        <v>334</v>
      </c>
      <c r="C67" t="s">
        <v>13</v>
      </c>
      <c r="D67" s="103">
        <v>45505</v>
      </c>
      <c r="E67" s="95"/>
    </row>
    <row r="68" spans="1:5">
      <c r="A68" t="s">
        <v>350</v>
      </c>
      <c r="B68" t="s">
        <v>374</v>
      </c>
      <c r="C68" t="s">
        <v>15</v>
      </c>
      <c r="D68" s="103">
        <v>45519</v>
      </c>
      <c r="E68" s="95"/>
    </row>
    <row r="69" spans="1:5">
      <c r="A69" t="s">
        <v>349</v>
      </c>
      <c r="B69" s="104" t="s">
        <v>366</v>
      </c>
      <c r="C69" s="104" t="s">
        <v>298</v>
      </c>
      <c r="D69" s="105">
        <v>45535</v>
      </c>
      <c r="E69" s="95"/>
    </row>
    <row r="70" spans="1:5">
      <c r="A70" t="s">
        <v>119</v>
      </c>
      <c r="B70" t="s">
        <v>363</v>
      </c>
      <c r="C70" t="s">
        <v>13</v>
      </c>
      <c r="D70" s="103">
        <v>45566</v>
      </c>
      <c r="E70" s="95"/>
    </row>
    <row r="71" spans="1:5">
      <c r="A71" t="s">
        <v>119</v>
      </c>
      <c r="B71" t="s">
        <v>321</v>
      </c>
      <c r="C71" t="s">
        <v>13</v>
      </c>
      <c r="D71" s="103">
        <v>45566</v>
      </c>
      <c r="E71" s="95"/>
    </row>
    <row r="72" spans="1:5">
      <c r="A72" t="s">
        <v>349</v>
      </c>
      <c r="B72" t="s">
        <v>279</v>
      </c>
      <c r="C72" t="s">
        <v>298</v>
      </c>
      <c r="D72" s="103">
        <v>45566</v>
      </c>
      <c r="E72" s="95"/>
    </row>
    <row r="73" spans="1:5">
      <c r="A73" t="s">
        <v>349</v>
      </c>
      <c r="B73" s="104" t="s">
        <v>313</v>
      </c>
      <c r="C73" s="104" t="s">
        <v>298</v>
      </c>
      <c r="D73" s="105">
        <v>45566</v>
      </c>
      <c r="E73" s="95"/>
    </row>
    <row r="74" spans="1:5">
      <c r="A74" t="s">
        <v>119</v>
      </c>
      <c r="B74" t="s">
        <v>342</v>
      </c>
      <c r="C74" t="s">
        <v>266</v>
      </c>
      <c r="D74" s="103">
        <v>45657</v>
      </c>
      <c r="E74" s="95"/>
    </row>
    <row r="75" spans="1:5">
      <c r="A75" t="s">
        <v>119</v>
      </c>
      <c r="B75" t="s">
        <v>341</v>
      </c>
      <c r="C75" t="s">
        <v>266</v>
      </c>
      <c r="D75" s="103">
        <v>45657</v>
      </c>
      <c r="E75" s="95"/>
    </row>
    <row r="76" spans="1:5">
      <c r="A76" t="s">
        <v>119</v>
      </c>
      <c r="B76" t="s">
        <v>339</v>
      </c>
      <c r="C76" t="s">
        <v>266</v>
      </c>
      <c r="D76" s="103">
        <v>45657</v>
      </c>
      <c r="E76" s="95"/>
    </row>
    <row r="77" spans="1:5">
      <c r="A77" t="s">
        <v>119</v>
      </c>
      <c r="B77" t="s">
        <v>340</v>
      </c>
      <c r="C77" t="s">
        <v>266</v>
      </c>
      <c r="D77" s="103">
        <v>45657</v>
      </c>
      <c r="E77" s="95"/>
    </row>
    <row r="78" spans="1:5">
      <c r="A78" t="s">
        <v>349</v>
      </c>
      <c r="B78" t="s">
        <v>315</v>
      </c>
      <c r="C78" t="s">
        <v>298</v>
      </c>
      <c r="D78" s="103">
        <v>45657</v>
      </c>
      <c r="E78" s="95"/>
    </row>
    <row r="79" spans="1:5">
      <c r="A79" t="s">
        <v>122</v>
      </c>
      <c r="B79" t="s">
        <v>348</v>
      </c>
      <c r="C79" t="s">
        <v>298</v>
      </c>
      <c r="D79" s="103">
        <v>45657</v>
      </c>
      <c r="E79" s="95"/>
    </row>
    <row r="80" spans="1:5">
      <c r="A80" t="s">
        <v>349</v>
      </c>
      <c r="B80" s="104" t="s">
        <v>290</v>
      </c>
      <c r="C80" s="104" t="s">
        <v>298</v>
      </c>
      <c r="D80" s="104"/>
      <c r="E80" s="95"/>
    </row>
    <row r="81" spans="1:5">
      <c r="A81" t="s">
        <v>349</v>
      </c>
      <c r="B81" s="104" t="s">
        <v>291</v>
      </c>
      <c r="C81" s="104" t="s">
        <v>298</v>
      </c>
      <c r="D81" s="105"/>
      <c r="E81" s="95"/>
    </row>
    <row r="82" spans="1:5">
      <c r="C82" s="95"/>
      <c r="D82" s="96"/>
      <c r="E82" s="95"/>
    </row>
  </sheetData>
  <sortState xmlns:xlrd2="http://schemas.microsoft.com/office/spreadsheetml/2017/richdata2" ref="A4:E81">
    <sortCondition ref="D4:D81"/>
  </sortState>
  <mergeCells count="2">
    <mergeCell ref="B1:B2"/>
    <mergeCell ref="C1:E2"/>
  </mergeCells>
  <pageMargins left="0.45" right="0.45" top="0.5" bottom="0.5" header="0.3" footer="0.3"/>
  <pageSetup scale="61" fitToHeight="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C67F1-F99E-4128-A944-A139ADABD656}">
  <dimension ref="A1:E102"/>
  <sheetViews>
    <sheetView workbookViewId="0">
      <selection activeCell="E32" sqref="E32"/>
    </sheetView>
  </sheetViews>
  <sheetFormatPr defaultRowHeight="15"/>
  <cols>
    <col min="1" max="1" width="15" bestFit="1" customWidth="1"/>
    <col min="2" max="2" width="149.85546875" customWidth="1"/>
    <col min="3" max="3" width="14" customWidth="1"/>
    <col min="4" max="4" width="12.85546875" customWidth="1"/>
    <col min="5" max="5" width="16.42578125" customWidth="1"/>
  </cols>
  <sheetData>
    <row r="1" spans="1:5" ht="27" customHeight="1">
      <c r="A1" s="97" t="str">
        <f>'Top Level'!A1</f>
        <v>OGSM 2026</v>
      </c>
      <c r="B1" s="146" t="s">
        <v>136</v>
      </c>
      <c r="C1" s="120"/>
      <c r="D1" s="120"/>
      <c r="E1" s="120"/>
    </row>
    <row r="2" spans="1:5" ht="19.5" thickBot="1">
      <c r="A2" s="98" t="str">
        <f>'Top Level'!A2</f>
        <v>Version 1.0</v>
      </c>
      <c r="B2" s="147"/>
      <c r="C2" s="148"/>
      <c r="D2" s="148"/>
      <c r="E2" s="148"/>
    </row>
    <row r="3" spans="1:5" ht="21" customHeight="1">
      <c r="A3" s="59" t="s">
        <v>11</v>
      </c>
      <c r="B3" s="87" t="s">
        <v>137</v>
      </c>
      <c r="C3" s="59" t="s">
        <v>133</v>
      </c>
      <c r="D3" s="59" t="s">
        <v>134</v>
      </c>
      <c r="E3" s="59" t="s">
        <v>135</v>
      </c>
    </row>
    <row r="4" spans="1:5">
      <c r="A4" t="s">
        <v>119</v>
      </c>
      <c r="B4" t="s">
        <v>230</v>
      </c>
      <c r="C4" s="95" t="s">
        <v>13</v>
      </c>
      <c r="D4" s="96">
        <v>44200</v>
      </c>
      <c r="E4" s="95" t="s">
        <v>127</v>
      </c>
    </row>
    <row r="5" spans="1:5">
      <c r="A5" t="s">
        <v>119</v>
      </c>
      <c r="B5" t="s">
        <v>168</v>
      </c>
      <c r="C5" s="95" t="s">
        <v>29</v>
      </c>
      <c r="D5" s="96">
        <v>44200</v>
      </c>
      <c r="E5" s="95" t="s">
        <v>127</v>
      </c>
    </row>
    <row r="6" spans="1:5">
      <c r="A6" t="s">
        <v>120</v>
      </c>
      <c r="B6" t="s">
        <v>175</v>
      </c>
      <c r="C6" s="95" t="s">
        <v>169</v>
      </c>
      <c r="D6" s="96">
        <v>44200</v>
      </c>
      <c r="E6" s="95" t="s">
        <v>127</v>
      </c>
    </row>
    <row r="7" spans="1:5">
      <c r="A7" t="s">
        <v>120</v>
      </c>
      <c r="B7" t="s">
        <v>183</v>
      </c>
      <c r="C7" s="95" t="s">
        <v>169</v>
      </c>
      <c r="D7" s="96">
        <v>44200</v>
      </c>
      <c r="E7" s="95" t="s">
        <v>127</v>
      </c>
    </row>
    <row r="8" spans="1:5">
      <c r="A8" t="s">
        <v>120</v>
      </c>
      <c r="B8" t="s">
        <v>184</v>
      </c>
      <c r="C8" s="95" t="s">
        <v>177</v>
      </c>
      <c r="D8" s="96">
        <v>44200</v>
      </c>
      <c r="E8" s="95" t="s">
        <v>127</v>
      </c>
    </row>
    <row r="9" spans="1:5">
      <c r="A9" t="s">
        <v>120</v>
      </c>
      <c r="B9" t="s">
        <v>185</v>
      </c>
      <c r="C9" s="95" t="s">
        <v>169</v>
      </c>
      <c r="D9" s="96">
        <v>44200</v>
      </c>
      <c r="E9" s="95" t="s">
        <v>127</v>
      </c>
    </row>
    <row r="10" spans="1:5">
      <c r="A10" t="s">
        <v>120</v>
      </c>
      <c r="B10" t="s">
        <v>247</v>
      </c>
      <c r="C10" s="95" t="s">
        <v>27</v>
      </c>
      <c r="D10" s="96">
        <v>44200</v>
      </c>
      <c r="E10" s="95" t="s">
        <v>127</v>
      </c>
    </row>
    <row r="11" spans="1:5">
      <c r="A11" t="s">
        <v>239</v>
      </c>
      <c r="B11" t="s">
        <v>189</v>
      </c>
      <c r="C11" s="95" t="s">
        <v>15</v>
      </c>
      <c r="D11" s="96">
        <v>44200</v>
      </c>
      <c r="E11" s="95" t="s">
        <v>127</v>
      </c>
    </row>
    <row r="12" spans="1:5">
      <c r="A12" t="s">
        <v>239</v>
      </c>
      <c r="B12" t="s">
        <v>194</v>
      </c>
      <c r="C12" s="95" t="s">
        <v>13</v>
      </c>
      <c r="D12" s="96">
        <v>44200</v>
      </c>
      <c r="E12" s="95" t="s">
        <v>127</v>
      </c>
    </row>
    <row r="13" spans="1:5">
      <c r="A13" t="s">
        <v>239</v>
      </c>
      <c r="B13" t="s">
        <v>191</v>
      </c>
      <c r="C13" s="95" t="s">
        <v>174</v>
      </c>
      <c r="D13" s="96">
        <v>44200</v>
      </c>
      <c r="E13" s="95" t="s">
        <v>127</v>
      </c>
    </row>
    <row r="14" spans="1:5">
      <c r="A14" t="s">
        <v>239</v>
      </c>
      <c r="B14" t="s">
        <v>211</v>
      </c>
      <c r="C14" s="95" t="s">
        <v>13</v>
      </c>
      <c r="D14" s="96">
        <v>44200</v>
      </c>
      <c r="E14" s="95" t="s">
        <v>127</v>
      </c>
    </row>
    <row r="15" spans="1:5">
      <c r="A15" t="s">
        <v>122</v>
      </c>
      <c r="B15" t="s">
        <v>244</v>
      </c>
      <c r="C15" s="95" t="s">
        <v>169</v>
      </c>
      <c r="D15" s="96">
        <v>44200</v>
      </c>
      <c r="E15" s="95" t="s">
        <v>127</v>
      </c>
    </row>
    <row r="16" spans="1:5">
      <c r="A16" t="s">
        <v>119</v>
      </c>
      <c r="B16" t="s">
        <v>172</v>
      </c>
      <c r="C16" s="95" t="s">
        <v>13</v>
      </c>
      <c r="D16" s="96">
        <v>44203</v>
      </c>
      <c r="E16" s="95" t="s">
        <v>127</v>
      </c>
    </row>
    <row r="17" spans="1:5">
      <c r="A17" t="s">
        <v>239</v>
      </c>
      <c r="B17" t="s">
        <v>190</v>
      </c>
      <c r="C17" s="95" t="s">
        <v>13</v>
      </c>
      <c r="D17" s="96">
        <v>44207</v>
      </c>
      <c r="E17" s="95" t="s">
        <v>127</v>
      </c>
    </row>
    <row r="18" spans="1:5">
      <c r="A18" t="s">
        <v>119</v>
      </c>
      <c r="B18" t="s">
        <v>235</v>
      </c>
      <c r="C18" s="95" t="s">
        <v>13</v>
      </c>
      <c r="D18" s="96">
        <v>44208</v>
      </c>
      <c r="E18" s="95" t="s">
        <v>127</v>
      </c>
    </row>
    <row r="19" spans="1:5">
      <c r="A19" t="s">
        <v>120</v>
      </c>
      <c r="B19" t="s">
        <v>176</v>
      </c>
      <c r="C19" s="95" t="s">
        <v>174</v>
      </c>
      <c r="D19" s="96">
        <v>44209</v>
      </c>
      <c r="E19" s="95" t="s">
        <v>127</v>
      </c>
    </row>
    <row r="20" spans="1:5">
      <c r="A20" t="s">
        <v>122</v>
      </c>
      <c r="B20" t="s">
        <v>215</v>
      </c>
      <c r="C20" s="95" t="s">
        <v>214</v>
      </c>
      <c r="D20" s="96">
        <v>44214</v>
      </c>
      <c r="E20" s="95" t="s">
        <v>127</v>
      </c>
    </row>
    <row r="21" spans="1:5">
      <c r="A21" t="s">
        <v>239</v>
      </c>
      <c r="B21" t="s">
        <v>234</v>
      </c>
      <c r="C21" s="95" t="s">
        <v>15</v>
      </c>
      <c r="D21" s="96">
        <v>44216</v>
      </c>
      <c r="E21" s="95" t="s">
        <v>127</v>
      </c>
    </row>
    <row r="22" spans="1:5">
      <c r="A22" t="s">
        <v>119</v>
      </c>
      <c r="B22" t="s">
        <v>195</v>
      </c>
      <c r="C22" s="95" t="s">
        <v>29</v>
      </c>
      <c r="D22" s="96">
        <v>44221</v>
      </c>
      <c r="E22" s="95" t="s">
        <v>127</v>
      </c>
    </row>
    <row r="23" spans="1:5">
      <c r="A23" t="s">
        <v>122</v>
      </c>
      <c r="B23" t="s">
        <v>213</v>
      </c>
      <c r="C23" s="95" t="s">
        <v>214</v>
      </c>
      <c r="D23" s="96">
        <v>44225</v>
      </c>
      <c r="E23" s="95"/>
    </row>
    <row r="24" spans="1:5">
      <c r="A24" t="s">
        <v>120</v>
      </c>
      <c r="B24" t="s">
        <v>187</v>
      </c>
      <c r="C24" s="95" t="s">
        <v>169</v>
      </c>
      <c r="D24" s="96">
        <v>44228</v>
      </c>
      <c r="E24" s="95"/>
    </row>
    <row r="25" spans="1:5">
      <c r="A25" t="s">
        <v>120</v>
      </c>
      <c r="B25" t="s">
        <v>182</v>
      </c>
      <c r="C25" s="95" t="s">
        <v>169</v>
      </c>
      <c r="D25" s="96">
        <v>44228</v>
      </c>
      <c r="E25" s="95"/>
    </row>
    <row r="26" spans="1:5">
      <c r="A26" t="s">
        <v>120</v>
      </c>
      <c r="B26" t="s">
        <v>222</v>
      </c>
      <c r="C26" s="95" t="s">
        <v>169</v>
      </c>
      <c r="D26" s="96">
        <v>44228</v>
      </c>
      <c r="E26" s="95"/>
    </row>
    <row r="27" spans="1:5">
      <c r="A27" t="s">
        <v>120</v>
      </c>
      <c r="B27" t="s">
        <v>246</v>
      </c>
      <c r="C27" s="95" t="s">
        <v>169</v>
      </c>
      <c r="D27" s="96">
        <v>44228</v>
      </c>
      <c r="E27" s="95"/>
    </row>
    <row r="28" spans="1:5">
      <c r="A28" t="s">
        <v>120</v>
      </c>
      <c r="B28" t="s">
        <v>178</v>
      </c>
      <c r="C28" s="95" t="s">
        <v>27</v>
      </c>
      <c r="D28" s="96">
        <v>44228</v>
      </c>
      <c r="E28" s="95"/>
    </row>
    <row r="29" spans="1:5">
      <c r="A29" t="s">
        <v>120</v>
      </c>
      <c r="B29" t="s">
        <v>251</v>
      </c>
      <c r="C29" s="95" t="s">
        <v>13</v>
      </c>
      <c r="D29" s="96">
        <v>44228</v>
      </c>
      <c r="E29" s="95" t="s">
        <v>127</v>
      </c>
    </row>
    <row r="30" spans="1:5">
      <c r="A30" t="s">
        <v>239</v>
      </c>
      <c r="B30" t="s">
        <v>233</v>
      </c>
      <c r="C30" s="95" t="s">
        <v>15</v>
      </c>
      <c r="D30" s="96">
        <v>44228</v>
      </c>
      <c r="E30" s="95"/>
    </row>
    <row r="31" spans="1:5">
      <c r="A31" t="s">
        <v>239</v>
      </c>
      <c r="B31" t="s">
        <v>205</v>
      </c>
      <c r="C31" s="95" t="s">
        <v>174</v>
      </c>
      <c r="D31" s="96">
        <v>44228</v>
      </c>
      <c r="E31" s="95"/>
    </row>
    <row r="32" spans="1:5">
      <c r="A32" t="s">
        <v>239</v>
      </c>
      <c r="B32" t="s">
        <v>207</v>
      </c>
      <c r="C32" s="95" t="s">
        <v>15</v>
      </c>
      <c r="D32" s="96">
        <v>44228</v>
      </c>
      <c r="E32" s="95" t="s">
        <v>261</v>
      </c>
    </row>
    <row r="33" spans="1:5">
      <c r="A33" t="s">
        <v>239</v>
      </c>
      <c r="B33" t="s">
        <v>208</v>
      </c>
      <c r="C33" s="95" t="s">
        <v>15</v>
      </c>
      <c r="D33" s="96">
        <v>44228</v>
      </c>
      <c r="E33" s="95" t="s">
        <v>127</v>
      </c>
    </row>
    <row r="34" spans="1:5">
      <c r="A34" t="s">
        <v>122</v>
      </c>
      <c r="B34" t="s">
        <v>253</v>
      </c>
      <c r="C34" s="95" t="s">
        <v>13</v>
      </c>
      <c r="D34" s="96">
        <v>44228</v>
      </c>
      <c r="E34" s="101">
        <v>44256</v>
      </c>
    </row>
    <row r="35" spans="1:5">
      <c r="A35" t="s">
        <v>122</v>
      </c>
      <c r="B35" t="s">
        <v>217</v>
      </c>
      <c r="C35" s="95" t="s">
        <v>13</v>
      </c>
      <c r="D35" s="96">
        <v>44231</v>
      </c>
      <c r="E35" s="101">
        <v>44259</v>
      </c>
    </row>
    <row r="36" spans="1:5">
      <c r="A36" t="s">
        <v>119</v>
      </c>
      <c r="B36" t="s">
        <v>196</v>
      </c>
      <c r="C36" s="95" t="s">
        <v>13</v>
      </c>
      <c r="D36" s="96">
        <v>44242</v>
      </c>
      <c r="E36" s="101">
        <v>44264</v>
      </c>
    </row>
    <row r="37" spans="1:5">
      <c r="A37" t="s">
        <v>119</v>
      </c>
      <c r="B37" t="s">
        <v>199</v>
      </c>
      <c r="C37" s="95" t="s">
        <v>29</v>
      </c>
      <c r="D37" s="96">
        <v>44242</v>
      </c>
      <c r="E37" s="95"/>
    </row>
    <row r="38" spans="1:5">
      <c r="A38" t="s">
        <v>119</v>
      </c>
      <c r="B38" t="s">
        <v>260</v>
      </c>
      <c r="C38" s="95" t="s">
        <v>29</v>
      </c>
      <c r="D38" s="96">
        <v>44242</v>
      </c>
      <c r="E38" s="95"/>
    </row>
    <row r="39" spans="1:5">
      <c r="A39" t="s">
        <v>120</v>
      </c>
      <c r="B39" t="s">
        <v>231</v>
      </c>
      <c r="C39" s="95" t="s">
        <v>169</v>
      </c>
      <c r="D39" s="96">
        <v>44242</v>
      </c>
      <c r="E39" s="95"/>
    </row>
    <row r="40" spans="1:5">
      <c r="A40" t="s">
        <v>120</v>
      </c>
      <c r="B40" t="s">
        <v>224</v>
      </c>
      <c r="C40" s="95" t="s">
        <v>177</v>
      </c>
      <c r="D40" s="96">
        <v>44242</v>
      </c>
      <c r="E40" s="95"/>
    </row>
    <row r="41" spans="1:5">
      <c r="A41" t="s">
        <v>120</v>
      </c>
      <c r="B41" t="s">
        <v>232</v>
      </c>
      <c r="C41" s="95" t="s">
        <v>169</v>
      </c>
      <c r="D41" s="96">
        <v>44242</v>
      </c>
      <c r="E41" s="95"/>
    </row>
    <row r="42" spans="1:5">
      <c r="A42" t="s">
        <v>239</v>
      </c>
      <c r="B42" t="s">
        <v>188</v>
      </c>
      <c r="C42" s="95" t="s">
        <v>15</v>
      </c>
      <c r="D42" s="96">
        <v>44242</v>
      </c>
      <c r="E42" s="95"/>
    </row>
    <row r="43" spans="1:5">
      <c r="A43" t="s">
        <v>239</v>
      </c>
      <c r="B43" t="s">
        <v>209</v>
      </c>
      <c r="C43" s="95" t="s">
        <v>169</v>
      </c>
      <c r="D43" s="96">
        <v>44242</v>
      </c>
      <c r="E43" s="95"/>
    </row>
    <row r="44" spans="1:5">
      <c r="A44" t="s">
        <v>122</v>
      </c>
      <c r="B44" t="s">
        <v>241</v>
      </c>
      <c r="C44" s="95" t="s">
        <v>13</v>
      </c>
      <c r="D44" s="96">
        <v>44242</v>
      </c>
      <c r="E44" s="101">
        <v>44258</v>
      </c>
    </row>
    <row r="45" spans="1:5">
      <c r="A45" t="s">
        <v>119</v>
      </c>
      <c r="B45" t="s">
        <v>245</v>
      </c>
      <c r="C45" s="95" t="s">
        <v>13</v>
      </c>
      <c r="D45" s="96">
        <v>44256</v>
      </c>
      <c r="E45" s="101">
        <v>44270</v>
      </c>
    </row>
    <row r="46" spans="1:5">
      <c r="A46" t="s">
        <v>120</v>
      </c>
      <c r="B46" t="s">
        <v>237</v>
      </c>
      <c r="C46" s="95" t="s">
        <v>169</v>
      </c>
      <c r="D46" s="96">
        <v>44298</v>
      </c>
      <c r="E46" s="95"/>
    </row>
    <row r="47" spans="1:5">
      <c r="A47" t="s">
        <v>120</v>
      </c>
      <c r="B47" t="s">
        <v>238</v>
      </c>
      <c r="C47" s="95" t="s">
        <v>169</v>
      </c>
      <c r="D47" s="96">
        <v>44256</v>
      </c>
      <c r="E47" s="95"/>
    </row>
    <row r="48" spans="1:5">
      <c r="A48" t="s">
        <v>239</v>
      </c>
      <c r="B48" t="s">
        <v>192</v>
      </c>
      <c r="C48" s="95" t="s">
        <v>174</v>
      </c>
      <c r="D48" s="96">
        <v>44256</v>
      </c>
      <c r="E48" s="95"/>
    </row>
    <row r="49" spans="1:5">
      <c r="A49" t="s">
        <v>239</v>
      </c>
      <c r="B49" t="s">
        <v>206</v>
      </c>
      <c r="C49" s="95" t="s">
        <v>174</v>
      </c>
      <c r="D49" s="96">
        <v>44256</v>
      </c>
      <c r="E49" s="95"/>
    </row>
    <row r="50" spans="1:5">
      <c r="A50" t="s">
        <v>239</v>
      </c>
      <c r="B50" t="s">
        <v>240</v>
      </c>
      <c r="C50" s="95" t="s">
        <v>169</v>
      </c>
      <c r="D50" s="96">
        <v>44270</v>
      </c>
      <c r="E50" s="95"/>
    </row>
    <row r="51" spans="1:5">
      <c r="A51" t="s">
        <v>122</v>
      </c>
      <c r="B51" t="s">
        <v>257</v>
      </c>
      <c r="C51" s="95" t="s">
        <v>169</v>
      </c>
      <c r="D51" s="96">
        <v>44270</v>
      </c>
      <c r="E51" s="95"/>
    </row>
    <row r="52" spans="1:5">
      <c r="A52" t="s">
        <v>122</v>
      </c>
      <c r="B52" t="s">
        <v>258</v>
      </c>
      <c r="C52" s="95" t="s">
        <v>169</v>
      </c>
      <c r="D52" s="96">
        <v>44270</v>
      </c>
      <c r="E52" s="95"/>
    </row>
    <row r="53" spans="1:5">
      <c r="A53" t="s">
        <v>122</v>
      </c>
      <c r="B53" t="s">
        <v>242</v>
      </c>
      <c r="C53" s="95" t="s">
        <v>169</v>
      </c>
      <c r="D53" s="96">
        <v>44270</v>
      </c>
      <c r="E53" s="95"/>
    </row>
    <row r="54" spans="1:5">
      <c r="A54" t="s">
        <v>122</v>
      </c>
      <c r="B54" t="s">
        <v>243</v>
      </c>
      <c r="C54" s="95" t="s">
        <v>169</v>
      </c>
      <c r="D54" s="96">
        <v>44270</v>
      </c>
      <c r="E54" s="95"/>
    </row>
    <row r="55" spans="1:5">
      <c r="A55" t="s">
        <v>122</v>
      </c>
      <c r="B55" t="s">
        <v>218</v>
      </c>
      <c r="C55" s="95" t="s">
        <v>13</v>
      </c>
      <c r="D55" s="96">
        <v>44270</v>
      </c>
      <c r="E55" s="101">
        <v>44291</v>
      </c>
    </row>
    <row r="56" spans="1:5">
      <c r="A56" t="s">
        <v>119</v>
      </c>
      <c r="B56" t="s">
        <v>167</v>
      </c>
      <c r="C56" s="95" t="s">
        <v>29</v>
      </c>
      <c r="D56" s="96">
        <v>44286</v>
      </c>
      <c r="E56" s="95"/>
    </row>
    <row r="57" spans="1:5">
      <c r="A57" t="s">
        <v>119</v>
      </c>
      <c r="B57" t="s">
        <v>197</v>
      </c>
      <c r="C57" s="95" t="s">
        <v>29</v>
      </c>
      <c r="D57" s="96">
        <v>44286</v>
      </c>
      <c r="E57" s="95"/>
    </row>
    <row r="58" spans="1:5">
      <c r="A58" t="s">
        <v>120</v>
      </c>
      <c r="B58" t="s">
        <v>225</v>
      </c>
      <c r="C58" s="95" t="s">
        <v>14</v>
      </c>
      <c r="D58" s="96">
        <v>44286</v>
      </c>
      <c r="E58" s="95"/>
    </row>
    <row r="59" spans="1:5">
      <c r="A59" t="s">
        <v>120</v>
      </c>
      <c r="B59" t="s">
        <v>249</v>
      </c>
      <c r="C59" s="95" t="s">
        <v>27</v>
      </c>
      <c r="D59" s="96">
        <v>44286</v>
      </c>
      <c r="E59" s="95"/>
    </row>
    <row r="60" spans="1:5">
      <c r="A60" t="s">
        <v>122</v>
      </c>
      <c r="B60" t="s">
        <v>259</v>
      </c>
      <c r="C60" s="95" t="s">
        <v>169</v>
      </c>
      <c r="D60" s="96">
        <v>44286</v>
      </c>
      <c r="E60" s="95"/>
    </row>
    <row r="61" spans="1:5">
      <c r="A61" t="s">
        <v>120</v>
      </c>
      <c r="B61" t="s">
        <v>248</v>
      </c>
      <c r="C61" s="95" t="s">
        <v>13</v>
      </c>
      <c r="D61" s="96">
        <v>44291</v>
      </c>
      <c r="E61" s="95"/>
    </row>
    <row r="62" spans="1:5">
      <c r="A62" t="s">
        <v>239</v>
      </c>
      <c r="B62" t="s">
        <v>204</v>
      </c>
      <c r="C62" s="95" t="s">
        <v>15</v>
      </c>
      <c r="D62" s="96">
        <v>44291</v>
      </c>
      <c r="E62" s="95"/>
    </row>
    <row r="63" spans="1:5">
      <c r="A63" t="s">
        <v>122</v>
      </c>
      <c r="B63" t="s">
        <v>216</v>
      </c>
      <c r="C63" s="95" t="s">
        <v>214</v>
      </c>
      <c r="D63" s="96">
        <v>44291</v>
      </c>
      <c r="E63" s="95"/>
    </row>
    <row r="64" spans="1:5">
      <c r="A64" t="s">
        <v>122</v>
      </c>
      <c r="B64" t="s">
        <v>254</v>
      </c>
      <c r="C64" s="95" t="s">
        <v>13</v>
      </c>
      <c r="D64" s="96">
        <v>44305</v>
      </c>
      <c r="E64" s="95"/>
    </row>
    <row r="65" spans="1:5">
      <c r="A65" t="s">
        <v>119</v>
      </c>
      <c r="B65" t="s">
        <v>200</v>
      </c>
      <c r="C65" s="95" t="s">
        <v>29</v>
      </c>
      <c r="D65" s="96">
        <v>44316</v>
      </c>
      <c r="E65" s="95"/>
    </row>
    <row r="66" spans="1:5">
      <c r="A66" t="s">
        <v>119</v>
      </c>
      <c r="B66" t="s">
        <v>202</v>
      </c>
      <c r="C66" s="95" t="s">
        <v>29</v>
      </c>
      <c r="D66" s="96">
        <v>44316</v>
      </c>
      <c r="E66" s="95"/>
    </row>
    <row r="67" spans="1:5">
      <c r="A67" t="s">
        <v>120</v>
      </c>
      <c r="B67" t="s">
        <v>186</v>
      </c>
      <c r="C67" s="95" t="s">
        <v>14</v>
      </c>
      <c r="D67" s="96">
        <v>44316</v>
      </c>
      <c r="E67" s="95"/>
    </row>
    <row r="68" spans="1:5">
      <c r="A68" t="s">
        <v>239</v>
      </c>
      <c r="B68" t="s">
        <v>229</v>
      </c>
      <c r="C68" s="95" t="s">
        <v>15</v>
      </c>
      <c r="D68" s="96">
        <v>44316</v>
      </c>
      <c r="E68" s="95"/>
    </row>
    <row r="69" spans="1:5">
      <c r="A69" t="s">
        <v>120</v>
      </c>
      <c r="B69" t="s">
        <v>228</v>
      </c>
      <c r="C69" s="95" t="s">
        <v>169</v>
      </c>
      <c r="D69" s="96">
        <v>44317</v>
      </c>
      <c r="E69" s="95"/>
    </row>
    <row r="70" spans="1:5">
      <c r="A70" t="s">
        <v>120</v>
      </c>
      <c r="B70" t="s">
        <v>180</v>
      </c>
      <c r="C70" s="95" t="s">
        <v>169</v>
      </c>
      <c r="D70" s="96">
        <v>44317</v>
      </c>
      <c r="E70" s="95"/>
    </row>
    <row r="71" spans="1:5">
      <c r="A71" t="s">
        <v>119</v>
      </c>
      <c r="B71" t="s">
        <v>171</v>
      </c>
      <c r="C71" s="95" t="s">
        <v>13</v>
      </c>
      <c r="D71" s="96">
        <v>44348</v>
      </c>
      <c r="E71" s="95"/>
    </row>
    <row r="72" spans="1:5">
      <c r="A72" t="s">
        <v>239</v>
      </c>
      <c r="B72" t="s">
        <v>252</v>
      </c>
      <c r="C72" s="95" t="s">
        <v>169</v>
      </c>
      <c r="D72" s="96">
        <v>44348</v>
      </c>
      <c r="E72" s="95"/>
    </row>
    <row r="73" spans="1:5">
      <c r="A73" t="s">
        <v>239</v>
      </c>
      <c r="B73" t="s">
        <v>210</v>
      </c>
      <c r="C73" s="95" t="s">
        <v>38</v>
      </c>
      <c r="D73" s="96">
        <v>44348</v>
      </c>
      <c r="E73" s="95"/>
    </row>
    <row r="74" spans="1:5">
      <c r="A74" t="s">
        <v>122</v>
      </c>
      <c r="B74" t="s">
        <v>219</v>
      </c>
      <c r="C74" s="95" t="s">
        <v>169</v>
      </c>
      <c r="D74" s="96">
        <v>44348</v>
      </c>
      <c r="E74" s="95"/>
    </row>
    <row r="75" spans="1:5">
      <c r="A75" t="s">
        <v>119</v>
      </c>
      <c r="B75" t="s">
        <v>203</v>
      </c>
      <c r="C75" s="95" t="s">
        <v>13</v>
      </c>
      <c r="D75" s="96">
        <v>44375</v>
      </c>
      <c r="E75" s="95"/>
    </row>
    <row r="76" spans="1:5">
      <c r="A76" t="s">
        <v>119</v>
      </c>
      <c r="B76" t="s">
        <v>198</v>
      </c>
      <c r="C76" s="95" t="s">
        <v>13</v>
      </c>
      <c r="D76" s="96">
        <v>44376</v>
      </c>
      <c r="E76" s="95"/>
    </row>
    <row r="77" spans="1:5">
      <c r="A77" t="s">
        <v>120</v>
      </c>
      <c r="B77" t="s">
        <v>250</v>
      </c>
      <c r="C77" s="95" t="s">
        <v>179</v>
      </c>
      <c r="D77" s="96">
        <v>44377</v>
      </c>
      <c r="E77" s="95"/>
    </row>
    <row r="78" spans="1:5">
      <c r="A78" t="s">
        <v>122</v>
      </c>
      <c r="B78" t="s">
        <v>256</v>
      </c>
      <c r="C78" s="95" t="s">
        <v>13</v>
      </c>
      <c r="D78" s="96">
        <v>44392</v>
      </c>
      <c r="E78" s="95"/>
    </row>
    <row r="79" spans="1:5">
      <c r="A79" t="s">
        <v>122</v>
      </c>
      <c r="B79" t="s">
        <v>220</v>
      </c>
      <c r="C79" s="95" t="s">
        <v>13</v>
      </c>
      <c r="D79" s="96">
        <v>44392</v>
      </c>
      <c r="E79" s="95"/>
    </row>
    <row r="80" spans="1:5">
      <c r="A80" t="s">
        <v>122</v>
      </c>
      <c r="B80" t="s">
        <v>221</v>
      </c>
      <c r="C80" s="95" t="s">
        <v>13</v>
      </c>
      <c r="D80" s="96">
        <v>44392</v>
      </c>
      <c r="E80" s="95"/>
    </row>
    <row r="81" spans="1:5">
      <c r="A81" t="s">
        <v>120</v>
      </c>
      <c r="B81" t="s">
        <v>226</v>
      </c>
      <c r="C81" s="95" t="s">
        <v>14</v>
      </c>
      <c r="D81" s="96">
        <v>44439</v>
      </c>
      <c r="E81" s="95"/>
    </row>
    <row r="82" spans="1:5">
      <c r="A82" t="s">
        <v>120</v>
      </c>
      <c r="B82" t="s">
        <v>227</v>
      </c>
      <c r="C82" s="95" t="s">
        <v>14</v>
      </c>
      <c r="D82" s="96">
        <v>44439</v>
      </c>
      <c r="E82" s="95"/>
    </row>
    <row r="83" spans="1:5">
      <c r="A83" t="s">
        <v>120</v>
      </c>
      <c r="B83" t="s">
        <v>236</v>
      </c>
      <c r="C83" s="95" t="s">
        <v>169</v>
      </c>
      <c r="D83" s="96">
        <v>44439</v>
      </c>
      <c r="E83" s="95"/>
    </row>
    <row r="84" spans="1:5">
      <c r="A84" t="s">
        <v>119</v>
      </c>
      <c r="B84" t="s">
        <v>201</v>
      </c>
      <c r="C84" s="95" t="s">
        <v>29</v>
      </c>
      <c r="D84" s="96">
        <v>44469</v>
      </c>
      <c r="E84" s="95"/>
    </row>
    <row r="85" spans="1:5">
      <c r="A85" t="s">
        <v>120</v>
      </c>
      <c r="B85" t="s">
        <v>223</v>
      </c>
      <c r="C85" s="95" t="s">
        <v>179</v>
      </c>
      <c r="D85" s="96">
        <v>44473</v>
      </c>
      <c r="E85" s="95"/>
    </row>
    <row r="86" spans="1:5">
      <c r="A86" t="s">
        <v>122</v>
      </c>
      <c r="B86" t="s">
        <v>255</v>
      </c>
      <c r="C86" s="95" t="s">
        <v>13</v>
      </c>
      <c r="D86" s="96">
        <v>44545</v>
      </c>
      <c r="E86" s="95"/>
    </row>
    <row r="93" spans="1:5">
      <c r="C93" t="s">
        <v>29</v>
      </c>
      <c r="D93">
        <v>9</v>
      </c>
    </row>
    <row r="94" spans="1:5">
      <c r="C94" t="s">
        <v>169</v>
      </c>
      <c r="D94">
        <v>24</v>
      </c>
    </row>
    <row r="95" spans="1:5">
      <c r="C95" t="s">
        <v>13</v>
      </c>
      <c r="D95">
        <v>22</v>
      </c>
    </row>
    <row r="96" spans="1:5">
      <c r="C96" t="s">
        <v>174</v>
      </c>
      <c r="D96">
        <v>5</v>
      </c>
    </row>
    <row r="97" spans="3:4">
      <c r="C97" t="s">
        <v>214</v>
      </c>
      <c r="D97">
        <v>3</v>
      </c>
    </row>
    <row r="98" spans="3:4">
      <c r="C98" t="s">
        <v>15</v>
      </c>
      <c r="D98">
        <v>8</v>
      </c>
    </row>
    <row r="99" spans="3:4">
      <c r="C99" t="s">
        <v>14</v>
      </c>
      <c r="D99">
        <v>4</v>
      </c>
    </row>
    <row r="100" spans="3:4">
      <c r="C100" t="s">
        <v>179</v>
      </c>
      <c r="D100">
        <v>4</v>
      </c>
    </row>
    <row r="101" spans="3:4">
      <c r="C101" t="s">
        <v>27</v>
      </c>
      <c r="D101">
        <v>5</v>
      </c>
    </row>
    <row r="102" spans="3:4">
      <c r="C102" t="s">
        <v>38</v>
      </c>
      <c r="D102">
        <v>1</v>
      </c>
    </row>
  </sheetData>
  <autoFilter ref="A3:E86" xr:uid="{D9E793F6-17FF-4433-8C8A-E2C4F363BFF3}">
    <sortState xmlns:xlrd2="http://schemas.microsoft.com/office/spreadsheetml/2017/richdata2" ref="A4:E86">
      <sortCondition ref="D3:D86"/>
    </sortState>
  </autoFilter>
  <mergeCells count="2">
    <mergeCell ref="B1:B2"/>
    <mergeCell ref="C1:E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B1:F106"/>
  <sheetViews>
    <sheetView workbookViewId="0">
      <selection activeCell="F4" sqref="F4"/>
    </sheetView>
  </sheetViews>
  <sheetFormatPr defaultRowHeight="15"/>
  <cols>
    <col min="1" max="1" width="1.42578125" customWidth="1"/>
    <col min="2" max="2" width="15.140625" customWidth="1"/>
    <col min="3" max="3" width="144.85546875" customWidth="1"/>
    <col min="4" max="4" width="11.140625" customWidth="1"/>
    <col min="5" max="5" width="11.5703125" customWidth="1"/>
    <col min="6" max="6" width="22.5703125" style="95" customWidth="1"/>
  </cols>
  <sheetData>
    <row r="1" spans="2:6" ht="26.25" customHeight="1">
      <c r="B1" s="97" t="str">
        <f>'Top Level'!A1</f>
        <v>OGSM 2026</v>
      </c>
      <c r="C1" s="146" t="s">
        <v>136</v>
      </c>
      <c r="D1" s="120"/>
      <c r="E1" s="120"/>
      <c r="F1" s="120"/>
    </row>
    <row r="2" spans="2:6" ht="19.5" thickBot="1">
      <c r="B2" s="98" t="str">
        <f>'Top Level'!A2</f>
        <v>Version 1.0</v>
      </c>
      <c r="C2" s="147"/>
      <c r="D2" s="148"/>
      <c r="E2" s="148"/>
      <c r="F2" s="148"/>
    </row>
    <row r="3" spans="2:6" ht="18.75">
      <c r="B3" s="59" t="s">
        <v>11</v>
      </c>
      <c r="C3" s="87" t="s">
        <v>137</v>
      </c>
      <c r="D3" s="59" t="s">
        <v>133</v>
      </c>
      <c r="E3" s="59" t="s">
        <v>134</v>
      </c>
      <c r="F3" s="59" t="s">
        <v>135</v>
      </c>
    </row>
    <row r="4" spans="2:6">
      <c r="B4" s="95" t="s">
        <v>119</v>
      </c>
      <c r="C4" t="s">
        <v>56</v>
      </c>
      <c r="D4" s="95" t="s">
        <v>13</v>
      </c>
      <c r="E4" s="96">
        <v>43483</v>
      </c>
      <c r="F4" s="99" t="s">
        <v>126</v>
      </c>
    </row>
    <row r="5" spans="2:6">
      <c r="B5" s="95" t="s">
        <v>119</v>
      </c>
      <c r="C5" t="s">
        <v>79</v>
      </c>
      <c r="D5" s="95" t="s">
        <v>13</v>
      </c>
      <c r="E5" s="96">
        <v>43514</v>
      </c>
      <c r="F5" s="99" t="s">
        <v>126</v>
      </c>
    </row>
    <row r="6" spans="2:6">
      <c r="B6" s="95" t="s">
        <v>119</v>
      </c>
      <c r="C6" t="s">
        <v>80</v>
      </c>
      <c r="D6" s="95" t="s">
        <v>29</v>
      </c>
      <c r="E6" s="96">
        <v>43515</v>
      </c>
      <c r="F6" s="99" t="s">
        <v>126</v>
      </c>
    </row>
    <row r="7" spans="2:6">
      <c r="B7" s="95" t="s">
        <v>119</v>
      </c>
      <c r="C7" t="s">
        <v>139</v>
      </c>
      <c r="D7" s="95" t="s">
        <v>13</v>
      </c>
      <c r="E7" s="96">
        <v>43556</v>
      </c>
      <c r="F7" s="95" t="s">
        <v>127</v>
      </c>
    </row>
    <row r="8" spans="2:6">
      <c r="B8" s="95" t="s">
        <v>119</v>
      </c>
      <c r="C8" t="s">
        <v>140</v>
      </c>
      <c r="D8" s="95" t="s">
        <v>29</v>
      </c>
      <c r="E8" s="96">
        <v>43514</v>
      </c>
      <c r="F8" s="99" t="s">
        <v>126</v>
      </c>
    </row>
    <row r="9" spans="2:6">
      <c r="B9" s="95" t="s">
        <v>119</v>
      </c>
      <c r="C9" t="s">
        <v>141</v>
      </c>
      <c r="D9" s="95" t="s">
        <v>29</v>
      </c>
      <c r="E9" s="96">
        <v>43560</v>
      </c>
      <c r="F9" s="99" t="s">
        <v>126</v>
      </c>
    </row>
    <row r="10" spans="2:6">
      <c r="B10" s="95" t="s">
        <v>119</v>
      </c>
      <c r="C10" t="s">
        <v>142</v>
      </c>
      <c r="D10" s="95" t="s">
        <v>13</v>
      </c>
      <c r="E10" s="96">
        <v>43521</v>
      </c>
      <c r="F10" s="95" t="s">
        <v>127</v>
      </c>
    </row>
    <row r="11" spans="2:6">
      <c r="B11" s="95" t="s">
        <v>119</v>
      </c>
      <c r="C11" t="s">
        <v>103</v>
      </c>
      <c r="D11" s="95" t="s">
        <v>29</v>
      </c>
      <c r="E11" s="96">
        <v>43521</v>
      </c>
      <c r="F11" s="95" t="s">
        <v>127</v>
      </c>
    </row>
    <row r="12" spans="2:6">
      <c r="B12" s="95" t="s">
        <v>119</v>
      </c>
      <c r="C12" t="s">
        <v>104</v>
      </c>
      <c r="D12" s="95" t="s">
        <v>13</v>
      </c>
      <c r="E12" s="96">
        <v>43560</v>
      </c>
      <c r="F12" s="95" t="s">
        <v>149</v>
      </c>
    </row>
    <row r="13" spans="2:6">
      <c r="B13" s="95" t="s">
        <v>119</v>
      </c>
      <c r="C13" t="s">
        <v>143</v>
      </c>
      <c r="D13" s="95" t="s">
        <v>13</v>
      </c>
      <c r="E13" s="96">
        <v>43496</v>
      </c>
      <c r="F13" s="99" t="s">
        <v>126</v>
      </c>
    </row>
    <row r="14" spans="2:6">
      <c r="B14" s="95" t="s">
        <v>119</v>
      </c>
      <c r="C14" t="s">
        <v>105</v>
      </c>
      <c r="D14" s="95" t="s">
        <v>13</v>
      </c>
      <c r="E14" s="96">
        <v>43570</v>
      </c>
      <c r="F14" s="99" t="s">
        <v>126</v>
      </c>
    </row>
    <row r="15" spans="2:6">
      <c r="B15" s="95" t="s">
        <v>119</v>
      </c>
      <c r="C15" t="s">
        <v>106</v>
      </c>
      <c r="D15" s="95" t="s">
        <v>29</v>
      </c>
      <c r="E15" s="96">
        <v>43570</v>
      </c>
      <c r="F15" s="95" t="s">
        <v>147</v>
      </c>
    </row>
    <row r="16" spans="2:6">
      <c r="B16" s="95" t="s">
        <v>119</v>
      </c>
      <c r="C16" t="s">
        <v>107</v>
      </c>
      <c r="D16" s="95" t="s">
        <v>13</v>
      </c>
      <c r="E16" s="96">
        <v>43590</v>
      </c>
      <c r="F16" s="95" t="s">
        <v>148</v>
      </c>
    </row>
    <row r="17" spans="2:6">
      <c r="B17" s="95" t="s">
        <v>119</v>
      </c>
      <c r="C17" t="s">
        <v>108</v>
      </c>
      <c r="D17" s="95" t="s">
        <v>29</v>
      </c>
      <c r="E17" s="96">
        <v>43570</v>
      </c>
      <c r="F17" s="99" t="s">
        <v>126</v>
      </c>
    </row>
    <row r="18" spans="2:6">
      <c r="B18" s="95" t="s">
        <v>119</v>
      </c>
      <c r="C18" t="s">
        <v>109</v>
      </c>
      <c r="D18" s="95" t="s">
        <v>13</v>
      </c>
      <c r="E18" s="96">
        <v>43586</v>
      </c>
      <c r="F18" s="95" t="s">
        <v>148</v>
      </c>
    </row>
    <row r="19" spans="2:6">
      <c r="B19" s="95" t="s">
        <v>119</v>
      </c>
      <c r="C19" t="s">
        <v>31</v>
      </c>
      <c r="D19" s="95" t="s">
        <v>13</v>
      </c>
      <c r="E19" s="96">
        <v>43473</v>
      </c>
      <c r="F19" s="95" t="s">
        <v>127</v>
      </c>
    </row>
    <row r="20" spans="2:6">
      <c r="B20" s="95" t="s">
        <v>119</v>
      </c>
      <c r="C20" t="s">
        <v>68</v>
      </c>
      <c r="D20" s="95" t="s">
        <v>29</v>
      </c>
      <c r="E20" s="96">
        <v>43486</v>
      </c>
      <c r="F20" s="99" t="s">
        <v>126</v>
      </c>
    </row>
    <row r="21" spans="2:6">
      <c r="B21" s="95" t="s">
        <v>119</v>
      </c>
      <c r="C21" t="s">
        <v>84</v>
      </c>
      <c r="D21" s="95" t="s">
        <v>38</v>
      </c>
      <c r="E21" s="96">
        <v>43542</v>
      </c>
      <c r="F21" s="96">
        <v>43584</v>
      </c>
    </row>
    <row r="22" spans="2:6">
      <c r="B22" s="95" t="s">
        <v>119</v>
      </c>
      <c r="C22" t="s">
        <v>85</v>
      </c>
      <c r="D22" s="95" t="s">
        <v>13</v>
      </c>
      <c r="E22" s="96">
        <v>43542</v>
      </c>
      <c r="F22" s="99" t="s">
        <v>126</v>
      </c>
    </row>
    <row r="23" spans="2:6">
      <c r="B23" s="95" t="s">
        <v>119</v>
      </c>
      <c r="C23" t="s">
        <v>110</v>
      </c>
      <c r="D23" s="95" t="s">
        <v>29</v>
      </c>
      <c r="E23" s="96">
        <v>43570</v>
      </c>
      <c r="F23" s="99" t="s">
        <v>126</v>
      </c>
    </row>
    <row r="24" spans="2:6">
      <c r="B24" s="95" t="s">
        <v>119</v>
      </c>
      <c r="C24" t="s">
        <v>111</v>
      </c>
      <c r="D24" s="95" t="s">
        <v>13</v>
      </c>
      <c r="E24" s="96">
        <v>43570</v>
      </c>
      <c r="F24" s="99" t="s">
        <v>126</v>
      </c>
    </row>
    <row r="25" spans="2:6">
      <c r="B25" s="95" t="s">
        <v>119</v>
      </c>
      <c r="C25" t="s">
        <v>86</v>
      </c>
      <c r="D25" s="95" t="s">
        <v>29</v>
      </c>
      <c r="E25" s="96">
        <v>43556</v>
      </c>
      <c r="F25" s="99" t="s">
        <v>126</v>
      </c>
    </row>
    <row r="26" spans="2:6">
      <c r="B26" s="95" t="s">
        <v>119</v>
      </c>
      <c r="C26" t="s">
        <v>32</v>
      </c>
      <c r="D26" s="95" t="s">
        <v>13</v>
      </c>
      <c r="E26" s="96">
        <v>43570</v>
      </c>
      <c r="F26" s="99" t="s">
        <v>126</v>
      </c>
    </row>
    <row r="27" spans="2:6" hidden="1">
      <c r="B27" s="95" t="s">
        <v>119</v>
      </c>
      <c r="C27" t="s">
        <v>33</v>
      </c>
      <c r="D27" s="95" t="s">
        <v>13</v>
      </c>
      <c r="E27" s="96">
        <v>43647</v>
      </c>
    </row>
    <row r="28" spans="2:6" hidden="1">
      <c r="B28" s="95" t="s">
        <v>119</v>
      </c>
      <c r="C28" t="s">
        <v>67</v>
      </c>
      <c r="D28" s="95" t="s">
        <v>29</v>
      </c>
      <c r="E28" s="96">
        <v>43647</v>
      </c>
    </row>
    <row r="29" spans="2:6">
      <c r="B29" s="95" t="s">
        <v>120</v>
      </c>
      <c r="C29" t="s">
        <v>37</v>
      </c>
      <c r="D29" s="95" t="s">
        <v>27</v>
      </c>
      <c r="E29" s="96">
        <v>43467</v>
      </c>
      <c r="F29" s="95" t="s">
        <v>127</v>
      </c>
    </row>
    <row r="30" spans="2:6">
      <c r="B30" s="95" t="s">
        <v>120</v>
      </c>
      <c r="C30" t="s">
        <v>36</v>
      </c>
      <c r="D30" s="95" t="s">
        <v>35</v>
      </c>
      <c r="E30" s="96">
        <v>43467</v>
      </c>
      <c r="F30" s="95" t="s">
        <v>127</v>
      </c>
    </row>
    <row r="31" spans="2:6">
      <c r="B31" s="95" t="s">
        <v>120</v>
      </c>
      <c r="C31" t="s">
        <v>39</v>
      </c>
      <c r="D31" s="95" t="s">
        <v>13</v>
      </c>
      <c r="E31" s="96">
        <v>43472</v>
      </c>
      <c r="F31" s="95" t="s">
        <v>127</v>
      </c>
    </row>
    <row r="32" spans="2:6">
      <c r="B32" s="95" t="s">
        <v>120</v>
      </c>
      <c r="C32" t="s">
        <v>88</v>
      </c>
      <c r="D32" s="95" t="s">
        <v>14</v>
      </c>
      <c r="E32" s="96">
        <v>43467</v>
      </c>
      <c r="F32" s="95" t="s">
        <v>127</v>
      </c>
    </row>
    <row r="33" spans="2:6">
      <c r="B33" s="95" t="s">
        <v>120</v>
      </c>
      <c r="C33" t="s">
        <v>40</v>
      </c>
      <c r="D33" s="95" t="s">
        <v>35</v>
      </c>
      <c r="E33" s="96">
        <v>43467</v>
      </c>
      <c r="F33" s="95" t="s">
        <v>127</v>
      </c>
    </row>
    <row r="34" spans="2:6">
      <c r="B34" s="95" t="s">
        <v>120</v>
      </c>
      <c r="C34" t="s">
        <v>74</v>
      </c>
      <c r="D34" s="95" t="s">
        <v>38</v>
      </c>
      <c r="E34" s="96">
        <v>43556</v>
      </c>
      <c r="F34" s="95" t="s">
        <v>150</v>
      </c>
    </row>
    <row r="35" spans="2:6">
      <c r="B35" s="95" t="s">
        <v>120</v>
      </c>
      <c r="C35" t="s">
        <v>41</v>
      </c>
      <c r="D35" s="95" t="s">
        <v>13</v>
      </c>
      <c r="E35" s="96">
        <v>43472</v>
      </c>
      <c r="F35" s="95" t="s">
        <v>127</v>
      </c>
    </row>
    <row r="36" spans="2:6">
      <c r="B36" s="95" t="s">
        <v>120</v>
      </c>
      <c r="C36" t="s">
        <v>81</v>
      </c>
      <c r="D36" s="95" t="s">
        <v>27</v>
      </c>
      <c r="E36" s="96">
        <v>43469</v>
      </c>
      <c r="F36" s="95" t="s">
        <v>127</v>
      </c>
    </row>
    <row r="37" spans="2:6">
      <c r="B37" s="95" t="s">
        <v>120</v>
      </c>
      <c r="C37" t="s">
        <v>82</v>
      </c>
      <c r="D37" s="95" t="s">
        <v>35</v>
      </c>
      <c r="E37" s="96">
        <v>43535</v>
      </c>
      <c r="F37" s="95" t="s">
        <v>127</v>
      </c>
    </row>
    <row r="38" spans="2:6">
      <c r="B38" s="95" t="s">
        <v>120</v>
      </c>
      <c r="C38" t="s">
        <v>144</v>
      </c>
      <c r="D38" s="95" t="s">
        <v>35</v>
      </c>
      <c r="E38" s="96">
        <v>43549</v>
      </c>
      <c r="F38" s="95" t="s">
        <v>127</v>
      </c>
    </row>
    <row r="39" spans="2:6">
      <c r="B39" s="95" t="s">
        <v>120</v>
      </c>
      <c r="C39" t="s">
        <v>87</v>
      </c>
      <c r="D39" s="95" t="s">
        <v>35</v>
      </c>
      <c r="E39" s="96">
        <v>43549</v>
      </c>
      <c r="F39" s="95" t="s">
        <v>127</v>
      </c>
    </row>
    <row r="40" spans="2:6">
      <c r="B40" s="95" t="s">
        <v>120</v>
      </c>
      <c r="C40" t="s">
        <v>83</v>
      </c>
      <c r="D40" s="95" t="s">
        <v>14</v>
      </c>
      <c r="E40" s="96">
        <v>43570</v>
      </c>
      <c r="F40" s="95" t="s">
        <v>151</v>
      </c>
    </row>
    <row r="41" spans="2:6" hidden="1">
      <c r="B41" s="95" t="s">
        <v>120</v>
      </c>
      <c r="C41" t="s">
        <v>43</v>
      </c>
      <c r="D41" s="95" t="s">
        <v>35</v>
      </c>
      <c r="E41" s="96">
        <v>43647</v>
      </c>
    </row>
    <row r="42" spans="2:6">
      <c r="B42" s="95" t="s">
        <v>120</v>
      </c>
      <c r="C42" t="s">
        <v>48</v>
      </c>
      <c r="D42" s="95" t="s">
        <v>35</v>
      </c>
      <c r="E42" s="96">
        <v>43500</v>
      </c>
      <c r="F42" s="99" t="s">
        <v>126</v>
      </c>
    </row>
    <row r="43" spans="2:6">
      <c r="B43" s="95" t="s">
        <v>120</v>
      </c>
      <c r="C43" t="s">
        <v>49</v>
      </c>
      <c r="D43" s="95" t="s">
        <v>35</v>
      </c>
      <c r="E43" s="96">
        <v>43529</v>
      </c>
      <c r="F43" s="95" t="s">
        <v>152</v>
      </c>
    </row>
    <row r="44" spans="2:6">
      <c r="B44" s="95" t="s">
        <v>120</v>
      </c>
      <c r="C44" t="s">
        <v>50</v>
      </c>
      <c r="D44" s="95" t="s">
        <v>14</v>
      </c>
      <c r="E44" s="96">
        <v>43553</v>
      </c>
      <c r="F44" s="95" t="s">
        <v>153</v>
      </c>
    </row>
    <row r="45" spans="2:6" hidden="1">
      <c r="B45" s="95" t="s">
        <v>120</v>
      </c>
      <c r="C45" t="s">
        <v>42</v>
      </c>
      <c r="D45" s="95" t="s">
        <v>14</v>
      </c>
      <c r="E45" s="96">
        <v>43647</v>
      </c>
    </row>
    <row r="46" spans="2:6" hidden="1">
      <c r="B46" s="95" t="s">
        <v>120</v>
      </c>
      <c r="C46" t="s">
        <v>89</v>
      </c>
      <c r="D46" s="95" t="s">
        <v>27</v>
      </c>
      <c r="E46" s="96">
        <v>43647</v>
      </c>
    </row>
    <row r="47" spans="2:6">
      <c r="B47" s="95" t="s">
        <v>120</v>
      </c>
      <c r="C47" t="s">
        <v>128</v>
      </c>
      <c r="D47" s="95" t="s">
        <v>35</v>
      </c>
      <c r="E47" s="96">
        <v>43616</v>
      </c>
      <c r="F47" s="95" t="s">
        <v>154</v>
      </c>
    </row>
    <row r="48" spans="2:6" hidden="1">
      <c r="B48" s="95" t="s">
        <v>120</v>
      </c>
      <c r="C48" t="s">
        <v>129</v>
      </c>
      <c r="D48" s="95" t="s">
        <v>35</v>
      </c>
      <c r="E48" s="96">
        <v>43769</v>
      </c>
    </row>
    <row r="49" spans="2:6">
      <c r="B49" s="95" t="s">
        <v>120</v>
      </c>
      <c r="C49" t="s">
        <v>130</v>
      </c>
      <c r="D49" s="95" t="s">
        <v>28</v>
      </c>
      <c r="E49" s="96">
        <v>43570</v>
      </c>
      <c r="F49" s="95" t="s">
        <v>161</v>
      </c>
    </row>
    <row r="50" spans="2:6">
      <c r="B50" s="95" t="s">
        <v>120</v>
      </c>
      <c r="C50" t="s">
        <v>131</v>
      </c>
      <c r="D50" s="95" t="s">
        <v>35</v>
      </c>
      <c r="E50" s="96">
        <v>43584</v>
      </c>
      <c r="F50" s="95" t="s">
        <v>153</v>
      </c>
    </row>
    <row r="51" spans="2:6">
      <c r="B51" s="95" t="s">
        <v>120</v>
      </c>
      <c r="C51" t="s">
        <v>132</v>
      </c>
      <c r="D51" s="95" t="s">
        <v>14</v>
      </c>
      <c r="E51" s="96">
        <v>43598</v>
      </c>
      <c r="F51" s="95" t="s">
        <v>155</v>
      </c>
    </row>
    <row r="52" spans="2:6">
      <c r="B52" s="95" t="s">
        <v>120</v>
      </c>
      <c r="C52" t="s">
        <v>60</v>
      </c>
      <c r="D52" s="95" t="s">
        <v>27</v>
      </c>
      <c r="E52" s="96">
        <v>43598</v>
      </c>
      <c r="F52" s="95" t="s">
        <v>127</v>
      </c>
    </row>
    <row r="53" spans="2:6" hidden="1">
      <c r="B53" s="95" t="s">
        <v>120</v>
      </c>
      <c r="C53" t="s">
        <v>61</v>
      </c>
      <c r="D53" s="95" t="s">
        <v>27</v>
      </c>
      <c r="E53" s="96">
        <v>43661</v>
      </c>
    </row>
    <row r="54" spans="2:6">
      <c r="B54" s="95" t="s">
        <v>120</v>
      </c>
      <c r="C54" t="s">
        <v>34</v>
      </c>
      <c r="D54" s="95" t="s">
        <v>35</v>
      </c>
      <c r="E54" s="96">
        <v>43467</v>
      </c>
      <c r="F54" s="95" t="s">
        <v>127</v>
      </c>
    </row>
    <row r="55" spans="2:6">
      <c r="B55" s="95" t="s">
        <v>120</v>
      </c>
      <c r="C55" t="s">
        <v>72</v>
      </c>
      <c r="D55" s="95" t="s">
        <v>27</v>
      </c>
      <c r="E55" s="96">
        <v>43570</v>
      </c>
      <c r="F55" s="95" t="s">
        <v>153</v>
      </c>
    </row>
    <row r="56" spans="2:6">
      <c r="B56" s="95" t="s">
        <v>120</v>
      </c>
      <c r="C56" t="s">
        <v>62</v>
      </c>
      <c r="D56" s="95" t="s">
        <v>13</v>
      </c>
      <c r="E56" s="96">
        <v>43500</v>
      </c>
      <c r="F56" s="99" t="s">
        <v>126</v>
      </c>
    </row>
    <row r="57" spans="2:6">
      <c r="B57" s="95" t="s">
        <v>120</v>
      </c>
      <c r="C57" t="s">
        <v>91</v>
      </c>
      <c r="D57" s="95" t="s">
        <v>13</v>
      </c>
      <c r="E57" s="96">
        <v>43479</v>
      </c>
      <c r="F57" s="95" t="s">
        <v>127</v>
      </c>
    </row>
    <row r="58" spans="2:6">
      <c r="B58" s="95" t="s">
        <v>120</v>
      </c>
      <c r="C58" t="s">
        <v>112</v>
      </c>
      <c r="D58" s="95" t="s">
        <v>35</v>
      </c>
      <c r="E58" s="96">
        <v>43586</v>
      </c>
      <c r="F58" s="95" t="s">
        <v>127</v>
      </c>
    </row>
    <row r="59" spans="2:6" hidden="1">
      <c r="B59" s="95" t="s">
        <v>120</v>
      </c>
      <c r="C59" t="s">
        <v>113</v>
      </c>
      <c r="D59" s="95" t="s">
        <v>35</v>
      </c>
      <c r="E59" s="96">
        <v>43622</v>
      </c>
    </row>
    <row r="60" spans="2:6">
      <c r="B60" s="95" t="s">
        <v>120</v>
      </c>
      <c r="C60" t="s">
        <v>63</v>
      </c>
      <c r="D60" s="95" t="s">
        <v>13</v>
      </c>
      <c r="E60" s="96">
        <v>43591</v>
      </c>
      <c r="F60" s="95" t="s">
        <v>153</v>
      </c>
    </row>
    <row r="61" spans="2:6">
      <c r="B61" s="95" t="s">
        <v>125</v>
      </c>
      <c r="C61" t="s">
        <v>73</v>
      </c>
      <c r="D61" s="95" t="s">
        <v>15</v>
      </c>
      <c r="E61" s="96">
        <v>43525</v>
      </c>
      <c r="F61" s="96" t="s">
        <v>127</v>
      </c>
    </row>
    <row r="62" spans="2:6">
      <c r="B62" s="95" t="s">
        <v>125</v>
      </c>
      <c r="C62" t="s">
        <v>54</v>
      </c>
      <c r="D62" s="95" t="s">
        <v>15</v>
      </c>
      <c r="E62" s="96">
        <v>43467</v>
      </c>
      <c r="F62" s="95" t="s">
        <v>127</v>
      </c>
    </row>
    <row r="63" spans="2:6">
      <c r="B63" s="95" t="s">
        <v>125</v>
      </c>
      <c r="C63" t="s">
        <v>55</v>
      </c>
      <c r="D63" s="95" t="s">
        <v>15</v>
      </c>
      <c r="E63" s="96">
        <v>43467</v>
      </c>
      <c r="F63" s="95" t="s">
        <v>127</v>
      </c>
    </row>
    <row r="64" spans="2:6" hidden="1">
      <c r="B64" s="95" t="s">
        <v>125</v>
      </c>
      <c r="C64" t="s">
        <v>53</v>
      </c>
      <c r="D64" s="95" t="s">
        <v>15</v>
      </c>
      <c r="E64" s="96">
        <v>43738</v>
      </c>
    </row>
    <row r="65" spans="2:6">
      <c r="B65" s="95" t="s">
        <v>125</v>
      </c>
      <c r="C65" t="s">
        <v>69</v>
      </c>
      <c r="D65" s="95" t="s">
        <v>15</v>
      </c>
      <c r="E65" s="96">
        <v>43525</v>
      </c>
      <c r="F65" s="99" t="s">
        <v>126</v>
      </c>
    </row>
    <row r="66" spans="2:6">
      <c r="B66" s="95" t="s">
        <v>125</v>
      </c>
      <c r="C66" t="s">
        <v>57</v>
      </c>
      <c r="D66" s="95" t="s">
        <v>13</v>
      </c>
      <c r="E66" s="96">
        <v>43473</v>
      </c>
      <c r="F66" s="95" t="s">
        <v>127</v>
      </c>
    </row>
    <row r="67" spans="2:6">
      <c r="B67" s="95" t="s">
        <v>125</v>
      </c>
      <c r="C67" t="s">
        <v>70</v>
      </c>
      <c r="D67" s="95" t="s">
        <v>13</v>
      </c>
      <c r="E67" s="96">
        <v>43473</v>
      </c>
      <c r="F67" s="95" t="s">
        <v>127</v>
      </c>
    </row>
    <row r="68" spans="2:6">
      <c r="B68" s="95" t="s">
        <v>125</v>
      </c>
      <c r="C68" t="s">
        <v>114</v>
      </c>
      <c r="D68" s="95" t="s">
        <v>38</v>
      </c>
      <c r="E68" s="96">
        <v>43560</v>
      </c>
      <c r="F68" s="99" t="s">
        <v>126</v>
      </c>
    </row>
    <row r="69" spans="2:6">
      <c r="B69" s="95" t="s">
        <v>125</v>
      </c>
      <c r="C69" t="s">
        <v>71</v>
      </c>
      <c r="D69" s="95" t="s">
        <v>13</v>
      </c>
      <c r="E69" s="96">
        <v>43479</v>
      </c>
      <c r="F69" s="99" t="s">
        <v>126</v>
      </c>
    </row>
    <row r="70" spans="2:6">
      <c r="B70" s="95" t="s">
        <v>125</v>
      </c>
      <c r="C70" t="s">
        <v>75</v>
      </c>
      <c r="D70" s="95" t="s">
        <v>14</v>
      </c>
      <c r="E70" s="96">
        <v>43500</v>
      </c>
      <c r="F70" s="95" t="s">
        <v>127</v>
      </c>
    </row>
    <row r="71" spans="2:6" hidden="1">
      <c r="B71" s="95" t="s">
        <v>125</v>
      </c>
      <c r="C71" t="s">
        <v>115</v>
      </c>
      <c r="D71" s="95" t="s">
        <v>14</v>
      </c>
      <c r="E71" s="96">
        <v>43830</v>
      </c>
    </row>
    <row r="72" spans="2:6">
      <c r="B72" s="95" t="s">
        <v>125</v>
      </c>
      <c r="C72" t="s">
        <v>116</v>
      </c>
      <c r="D72" s="95" t="s">
        <v>13</v>
      </c>
      <c r="E72" s="96">
        <v>43556</v>
      </c>
      <c r="F72" s="95" t="s">
        <v>156</v>
      </c>
    </row>
    <row r="73" spans="2:6">
      <c r="B73" s="95" t="s">
        <v>125</v>
      </c>
      <c r="C73" t="s">
        <v>157</v>
      </c>
      <c r="D73" s="95" t="s">
        <v>14</v>
      </c>
      <c r="E73" s="96">
        <v>43584</v>
      </c>
      <c r="F73" s="95" t="s">
        <v>158</v>
      </c>
    </row>
    <row r="74" spans="2:6" hidden="1">
      <c r="B74" s="95" t="s">
        <v>125</v>
      </c>
      <c r="C74" t="s">
        <v>121</v>
      </c>
      <c r="D74" s="95" t="s">
        <v>14</v>
      </c>
      <c r="E74" s="96">
        <v>43677</v>
      </c>
    </row>
    <row r="75" spans="2:6">
      <c r="B75" s="95" t="s">
        <v>125</v>
      </c>
      <c r="C75" t="s">
        <v>117</v>
      </c>
      <c r="D75" s="95" t="s">
        <v>38</v>
      </c>
      <c r="E75" s="96">
        <v>43560</v>
      </c>
      <c r="F75" s="99" t="s">
        <v>126</v>
      </c>
    </row>
    <row r="76" spans="2:6">
      <c r="B76" s="95" t="s">
        <v>125</v>
      </c>
      <c r="C76" t="s">
        <v>118</v>
      </c>
      <c r="D76" s="95" t="s">
        <v>38</v>
      </c>
      <c r="E76" s="96">
        <v>43586</v>
      </c>
      <c r="F76" s="95" t="s">
        <v>150</v>
      </c>
    </row>
    <row r="77" spans="2:6">
      <c r="B77" s="95" t="s">
        <v>125</v>
      </c>
      <c r="C77" t="s">
        <v>64</v>
      </c>
      <c r="D77" s="95" t="s">
        <v>35</v>
      </c>
      <c r="E77" s="96">
        <v>43514</v>
      </c>
      <c r="F77" s="99" t="s">
        <v>126</v>
      </c>
    </row>
    <row r="78" spans="2:6">
      <c r="B78" s="95" t="s">
        <v>122</v>
      </c>
      <c r="C78" t="s">
        <v>65</v>
      </c>
      <c r="D78" s="95" t="s">
        <v>13</v>
      </c>
      <c r="E78" s="96">
        <v>43511</v>
      </c>
      <c r="F78" s="99" t="s">
        <v>126</v>
      </c>
    </row>
    <row r="79" spans="2:6">
      <c r="B79" s="95" t="s">
        <v>122</v>
      </c>
      <c r="C79" t="s">
        <v>66</v>
      </c>
      <c r="D79" s="95" t="s">
        <v>13</v>
      </c>
      <c r="E79" s="96">
        <v>43511</v>
      </c>
      <c r="F79" s="99" t="s">
        <v>126</v>
      </c>
    </row>
    <row r="80" spans="2:6">
      <c r="B80" s="95" t="s">
        <v>122</v>
      </c>
      <c r="C80" t="s">
        <v>90</v>
      </c>
      <c r="D80" s="95" t="s">
        <v>13</v>
      </c>
      <c r="E80" s="96">
        <v>43570</v>
      </c>
      <c r="F80" s="95" t="s">
        <v>127</v>
      </c>
    </row>
    <row r="81" spans="2:6">
      <c r="B81" s="95" t="s">
        <v>122</v>
      </c>
      <c r="C81" t="s">
        <v>58</v>
      </c>
      <c r="D81" s="95" t="s">
        <v>13</v>
      </c>
      <c r="E81" s="96">
        <v>43584</v>
      </c>
      <c r="F81" s="95" t="s">
        <v>150</v>
      </c>
    </row>
    <row r="82" spans="2:6">
      <c r="B82" s="95" t="s">
        <v>122</v>
      </c>
      <c r="C82" t="s">
        <v>59</v>
      </c>
      <c r="D82" s="95" t="s">
        <v>35</v>
      </c>
      <c r="E82" s="96">
        <v>43493</v>
      </c>
      <c r="F82" s="95" t="s">
        <v>127</v>
      </c>
    </row>
    <row r="83" spans="2:6">
      <c r="B83" s="95" t="s">
        <v>122</v>
      </c>
      <c r="C83" t="s">
        <v>145</v>
      </c>
      <c r="D83" s="95" t="s">
        <v>35</v>
      </c>
      <c r="E83" s="96">
        <v>43528</v>
      </c>
      <c r="F83" s="95" t="s">
        <v>146</v>
      </c>
    </row>
    <row r="84" spans="2:6">
      <c r="B84" s="95" t="s">
        <v>122</v>
      </c>
      <c r="C84" t="s">
        <v>123</v>
      </c>
      <c r="D84" s="95" t="s">
        <v>13</v>
      </c>
      <c r="E84" s="96">
        <v>43556</v>
      </c>
      <c r="F84" s="95" t="s">
        <v>159</v>
      </c>
    </row>
    <row r="85" spans="2:6">
      <c r="B85" s="95" t="s">
        <v>122</v>
      </c>
      <c r="C85" t="s">
        <v>124</v>
      </c>
      <c r="D85" s="95" t="s">
        <v>13</v>
      </c>
      <c r="E85" s="96">
        <v>43556</v>
      </c>
      <c r="F85" s="95" t="s">
        <v>160</v>
      </c>
    </row>
    <row r="86" spans="2:6">
      <c r="B86" s="95" t="s">
        <v>122</v>
      </c>
      <c r="C86" t="s">
        <v>44</v>
      </c>
      <c r="D86" s="95" t="s">
        <v>35</v>
      </c>
      <c r="E86" s="96">
        <v>43479</v>
      </c>
      <c r="F86" s="95" t="s">
        <v>127</v>
      </c>
    </row>
    <row r="87" spans="2:6">
      <c r="B87" s="95" t="s">
        <v>122</v>
      </c>
      <c r="C87" t="s">
        <v>77</v>
      </c>
      <c r="D87" s="95" t="s">
        <v>35</v>
      </c>
      <c r="E87" s="96">
        <v>43553</v>
      </c>
      <c r="F87" s="99" t="s">
        <v>126</v>
      </c>
    </row>
    <row r="88" spans="2:6">
      <c r="B88" s="95" t="s">
        <v>122</v>
      </c>
      <c r="C88" t="s">
        <v>45</v>
      </c>
      <c r="D88" s="95" t="s">
        <v>35</v>
      </c>
      <c r="E88" s="96">
        <v>43467</v>
      </c>
      <c r="F88" s="95" t="s">
        <v>127</v>
      </c>
    </row>
    <row r="89" spans="2:6">
      <c r="B89" s="95" t="s">
        <v>122</v>
      </c>
      <c r="C89" t="s">
        <v>51</v>
      </c>
      <c r="D89" s="95" t="s">
        <v>35</v>
      </c>
      <c r="E89" s="96">
        <v>43500</v>
      </c>
      <c r="F89" s="99" t="s">
        <v>126</v>
      </c>
    </row>
    <row r="90" spans="2:6">
      <c r="B90" s="95" t="s">
        <v>122</v>
      </c>
      <c r="C90" t="s">
        <v>52</v>
      </c>
      <c r="D90" s="95" t="s">
        <v>13</v>
      </c>
      <c r="E90" s="96">
        <v>43507</v>
      </c>
      <c r="F90" s="95" t="s">
        <v>127</v>
      </c>
    </row>
    <row r="91" spans="2:6">
      <c r="B91" s="95" t="s">
        <v>122</v>
      </c>
      <c r="C91" t="s">
        <v>46</v>
      </c>
      <c r="D91" s="95" t="s">
        <v>35</v>
      </c>
      <c r="E91" s="96">
        <v>43553</v>
      </c>
      <c r="F91" s="99" t="s">
        <v>126</v>
      </c>
    </row>
    <row r="92" spans="2:6">
      <c r="B92" s="95" t="s">
        <v>122</v>
      </c>
      <c r="C92" t="s">
        <v>47</v>
      </c>
      <c r="D92" s="95" t="s">
        <v>35</v>
      </c>
      <c r="E92" s="96">
        <v>43553</v>
      </c>
      <c r="F92" s="95" t="s">
        <v>127</v>
      </c>
    </row>
    <row r="93" spans="2:6">
      <c r="B93" s="95"/>
    </row>
    <row r="94" spans="2:6">
      <c r="B94" s="95"/>
    </row>
    <row r="95" spans="2:6">
      <c r="B95" s="95"/>
    </row>
    <row r="96" spans="2:6">
      <c r="B96" s="95"/>
    </row>
    <row r="97" spans="2:5">
      <c r="B97" s="95"/>
    </row>
    <row r="98" spans="2:5">
      <c r="B98" s="95"/>
      <c r="D98" t="s">
        <v>29</v>
      </c>
      <c r="E98">
        <v>10</v>
      </c>
    </row>
    <row r="99" spans="2:5">
      <c r="D99" t="s">
        <v>13</v>
      </c>
      <c r="E99">
        <v>31</v>
      </c>
    </row>
    <row r="100" spans="2:5">
      <c r="D100" t="s">
        <v>15</v>
      </c>
      <c r="E100">
        <v>5</v>
      </c>
    </row>
    <row r="101" spans="2:5">
      <c r="D101" t="s">
        <v>14</v>
      </c>
      <c r="E101">
        <v>9</v>
      </c>
    </row>
    <row r="102" spans="2:5">
      <c r="D102" t="s">
        <v>27</v>
      </c>
      <c r="E102">
        <v>6</v>
      </c>
    </row>
    <row r="103" spans="2:5">
      <c r="D103" t="s">
        <v>28</v>
      </c>
      <c r="E103">
        <v>1</v>
      </c>
    </row>
    <row r="104" spans="2:5">
      <c r="D104" t="s">
        <v>38</v>
      </c>
      <c r="E104">
        <v>5</v>
      </c>
    </row>
    <row r="105" spans="2:5">
      <c r="D105" t="s">
        <v>35</v>
      </c>
      <c r="E105">
        <v>24</v>
      </c>
    </row>
    <row r="106" spans="2:5">
      <c r="D106" s="94" t="s">
        <v>138</v>
      </c>
      <c r="E106" s="94">
        <f>SUBTOTAL(9,E98:E105)</f>
        <v>91</v>
      </c>
    </row>
  </sheetData>
  <autoFilter ref="B3:F92" xr:uid="{00000000-0009-0000-0000-000006000000}">
    <filterColumn colId="3">
      <filters>
        <dateGroupItem year="2019" month="1" dateTimeGrouping="month"/>
        <dateGroupItem year="2019" month="2" dateTimeGrouping="month"/>
        <dateGroupItem year="2019" month="3" dateTimeGrouping="month"/>
        <dateGroupItem year="2019" month="4" dateTimeGrouping="month"/>
        <dateGroupItem year="2019" month="5" dateTimeGrouping="month"/>
      </filters>
    </filterColumn>
  </autoFilter>
  <mergeCells count="2">
    <mergeCell ref="D1:F2"/>
    <mergeCell ref="C1:C2"/>
  </mergeCells>
  <pageMargins left="0.7" right="0.7" top="0.75" bottom="0.75" header="0.3" footer="0.3"/>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9842C-2139-4DE1-92C9-23F5C57353C9}">
  <dimension ref="A3:D84"/>
  <sheetViews>
    <sheetView topLeftCell="A53" workbookViewId="0">
      <selection activeCell="A3" sqref="A3:D84"/>
    </sheetView>
  </sheetViews>
  <sheetFormatPr defaultRowHeight="15"/>
  <cols>
    <col min="2" max="2" width="195" bestFit="1" customWidth="1"/>
    <col min="4" max="4" width="10.7109375" bestFit="1" customWidth="1"/>
  </cols>
  <sheetData>
    <row r="3" spans="1:4">
      <c r="A3" t="s">
        <v>119</v>
      </c>
      <c r="B3" t="s">
        <v>316</v>
      </c>
      <c r="C3" t="s">
        <v>13</v>
      </c>
      <c r="D3" s="103">
        <v>45293</v>
      </c>
    </row>
    <row r="4" spans="1:4">
      <c r="A4" t="s">
        <v>119</v>
      </c>
      <c r="B4" t="s">
        <v>342</v>
      </c>
      <c r="C4" t="s">
        <v>266</v>
      </c>
      <c r="D4" s="103">
        <v>45657</v>
      </c>
    </row>
    <row r="5" spans="1:4">
      <c r="A5" t="s">
        <v>119</v>
      </c>
      <c r="B5" t="s">
        <v>338</v>
      </c>
      <c r="C5" t="s">
        <v>13</v>
      </c>
      <c r="D5" s="103">
        <v>45350</v>
      </c>
    </row>
    <row r="6" spans="1:4">
      <c r="A6" t="s">
        <v>119</v>
      </c>
      <c r="B6" t="s">
        <v>341</v>
      </c>
      <c r="C6" t="s">
        <v>266</v>
      </c>
      <c r="D6" s="103">
        <v>45657</v>
      </c>
    </row>
    <row r="7" spans="1:4">
      <c r="A7" t="s">
        <v>119</v>
      </c>
      <c r="B7" t="s">
        <v>339</v>
      </c>
      <c r="C7" t="s">
        <v>266</v>
      </c>
      <c r="D7" s="103">
        <v>45657</v>
      </c>
    </row>
    <row r="8" spans="1:4">
      <c r="A8" t="s">
        <v>119</v>
      </c>
      <c r="B8" t="s">
        <v>340</v>
      </c>
      <c r="C8" t="s">
        <v>266</v>
      </c>
      <c r="D8" s="103">
        <v>45657</v>
      </c>
    </row>
    <row r="9" spans="1:4">
      <c r="A9" t="s">
        <v>119</v>
      </c>
      <c r="B9" t="s">
        <v>317</v>
      </c>
      <c r="C9" t="s">
        <v>13</v>
      </c>
      <c r="D9" s="103">
        <v>45327</v>
      </c>
    </row>
    <row r="10" spans="1:4">
      <c r="A10" t="s">
        <v>119</v>
      </c>
      <c r="B10" t="s">
        <v>318</v>
      </c>
      <c r="C10" t="s">
        <v>266</v>
      </c>
      <c r="D10" s="103">
        <v>45327</v>
      </c>
    </row>
    <row r="11" spans="1:4">
      <c r="A11" t="s">
        <v>119</v>
      </c>
      <c r="B11" t="s">
        <v>269</v>
      </c>
      <c r="C11" t="s">
        <v>13</v>
      </c>
      <c r="D11" s="103">
        <v>45323</v>
      </c>
    </row>
    <row r="12" spans="1:4">
      <c r="A12" t="s">
        <v>119</v>
      </c>
      <c r="B12" t="s">
        <v>268</v>
      </c>
      <c r="C12" t="s">
        <v>13</v>
      </c>
      <c r="D12" s="103">
        <v>45350</v>
      </c>
    </row>
    <row r="13" spans="1:4">
      <c r="A13" t="s">
        <v>119</v>
      </c>
      <c r="B13" t="s">
        <v>337</v>
      </c>
      <c r="C13" t="s">
        <v>13</v>
      </c>
      <c r="D13" s="104"/>
    </row>
    <row r="14" spans="1:4">
      <c r="A14" t="s">
        <v>119</v>
      </c>
      <c r="B14" t="s">
        <v>270</v>
      </c>
      <c r="C14" t="s">
        <v>13</v>
      </c>
      <c r="D14" s="103">
        <v>45321</v>
      </c>
    </row>
    <row r="15" spans="1:4">
      <c r="A15" t="s">
        <v>119</v>
      </c>
      <c r="B15" t="s">
        <v>271</v>
      </c>
      <c r="C15" t="s">
        <v>266</v>
      </c>
      <c r="D15" s="103">
        <v>45293</v>
      </c>
    </row>
    <row r="16" spans="1:4">
      <c r="A16" t="s">
        <v>119</v>
      </c>
      <c r="B16" t="s">
        <v>272</v>
      </c>
      <c r="C16" t="s">
        <v>266</v>
      </c>
      <c r="D16" s="103">
        <v>45327</v>
      </c>
    </row>
    <row r="17" spans="1:4">
      <c r="A17" t="s">
        <v>119</v>
      </c>
      <c r="B17" t="s">
        <v>265</v>
      </c>
      <c r="C17" t="s">
        <v>266</v>
      </c>
      <c r="D17" s="103">
        <v>45306</v>
      </c>
    </row>
    <row r="18" spans="1:4">
      <c r="A18" t="s">
        <v>119</v>
      </c>
      <c r="B18" t="s">
        <v>319</v>
      </c>
      <c r="C18" t="s">
        <v>266</v>
      </c>
      <c r="D18" s="103">
        <v>45306</v>
      </c>
    </row>
    <row r="19" spans="1:4">
      <c r="A19" t="s">
        <v>119</v>
      </c>
      <c r="B19" t="s">
        <v>320</v>
      </c>
      <c r="C19" t="s">
        <v>13</v>
      </c>
      <c r="D19" s="103">
        <v>45474</v>
      </c>
    </row>
    <row r="20" spans="1:4">
      <c r="A20" t="s">
        <v>119</v>
      </c>
      <c r="B20" t="s">
        <v>321</v>
      </c>
      <c r="C20" t="s">
        <v>13</v>
      </c>
      <c r="D20" s="103">
        <v>45566</v>
      </c>
    </row>
    <row r="21" spans="1:4">
      <c r="A21" t="s">
        <v>349</v>
      </c>
      <c r="B21" t="s">
        <v>273</v>
      </c>
      <c r="C21" t="s">
        <v>13</v>
      </c>
      <c r="D21" s="103">
        <v>45352</v>
      </c>
    </row>
    <row r="22" spans="1:4">
      <c r="A22" t="s">
        <v>349</v>
      </c>
      <c r="B22" t="s">
        <v>285</v>
      </c>
      <c r="C22" t="s">
        <v>298</v>
      </c>
      <c r="D22" s="105"/>
    </row>
    <row r="23" spans="1:4">
      <c r="A23" t="s">
        <v>349</v>
      </c>
      <c r="B23" t="s">
        <v>286</v>
      </c>
      <c r="C23" t="s">
        <v>298</v>
      </c>
      <c r="D23" s="103">
        <v>45293</v>
      </c>
    </row>
    <row r="24" spans="1:4">
      <c r="A24" t="s">
        <v>349</v>
      </c>
      <c r="B24" t="s">
        <v>287</v>
      </c>
      <c r="C24" t="s">
        <v>174</v>
      </c>
      <c r="D24" s="103">
        <v>45293</v>
      </c>
    </row>
    <row r="25" spans="1:4">
      <c r="A25" t="s">
        <v>349</v>
      </c>
      <c r="B25" t="s">
        <v>308</v>
      </c>
      <c r="C25" t="s">
        <v>298</v>
      </c>
      <c r="D25" s="103">
        <v>45474</v>
      </c>
    </row>
    <row r="26" spans="1:4">
      <c r="A26" t="s">
        <v>349</v>
      </c>
      <c r="B26" t="s">
        <v>307</v>
      </c>
      <c r="C26" t="s">
        <v>177</v>
      </c>
      <c r="D26" s="104"/>
    </row>
    <row r="27" spans="1:4">
      <c r="A27" t="s">
        <v>349</v>
      </c>
      <c r="B27" t="s">
        <v>264</v>
      </c>
      <c r="C27" t="s">
        <v>298</v>
      </c>
      <c r="D27" s="104"/>
    </row>
    <row r="28" spans="1:4">
      <c r="A28" t="s">
        <v>349</v>
      </c>
      <c r="B28" t="s">
        <v>263</v>
      </c>
      <c r="C28" t="s">
        <v>177</v>
      </c>
      <c r="D28" s="104"/>
    </row>
    <row r="29" spans="1:4">
      <c r="A29" t="s">
        <v>349</v>
      </c>
      <c r="B29" t="s">
        <v>279</v>
      </c>
      <c r="C29" t="s">
        <v>298</v>
      </c>
      <c r="D29" s="103">
        <v>45566</v>
      </c>
    </row>
    <row r="30" spans="1:4">
      <c r="A30" t="s">
        <v>349</v>
      </c>
      <c r="B30" t="s">
        <v>288</v>
      </c>
      <c r="C30" t="s">
        <v>298</v>
      </c>
      <c r="D30" s="104"/>
    </row>
    <row r="31" spans="1:4">
      <c r="A31" t="s">
        <v>349</v>
      </c>
      <c r="B31" t="s">
        <v>278</v>
      </c>
      <c r="C31" t="s">
        <v>277</v>
      </c>
      <c r="D31" s="104"/>
    </row>
    <row r="32" spans="1:4">
      <c r="A32" t="s">
        <v>349</v>
      </c>
      <c r="B32" t="s">
        <v>304</v>
      </c>
      <c r="C32" t="s">
        <v>298</v>
      </c>
      <c r="D32" s="104"/>
    </row>
    <row r="33" spans="1:4">
      <c r="A33" t="s">
        <v>349</v>
      </c>
      <c r="B33" t="s">
        <v>302</v>
      </c>
      <c r="C33" t="s">
        <v>13</v>
      </c>
      <c r="D33" s="103">
        <v>45352</v>
      </c>
    </row>
    <row r="34" spans="1:4">
      <c r="A34" t="s">
        <v>349</v>
      </c>
      <c r="B34" t="s">
        <v>303</v>
      </c>
      <c r="C34" t="s">
        <v>298</v>
      </c>
      <c r="D34" s="103">
        <v>45446</v>
      </c>
    </row>
    <row r="35" spans="1:4">
      <c r="A35" t="s">
        <v>349</v>
      </c>
      <c r="B35" t="s">
        <v>280</v>
      </c>
      <c r="C35" t="s">
        <v>298</v>
      </c>
      <c r="D35" s="103">
        <v>45446</v>
      </c>
    </row>
    <row r="36" spans="1:4">
      <c r="A36" t="s">
        <v>349</v>
      </c>
      <c r="B36" t="s">
        <v>275</v>
      </c>
      <c r="C36" t="s">
        <v>13</v>
      </c>
      <c r="D36" s="103">
        <v>45293</v>
      </c>
    </row>
    <row r="37" spans="1:4">
      <c r="A37" t="s">
        <v>349</v>
      </c>
      <c r="B37" t="s">
        <v>276</v>
      </c>
      <c r="C37" t="s">
        <v>277</v>
      </c>
      <c r="D37" s="104"/>
    </row>
    <row r="38" spans="1:4">
      <c r="A38" t="s">
        <v>349</v>
      </c>
      <c r="B38" t="s">
        <v>289</v>
      </c>
      <c r="C38" t="s">
        <v>298</v>
      </c>
      <c r="D38" s="103">
        <v>45474</v>
      </c>
    </row>
    <row r="39" spans="1:4">
      <c r="A39" t="s">
        <v>349</v>
      </c>
      <c r="B39" t="s">
        <v>313</v>
      </c>
      <c r="C39" t="s">
        <v>298</v>
      </c>
      <c r="D39" s="104"/>
    </row>
    <row r="40" spans="1:4">
      <c r="A40" t="s">
        <v>349</v>
      </c>
      <c r="B40" t="s">
        <v>281</v>
      </c>
      <c r="C40" t="s">
        <v>13</v>
      </c>
      <c r="D40" s="103">
        <v>45413</v>
      </c>
    </row>
    <row r="41" spans="1:4">
      <c r="A41" t="s">
        <v>349</v>
      </c>
      <c r="B41" t="s">
        <v>282</v>
      </c>
      <c r="C41" t="s">
        <v>15</v>
      </c>
      <c r="D41" s="103">
        <v>45444</v>
      </c>
    </row>
    <row r="42" spans="1:4">
      <c r="A42" t="s">
        <v>349</v>
      </c>
      <c r="B42" t="s">
        <v>283</v>
      </c>
      <c r="C42" t="s">
        <v>174</v>
      </c>
      <c r="D42" s="103">
        <v>45458</v>
      </c>
    </row>
    <row r="43" spans="1:4">
      <c r="A43" t="s">
        <v>349</v>
      </c>
      <c r="B43" t="s">
        <v>284</v>
      </c>
      <c r="C43" t="s">
        <v>13</v>
      </c>
      <c r="D43" s="103">
        <v>45474</v>
      </c>
    </row>
    <row r="44" spans="1:4">
      <c r="A44" t="s">
        <v>349</v>
      </c>
      <c r="B44" t="s">
        <v>312</v>
      </c>
      <c r="C44" t="s">
        <v>27</v>
      </c>
      <c r="D44" s="103">
        <v>45323</v>
      </c>
    </row>
    <row r="45" spans="1:4">
      <c r="A45" t="s">
        <v>349</v>
      </c>
      <c r="B45" t="s">
        <v>314</v>
      </c>
      <c r="C45" t="s">
        <v>27</v>
      </c>
      <c r="D45" s="103">
        <v>45397</v>
      </c>
    </row>
    <row r="46" spans="1:4">
      <c r="A46" t="s">
        <v>349</v>
      </c>
      <c r="B46" t="s">
        <v>315</v>
      </c>
      <c r="C46" t="s">
        <v>298</v>
      </c>
      <c r="D46" s="103">
        <v>45657</v>
      </c>
    </row>
    <row r="47" spans="1:4">
      <c r="A47" t="s">
        <v>349</v>
      </c>
      <c r="B47" t="s">
        <v>290</v>
      </c>
      <c r="C47" t="s">
        <v>298</v>
      </c>
      <c r="D47" s="104"/>
    </row>
    <row r="48" spans="1:4">
      <c r="A48" t="s">
        <v>349</v>
      </c>
      <c r="B48" t="s">
        <v>291</v>
      </c>
      <c r="C48" t="s">
        <v>298</v>
      </c>
      <c r="D48" s="105"/>
    </row>
    <row r="49" spans="1:4">
      <c r="A49" t="s">
        <v>349</v>
      </c>
      <c r="B49" t="s">
        <v>292</v>
      </c>
      <c r="C49" t="s">
        <v>298</v>
      </c>
      <c r="D49" s="103">
        <v>45535</v>
      </c>
    </row>
    <row r="50" spans="1:4">
      <c r="A50" t="s">
        <v>350</v>
      </c>
      <c r="B50" t="s">
        <v>297</v>
      </c>
      <c r="C50" t="s">
        <v>13</v>
      </c>
    </row>
    <row r="51" spans="1:4">
      <c r="A51" t="s">
        <v>350</v>
      </c>
      <c r="B51" t="s">
        <v>281</v>
      </c>
      <c r="C51" t="s">
        <v>13</v>
      </c>
      <c r="D51" s="103">
        <v>45413</v>
      </c>
    </row>
    <row r="52" spans="1:4">
      <c r="A52" t="s">
        <v>350</v>
      </c>
      <c r="B52" t="s">
        <v>309</v>
      </c>
      <c r="C52" t="s">
        <v>310</v>
      </c>
      <c r="D52" s="103">
        <v>45444</v>
      </c>
    </row>
    <row r="53" spans="1:4">
      <c r="A53" t="s">
        <v>350</v>
      </c>
      <c r="B53" t="s">
        <v>283</v>
      </c>
      <c r="C53" t="s">
        <v>174</v>
      </c>
      <c r="D53" s="103">
        <v>45458</v>
      </c>
    </row>
    <row r="54" spans="1:4">
      <c r="A54" t="s">
        <v>350</v>
      </c>
      <c r="B54" t="s">
        <v>333</v>
      </c>
      <c r="C54" t="s">
        <v>15</v>
      </c>
      <c r="D54" s="103">
        <v>45505</v>
      </c>
    </row>
    <row r="55" spans="1:4">
      <c r="A55" t="s">
        <v>350</v>
      </c>
      <c r="B55" t="s">
        <v>334</v>
      </c>
      <c r="C55" t="s">
        <v>13</v>
      </c>
      <c r="D55" s="103">
        <v>45505</v>
      </c>
    </row>
    <row r="56" spans="1:4">
      <c r="A56" t="s">
        <v>350</v>
      </c>
      <c r="B56" t="s">
        <v>295</v>
      </c>
      <c r="C56" t="s">
        <v>15</v>
      </c>
      <c r="D56" s="103">
        <v>45380</v>
      </c>
    </row>
    <row r="57" spans="1:4">
      <c r="A57" t="s">
        <v>350</v>
      </c>
      <c r="B57" t="s">
        <v>296</v>
      </c>
      <c r="C57" t="s">
        <v>15</v>
      </c>
      <c r="D57" s="103">
        <v>45474</v>
      </c>
    </row>
    <row r="58" spans="1:4">
      <c r="A58" t="s">
        <v>350</v>
      </c>
      <c r="B58" t="s">
        <v>301</v>
      </c>
      <c r="C58" t="s">
        <v>174</v>
      </c>
      <c r="D58" s="105">
        <v>45350</v>
      </c>
    </row>
    <row r="59" spans="1:4">
      <c r="A59" t="s">
        <v>350</v>
      </c>
      <c r="B59" t="s">
        <v>299</v>
      </c>
      <c r="C59" s="104" t="s">
        <v>13</v>
      </c>
      <c r="D59" s="103">
        <v>45293</v>
      </c>
    </row>
    <row r="60" spans="1:4">
      <c r="A60" t="s">
        <v>350</v>
      </c>
      <c r="B60" t="s">
        <v>300</v>
      </c>
      <c r="C60" t="s">
        <v>174</v>
      </c>
      <c r="D60" s="103">
        <v>45293</v>
      </c>
    </row>
    <row r="61" spans="1:4">
      <c r="A61" t="s">
        <v>350</v>
      </c>
      <c r="B61" t="s">
        <v>288</v>
      </c>
      <c r="C61" t="s">
        <v>298</v>
      </c>
      <c r="D61" s="104"/>
    </row>
    <row r="62" spans="1:4">
      <c r="A62" t="s">
        <v>350</v>
      </c>
      <c r="B62" t="s">
        <v>305</v>
      </c>
      <c r="C62" s="104" t="s">
        <v>277</v>
      </c>
      <c r="D62" s="104"/>
    </row>
    <row r="63" spans="1:4">
      <c r="A63" t="s">
        <v>350</v>
      </c>
      <c r="B63" t="s">
        <v>306</v>
      </c>
      <c r="C63" s="104" t="s">
        <v>277</v>
      </c>
      <c r="D63" s="104"/>
    </row>
    <row r="64" spans="1:4">
      <c r="A64" t="s">
        <v>122</v>
      </c>
      <c r="B64" t="s">
        <v>78</v>
      </c>
      <c r="C64" t="s">
        <v>13</v>
      </c>
    </row>
    <row r="65" spans="1:4">
      <c r="A65" t="s">
        <v>122</v>
      </c>
      <c r="B65" t="s">
        <v>336</v>
      </c>
      <c r="C65" t="s">
        <v>13</v>
      </c>
      <c r="D65" s="103">
        <v>45350</v>
      </c>
    </row>
    <row r="66" spans="1:4">
      <c r="A66" t="s">
        <v>122</v>
      </c>
      <c r="B66" t="s">
        <v>351</v>
      </c>
      <c r="C66" t="s">
        <v>13</v>
      </c>
      <c r="D66" s="103">
        <v>45366</v>
      </c>
    </row>
    <row r="67" spans="1:4">
      <c r="A67" t="s">
        <v>122</v>
      </c>
      <c r="B67" t="s">
        <v>335</v>
      </c>
      <c r="C67" t="s">
        <v>13</v>
      </c>
      <c r="D67" s="103">
        <v>45366</v>
      </c>
    </row>
    <row r="68" spans="1:4">
      <c r="A68" t="s">
        <v>122</v>
      </c>
      <c r="B68" t="s">
        <v>346</v>
      </c>
      <c r="C68" t="s">
        <v>322</v>
      </c>
      <c r="D68" s="103">
        <v>45380</v>
      </c>
    </row>
    <row r="69" spans="1:4">
      <c r="A69" t="s">
        <v>122</v>
      </c>
      <c r="B69" t="s">
        <v>345</v>
      </c>
      <c r="C69" t="s">
        <v>38</v>
      </c>
      <c r="D69" s="103">
        <v>45397</v>
      </c>
    </row>
    <row r="70" spans="1:4">
      <c r="A70" t="s">
        <v>122</v>
      </c>
      <c r="B70" t="s">
        <v>343</v>
      </c>
      <c r="C70" t="s">
        <v>298</v>
      </c>
      <c r="D70" s="104"/>
    </row>
    <row r="71" spans="1:4">
      <c r="A71" t="s">
        <v>122</v>
      </c>
      <c r="B71" t="s">
        <v>212</v>
      </c>
      <c r="C71" t="s">
        <v>298</v>
      </c>
      <c r="D71" s="104"/>
    </row>
    <row r="72" spans="1:4">
      <c r="A72" t="s">
        <v>122</v>
      </c>
      <c r="B72" t="s">
        <v>275</v>
      </c>
      <c r="C72" t="s">
        <v>13</v>
      </c>
      <c r="D72" s="103">
        <v>45293</v>
      </c>
    </row>
    <row r="73" spans="1:4">
      <c r="A73" t="s">
        <v>122</v>
      </c>
      <c r="B73" t="s">
        <v>347</v>
      </c>
      <c r="C73" t="s">
        <v>277</v>
      </c>
      <c r="D73" s="103">
        <v>45474</v>
      </c>
    </row>
    <row r="74" spans="1:4">
      <c r="A74" t="s">
        <v>122</v>
      </c>
      <c r="B74" t="s">
        <v>348</v>
      </c>
      <c r="C74" t="s">
        <v>298</v>
      </c>
      <c r="D74" s="103">
        <v>45657</v>
      </c>
    </row>
    <row r="75" spans="1:4">
      <c r="A75" t="s">
        <v>122</v>
      </c>
      <c r="B75" t="s">
        <v>323</v>
      </c>
      <c r="C75" t="s">
        <v>177</v>
      </c>
      <c r="D75" s="103">
        <v>45322</v>
      </c>
    </row>
    <row r="76" spans="1:4">
      <c r="A76" t="s">
        <v>122</v>
      </c>
      <c r="B76" t="s">
        <v>324</v>
      </c>
      <c r="C76" t="s">
        <v>13</v>
      </c>
      <c r="D76" s="104"/>
    </row>
    <row r="77" spans="1:4">
      <c r="A77" t="s">
        <v>122</v>
      </c>
      <c r="B77" t="s">
        <v>325</v>
      </c>
      <c r="C77" t="s">
        <v>322</v>
      </c>
      <c r="D77" s="103">
        <v>45397</v>
      </c>
    </row>
    <row r="78" spans="1:4">
      <c r="A78" t="s">
        <v>122</v>
      </c>
      <c r="B78" t="s">
        <v>326</v>
      </c>
      <c r="C78" t="s">
        <v>177</v>
      </c>
      <c r="D78" s="103">
        <v>45295</v>
      </c>
    </row>
    <row r="79" spans="1:4">
      <c r="A79" t="s">
        <v>122</v>
      </c>
      <c r="B79" t="s">
        <v>352</v>
      </c>
      <c r="C79" t="s">
        <v>13</v>
      </c>
      <c r="D79" s="103">
        <v>45366</v>
      </c>
    </row>
    <row r="80" spans="1:4">
      <c r="A80" t="s">
        <v>122</v>
      </c>
      <c r="B80" t="s">
        <v>327</v>
      </c>
      <c r="C80" t="s">
        <v>13</v>
      </c>
      <c r="D80" s="103">
        <v>45444</v>
      </c>
    </row>
    <row r="81" spans="1:4">
      <c r="A81" t="s">
        <v>122</v>
      </c>
      <c r="B81" t="s">
        <v>329</v>
      </c>
      <c r="C81" t="s">
        <v>214</v>
      </c>
      <c r="D81" s="103">
        <v>45380</v>
      </c>
    </row>
    <row r="82" spans="1:4">
      <c r="A82" t="s">
        <v>122</v>
      </c>
      <c r="B82" t="s">
        <v>330</v>
      </c>
      <c r="C82" t="s">
        <v>214</v>
      </c>
      <c r="D82" s="103">
        <v>45380</v>
      </c>
    </row>
    <row r="83" spans="1:4">
      <c r="A83" t="s">
        <v>122</v>
      </c>
      <c r="B83" t="s">
        <v>331</v>
      </c>
      <c r="C83" t="s">
        <v>214</v>
      </c>
      <c r="D83" s="103">
        <v>45380</v>
      </c>
    </row>
    <row r="84" spans="1:4">
      <c r="A84" t="s">
        <v>122</v>
      </c>
      <c r="B84" t="s">
        <v>332</v>
      </c>
      <c r="C84" t="s">
        <v>214</v>
      </c>
      <c r="D84" s="103">
        <v>45380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U9"/>
  <sheetViews>
    <sheetView showGridLines="0" zoomScale="90" zoomScaleNormal="90" workbookViewId="0">
      <selection activeCell="A9" sqref="A9"/>
    </sheetView>
  </sheetViews>
  <sheetFormatPr defaultRowHeight="15"/>
  <cols>
    <col min="1" max="1" width="6.140625" customWidth="1"/>
    <col min="2" max="2" width="9" customWidth="1"/>
  </cols>
  <sheetData>
    <row r="3" spans="1:21" ht="31.5">
      <c r="A3" s="91" t="s">
        <v>95</v>
      </c>
      <c r="B3" s="91"/>
      <c r="C3" s="91"/>
      <c r="D3" s="91"/>
      <c r="E3" s="91"/>
      <c r="F3" s="91"/>
      <c r="G3" s="91"/>
      <c r="H3" s="91"/>
      <c r="I3" s="91"/>
      <c r="J3" s="91"/>
      <c r="K3" s="91"/>
      <c r="L3" s="91"/>
      <c r="M3" s="91"/>
      <c r="N3" s="91"/>
      <c r="O3" s="91"/>
      <c r="P3" s="91"/>
      <c r="Q3" s="91"/>
      <c r="R3" s="91"/>
      <c r="S3" s="91"/>
      <c r="T3" s="91"/>
      <c r="U3" s="91"/>
    </row>
    <row r="4" spans="1:21" ht="31.5">
      <c r="A4" s="92" t="s">
        <v>96</v>
      </c>
      <c r="B4" s="91" t="s">
        <v>101</v>
      </c>
      <c r="C4" s="91"/>
      <c r="D4" s="91"/>
      <c r="E4" s="91"/>
      <c r="F4" s="91"/>
      <c r="G4" s="91"/>
      <c r="H4" s="91"/>
      <c r="I4" s="91"/>
      <c r="J4" s="91"/>
      <c r="K4" s="91"/>
      <c r="L4" s="91"/>
      <c r="M4" s="91"/>
      <c r="N4" s="91"/>
      <c r="O4" s="91"/>
      <c r="P4" s="91"/>
      <c r="Q4" s="91"/>
      <c r="R4" s="91"/>
      <c r="S4" s="91"/>
      <c r="T4" s="91"/>
      <c r="U4" s="91"/>
    </row>
    <row r="5" spans="1:21" ht="31.5">
      <c r="A5" s="92" t="s">
        <v>97</v>
      </c>
      <c r="B5" s="91" t="s">
        <v>102</v>
      </c>
      <c r="C5" s="91"/>
      <c r="D5" s="91"/>
      <c r="E5" s="91"/>
      <c r="F5" s="91"/>
      <c r="G5" s="91"/>
      <c r="H5" s="91"/>
      <c r="I5" s="91"/>
      <c r="J5" s="91"/>
      <c r="K5" s="91"/>
      <c r="L5" s="91"/>
      <c r="M5" s="91"/>
      <c r="N5" s="91"/>
      <c r="O5" s="91"/>
      <c r="P5" s="91"/>
      <c r="Q5" s="91"/>
      <c r="R5" s="91"/>
      <c r="S5" s="91"/>
      <c r="T5" s="91"/>
      <c r="U5" s="91"/>
    </row>
    <row r="6" spans="1:21" ht="31.5">
      <c r="A6" s="92" t="s">
        <v>98</v>
      </c>
      <c r="B6" s="91" t="s">
        <v>92</v>
      </c>
      <c r="C6" s="91"/>
      <c r="D6" s="91"/>
      <c r="E6" s="91"/>
      <c r="F6" s="91"/>
      <c r="G6" s="91"/>
      <c r="H6" s="91"/>
      <c r="I6" s="91"/>
      <c r="J6" s="91"/>
      <c r="K6" s="91"/>
      <c r="L6" s="91"/>
      <c r="M6" s="91"/>
      <c r="N6" s="91"/>
      <c r="O6" s="91"/>
      <c r="P6" s="91"/>
      <c r="Q6" s="91"/>
      <c r="R6" s="91"/>
      <c r="S6" s="91"/>
      <c r="T6" s="91"/>
      <c r="U6" s="91"/>
    </row>
    <row r="7" spans="1:21" ht="31.5">
      <c r="A7" s="92" t="s">
        <v>99</v>
      </c>
      <c r="B7" s="91" t="s">
        <v>93</v>
      </c>
      <c r="C7" s="91"/>
      <c r="D7" s="91"/>
      <c r="E7" s="91"/>
      <c r="F7" s="91"/>
      <c r="G7" s="91"/>
      <c r="H7" s="91"/>
      <c r="I7" s="91"/>
      <c r="J7" s="91"/>
      <c r="K7" s="91"/>
      <c r="L7" s="91"/>
      <c r="M7" s="91"/>
      <c r="N7" s="91"/>
      <c r="O7" s="91"/>
      <c r="P7" s="91"/>
      <c r="Q7" s="91"/>
      <c r="R7" s="91"/>
      <c r="S7" s="91"/>
      <c r="T7" s="91"/>
      <c r="U7" s="91"/>
    </row>
    <row r="8" spans="1:21" ht="31.5">
      <c r="A8" s="92" t="s">
        <v>100</v>
      </c>
      <c r="B8" s="91" t="s">
        <v>94</v>
      </c>
      <c r="C8" s="91"/>
      <c r="D8" s="91"/>
      <c r="E8" s="91"/>
      <c r="F8" s="91"/>
      <c r="G8" s="91"/>
      <c r="H8" s="91"/>
      <c r="I8" s="91"/>
      <c r="J8" s="91"/>
      <c r="K8" s="91"/>
      <c r="L8" s="91"/>
      <c r="M8" s="91"/>
      <c r="N8" s="91"/>
      <c r="O8" s="91"/>
      <c r="P8" s="91"/>
      <c r="Q8" s="91"/>
      <c r="R8" s="91"/>
      <c r="S8" s="91"/>
      <c r="T8" s="91"/>
      <c r="U8" s="91"/>
    </row>
    <row r="9" spans="1:21" ht="31.5">
      <c r="A9" s="93"/>
      <c r="B9" s="91"/>
      <c r="C9" s="91"/>
      <c r="D9" s="91"/>
      <c r="E9" s="91"/>
      <c r="F9" s="91"/>
      <c r="G9" s="91"/>
      <c r="H9" s="91"/>
      <c r="I9" s="91"/>
      <c r="J9" s="91"/>
      <c r="K9" s="91"/>
      <c r="L9" s="91"/>
      <c r="M9" s="91"/>
      <c r="N9" s="91"/>
      <c r="O9" s="91"/>
      <c r="P9" s="91"/>
      <c r="Q9" s="91"/>
      <c r="R9" s="91"/>
      <c r="S9" s="91"/>
      <c r="T9" s="91"/>
      <c r="U9" s="9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Key Initiatives</vt:lpstr>
      <vt:lpstr>Top Level</vt:lpstr>
      <vt:lpstr>Sales &amp; Marketing</vt:lpstr>
      <vt:lpstr>Ops Improvement</vt:lpstr>
      <vt:lpstr>Engineering</vt:lpstr>
      <vt:lpstr>Quality</vt:lpstr>
      <vt:lpstr>People &amp; Saftey</vt:lpstr>
      <vt:lpstr>Tracker</vt:lpstr>
      <vt:lpstr>2021 Tracker</vt:lpstr>
      <vt:lpstr>2019 Tracker</vt:lpstr>
      <vt:lpstr>Sheet2</vt:lpstr>
      <vt:lpstr>Questions</vt:lpstr>
      <vt:lpstr>'2019 Tracker'!Print_Titles</vt:lpstr>
      <vt:lpstr>Tracker!Print_Titles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Harris</dc:creator>
  <cp:lastModifiedBy>Dustin Bolgrihn</cp:lastModifiedBy>
  <cp:lastPrinted>2026-01-05T18:41:38Z</cp:lastPrinted>
  <dcterms:created xsi:type="dcterms:W3CDTF">2010-10-08T13:02:03Z</dcterms:created>
  <dcterms:modified xsi:type="dcterms:W3CDTF">2026-01-14T21:58:35Z</dcterms:modified>
</cp:coreProperties>
</file>