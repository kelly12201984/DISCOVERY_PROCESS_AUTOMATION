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P:\Production Schedules\2026\"/>
    </mc:Choice>
  </mc:AlternateContent>
  <xr:revisionPtr revIDLastSave="0" documentId="13_ncr:1_{02BB21AE-C816-4C47-A6E2-83B7081E50C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chedule" sheetId="2" r:id="rId1"/>
    <sheet name="Sheet1" sheetId="7" r:id="rId2"/>
  </sheets>
  <definedNames>
    <definedName name="_xlnm._FilterDatabase" localSheetId="0" hidden="1">Schedule!$B$1:$B$3935</definedName>
    <definedName name="_xlnm.Print_Area" localSheetId="0">Schedule!$A$1:$AZ$112</definedName>
    <definedName name="_xlnm.Print_Are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92" i="2" l="1"/>
  <c r="BA92" i="2" s="1"/>
  <c r="AY92" i="2"/>
  <c r="AZ92" i="2"/>
  <c r="AX93" i="2"/>
  <c r="BA93" i="2" s="1"/>
  <c r="AY93" i="2"/>
  <c r="AZ93" i="2"/>
  <c r="AX94" i="2"/>
  <c r="BA94" i="2" s="1"/>
  <c r="AY94" i="2"/>
  <c r="AZ94" i="2"/>
  <c r="AX95" i="2"/>
  <c r="BA95" i="2" s="1"/>
  <c r="AY95" i="2"/>
  <c r="AZ95" i="2"/>
  <c r="AX96" i="2"/>
  <c r="BA96" i="2" s="1"/>
  <c r="AY96" i="2"/>
  <c r="AZ96" i="2"/>
  <c r="AX97" i="2"/>
  <c r="BA97" i="2" s="1"/>
  <c r="AY97" i="2"/>
  <c r="AZ97" i="2"/>
  <c r="AX98" i="2"/>
  <c r="BA98" i="2" s="1"/>
  <c r="AY98" i="2"/>
  <c r="AZ98" i="2"/>
  <c r="AX99" i="2"/>
  <c r="BA99" i="2" s="1"/>
  <c r="AY99" i="2"/>
  <c r="AZ99" i="2"/>
  <c r="AY100" i="2"/>
  <c r="AX82" i="2"/>
  <c r="BA82" i="2" s="1"/>
  <c r="AY82" i="2"/>
  <c r="AZ82" i="2"/>
  <c r="AX83" i="2"/>
  <c r="BA83" i="2" s="1"/>
  <c r="AY83" i="2"/>
  <c r="AZ83" i="2"/>
  <c r="AX84" i="2"/>
  <c r="BA84" i="2" s="1"/>
  <c r="AY84" i="2"/>
  <c r="AZ84" i="2"/>
  <c r="AX85" i="2"/>
  <c r="BA85" i="2" s="1"/>
  <c r="AY85" i="2"/>
  <c r="AZ85" i="2"/>
  <c r="AX86" i="2"/>
  <c r="BA86" i="2" s="1"/>
  <c r="AY86" i="2"/>
  <c r="AZ86" i="2"/>
  <c r="AX87" i="2"/>
  <c r="BA87" i="2" s="1"/>
  <c r="AY87" i="2"/>
  <c r="AZ87" i="2"/>
  <c r="AX88" i="2"/>
  <c r="BA88" i="2" s="1"/>
  <c r="AY88" i="2"/>
  <c r="AZ88" i="2"/>
  <c r="AX89" i="2"/>
  <c r="BA89" i="2" s="1"/>
  <c r="AY89" i="2"/>
  <c r="AZ89" i="2"/>
  <c r="AX90" i="2"/>
  <c r="BA90" i="2" s="1"/>
  <c r="AY90" i="2"/>
  <c r="AZ90" i="2"/>
  <c r="AX91" i="2"/>
  <c r="BA91" i="2" s="1"/>
  <c r="AY91" i="2"/>
  <c r="AZ91" i="2"/>
  <c r="AX100" i="2"/>
  <c r="BA100" i="2" s="1"/>
  <c r="AZ100" i="2"/>
  <c r="AX101" i="2"/>
  <c r="BA101" i="2" s="1"/>
  <c r="AY101" i="2"/>
  <c r="AZ101" i="2"/>
  <c r="AX102" i="2"/>
  <c r="BA102" i="2" s="1"/>
  <c r="AY102" i="2"/>
  <c r="AZ102" i="2"/>
  <c r="AX103" i="2"/>
  <c r="BA103" i="2" s="1"/>
  <c r="AY103" i="2"/>
  <c r="AZ103" i="2"/>
  <c r="AX104" i="2"/>
  <c r="BA104" i="2" s="1"/>
  <c r="AY104" i="2"/>
  <c r="AZ104" i="2"/>
  <c r="AX105" i="2"/>
  <c r="BA105" i="2" s="1"/>
  <c r="AY105" i="2"/>
  <c r="AZ105" i="2"/>
  <c r="AX106" i="2"/>
  <c r="BA106" i="2" s="1"/>
  <c r="AY106" i="2"/>
  <c r="AZ106" i="2"/>
  <c r="AX107" i="2"/>
  <c r="BA107" i="2" s="1"/>
  <c r="AY107" i="2"/>
  <c r="AZ107" i="2"/>
  <c r="F29" i="2"/>
  <c r="I29" i="2" s="1"/>
  <c r="F28" i="2"/>
  <c r="F27" i="2"/>
  <c r="F21" i="2"/>
  <c r="F19" i="2"/>
  <c r="F18" i="2"/>
  <c r="F16" i="2"/>
  <c r="F15" i="2"/>
  <c r="F14" i="2"/>
  <c r="F13" i="2"/>
  <c r="F12" i="2"/>
  <c r="F9" i="2"/>
  <c r="F8" i="2"/>
  <c r="F6" i="2"/>
  <c r="AX66" i="2"/>
  <c r="AZ66" i="2"/>
  <c r="AX67" i="2"/>
  <c r="AZ67" i="2"/>
  <c r="AX68" i="2"/>
  <c r="AZ68" i="2"/>
  <c r="AX69" i="2"/>
  <c r="AZ69" i="2"/>
  <c r="AX70" i="2"/>
  <c r="AZ70" i="2"/>
  <c r="F22" i="2"/>
  <c r="I66" i="2"/>
  <c r="I67" i="2"/>
  <c r="I68" i="2"/>
  <c r="I69" i="2"/>
  <c r="I70" i="2"/>
  <c r="AY70" i="2" s="1"/>
  <c r="J70" i="2"/>
  <c r="AX73" i="2"/>
  <c r="BA73" i="2" s="1"/>
  <c r="AY73" i="2"/>
  <c r="AZ73" i="2"/>
  <c r="AX74" i="2"/>
  <c r="BA74" i="2" s="1"/>
  <c r="AY74" i="2"/>
  <c r="AZ74" i="2"/>
  <c r="AX75" i="2"/>
  <c r="AY75" i="2"/>
  <c r="AZ75" i="2"/>
  <c r="BA75" i="2"/>
  <c r="AX76" i="2"/>
  <c r="BA76" i="2" s="1"/>
  <c r="AY76" i="2"/>
  <c r="AZ76" i="2"/>
  <c r="AX77" i="2"/>
  <c r="BA77" i="2" s="1"/>
  <c r="AY77" i="2"/>
  <c r="AZ77" i="2"/>
  <c r="AX78" i="2"/>
  <c r="BA78" i="2" s="1"/>
  <c r="AY78" i="2"/>
  <c r="AZ78" i="2"/>
  <c r="AX79" i="2"/>
  <c r="AY79" i="2"/>
  <c r="AZ79" i="2"/>
  <c r="BA79" i="2"/>
  <c r="AX80" i="2"/>
  <c r="BA80" i="2" s="1"/>
  <c r="AY80" i="2"/>
  <c r="AZ80" i="2"/>
  <c r="AX81" i="2"/>
  <c r="BA81" i="2" s="1"/>
  <c r="AY81" i="2"/>
  <c r="AZ81" i="2"/>
  <c r="F7" i="2"/>
  <c r="AX65" i="2"/>
  <c r="AZ65" i="2"/>
  <c r="I65" i="2"/>
  <c r="J65" i="2" s="1"/>
  <c r="F17" i="2"/>
  <c r="AX21" i="2"/>
  <c r="AX20" i="2"/>
  <c r="AX64" i="2"/>
  <c r="AZ64" i="2"/>
  <c r="I64" i="2"/>
  <c r="J64" i="2" s="1"/>
  <c r="AX62" i="2"/>
  <c r="AZ62" i="2"/>
  <c r="AX63" i="2"/>
  <c r="AZ63" i="2"/>
  <c r="I62" i="2"/>
  <c r="J62" i="2" s="1"/>
  <c r="I63" i="2"/>
  <c r="J63" i="2"/>
  <c r="AX29" i="2"/>
  <c r="AZ29" i="2"/>
  <c r="F10" i="2"/>
  <c r="I56" i="2"/>
  <c r="I57" i="2"/>
  <c r="I58" i="2"/>
  <c r="J58" i="2" s="1"/>
  <c r="I59" i="2"/>
  <c r="I60" i="2"/>
  <c r="I61" i="2"/>
  <c r="J61" i="2" s="1"/>
  <c r="I53" i="2"/>
  <c r="J53" i="2" s="1"/>
  <c r="I54" i="2"/>
  <c r="J54" i="2" s="1"/>
  <c r="I55" i="2"/>
  <c r="AX56" i="2"/>
  <c r="AZ56" i="2"/>
  <c r="AX53" i="2"/>
  <c r="AZ53" i="2"/>
  <c r="AX54" i="2"/>
  <c r="AZ54" i="2"/>
  <c r="AX55" i="2"/>
  <c r="AZ55" i="2"/>
  <c r="AX57" i="2"/>
  <c r="AZ57" i="2"/>
  <c r="AX58" i="2"/>
  <c r="AZ58" i="2"/>
  <c r="AX59" i="2"/>
  <c r="AZ59" i="2"/>
  <c r="AX60" i="2"/>
  <c r="AZ60" i="2"/>
  <c r="AX61" i="2"/>
  <c r="AZ61" i="2"/>
  <c r="AX50" i="2"/>
  <c r="AZ50" i="2"/>
  <c r="AX51" i="2"/>
  <c r="AZ51" i="2"/>
  <c r="AX52" i="2"/>
  <c r="AZ52" i="2"/>
  <c r="I50" i="2"/>
  <c r="AY50" i="2" s="1"/>
  <c r="I51" i="2"/>
  <c r="I52" i="2"/>
  <c r="J52" i="2" s="1"/>
  <c r="AX47" i="2"/>
  <c r="AZ47" i="2"/>
  <c r="AX48" i="2"/>
  <c r="AZ48" i="2"/>
  <c r="AX49" i="2"/>
  <c r="AZ49" i="2"/>
  <c r="I47" i="2"/>
  <c r="AY47" i="2" s="1"/>
  <c r="I48" i="2"/>
  <c r="AY48" i="2" s="1"/>
  <c r="I49" i="2"/>
  <c r="AY49" i="2" s="1"/>
  <c r="G31" i="2"/>
  <c r="AX46" i="2"/>
  <c r="AZ46" i="2"/>
  <c r="I46" i="2"/>
  <c r="J46" i="2" s="1"/>
  <c r="AY69" i="2" l="1"/>
  <c r="J69" i="2"/>
  <c r="BA69" i="2"/>
  <c r="BA70" i="2"/>
  <c r="BA67" i="2"/>
  <c r="BA68" i="2"/>
  <c r="J66" i="2"/>
  <c r="AY66" i="2"/>
  <c r="BA66" i="2"/>
  <c r="J67" i="2"/>
  <c r="AY67" i="2"/>
  <c r="J68" i="2"/>
  <c r="AY68" i="2"/>
  <c r="BA65" i="2"/>
  <c r="AY65" i="2"/>
  <c r="AY64" i="2"/>
  <c r="BA64" i="2"/>
  <c r="AY62" i="2"/>
  <c r="BA62" i="2"/>
  <c r="AY63" i="2"/>
  <c r="BA63" i="2"/>
  <c r="J56" i="2"/>
  <c r="AY56" i="2"/>
  <c r="AY59" i="2"/>
  <c r="J59" i="2"/>
  <c r="AY60" i="2"/>
  <c r="J60" i="2"/>
  <c r="AY57" i="2"/>
  <c r="J57" i="2"/>
  <c r="BA29" i="2"/>
  <c r="J29" i="2"/>
  <c r="AY29" i="2"/>
  <c r="AY51" i="2"/>
  <c r="J51" i="2"/>
  <c r="BA57" i="2"/>
  <c r="BA59" i="2"/>
  <c r="BA60" i="2"/>
  <c r="AY58" i="2"/>
  <c r="BA58" i="2"/>
  <c r="AY61" i="2"/>
  <c r="BA61" i="2"/>
  <c r="BA56" i="2"/>
  <c r="AY53" i="2"/>
  <c r="BA53" i="2"/>
  <c r="AY54" i="2"/>
  <c r="BA54" i="2"/>
  <c r="AY55" i="2"/>
  <c r="BA55" i="2"/>
  <c r="J55" i="2"/>
  <c r="BA51" i="2"/>
  <c r="J50" i="2"/>
  <c r="BA50" i="2"/>
  <c r="AY52" i="2"/>
  <c r="BA52" i="2"/>
  <c r="J49" i="2"/>
  <c r="J47" i="2"/>
  <c r="BA49" i="2"/>
  <c r="BA47" i="2"/>
  <c r="J48" i="2"/>
  <c r="BA48" i="2"/>
  <c r="AY46" i="2"/>
  <c r="BA46" i="2"/>
  <c r="AX16" i="2"/>
  <c r="AX17" i="2"/>
  <c r="AX30" i="2"/>
  <c r="K31" i="2"/>
  <c r="K109" i="2" s="1"/>
  <c r="K111" i="2" s="1"/>
  <c r="L31" i="2"/>
  <c r="L109" i="2" s="1"/>
  <c r="L111" i="2" s="1"/>
  <c r="M31" i="2"/>
  <c r="M109" i="2" s="1"/>
  <c r="M111" i="2" s="1"/>
  <c r="N31" i="2"/>
  <c r="N109" i="2" s="1"/>
  <c r="N111" i="2" s="1"/>
  <c r="O31" i="2"/>
  <c r="O109" i="2" s="1"/>
  <c r="O111" i="2" s="1"/>
  <c r="P31" i="2"/>
  <c r="P109" i="2" s="1"/>
  <c r="P111" i="2" s="1"/>
  <c r="Q31" i="2"/>
  <c r="Q109" i="2" s="1"/>
  <c r="Q111" i="2" s="1"/>
  <c r="R31" i="2"/>
  <c r="R109" i="2" s="1"/>
  <c r="R111" i="2" s="1"/>
  <c r="S31" i="2"/>
  <c r="S109" i="2" s="1"/>
  <c r="S111" i="2" s="1"/>
  <c r="T31" i="2"/>
  <c r="T109" i="2" s="1"/>
  <c r="T111" i="2" s="1"/>
  <c r="U31" i="2"/>
  <c r="U109" i="2" s="1"/>
  <c r="U111" i="2" s="1"/>
  <c r="V31" i="2"/>
  <c r="V109" i="2" s="1"/>
  <c r="V111" i="2" s="1"/>
  <c r="W31" i="2"/>
  <c r="W109" i="2" s="1"/>
  <c r="W111" i="2" s="1"/>
  <c r="X31" i="2"/>
  <c r="X109" i="2" s="1"/>
  <c r="X111" i="2" s="1"/>
  <c r="Y31" i="2"/>
  <c r="Y109" i="2" s="1"/>
  <c r="Y111" i="2" s="1"/>
  <c r="Z31" i="2"/>
  <c r="Z109" i="2" s="1"/>
  <c r="Z111" i="2" s="1"/>
  <c r="AA31" i="2"/>
  <c r="AA109" i="2" s="1"/>
  <c r="AA111" i="2" s="1"/>
  <c r="AB31" i="2"/>
  <c r="AB109" i="2" s="1"/>
  <c r="AB111" i="2" s="1"/>
  <c r="AC31" i="2"/>
  <c r="AC109" i="2" s="1"/>
  <c r="AC111" i="2" s="1"/>
  <c r="AD31" i="2"/>
  <c r="AD109" i="2" s="1"/>
  <c r="AD111" i="2" s="1"/>
  <c r="AE31" i="2"/>
  <c r="AE109" i="2" s="1"/>
  <c r="AE111" i="2" s="1"/>
  <c r="AF31" i="2"/>
  <c r="AF109" i="2" s="1"/>
  <c r="AF111" i="2" s="1"/>
  <c r="AG31" i="2"/>
  <c r="AG109" i="2" s="1"/>
  <c r="AG111" i="2" s="1"/>
  <c r="AH31" i="2"/>
  <c r="AH109" i="2" s="1"/>
  <c r="AH111" i="2" s="1"/>
  <c r="AI31" i="2"/>
  <c r="AI109" i="2" s="1"/>
  <c r="AI111" i="2" s="1"/>
  <c r="AJ31" i="2"/>
  <c r="AJ109" i="2" s="1"/>
  <c r="AJ111" i="2" s="1"/>
  <c r="AK31" i="2"/>
  <c r="AK109" i="2" s="1"/>
  <c r="AK111" i="2" s="1"/>
  <c r="AL31" i="2"/>
  <c r="AL109" i="2" s="1"/>
  <c r="AL111" i="2" s="1"/>
  <c r="AM31" i="2"/>
  <c r="AM109" i="2" s="1"/>
  <c r="AM111" i="2" s="1"/>
  <c r="AN31" i="2"/>
  <c r="AN109" i="2" s="1"/>
  <c r="AN111" i="2" s="1"/>
  <c r="AO31" i="2"/>
  <c r="AO109" i="2" s="1"/>
  <c r="AO111" i="2" s="1"/>
  <c r="AP31" i="2"/>
  <c r="AP109" i="2" s="1"/>
  <c r="AP111" i="2" s="1"/>
  <c r="AQ31" i="2"/>
  <c r="AQ109" i="2" s="1"/>
  <c r="AQ111" i="2" s="1"/>
  <c r="AR31" i="2"/>
  <c r="AR109" i="2" s="1"/>
  <c r="AR111" i="2" s="1"/>
  <c r="AS31" i="2"/>
  <c r="AS109" i="2" s="1"/>
  <c r="AS111" i="2" s="1"/>
  <c r="AT31" i="2"/>
  <c r="AT109" i="2" s="1"/>
  <c r="AT111" i="2" s="1"/>
  <c r="AU31" i="2"/>
  <c r="AU109" i="2" s="1"/>
  <c r="AU111" i="2" s="1"/>
  <c r="AV31" i="2"/>
  <c r="AV109" i="2" s="1"/>
  <c r="AV111" i="2" s="1"/>
  <c r="AW31" i="2"/>
  <c r="AW109" i="2" s="1"/>
  <c r="AW111" i="2" s="1"/>
  <c r="AX45" i="2"/>
  <c r="AZ45" i="2"/>
  <c r="AX27" i="2"/>
  <c r="AZ27" i="2"/>
  <c r="AX28" i="2"/>
  <c r="AZ28" i="2"/>
  <c r="I45" i="2"/>
  <c r="AY45" i="2" s="1"/>
  <c r="I27" i="2"/>
  <c r="AY27" i="2" s="1"/>
  <c r="I28" i="2"/>
  <c r="AY28" i="2" s="1"/>
  <c r="J28" i="2" l="1"/>
  <c r="J45" i="2"/>
  <c r="BA27" i="2"/>
  <c r="J27" i="2"/>
  <c r="BA45" i="2"/>
  <c r="BA28" i="2"/>
  <c r="AX24" i="2"/>
  <c r="AZ24" i="2"/>
  <c r="AX25" i="2"/>
  <c r="AZ25" i="2"/>
  <c r="AX43" i="2"/>
  <c r="AZ43" i="2"/>
  <c r="AX26" i="2"/>
  <c r="AZ26" i="2"/>
  <c r="AX44" i="2"/>
  <c r="AZ44" i="2"/>
  <c r="AX23" i="2"/>
  <c r="I23" i="2"/>
  <c r="AY23" i="2" s="1"/>
  <c r="I24" i="2"/>
  <c r="J24" i="2" s="1"/>
  <c r="I25" i="2"/>
  <c r="AY25" i="2" s="1"/>
  <c r="I43" i="2"/>
  <c r="J43" i="2" s="1"/>
  <c r="I26" i="2"/>
  <c r="AY26" i="2" s="1"/>
  <c r="I44" i="2"/>
  <c r="J44" i="2" s="1"/>
  <c r="AZ23" i="2"/>
  <c r="AX22" i="2"/>
  <c r="AZ22" i="2"/>
  <c r="AX36" i="2"/>
  <c r="AZ36" i="2"/>
  <c r="AX37" i="2"/>
  <c r="AZ37" i="2"/>
  <c r="AX38" i="2"/>
  <c r="AZ38" i="2"/>
  <c r="AX39" i="2"/>
  <c r="AZ39" i="2"/>
  <c r="AX40" i="2"/>
  <c r="AZ40" i="2"/>
  <c r="AX41" i="2"/>
  <c r="AZ41" i="2"/>
  <c r="AX42" i="2"/>
  <c r="AZ42" i="2"/>
  <c r="I22" i="2"/>
  <c r="AY22" i="2" s="1"/>
  <c r="I36" i="2"/>
  <c r="J36" i="2" s="1"/>
  <c r="I37" i="2"/>
  <c r="I38" i="2"/>
  <c r="I39" i="2"/>
  <c r="AY39" i="2" s="1"/>
  <c r="I40" i="2"/>
  <c r="I41" i="2"/>
  <c r="J41" i="2" s="1"/>
  <c r="I42" i="2"/>
  <c r="J25" i="2" l="1"/>
  <c r="J23" i="2"/>
  <c r="J22" i="2"/>
  <c r="BA23" i="2"/>
  <c r="BA25" i="2"/>
  <c r="BA37" i="2"/>
  <c r="J26" i="2"/>
  <c r="AY44" i="2"/>
  <c r="J39" i="2"/>
  <c r="BA44" i="2"/>
  <c r="AY43" i="2"/>
  <c r="BA43" i="2"/>
  <c r="BA26" i="2"/>
  <c r="AY24" i="2"/>
  <c r="BA24" i="2"/>
  <c r="BA42" i="2"/>
  <c r="BA39" i="2"/>
  <c r="BA38" i="2"/>
  <c r="BA22" i="2"/>
  <c r="AY37" i="2"/>
  <c r="BA41" i="2"/>
  <c r="BA40" i="2"/>
  <c r="J37" i="2"/>
  <c r="AY41" i="2"/>
  <c r="AY36" i="2"/>
  <c r="AY38" i="2"/>
  <c r="AY42" i="2"/>
  <c r="AY40" i="2"/>
  <c r="BA36" i="2"/>
  <c r="J42" i="2"/>
  <c r="J40" i="2"/>
  <c r="J38" i="2"/>
  <c r="AX9" i="2"/>
  <c r="AX10" i="2"/>
  <c r="AZ21" i="2" l="1"/>
  <c r="I21" i="2"/>
  <c r="J21" i="2" s="1"/>
  <c r="AZ20" i="2"/>
  <c r="I20" i="2"/>
  <c r="J20" i="2" s="1"/>
  <c r="AX18" i="2"/>
  <c r="AZ18" i="2"/>
  <c r="AX19" i="2"/>
  <c r="AZ19" i="2"/>
  <c r="I18" i="2"/>
  <c r="AY18" i="2" s="1"/>
  <c r="I19" i="2"/>
  <c r="J19" i="2" s="1"/>
  <c r="AY21" i="2" l="1"/>
  <c r="BA21" i="2"/>
  <c r="AY20" i="2"/>
  <c r="BA20" i="2"/>
  <c r="BA18" i="2"/>
  <c r="AY19" i="2"/>
  <c r="BA19" i="2"/>
  <c r="J18" i="2"/>
  <c r="S32" i="2"/>
  <c r="T33" i="2"/>
  <c r="U33" i="2"/>
  <c r="V33" i="2"/>
  <c r="W32" i="2"/>
  <c r="Y32" i="2"/>
  <c r="Z33" i="2"/>
  <c r="AA32" i="2"/>
  <c r="AC32" i="2"/>
  <c r="AD32" i="2"/>
  <c r="AE32" i="2"/>
  <c r="AG33" i="2"/>
  <c r="AI32" i="2"/>
  <c r="AK32" i="2"/>
  <c r="AM32" i="2"/>
  <c r="AO33" i="2"/>
  <c r="AP32" i="2"/>
  <c r="AQ32" i="2"/>
  <c r="AS32" i="2"/>
  <c r="AU32" i="2"/>
  <c r="AW33" i="2"/>
  <c r="AX72" i="2"/>
  <c r="BA72" i="2" s="1"/>
  <c r="AY72" i="2"/>
  <c r="AZ72" i="2"/>
  <c r="N33" i="2"/>
  <c r="O33" i="2"/>
  <c r="Q32" i="2"/>
  <c r="R33" i="2"/>
  <c r="AZ17" i="2"/>
  <c r="I17" i="2"/>
  <c r="AY17" i="2" s="1"/>
  <c r="V32" i="2" l="1"/>
  <c r="S33" i="2"/>
  <c r="U32" i="2"/>
  <c r="AG32" i="2"/>
  <c r="AH33" i="2"/>
  <c r="Z32" i="2"/>
  <c r="AR33" i="2"/>
  <c r="AQ33" i="2"/>
  <c r="W33" i="2"/>
  <c r="Y33" i="2"/>
  <c r="AM33" i="2"/>
  <c r="AE33" i="2"/>
  <c r="AU33" i="2"/>
  <c r="AJ33" i="2"/>
  <c r="AA33" i="2"/>
  <c r="AI33" i="2"/>
  <c r="X33" i="2"/>
  <c r="X32" i="2"/>
  <c r="T32" i="2"/>
  <c r="AV33" i="2"/>
  <c r="AL33" i="2"/>
  <c r="AF33" i="2"/>
  <c r="AR32" i="2"/>
  <c r="AP33" i="2"/>
  <c r="AL32" i="2"/>
  <c r="AT33" i="2"/>
  <c r="AN33" i="2"/>
  <c r="AC33" i="2"/>
  <c r="AT32" i="2"/>
  <c r="AW32" i="2"/>
  <c r="AO32" i="2"/>
  <c r="AS33" i="2"/>
  <c r="AK33" i="2"/>
  <c r="AJ32" i="2"/>
  <c r="AB33" i="2"/>
  <c r="AN32" i="2"/>
  <c r="AH32" i="2"/>
  <c r="AB32" i="2"/>
  <c r="AV32" i="2"/>
  <c r="AF32" i="2"/>
  <c r="AD33" i="2"/>
  <c r="P33" i="2"/>
  <c r="Q33" i="2"/>
  <c r="P32" i="2"/>
  <c r="O32" i="2"/>
  <c r="R32" i="2"/>
  <c r="N32" i="2"/>
  <c r="BA17" i="2"/>
  <c r="J17" i="2"/>
  <c r="I16" i="2"/>
  <c r="AY16" i="2" s="1"/>
  <c r="AZ16" i="2"/>
  <c r="AV110" i="2" l="1"/>
  <c r="AT110" i="2"/>
  <c r="AQ110" i="2"/>
  <c r="AS110" i="2"/>
  <c r="AC110" i="2"/>
  <c r="AI110" i="2"/>
  <c r="AR110" i="2"/>
  <c r="AM110" i="2"/>
  <c r="AA110" i="2"/>
  <c r="AB110" i="2"/>
  <c r="AE110" i="2"/>
  <c r="AU110" i="2"/>
  <c r="AK110" i="2"/>
  <c r="AF110" i="2"/>
  <c r="AJ110" i="2"/>
  <c r="AL110" i="2"/>
  <c r="AH110" i="2"/>
  <c r="Y110" i="2"/>
  <c r="Z110" i="2"/>
  <c r="AD110" i="2"/>
  <c r="AP110" i="2"/>
  <c r="N110" i="2"/>
  <c r="Q110" i="2"/>
  <c r="V110" i="2"/>
  <c r="O110" i="2"/>
  <c r="S110" i="2"/>
  <c r="R110" i="2"/>
  <c r="W110" i="2"/>
  <c r="BA16" i="2"/>
  <c r="J16" i="2"/>
  <c r="C164" i="2"/>
  <c r="I11" i="2"/>
  <c r="J11" i="2" s="1"/>
  <c r="I12" i="2"/>
  <c r="J12" i="2" s="1"/>
  <c r="I13" i="2"/>
  <c r="J13" i="2" s="1"/>
  <c r="I14" i="2"/>
  <c r="AY14" i="2" s="1"/>
  <c r="I15" i="2"/>
  <c r="J15" i="2" s="1"/>
  <c r="AX12" i="2"/>
  <c r="AX13" i="2"/>
  <c r="AX14" i="2"/>
  <c r="AX15" i="2"/>
  <c r="AZ14" i="2"/>
  <c r="AZ15" i="2"/>
  <c r="AX11" i="2"/>
  <c r="AZ11" i="2"/>
  <c r="AZ13" i="2"/>
  <c r="AG110" i="2" l="1"/>
  <c r="AW110" i="2"/>
  <c r="T110" i="2"/>
  <c r="AO110" i="2"/>
  <c r="AN110" i="2"/>
  <c r="X110" i="2"/>
  <c r="U110" i="2"/>
  <c r="P110" i="2"/>
  <c r="AY12" i="2"/>
  <c r="BA14" i="2"/>
  <c r="AY13" i="2"/>
  <c r="AY11" i="2"/>
  <c r="BA11" i="2"/>
  <c r="J14" i="2"/>
  <c r="BA13" i="2"/>
  <c r="BA15" i="2"/>
  <c r="AY15" i="2"/>
  <c r="BA12" i="2"/>
  <c r="I10" i="2"/>
  <c r="AY10" i="2" s="1"/>
  <c r="AZ10" i="2"/>
  <c r="J10" i="2" l="1"/>
  <c r="BA10" i="2"/>
  <c r="L33" i="2"/>
  <c r="M32" i="2"/>
  <c r="AZ12" i="2"/>
  <c r="M33" i="2" l="1"/>
  <c r="L32" i="2"/>
  <c r="K33" i="2"/>
  <c r="K32" i="2"/>
  <c r="K110" i="2" l="1"/>
  <c r="M110" i="2"/>
  <c r="L110" i="2" l="1"/>
  <c r="AX6" i="2"/>
  <c r="AX7" i="2" l="1"/>
  <c r="AX8" i="2"/>
  <c r="I9" i="2" l="1"/>
  <c r="AY9" i="2" s="1"/>
  <c r="AZ9" i="2"/>
  <c r="J9" i="2" l="1"/>
  <c r="BA9" i="2"/>
  <c r="AZ8" i="2"/>
  <c r="AZ7" i="2"/>
  <c r="I7" i="2" l="1"/>
  <c r="J7" i="2" s="1"/>
  <c r="I8" i="2"/>
  <c r="J8" i="2" s="1"/>
  <c r="AY7" i="2" l="1"/>
  <c r="BA7" i="2"/>
  <c r="BA8" i="2"/>
  <c r="AY8" i="2"/>
  <c r="AZ6" i="2" l="1"/>
  <c r="I6" i="2"/>
  <c r="AY6" i="2" s="1"/>
  <c r="C165" i="2"/>
  <c r="J6" i="2" l="1"/>
  <c r="BA6" i="2"/>
  <c r="H31" i="2" l="1"/>
  <c r="C179" i="2" l="1"/>
  <c r="C167" i="2" l="1"/>
  <c r="C181" i="2" s="1"/>
  <c r="I30" i="2" l="1"/>
  <c r="I31" i="2" s="1"/>
  <c r="AZ30" i="2" l="1"/>
  <c r="AY30" i="2"/>
  <c r="AX31" i="2"/>
  <c r="BA30" i="2" l="1"/>
  <c r="H2" i="2" l="1"/>
  <c r="G32" i="2"/>
  <c r="H32" i="2" l="1"/>
  <c r="H33" i="2"/>
  <c r="G33" i="2"/>
  <c r="G109" i="2" s="1"/>
  <c r="AX109" i="2"/>
  <c r="B111" i="2" s="1"/>
  <c r="H109" i="2" l="1"/>
  <c r="C111" i="2"/>
</calcChain>
</file>

<file path=xl/sharedStrings.xml><?xml version="1.0" encoding="utf-8"?>
<sst xmlns="http://schemas.openxmlformats.org/spreadsheetml/2006/main" count="349" uniqueCount="210">
  <si>
    <t>DUE</t>
  </si>
  <si>
    <t>JOB #</t>
  </si>
  <si>
    <t>BAL</t>
  </si>
  <si>
    <t>PROJ</t>
  </si>
  <si>
    <t>QTE</t>
  </si>
  <si>
    <t>PRE</t>
  </si>
  <si>
    <t>SUB</t>
  </si>
  <si>
    <t>SUB%</t>
  </si>
  <si>
    <t>TOT</t>
  </si>
  <si>
    <t>WK</t>
  </si>
  <si>
    <t>WK%</t>
  </si>
  <si>
    <t xml:space="preserve">Savannah Tank and Equipment </t>
  </si>
  <si>
    <t>REL</t>
  </si>
  <si>
    <t>PRO</t>
  </si>
  <si>
    <t>BACKLOG</t>
  </si>
  <si>
    <t>48 HRS</t>
  </si>
  <si>
    <t>40 HRS</t>
  </si>
  <si>
    <t>REQ</t>
  </si>
  <si>
    <t>PLAN</t>
  </si>
  <si>
    <t>ACT</t>
  </si>
  <si>
    <t>PCT</t>
  </si>
  <si>
    <t>Supervision / Overhead</t>
  </si>
  <si>
    <t>Total Direct</t>
  </si>
  <si>
    <t>Total Indirect</t>
  </si>
  <si>
    <t>Total Headcount</t>
  </si>
  <si>
    <t>OVERHEAD</t>
  </si>
  <si>
    <t>Pre Fab</t>
  </si>
  <si>
    <t>Sammy</t>
  </si>
  <si>
    <t>Scott</t>
  </si>
  <si>
    <t>Nick</t>
  </si>
  <si>
    <t>Sherri</t>
  </si>
  <si>
    <t>David</t>
  </si>
  <si>
    <t>Work Order</t>
  </si>
  <si>
    <t>Rutang</t>
  </si>
  <si>
    <t>Keith Shuman</t>
  </si>
  <si>
    <t>Total</t>
  </si>
  <si>
    <t>Office</t>
  </si>
  <si>
    <t>John</t>
  </si>
  <si>
    <t>Fabrication</t>
  </si>
  <si>
    <t xml:space="preserve">Clean/ Test </t>
  </si>
  <si>
    <t>Chris</t>
  </si>
  <si>
    <t>Kevin McMoore</t>
  </si>
  <si>
    <t>Cody Moose</t>
  </si>
  <si>
    <t>Shelbi Foltyn</t>
  </si>
  <si>
    <t>Sammy Chavis</t>
  </si>
  <si>
    <t>Scott Shuman</t>
  </si>
  <si>
    <t>Maurice Sellars</t>
  </si>
  <si>
    <t>Arthur Morrison</t>
  </si>
  <si>
    <t>Arthur</t>
  </si>
  <si>
    <t>Jacquelle Leeks</t>
  </si>
  <si>
    <t>Kevin Free</t>
  </si>
  <si>
    <t>Dustin</t>
  </si>
  <si>
    <t>046-24</t>
  </si>
  <si>
    <t>SYMS (Lansing)</t>
  </si>
  <si>
    <t>Cory Shuman</t>
  </si>
  <si>
    <t>012-25</t>
  </si>
  <si>
    <t>013-25</t>
  </si>
  <si>
    <t>Kimberly Clark 330-TK-33001</t>
  </si>
  <si>
    <t>Kimberly Clark 340-TK-34001</t>
  </si>
  <si>
    <t>Andritz</t>
  </si>
  <si>
    <t>Nak Kiln</t>
  </si>
  <si>
    <t>040-25</t>
  </si>
  <si>
    <t>Robert Moore</t>
  </si>
  <si>
    <t>Atlas</t>
  </si>
  <si>
    <t>Epic</t>
  </si>
  <si>
    <t>053-25</t>
  </si>
  <si>
    <t>Nudyne Tank 13</t>
  </si>
  <si>
    <t>Nudyne Tank 14</t>
  </si>
  <si>
    <t>Air Gas</t>
  </si>
  <si>
    <t>055-25</t>
  </si>
  <si>
    <t>Nudyne Tank 15</t>
  </si>
  <si>
    <t>Nudyne Tank 16</t>
  </si>
  <si>
    <t>068-25</t>
  </si>
  <si>
    <t>069-25</t>
  </si>
  <si>
    <t>070-25</t>
  </si>
  <si>
    <t>071-25</t>
  </si>
  <si>
    <t>Randall Shuman</t>
  </si>
  <si>
    <t xml:space="preserve">Chris Allen </t>
  </si>
  <si>
    <t>Jason Batchelor</t>
  </si>
  <si>
    <t>Steven Lewis</t>
  </si>
  <si>
    <t>083-25</t>
  </si>
  <si>
    <t>Synthomer</t>
  </si>
  <si>
    <t>084-25</t>
  </si>
  <si>
    <t>IMI</t>
  </si>
  <si>
    <t>Wes Benoit</t>
  </si>
  <si>
    <t>.</t>
  </si>
  <si>
    <t>Albert</t>
  </si>
  <si>
    <t>Brittany Mock "Cobot Operator"</t>
  </si>
  <si>
    <t>Symrise</t>
  </si>
  <si>
    <t>092-25</t>
  </si>
  <si>
    <t>093-25</t>
  </si>
  <si>
    <t>Kimberly Clark</t>
  </si>
  <si>
    <t>PO</t>
  </si>
  <si>
    <t>Chris Lapp "CNC Operator #2"</t>
  </si>
  <si>
    <t>Supervisor Finishing Department</t>
  </si>
  <si>
    <t>Coastal Tech.</t>
  </si>
  <si>
    <t>098-25</t>
  </si>
  <si>
    <t>Polynt</t>
  </si>
  <si>
    <t>099-25</t>
  </si>
  <si>
    <t>Burke</t>
  </si>
  <si>
    <t>101-25</t>
  </si>
  <si>
    <t>Harper Love</t>
  </si>
  <si>
    <t>102-25</t>
  </si>
  <si>
    <t>103-25</t>
  </si>
  <si>
    <t>104-25</t>
  </si>
  <si>
    <t>105-25</t>
  </si>
  <si>
    <t>106-25</t>
  </si>
  <si>
    <t>107-25</t>
  </si>
  <si>
    <t>108-25</t>
  </si>
  <si>
    <t>109-25</t>
  </si>
  <si>
    <t>110-25</t>
  </si>
  <si>
    <t>111-25</t>
  </si>
  <si>
    <t>112-25</t>
  </si>
  <si>
    <t>113-25</t>
  </si>
  <si>
    <t>115-25</t>
  </si>
  <si>
    <t>Merrick</t>
  </si>
  <si>
    <t>Andritz - Dis Tank</t>
  </si>
  <si>
    <t>116-25</t>
  </si>
  <si>
    <t>117-25</t>
  </si>
  <si>
    <t>118-25</t>
  </si>
  <si>
    <t>d1</t>
  </si>
  <si>
    <t>d2</t>
  </si>
  <si>
    <t>d3</t>
  </si>
  <si>
    <t>d4</t>
  </si>
  <si>
    <t>r1</t>
  </si>
  <si>
    <t>r2</t>
  </si>
  <si>
    <t>120-25</t>
  </si>
  <si>
    <t>121-25</t>
  </si>
  <si>
    <t>122-25</t>
  </si>
  <si>
    <t>123-25</t>
  </si>
  <si>
    <t>US Sugar</t>
  </si>
  <si>
    <t>SNF</t>
  </si>
  <si>
    <t>356-25</t>
  </si>
  <si>
    <t>357-25</t>
  </si>
  <si>
    <t>358-25</t>
  </si>
  <si>
    <t>Sylvamo</t>
  </si>
  <si>
    <t>SNF R1</t>
  </si>
  <si>
    <t>SNF R2</t>
  </si>
  <si>
    <t>SNF R3</t>
  </si>
  <si>
    <t>SNF CS1 EPI</t>
  </si>
  <si>
    <t>SNF CS2 EPI</t>
  </si>
  <si>
    <t>002-26</t>
  </si>
  <si>
    <t>003-26</t>
  </si>
  <si>
    <t>004-26</t>
  </si>
  <si>
    <t>005-26</t>
  </si>
  <si>
    <t>Joseph Fahey</t>
  </si>
  <si>
    <t>2nd QC Inspector</t>
  </si>
  <si>
    <t>014-26</t>
  </si>
  <si>
    <t>015-26</t>
  </si>
  <si>
    <t>016-26</t>
  </si>
  <si>
    <t>017-26</t>
  </si>
  <si>
    <t>018-26</t>
  </si>
  <si>
    <t>Julian Adkins - Supervisor</t>
  </si>
  <si>
    <t>Blake - Receiving &amp; Inventory Clerk</t>
  </si>
  <si>
    <t>Vertiv Tanks</t>
  </si>
  <si>
    <t>Keith Wheeler</t>
  </si>
  <si>
    <t>Carl Wolfe</t>
  </si>
  <si>
    <t>Justin McAmis</t>
  </si>
  <si>
    <t>020-26</t>
  </si>
  <si>
    <t>021-26</t>
  </si>
  <si>
    <t>April Lewis</t>
  </si>
  <si>
    <t>022-26</t>
  </si>
  <si>
    <t>Danzel Daniels</t>
  </si>
  <si>
    <t>024-26</t>
  </si>
  <si>
    <t>Weyerhaeuser - Resin Storage 1</t>
  </si>
  <si>
    <t>Weyerhaeuser - Resin Storage 3</t>
  </si>
  <si>
    <t>Weyerhaeuser - Resin Storage 2</t>
  </si>
  <si>
    <t>Weyerhaeuser - Release Agent 1</t>
  </si>
  <si>
    <t>Weyerhaeuser - Wax Storage 1</t>
  </si>
  <si>
    <t>Weyerhaeuser - Wax Storage 2</t>
  </si>
  <si>
    <t>Weyerhaeuser - Water Tank 2</t>
  </si>
  <si>
    <t>Weyerhaeuser - Water Tank 1</t>
  </si>
  <si>
    <t>Weyerhaeuser - Effluent Tank</t>
  </si>
  <si>
    <t>d5</t>
  </si>
  <si>
    <t>d6</t>
  </si>
  <si>
    <t>Blake &amp; Pendleton</t>
  </si>
  <si>
    <t>025-26</t>
  </si>
  <si>
    <t>030-26</t>
  </si>
  <si>
    <t>Syensqo</t>
  </si>
  <si>
    <t>031-26</t>
  </si>
  <si>
    <t>032-26</t>
  </si>
  <si>
    <t>033-26</t>
  </si>
  <si>
    <t>Eric</t>
  </si>
  <si>
    <t>Hayla Roberts</t>
  </si>
  <si>
    <t>Lucas Davis</t>
  </si>
  <si>
    <t>Eagle Materials</t>
  </si>
  <si>
    <t>Sterling Speciality Chem</t>
  </si>
  <si>
    <t>Reco - Tank 1</t>
  </si>
  <si>
    <t>Reco - Tank 2</t>
  </si>
  <si>
    <t>Reco - Tank 3</t>
  </si>
  <si>
    <t>Reco - Tank 4</t>
  </si>
  <si>
    <t>Reco - Tank 5</t>
  </si>
  <si>
    <t>Reco - Tank 6</t>
  </si>
  <si>
    <t>Reco - Tank 7</t>
  </si>
  <si>
    <t>Reco - Tank 8</t>
  </si>
  <si>
    <t>Vertiv - CST Tank 1</t>
  </si>
  <si>
    <t>Vertiv - CST Tank 2</t>
  </si>
  <si>
    <t>Vertiv - CST Tank 3</t>
  </si>
  <si>
    <t>Vertiv - CST Tank 4</t>
  </si>
  <si>
    <t>Vertiv - CST Tank 5</t>
  </si>
  <si>
    <t>Vertiv - CST Tank 6</t>
  </si>
  <si>
    <t>Vertiv - CST Tank 7</t>
  </si>
  <si>
    <t>Vertiv - CST Tank 8</t>
  </si>
  <si>
    <t>Vertiv - CST Tank 9</t>
  </si>
  <si>
    <t>Vertiv - CST Tank 10</t>
  </si>
  <si>
    <t>Vertiv - CST Tank 11</t>
  </si>
  <si>
    <t>Vertiv - CST Tank 12</t>
  </si>
  <si>
    <t>Vertiv - CST Tank 13</t>
  </si>
  <si>
    <t>Vertiv - CST Tank 14</t>
  </si>
  <si>
    <t>Vertiv - CST Tank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</si>
</sst>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m/d;@"/>
    <numFmt numFmtId="165" formatCode="m/d/yy;@"/>
    <numFmt numFmtId="166" formatCode="0_);[Red]\(0\)"/>
    <numFmt numFmtId="167" formatCode="0.00_)"/>
    <numFmt numFmtId="168" formatCode="0.0"/>
  </numFmts>
  <fonts count="10" x14ac:knownFonts="1">
    <font>
      <sz val="12"/>
      <name val="Arial"/>
    </font>
    <font>
      <sz val="11"/>
      <color theme="1"/>
      <name val="Calibri"/>
      <family val="2"/>
      <scheme val="minor"/>
    </font>
    <font>
      <sz val="7"/>
      <name val="Arial"/>
      <family val="2"/>
    </font>
    <font>
      <sz val="7"/>
      <color rgb="FFFF0000"/>
      <name val="Arial"/>
      <family val="2"/>
    </font>
    <font>
      <sz val="12"/>
      <name val="Arial"/>
      <family val="2"/>
    </font>
    <font>
      <b/>
      <sz val="7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1" fillId="0" borderId="0"/>
  </cellStyleXfs>
  <cellXfs count="79">
    <xf numFmtId="0" fontId="0" fillId="0" borderId="0" xfId="0"/>
    <xf numFmtId="1" fontId="2" fillId="0" borderId="1" xfId="0" applyNumberFormat="1" applyFont="1" applyBorder="1" applyAlignment="1" applyProtection="1">
      <alignment horizontal="center" vertical="center"/>
      <protection locked="0"/>
    </xf>
    <xf numFmtId="1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2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>
      <alignment horizontal="center" vertical="center"/>
    </xf>
    <xf numFmtId="9" fontId="6" fillId="3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 applyProtection="1">
      <alignment horizontal="center" vertical="center"/>
      <protection locked="0"/>
    </xf>
    <xf numFmtId="1" fontId="2" fillId="0" borderId="1" xfId="0" applyNumberFormat="1" applyFont="1" applyBorder="1" applyAlignment="1" applyProtection="1">
      <alignment horizontal="left" vertical="center"/>
      <protection locked="0"/>
    </xf>
    <xf numFmtId="1" fontId="2" fillId="0" borderId="1" xfId="0" applyNumberFormat="1" applyFont="1" applyBorder="1" applyAlignment="1" applyProtection="1">
      <alignment horizontal="right" vertical="center"/>
      <protection locked="0"/>
    </xf>
    <xf numFmtId="1" fontId="2" fillId="0" borderId="1" xfId="0" applyNumberFormat="1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 applyProtection="1">
      <alignment horizontal="center" vertical="center"/>
      <protection locked="0"/>
    </xf>
    <xf numFmtId="165" fontId="2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5" fillId="4" borderId="1" xfId="0" applyNumberFormat="1" applyFont="1" applyFill="1" applyBorder="1" applyAlignment="1" applyProtection="1">
      <alignment horizontal="center" vertical="center"/>
      <protection locked="0"/>
    </xf>
    <xf numFmtId="164" fontId="7" fillId="4" borderId="1" xfId="0" applyNumberFormat="1" applyFont="1" applyFill="1" applyBorder="1" applyAlignment="1" applyProtection="1">
      <alignment horizontal="center" vertical="center"/>
      <protection locked="0"/>
    </xf>
    <xf numFmtId="1" fontId="2" fillId="0" borderId="2" xfId="0" applyNumberFormat="1" applyFont="1" applyBorder="1" applyAlignment="1" applyProtection="1">
      <alignment horizontal="center" vertical="center"/>
      <protection locked="0"/>
    </xf>
    <xf numFmtId="1" fontId="7" fillId="4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164" fontId="7" fillId="0" borderId="1" xfId="0" applyNumberFormat="1" applyFont="1" applyBorder="1" applyAlignment="1" applyProtection="1">
      <alignment horizontal="center" vertical="center"/>
      <protection locked="0"/>
    </xf>
    <xf numFmtId="1" fontId="7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0" xfId="0" applyNumberFormat="1" applyFont="1" applyAlignment="1" applyProtection="1">
      <alignment horizontal="left" vertical="center"/>
      <protection locked="0"/>
    </xf>
    <xf numFmtId="1" fontId="2" fillId="0" borderId="0" xfId="0" applyNumberFormat="1" applyFont="1" applyAlignment="1" applyProtection="1">
      <alignment horizontal="left" vertical="center"/>
      <protection locked="0"/>
    </xf>
    <xf numFmtId="1" fontId="2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1" fontId="2" fillId="0" borderId="9" xfId="0" applyNumberFormat="1" applyFont="1" applyBorder="1" applyAlignment="1">
      <alignment horizontal="left" vertical="center"/>
    </xf>
    <xf numFmtId="9" fontId="2" fillId="0" borderId="10" xfId="0" applyNumberFormat="1" applyFont="1" applyBorder="1" applyAlignment="1">
      <alignment horizontal="center" vertical="center"/>
    </xf>
    <xf numFmtId="9" fontId="2" fillId="0" borderId="5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left" vertical="center"/>
    </xf>
    <xf numFmtId="1" fontId="2" fillId="2" borderId="11" xfId="0" applyNumberFormat="1" applyFont="1" applyFill="1" applyBorder="1" applyAlignment="1">
      <alignment horizontal="center" vertical="center"/>
    </xf>
    <xf numFmtId="1" fontId="2" fillId="0" borderId="8" xfId="0" applyNumberFormat="1" applyFont="1" applyBorder="1" applyAlignment="1">
      <alignment horizontal="left" vertical="center"/>
    </xf>
    <xf numFmtId="1" fontId="2" fillId="0" borderId="6" xfId="0" applyNumberFormat="1" applyFont="1" applyBorder="1" applyAlignment="1">
      <alignment horizontal="left" vertical="center"/>
    </xf>
    <xf numFmtId="1" fontId="2" fillId="0" borderId="4" xfId="0" applyNumberFormat="1" applyFont="1" applyBorder="1" applyAlignment="1">
      <alignment horizontal="left" vertical="center"/>
    </xf>
    <xf numFmtId="1" fontId="2" fillId="0" borderId="0" xfId="0" applyNumberFormat="1" applyFont="1" applyAlignment="1">
      <alignment horizontal="center" vertical="center"/>
    </xf>
    <xf numFmtId="1" fontId="2" fillId="5" borderId="1" xfId="0" applyNumberFormat="1" applyFont="1" applyFill="1" applyBorder="1" applyAlignment="1">
      <alignment horizontal="left" vertical="center"/>
    </xf>
    <xf numFmtId="1" fontId="2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 applyProtection="1">
      <alignment horizontal="center" vertical="center"/>
      <protection locked="0"/>
    </xf>
    <xf numFmtId="1" fontId="2" fillId="2" borderId="1" xfId="0" applyNumberFormat="1" applyFont="1" applyFill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  <xf numFmtId="167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>
      <alignment horizontal="center" vertical="center"/>
    </xf>
    <xf numFmtId="9" fontId="2" fillId="6" borderId="1" xfId="0" applyNumberFormat="1" applyFont="1" applyFill="1" applyBorder="1" applyAlignment="1">
      <alignment horizontal="center" vertical="center"/>
    </xf>
    <xf numFmtId="166" fontId="2" fillId="7" borderId="1" xfId="0" applyNumberFormat="1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left" vertical="center"/>
    </xf>
    <xf numFmtId="1" fontId="2" fillId="0" borderId="3" xfId="0" applyNumberFormat="1" applyFont="1" applyBorder="1" applyAlignment="1" applyProtection="1">
      <alignment horizontal="center" vertical="center"/>
      <protection locked="0"/>
    </xf>
    <xf numFmtId="0" fontId="2" fillId="7" borderId="1" xfId="0" applyFont="1" applyFill="1" applyBorder="1" applyAlignment="1" applyProtection="1">
      <alignment horizontal="center" vertical="center"/>
      <protection locked="0"/>
    </xf>
    <xf numFmtId="0" fontId="2" fillId="7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6" fontId="2" fillId="2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7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left" vertical="center"/>
    </xf>
    <xf numFmtId="1" fontId="2" fillId="8" borderId="1" xfId="0" applyNumberFormat="1" applyFont="1" applyFill="1" applyBorder="1" applyAlignment="1">
      <alignment horizontal="left" vertical="center"/>
    </xf>
    <xf numFmtId="1" fontId="2" fillId="8" borderId="1" xfId="0" applyNumberFormat="1" applyFont="1" applyFill="1" applyBorder="1" applyAlignment="1">
      <alignment horizontal="center" vertical="center"/>
    </xf>
    <xf numFmtId="1" fontId="8" fillId="0" borderId="0" xfId="0" applyNumberFormat="1" applyFont="1" applyAlignment="1" applyProtection="1">
      <alignment horizontal="center" vertical="center"/>
      <protection locked="0"/>
    </xf>
    <xf numFmtId="1" fontId="2" fillId="0" borderId="0" xfId="0" applyNumberFormat="1" applyFont="1" applyAlignment="1" applyProtection="1">
      <alignment horizontal="center" vertical="center"/>
      <protection locked="0"/>
    </xf>
    <xf numFmtId="9" fontId="2" fillId="0" borderId="0" xfId="0" applyNumberFormat="1" applyFont="1" applyAlignment="1">
      <alignment horizontal="center" vertical="center"/>
    </xf>
    <xf numFmtId="1" fontId="8" fillId="0" borderId="0" xfId="0" applyNumberFormat="1" applyFont="1" applyAlignment="1" applyProtection="1">
      <alignment horizontal="center" vertical="center"/>
      <protection locked="0"/>
    </xf>
  </cellXfs>
  <cellStyles count="3">
    <cellStyle name="Comma" xfId="1" builtinId="3"/>
    <cellStyle name="Normal" xfId="0" builtinId="0"/>
    <cellStyle name="Normal 2" xfId="2" xr:uid="{4AAFE4B5-7A9B-43AC-ABB6-0DE0DB79C16E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63500</xdr:colOff>
      <xdr:row>5</xdr:row>
      <xdr:rowOff>23813</xdr:rowOff>
    </xdr:from>
    <xdr:to>
      <xdr:col>3</xdr:col>
      <xdr:colOff>547687</xdr:colOff>
      <xdr:row>5</xdr:row>
      <xdr:rowOff>103188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F83A49BE-BBC9-F689-BDDA-48FD245D2A3D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6</xdr:row>
      <xdr:rowOff>23813</xdr:rowOff>
    </xdr:from>
    <xdr:to>
      <xdr:col>3</xdr:col>
      <xdr:colOff>547687</xdr:colOff>
      <xdr:row>6</xdr:row>
      <xdr:rowOff>103188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3FB37D1-F912-47B1-8786-0C170354B9AC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7</xdr:row>
      <xdr:rowOff>23813</xdr:rowOff>
    </xdr:from>
    <xdr:to>
      <xdr:col>3</xdr:col>
      <xdr:colOff>547687</xdr:colOff>
      <xdr:row>7</xdr:row>
      <xdr:rowOff>103188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D00EB1C7-588E-4830-953E-81804BF0F6B7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8</xdr:row>
      <xdr:rowOff>23813</xdr:rowOff>
    </xdr:from>
    <xdr:to>
      <xdr:col>3</xdr:col>
      <xdr:colOff>547687</xdr:colOff>
      <xdr:row>8</xdr:row>
      <xdr:rowOff>103188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8442CBE-2F32-4291-A6D4-8D61EBFCE41C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9</xdr:row>
      <xdr:rowOff>23813</xdr:rowOff>
    </xdr:from>
    <xdr:to>
      <xdr:col>3</xdr:col>
      <xdr:colOff>547687</xdr:colOff>
      <xdr:row>9</xdr:row>
      <xdr:rowOff>103188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6F412153-FBCA-4474-A4AC-456429E831C8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15</xdr:row>
      <xdr:rowOff>23813</xdr:rowOff>
    </xdr:from>
    <xdr:to>
      <xdr:col>3</xdr:col>
      <xdr:colOff>547687</xdr:colOff>
      <xdr:row>15</xdr:row>
      <xdr:rowOff>103188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4510C785-026E-4F58-99B6-1AB728341127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FF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16</xdr:row>
      <xdr:rowOff>23813</xdr:rowOff>
    </xdr:from>
    <xdr:to>
      <xdr:col>3</xdr:col>
      <xdr:colOff>547687</xdr:colOff>
      <xdr:row>16</xdr:row>
      <xdr:rowOff>103188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1CF470B-580C-4FA4-A52D-0B240D0C90F8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17</xdr:row>
      <xdr:rowOff>23813</xdr:rowOff>
    </xdr:from>
    <xdr:to>
      <xdr:col>3</xdr:col>
      <xdr:colOff>547687</xdr:colOff>
      <xdr:row>17</xdr:row>
      <xdr:rowOff>103188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A205AED8-089E-40BD-AB34-FB415D6487C5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18</xdr:row>
      <xdr:rowOff>23813</xdr:rowOff>
    </xdr:from>
    <xdr:to>
      <xdr:col>3</xdr:col>
      <xdr:colOff>547687</xdr:colOff>
      <xdr:row>18</xdr:row>
      <xdr:rowOff>103188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F9E95FA1-CD27-486A-8F79-6C167AB61383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19</xdr:row>
      <xdr:rowOff>23813</xdr:rowOff>
    </xdr:from>
    <xdr:to>
      <xdr:col>3</xdr:col>
      <xdr:colOff>547687</xdr:colOff>
      <xdr:row>19</xdr:row>
      <xdr:rowOff>103188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8F804B10-6ADF-4424-A911-79123578D9A3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20</xdr:row>
      <xdr:rowOff>23813</xdr:rowOff>
    </xdr:from>
    <xdr:to>
      <xdr:col>3</xdr:col>
      <xdr:colOff>547687</xdr:colOff>
      <xdr:row>20</xdr:row>
      <xdr:rowOff>103188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AB3C1843-3C2E-452E-B13A-95439418CD53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21</xdr:row>
      <xdr:rowOff>23813</xdr:rowOff>
    </xdr:from>
    <xdr:to>
      <xdr:col>3</xdr:col>
      <xdr:colOff>547687</xdr:colOff>
      <xdr:row>21</xdr:row>
      <xdr:rowOff>103188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C7871AF5-A22B-454A-B719-58EFC9698B88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10</xdr:row>
      <xdr:rowOff>23813</xdr:rowOff>
    </xdr:from>
    <xdr:to>
      <xdr:col>3</xdr:col>
      <xdr:colOff>547687</xdr:colOff>
      <xdr:row>10</xdr:row>
      <xdr:rowOff>103188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8A6C628A-ECEC-486A-9A1E-E490AA891B4A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11</xdr:row>
      <xdr:rowOff>23813</xdr:rowOff>
    </xdr:from>
    <xdr:to>
      <xdr:col>3</xdr:col>
      <xdr:colOff>547687</xdr:colOff>
      <xdr:row>11</xdr:row>
      <xdr:rowOff>103188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3F160F14-E2DB-4197-8EB6-A9E1A808F8AB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12</xdr:row>
      <xdr:rowOff>23813</xdr:rowOff>
    </xdr:from>
    <xdr:to>
      <xdr:col>3</xdr:col>
      <xdr:colOff>547687</xdr:colOff>
      <xdr:row>12</xdr:row>
      <xdr:rowOff>103188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7846AEC5-CBF6-4846-987C-2581C774CCBB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13</xdr:row>
      <xdr:rowOff>23813</xdr:rowOff>
    </xdr:from>
    <xdr:to>
      <xdr:col>3</xdr:col>
      <xdr:colOff>547687</xdr:colOff>
      <xdr:row>13</xdr:row>
      <xdr:rowOff>103188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9A88D6A-C0A3-473B-87AE-38804CCC5835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14</xdr:row>
      <xdr:rowOff>23813</xdr:rowOff>
    </xdr:from>
    <xdr:to>
      <xdr:col>3</xdr:col>
      <xdr:colOff>547687</xdr:colOff>
      <xdr:row>14</xdr:row>
      <xdr:rowOff>103188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A9644E3-0A4E-42DE-9BC0-8D6C53BA73EB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35</xdr:row>
      <xdr:rowOff>23813</xdr:rowOff>
    </xdr:from>
    <xdr:to>
      <xdr:col>3</xdr:col>
      <xdr:colOff>547687</xdr:colOff>
      <xdr:row>35</xdr:row>
      <xdr:rowOff>103188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8FF68485-CC4D-4F38-9AE1-0B3B2972EC9E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36</xdr:row>
      <xdr:rowOff>23813</xdr:rowOff>
    </xdr:from>
    <xdr:to>
      <xdr:col>3</xdr:col>
      <xdr:colOff>547687</xdr:colOff>
      <xdr:row>36</xdr:row>
      <xdr:rowOff>103188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AB9C837A-8C57-4847-A983-A080F27AB28A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37</xdr:row>
      <xdr:rowOff>23813</xdr:rowOff>
    </xdr:from>
    <xdr:to>
      <xdr:col>3</xdr:col>
      <xdr:colOff>547687</xdr:colOff>
      <xdr:row>37</xdr:row>
      <xdr:rowOff>103188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7500A036-ADBB-4D2F-99F7-0F7B42EF5534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38</xdr:row>
      <xdr:rowOff>23813</xdr:rowOff>
    </xdr:from>
    <xdr:to>
      <xdr:col>3</xdr:col>
      <xdr:colOff>547687</xdr:colOff>
      <xdr:row>38</xdr:row>
      <xdr:rowOff>103188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9AFAF5BB-9BD4-421A-B4FB-B2ACCF41F79B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39</xdr:row>
      <xdr:rowOff>23813</xdr:rowOff>
    </xdr:from>
    <xdr:to>
      <xdr:col>3</xdr:col>
      <xdr:colOff>547687</xdr:colOff>
      <xdr:row>39</xdr:row>
      <xdr:rowOff>103188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8905F66B-3364-4692-86C3-3B92A7F03455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40</xdr:row>
      <xdr:rowOff>23813</xdr:rowOff>
    </xdr:from>
    <xdr:to>
      <xdr:col>3</xdr:col>
      <xdr:colOff>547687</xdr:colOff>
      <xdr:row>40</xdr:row>
      <xdr:rowOff>103188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244ABE0-821F-4308-B660-1073DFF79EC7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41</xdr:row>
      <xdr:rowOff>23813</xdr:rowOff>
    </xdr:from>
    <xdr:to>
      <xdr:col>3</xdr:col>
      <xdr:colOff>547687</xdr:colOff>
      <xdr:row>41</xdr:row>
      <xdr:rowOff>103188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25D896F1-BB30-4ECE-A33F-171144DE72F1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22</xdr:row>
      <xdr:rowOff>23813</xdr:rowOff>
    </xdr:from>
    <xdr:to>
      <xdr:col>3</xdr:col>
      <xdr:colOff>547687</xdr:colOff>
      <xdr:row>22</xdr:row>
      <xdr:rowOff>103188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BB232EF6-65D9-4B9F-8A91-01E27C77A17D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23</xdr:row>
      <xdr:rowOff>23813</xdr:rowOff>
    </xdr:from>
    <xdr:to>
      <xdr:col>3</xdr:col>
      <xdr:colOff>547687</xdr:colOff>
      <xdr:row>23</xdr:row>
      <xdr:rowOff>103188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751DCB64-E1A8-4734-9849-7E9E1689AF44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24</xdr:row>
      <xdr:rowOff>23813</xdr:rowOff>
    </xdr:from>
    <xdr:to>
      <xdr:col>3</xdr:col>
      <xdr:colOff>547687</xdr:colOff>
      <xdr:row>24</xdr:row>
      <xdr:rowOff>103188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59257BBF-93D3-4A97-96C4-653EE0772FB4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42</xdr:row>
      <xdr:rowOff>23813</xdr:rowOff>
    </xdr:from>
    <xdr:to>
      <xdr:col>3</xdr:col>
      <xdr:colOff>547687</xdr:colOff>
      <xdr:row>42</xdr:row>
      <xdr:rowOff>103188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73240E34-085F-4643-BC38-C1C7F605127A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25</xdr:row>
      <xdr:rowOff>23813</xdr:rowOff>
    </xdr:from>
    <xdr:to>
      <xdr:col>3</xdr:col>
      <xdr:colOff>547687</xdr:colOff>
      <xdr:row>25</xdr:row>
      <xdr:rowOff>103188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AF85058D-0DD3-4CDA-8049-B2F6BEA97BC6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43</xdr:row>
      <xdr:rowOff>23813</xdr:rowOff>
    </xdr:from>
    <xdr:to>
      <xdr:col>3</xdr:col>
      <xdr:colOff>547687</xdr:colOff>
      <xdr:row>43</xdr:row>
      <xdr:rowOff>103188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CD27DB2D-D65A-4932-B7F9-37022014351A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44</xdr:row>
      <xdr:rowOff>23813</xdr:rowOff>
    </xdr:from>
    <xdr:to>
      <xdr:col>3</xdr:col>
      <xdr:colOff>547687</xdr:colOff>
      <xdr:row>44</xdr:row>
      <xdr:rowOff>103188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7F5598E0-68E7-43F5-AFFE-D8BC27E89B95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26</xdr:row>
      <xdr:rowOff>23813</xdr:rowOff>
    </xdr:from>
    <xdr:to>
      <xdr:col>3</xdr:col>
      <xdr:colOff>547687</xdr:colOff>
      <xdr:row>26</xdr:row>
      <xdr:rowOff>103188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BDE74C8D-0309-4429-BCF1-22423146C386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FF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27</xdr:row>
      <xdr:rowOff>23813</xdr:rowOff>
    </xdr:from>
    <xdr:to>
      <xdr:col>3</xdr:col>
      <xdr:colOff>547687</xdr:colOff>
      <xdr:row>27</xdr:row>
      <xdr:rowOff>103188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E7F38045-B3DD-4A49-9BAA-123ABA18B1BB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45</xdr:row>
      <xdr:rowOff>23813</xdr:rowOff>
    </xdr:from>
    <xdr:to>
      <xdr:col>3</xdr:col>
      <xdr:colOff>547687</xdr:colOff>
      <xdr:row>45</xdr:row>
      <xdr:rowOff>103188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5A5C97B5-72A9-48AD-931F-B5C124530954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FF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46</xdr:row>
      <xdr:rowOff>23813</xdr:rowOff>
    </xdr:from>
    <xdr:to>
      <xdr:col>3</xdr:col>
      <xdr:colOff>547687</xdr:colOff>
      <xdr:row>46</xdr:row>
      <xdr:rowOff>103188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27DD0984-E66F-4C1B-8D0C-50D0B6B86E67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47</xdr:row>
      <xdr:rowOff>23813</xdr:rowOff>
    </xdr:from>
    <xdr:to>
      <xdr:col>3</xdr:col>
      <xdr:colOff>547687</xdr:colOff>
      <xdr:row>47</xdr:row>
      <xdr:rowOff>103188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B9A9EEC4-1BEB-4201-BB8F-17080494A85B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48</xdr:row>
      <xdr:rowOff>23813</xdr:rowOff>
    </xdr:from>
    <xdr:to>
      <xdr:col>3</xdr:col>
      <xdr:colOff>547687</xdr:colOff>
      <xdr:row>48</xdr:row>
      <xdr:rowOff>103188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A52449A7-A8AE-4F99-B5D5-1C1154CD5C40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49</xdr:row>
      <xdr:rowOff>23813</xdr:rowOff>
    </xdr:from>
    <xdr:to>
      <xdr:col>3</xdr:col>
      <xdr:colOff>547687</xdr:colOff>
      <xdr:row>49</xdr:row>
      <xdr:rowOff>103188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35DA60B3-93DB-4B09-924D-EE53EF832932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50</xdr:row>
      <xdr:rowOff>23813</xdr:rowOff>
    </xdr:from>
    <xdr:to>
      <xdr:col>3</xdr:col>
      <xdr:colOff>547687</xdr:colOff>
      <xdr:row>50</xdr:row>
      <xdr:rowOff>103188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0D8E1171-8A77-48EC-97E6-D5DA9F2A57EF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51</xdr:row>
      <xdr:rowOff>23813</xdr:rowOff>
    </xdr:from>
    <xdr:to>
      <xdr:col>3</xdr:col>
      <xdr:colOff>547687</xdr:colOff>
      <xdr:row>51</xdr:row>
      <xdr:rowOff>103188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C3E4D99B-A359-414E-B9AA-F493310D017D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52</xdr:row>
      <xdr:rowOff>23813</xdr:rowOff>
    </xdr:from>
    <xdr:to>
      <xdr:col>3</xdr:col>
      <xdr:colOff>547687</xdr:colOff>
      <xdr:row>52</xdr:row>
      <xdr:rowOff>103188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86FC52F1-E7C7-4D2B-9B7A-52849A8B207D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53</xdr:row>
      <xdr:rowOff>23813</xdr:rowOff>
    </xdr:from>
    <xdr:to>
      <xdr:col>3</xdr:col>
      <xdr:colOff>547687</xdr:colOff>
      <xdr:row>53</xdr:row>
      <xdr:rowOff>103188</xdr:rowOff>
    </xdr:to>
    <xdr:sp macro="" textlink="">
      <xdr:nvSpPr>
        <xdr:cNvPr id="59" name="Oval 58">
          <a:extLst>
            <a:ext uri="{FF2B5EF4-FFF2-40B4-BE49-F238E27FC236}">
              <a16:creationId xmlns:a16="http://schemas.microsoft.com/office/drawing/2014/main" id="{12151D7C-43BB-403C-8E53-39C8E391E565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54</xdr:row>
      <xdr:rowOff>23813</xdr:rowOff>
    </xdr:from>
    <xdr:to>
      <xdr:col>3</xdr:col>
      <xdr:colOff>547687</xdr:colOff>
      <xdr:row>54</xdr:row>
      <xdr:rowOff>103188</xdr:rowOff>
    </xdr:to>
    <xdr:sp macro="" textlink="">
      <xdr:nvSpPr>
        <xdr:cNvPr id="60" name="Oval 59">
          <a:extLst>
            <a:ext uri="{FF2B5EF4-FFF2-40B4-BE49-F238E27FC236}">
              <a16:creationId xmlns:a16="http://schemas.microsoft.com/office/drawing/2014/main" id="{F168BF07-346C-4C62-9757-89AC0D061DB1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55</xdr:row>
      <xdr:rowOff>23813</xdr:rowOff>
    </xdr:from>
    <xdr:to>
      <xdr:col>3</xdr:col>
      <xdr:colOff>547687</xdr:colOff>
      <xdr:row>55</xdr:row>
      <xdr:rowOff>103188</xdr:rowOff>
    </xdr:to>
    <xdr:sp macro="" textlink="">
      <xdr:nvSpPr>
        <xdr:cNvPr id="61" name="Oval 60">
          <a:extLst>
            <a:ext uri="{FF2B5EF4-FFF2-40B4-BE49-F238E27FC236}">
              <a16:creationId xmlns:a16="http://schemas.microsoft.com/office/drawing/2014/main" id="{45F2EE88-5A2E-4859-A4F6-B9E2E6980076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56</xdr:row>
      <xdr:rowOff>23813</xdr:rowOff>
    </xdr:from>
    <xdr:to>
      <xdr:col>3</xdr:col>
      <xdr:colOff>547687</xdr:colOff>
      <xdr:row>56</xdr:row>
      <xdr:rowOff>103188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B684FAEB-1ADB-42C7-9879-960749D84EB3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57</xdr:row>
      <xdr:rowOff>23813</xdr:rowOff>
    </xdr:from>
    <xdr:to>
      <xdr:col>3</xdr:col>
      <xdr:colOff>547687</xdr:colOff>
      <xdr:row>57</xdr:row>
      <xdr:rowOff>103188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104972FD-A7FD-4A35-AA06-B1EF1D3C5218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58</xdr:row>
      <xdr:rowOff>23813</xdr:rowOff>
    </xdr:from>
    <xdr:to>
      <xdr:col>3</xdr:col>
      <xdr:colOff>547687</xdr:colOff>
      <xdr:row>58</xdr:row>
      <xdr:rowOff>103188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EB631A97-4D8B-4C3B-A143-BC3FB3E49E43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59</xdr:row>
      <xdr:rowOff>23813</xdr:rowOff>
    </xdr:from>
    <xdr:to>
      <xdr:col>3</xdr:col>
      <xdr:colOff>547687</xdr:colOff>
      <xdr:row>59</xdr:row>
      <xdr:rowOff>103188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A17EBC81-5D63-4978-A19F-1E0692B69275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60</xdr:row>
      <xdr:rowOff>23813</xdr:rowOff>
    </xdr:from>
    <xdr:to>
      <xdr:col>3</xdr:col>
      <xdr:colOff>547687</xdr:colOff>
      <xdr:row>60</xdr:row>
      <xdr:rowOff>103188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9C782FB8-D9A9-48EB-98B9-EB65720B563C}"/>
            </a:ext>
          </a:extLst>
        </xdr:cNvPr>
        <xdr:cNvSpPr/>
      </xdr:nvSpPr>
      <xdr:spPr bwMode="auto">
        <a:xfrm>
          <a:off x="2627313" y="8294688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28</xdr:row>
      <xdr:rowOff>23813</xdr:rowOff>
    </xdr:from>
    <xdr:to>
      <xdr:col>3</xdr:col>
      <xdr:colOff>547687</xdr:colOff>
      <xdr:row>28</xdr:row>
      <xdr:rowOff>103188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E6498212-924F-4666-B451-BF2B94F52520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55562</xdr:colOff>
      <xdr:row>61</xdr:row>
      <xdr:rowOff>15875</xdr:rowOff>
    </xdr:from>
    <xdr:to>
      <xdr:col>3</xdr:col>
      <xdr:colOff>539749</xdr:colOff>
      <xdr:row>61</xdr:row>
      <xdr:rowOff>95250</xdr:rowOff>
    </xdr:to>
    <xdr:sp macro="" textlink="">
      <xdr:nvSpPr>
        <xdr:cNvPr id="68" name="Oval 67">
          <a:extLst>
            <a:ext uri="{FF2B5EF4-FFF2-40B4-BE49-F238E27FC236}">
              <a16:creationId xmlns:a16="http://schemas.microsoft.com/office/drawing/2014/main" id="{0A78F5CA-BC58-42FD-B5D4-B5E8F9164100}"/>
            </a:ext>
          </a:extLst>
        </xdr:cNvPr>
        <xdr:cNvSpPr/>
      </xdr:nvSpPr>
      <xdr:spPr bwMode="auto">
        <a:xfrm>
          <a:off x="2619375" y="8509000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62</xdr:row>
      <xdr:rowOff>23812</xdr:rowOff>
    </xdr:from>
    <xdr:to>
      <xdr:col>3</xdr:col>
      <xdr:colOff>547687</xdr:colOff>
      <xdr:row>62</xdr:row>
      <xdr:rowOff>103187</xdr:rowOff>
    </xdr:to>
    <xdr:sp macro="" textlink="">
      <xdr:nvSpPr>
        <xdr:cNvPr id="69" name="Oval 68">
          <a:extLst>
            <a:ext uri="{FF2B5EF4-FFF2-40B4-BE49-F238E27FC236}">
              <a16:creationId xmlns:a16="http://schemas.microsoft.com/office/drawing/2014/main" id="{0E5BED6D-FE00-405E-A16C-FF46327CB696}"/>
            </a:ext>
          </a:extLst>
        </xdr:cNvPr>
        <xdr:cNvSpPr/>
      </xdr:nvSpPr>
      <xdr:spPr bwMode="auto">
        <a:xfrm>
          <a:off x="2627313" y="8628062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63</xdr:row>
      <xdr:rowOff>15875</xdr:rowOff>
    </xdr:from>
    <xdr:to>
      <xdr:col>3</xdr:col>
      <xdr:colOff>547687</xdr:colOff>
      <xdr:row>63</xdr:row>
      <xdr:rowOff>95250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C28E1231-0637-427B-9E6F-86EC1DA46FB1}"/>
            </a:ext>
          </a:extLst>
        </xdr:cNvPr>
        <xdr:cNvSpPr/>
      </xdr:nvSpPr>
      <xdr:spPr bwMode="auto">
        <a:xfrm>
          <a:off x="2627313" y="8397875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64</xdr:row>
      <xdr:rowOff>23813</xdr:rowOff>
    </xdr:from>
    <xdr:to>
      <xdr:col>3</xdr:col>
      <xdr:colOff>547687</xdr:colOff>
      <xdr:row>64</xdr:row>
      <xdr:rowOff>103188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75B6BFD8-57BE-4BD6-A486-54BDB6368AD6}"/>
            </a:ext>
          </a:extLst>
        </xdr:cNvPr>
        <xdr:cNvSpPr/>
      </xdr:nvSpPr>
      <xdr:spPr bwMode="auto">
        <a:xfrm>
          <a:off x="2627313" y="7627938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55563</xdr:colOff>
      <xdr:row>65</xdr:row>
      <xdr:rowOff>15875</xdr:rowOff>
    </xdr:from>
    <xdr:to>
      <xdr:col>3</xdr:col>
      <xdr:colOff>539750</xdr:colOff>
      <xdr:row>65</xdr:row>
      <xdr:rowOff>95250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6A0AEE-A6B5-4026-BCF0-9BCB858735C5}"/>
            </a:ext>
          </a:extLst>
        </xdr:cNvPr>
        <xdr:cNvSpPr/>
      </xdr:nvSpPr>
      <xdr:spPr bwMode="auto">
        <a:xfrm>
          <a:off x="2619376" y="7731125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55563</xdr:colOff>
      <xdr:row>66</xdr:row>
      <xdr:rowOff>15875</xdr:rowOff>
    </xdr:from>
    <xdr:to>
      <xdr:col>3</xdr:col>
      <xdr:colOff>539750</xdr:colOff>
      <xdr:row>66</xdr:row>
      <xdr:rowOff>95250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4D0FDCF5-F7BF-4C56-B880-EA8E1B0938CF}"/>
            </a:ext>
          </a:extLst>
        </xdr:cNvPr>
        <xdr:cNvSpPr/>
      </xdr:nvSpPr>
      <xdr:spPr bwMode="auto">
        <a:xfrm>
          <a:off x="2619376" y="7731125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55563</xdr:colOff>
      <xdr:row>67</xdr:row>
      <xdr:rowOff>15875</xdr:rowOff>
    </xdr:from>
    <xdr:to>
      <xdr:col>3</xdr:col>
      <xdr:colOff>539750</xdr:colOff>
      <xdr:row>67</xdr:row>
      <xdr:rowOff>95250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C6540CC-D93A-4F93-9CF6-AAF5022C28FE}"/>
            </a:ext>
          </a:extLst>
        </xdr:cNvPr>
        <xdr:cNvSpPr/>
      </xdr:nvSpPr>
      <xdr:spPr bwMode="auto">
        <a:xfrm>
          <a:off x="2619376" y="7731125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55563</xdr:colOff>
      <xdr:row>68</xdr:row>
      <xdr:rowOff>15875</xdr:rowOff>
    </xdr:from>
    <xdr:to>
      <xdr:col>3</xdr:col>
      <xdr:colOff>539750</xdr:colOff>
      <xdr:row>68</xdr:row>
      <xdr:rowOff>95250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762DFE2B-6CFF-489E-867B-1994186A0D7D}"/>
            </a:ext>
          </a:extLst>
        </xdr:cNvPr>
        <xdr:cNvSpPr/>
      </xdr:nvSpPr>
      <xdr:spPr bwMode="auto">
        <a:xfrm>
          <a:off x="2619376" y="7731125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55563</xdr:colOff>
      <xdr:row>69</xdr:row>
      <xdr:rowOff>15875</xdr:rowOff>
    </xdr:from>
    <xdr:to>
      <xdr:col>3</xdr:col>
      <xdr:colOff>539750</xdr:colOff>
      <xdr:row>69</xdr:row>
      <xdr:rowOff>95250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B245BB0-B3EF-4C06-9DBF-28EABA8B0CEF}"/>
            </a:ext>
          </a:extLst>
        </xdr:cNvPr>
        <xdr:cNvSpPr/>
      </xdr:nvSpPr>
      <xdr:spPr bwMode="auto">
        <a:xfrm>
          <a:off x="2619376" y="7731125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B181"/>
  <sheetViews>
    <sheetView tabSelected="1" zoomScale="120" zoomScaleNormal="120" zoomScaleSheetLayoutView="140" workbookViewId="0">
      <pane xSplit="10" ySplit="5" topLeftCell="N51" activePane="bottomRight" state="frozenSplit"/>
      <selection pane="topRight" activeCell="O1" sqref="O1"/>
      <selection pane="bottomLeft" activeCell="A2" sqref="A2"/>
      <selection pane="bottomRight" activeCell="AA68" sqref="AA68:AK68"/>
    </sheetView>
  </sheetViews>
  <sheetFormatPr defaultColWidth="5.6640625" defaultRowHeight="9" customHeight="1" x14ac:dyDescent="0.2"/>
  <cols>
    <col min="1" max="1" width="16.21875" style="16" bestFit="1" customWidth="1"/>
    <col min="2" max="2" width="6.6640625" style="2" customWidth="1"/>
    <col min="3" max="3" width="7" style="2" bestFit="1" customWidth="1"/>
    <col min="4" max="4" width="7" style="2" customWidth="1"/>
    <col min="5" max="5" width="4.44140625" style="2" customWidth="1"/>
    <col min="6" max="6" width="4.5546875" style="2" customWidth="1"/>
    <col min="7" max="7" width="4.44140625" style="2" customWidth="1"/>
    <col min="8" max="8" width="4.44140625" style="30" customWidth="1"/>
    <col min="9" max="9" width="5.109375" style="2" bestFit="1" customWidth="1"/>
    <col min="10" max="51" width="4.44140625" style="2" customWidth="1"/>
    <col min="52" max="52" width="6.44140625" style="2" bestFit="1" customWidth="1"/>
    <col min="53" max="53" width="4.44140625" style="4" customWidth="1"/>
    <col min="54" max="54" width="7.5546875" style="2" bestFit="1" customWidth="1"/>
    <col min="55" max="16384" width="5.6640625" style="2"/>
  </cols>
  <sheetData>
    <row r="1" spans="1:53" s="1" customFormat="1" ht="12.75" x14ac:dyDescent="0.2">
      <c r="A1" s="78" t="s">
        <v>11</v>
      </c>
      <c r="B1" s="78"/>
      <c r="C1" s="78"/>
      <c r="D1" s="75"/>
      <c r="E1" s="34"/>
      <c r="F1" s="34"/>
      <c r="G1" s="24" t="s">
        <v>18</v>
      </c>
      <c r="H1" s="31" t="s">
        <v>19</v>
      </c>
      <c r="I1" s="34"/>
      <c r="J1" s="34"/>
      <c r="K1" s="64">
        <v>14</v>
      </c>
      <c r="L1" s="64">
        <v>15</v>
      </c>
      <c r="M1" s="64">
        <v>16</v>
      </c>
      <c r="N1" s="64">
        <v>17</v>
      </c>
      <c r="O1" s="64">
        <v>18</v>
      </c>
      <c r="P1" s="64">
        <v>19</v>
      </c>
      <c r="Q1" s="64">
        <v>20</v>
      </c>
      <c r="R1" s="64">
        <v>21</v>
      </c>
      <c r="S1" s="64">
        <v>22</v>
      </c>
      <c r="T1" s="64">
        <v>23</v>
      </c>
      <c r="U1" s="64">
        <v>24</v>
      </c>
      <c r="V1" s="64">
        <v>25</v>
      </c>
      <c r="W1" s="64">
        <v>26</v>
      </c>
      <c r="X1" s="64">
        <v>27</v>
      </c>
      <c r="Y1" s="64">
        <v>28</v>
      </c>
      <c r="Z1" s="64">
        <v>29</v>
      </c>
      <c r="AA1" s="64">
        <v>30</v>
      </c>
      <c r="AB1" s="64">
        <v>31</v>
      </c>
      <c r="AC1" s="64">
        <v>32</v>
      </c>
      <c r="AD1" s="64">
        <v>33</v>
      </c>
      <c r="AE1" s="64">
        <v>34</v>
      </c>
      <c r="AF1" s="64">
        <v>35</v>
      </c>
      <c r="AG1" s="64">
        <v>36</v>
      </c>
      <c r="AH1" s="64">
        <v>37</v>
      </c>
      <c r="AI1" s="64">
        <v>38</v>
      </c>
      <c r="AJ1" s="64">
        <v>39</v>
      </c>
      <c r="AK1" s="64">
        <v>40</v>
      </c>
      <c r="AL1" s="64">
        <v>41</v>
      </c>
      <c r="AM1" s="64">
        <v>42</v>
      </c>
      <c r="AN1" s="64">
        <v>43</v>
      </c>
      <c r="AO1" s="64">
        <v>44</v>
      </c>
      <c r="AP1" s="64">
        <v>45</v>
      </c>
      <c r="AQ1" s="64">
        <v>46</v>
      </c>
      <c r="AR1" s="64">
        <v>47</v>
      </c>
      <c r="AS1" s="64">
        <v>48</v>
      </c>
      <c r="AT1" s="64">
        <v>49</v>
      </c>
      <c r="AU1" s="64">
        <v>50</v>
      </c>
      <c r="AV1" s="64">
        <v>51</v>
      </c>
      <c r="AW1" s="64">
        <v>52</v>
      </c>
      <c r="AX1" s="23"/>
      <c r="AY1" s="23"/>
      <c r="AZ1" s="23"/>
      <c r="BA1" s="23"/>
    </row>
    <row r="2" spans="1:53" s="5" customFormat="1" x14ac:dyDescent="0.2">
      <c r="A2" s="34"/>
      <c r="B2" s="34"/>
      <c r="C2" s="34"/>
      <c r="D2" s="34"/>
      <c r="E2" s="34"/>
      <c r="F2" s="34"/>
      <c r="G2" s="25">
        <v>46104</v>
      </c>
      <c r="H2" s="32">
        <f>G2</f>
        <v>46104</v>
      </c>
      <c r="I2" s="34"/>
      <c r="J2" s="34"/>
      <c r="K2" s="5">
        <v>46111</v>
      </c>
      <c r="L2" s="5">
        <v>46118</v>
      </c>
      <c r="M2" s="5">
        <v>46125</v>
      </c>
      <c r="N2" s="5">
        <v>46132</v>
      </c>
      <c r="O2" s="5">
        <v>46139</v>
      </c>
      <c r="P2" s="5">
        <v>46146</v>
      </c>
      <c r="Q2" s="5">
        <v>46153</v>
      </c>
      <c r="R2" s="5">
        <v>46160</v>
      </c>
      <c r="S2" s="5">
        <v>46167</v>
      </c>
      <c r="T2" s="5">
        <v>46174</v>
      </c>
      <c r="U2" s="5">
        <v>46181</v>
      </c>
      <c r="V2" s="5">
        <v>46188</v>
      </c>
      <c r="W2" s="5">
        <v>46195</v>
      </c>
      <c r="X2" s="5">
        <v>46202</v>
      </c>
      <c r="Y2" s="5">
        <v>46209</v>
      </c>
      <c r="Z2" s="5">
        <v>46216</v>
      </c>
      <c r="AA2" s="5">
        <v>46223</v>
      </c>
      <c r="AB2" s="5">
        <v>46230</v>
      </c>
      <c r="AC2" s="5">
        <v>46237</v>
      </c>
      <c r="AD2" s="5">
        <v>46244</v>
      </c>
      <c r="AE2" s="5">
        <v>46251</v>
      </c>
      <c r="AF2" s="5">
        <v>46258</v>
      </c>
      <c r="AG2" s="5">
        <v>46265</v>
      </c>
      <c r="AH2" s="5">
        <v>46272</v>
      </c>
      <c r="AI2" s="5">
        <v>46279</v>
      </c>
      <c r="AJ2" s="5">
        <v>46286</v>
      </c>
      <c r="AK2" s="5">
        <v>46293</v>
      </c>
      <c r="AL2" s="5">
        <v>46300</v>
      </c>
      <c r="AM2" s="5">
        <v>46307</v>
      </c>
      <c r="AN2" s="5">
        <v>46314</v>
      </c>
      <c r="AO2" s="5">
        <v>46321</v>
      </c>
      <c r="AP2" s="5">
        <v>46328</v>
      </c>
      <c r="AQ2" s="5">
        <v>46335</v>
      </c>
      <c r="AR2" s="5">
        <v>46342</v>
      </c>
      <c r="AS2" s="5">
        <v>46349</v>
      </c>
      <c r="AT2" s="5">
        <v>46356</v>
      </c>
      <c r="AU2" s="5">
        <v>46363</v>
      </c>
      <c r="AV2" s="5">
        <v>46370</v>
      </c>
      <c r="AW2" s="5">
        <v>46377</v>
      </c>
      <c r="AX2" s="23"/>
      <c r="AY2" s="23"/>
      <c r="AZ2" s="23"/>
      <c r="BA2" s="23"/>
    </row>
    <row r="3" spans="1:53" s="1" customFormat="1" x14ac:dyDescent="0.2">
      <c r="A3" s="35"/>
      <c r="B3" s="35"/>
      <c r="C3" s="35"/>
      <c r="D3" s="35"/>
      <c r="E3" s="35"/>
      <c r="F3" s="35"/>
      <c r="G3" s="27">
        <v>22</v>
      </c>
      <c r="H3" s="33">
        <v>24</v>
      </c>
      <c r="I3" s="35"/>
      <c r="J3" s="35"/>
      <c r="K3" s="10">
        <v>22</v>
      </c>
      <c r="L3" s="10">
        <v>27</v>
      </c>
      <c r="M3" s="10">
        <v>27</v>
      </c>
      <c r="N3" s="10">
        <v>27</v>
      </c>
      <c r="O3" s="10">
        <v>27</v>
      </c>
      <c r="P3" s="10">
        <v>27</v>
      </c>
      <c r="Q3" s="10">
        <v>27</v>
      </c>
      <c r="R3" s="10">
        <v>27</v>
      </c>
      <c r="S3" s="10">
        <v>27</v>
      </c>
      <c r="T3" s="10">
        <v>27</v>
      </c>
      <c r="U3" s="10">
        <v>27</v>
      </c>
      <c r="V3" s="10">
        <v>27</v>
      </c>
      <c r="W3" s="10">
        <v>27</v>
      </c>
      <c r="X3" s="10">
        <v>27</v>
      </c>
      <c r="Y3" s="10">
        <v>27</v>
      </c>
      <c r="Z3" s="10">
        <v>27</v>
      </c>
      <c r="AA3" s="10">
        <v>27</v>
      </c>
      <c r="AB3" s="10">
        <v>27</v>
      </c>
      <c r="AC3" s="10">
        <v>27</v>
      </c>
      <c r="AD3" s="10">
        <v>27</v>
      </c>
      <c r="AE3" s="10">
        <v>27</v>
      </c>
      <c r="AF3" s="10">
        <v>27</v>
      </c>
      <c r="AG3" s="10">
        <v>27</v>
      </c>
      <c r="AH3" s="10">
        <v>27</v>
      </c>
      <c r="AI3" s="10">
        <v>27</v>
      </c>
      <c r="AJ3" s="10">
        <v>27</v>
      </c>
      <c r="AK3" s="10">
        <v>27</v>
      </c>
      <c r="AL3" s="10">
        <v>27</v>
      </c>
      <c r="AM3" s="10">
        <v>27</v>
      </c>
      <c r="AN3" s="10">
        <v>27</v>
      </c>
      <c r="AO3" s="10">
        <v>27</v>
      </c>
      <c r="AP3" s="10">
        <v>27</v>
      </c>
      <c r="AQ3" s="10">
        <v>27</v>
      </c>
      <c r="AR3" s="10">
        <v>27</v>
      </c>
      <c r="AS3" s="10">
        <v>27</v>
      </c>
      <c r="AT3" s="10">
        <v>27</v>
      </c>
      <c r="AU3" s="10">
        <v>27</v>
      </c>
      <c r="AV3" s="10">
        <v>27</v>
      </c>
      <c r="AW3" s="10">
        <v>27</v>
      </c>
      <c r="AX3" s="23"/>
      <c r="AY3" s="23"/>
      <c r="AZ3" s="23"/>
      <c r="BA3" s="23"/>
    </row>
    <row r="4" spans="1:53" s="1" customFormat="1" x14ac:dyDescent="0.2">
      <c r="A4" s="15" t="s">
        <v>25</v>
      </c>
      <c r="B4" s="13">
        <v>565</v>
      </c>
      <c r="C4" s="1" t="s">
        <v>12</v>
      </c>
      <c r="D4" s="76"/>
      <c r="E4" s="34"/>
      <c r="F4" s="34"/>
      <c r="G4" s="52">
        <v>55</v>
      </c>
      <c r="H4" s="52">
        <v>55</v>
      </c>
      <c r="I4" s="34"/>
      <c r="J4" s="34"/>
      <c r="K4" s="52">
        <v>55</v>
      </c>
      <c r="L4" s="52">
        <v>55</v>
      </c>
      <c r="M4" s="52">
        <v>55</v>
      </c>
      <c r="N4" s="52">
        <v>55</v>
      </c>
      <c r="O4" s="52">
        <v>55</v>
      </c>
      <c r="P4" s="52">
        <v>55</v>
      </c>
      <c r="Q4" s="52">
        <v>55</v>
      </c>
      <c r="R4" s="52">
        <v>55</v>
      </c>
      <c r="S4" s="65">
        <v>40</v>
      </c>
      <c r="T4" s="52">
        <v>55</v>
      </c>
      <c r="U4" s="52">
        <v>55</v>
      </c>
      <c r="V4" s="52">
        <v>55</v>
      </c>
      <c r="W4" s="52">
        <v>55</v>
      </c>
      <c r="X4" s="52">
        <v>55</v>
      </c>
      <c r="Y4" s="65">
        <v>40</v>
      </c>
      <c r="Z4" s="52">
        <v>55</v>
      </c>
      <c r="AA4" s="52">
        <v>55</v>
      </c>
      <c r="AB4" s="52">
        <v>55</v>
      </c>
      <c r="AC4" s="52">
        <v>55</v>
      </c>
      <c r="AD4" s="52">
        <v>55</v>
      </c>
      <c r="AE4" s="52">
        <v>55</v>
      </c>
      <c r="AF4" s="52">
        <v>55</v>
      </c>
      <c r="AG4" s="52">
        <v>55</v>
      </c>
      <c r="AH4" s="65">
        <v>40</v>
      </c>
      <c r="AI4" s="52">
        <v>55</v>
      </c>
      <c r="AJ4" s="52">
        <v>55</v>
      </c>
      <c r="AK4" s="52">
        <v>55</v>
      </c>
      <c r="AL4" s="52">
        <v>55</v>
      </c>
      <c r="AM4" s="52">
        <v>55</v>
      </c>
      <c r="AN4" s="52">
        <v>55</v>
      </c>
      <c r="AO4" s="52">
        <v>55</v>
      </c>
      <c r="AP4" s="52">
        <v>55</v>
      </c>
      <c r="AQ4" s="52">
        <v>55</v>
      </c>
      <c r="AR4" s="52">
        <v>55</v>
      </c>
      <c r="AS4" s="65">
        <v>40</v>
      </c>
      <c r="AT4" s="52">
        <v>55</v>
      </c>
      <c r="AU4" s="52">
        <v>55</v>
      </c>
      <c r="AV4" s="52">
        <v>55</v>
      </c>
      <c r="AW4" s="65">
        <v>40</v>
      </c>
      <c r="AX4" s="23"/>
      <c r="AY4" s="23"/>
      <c r="AZ4" s="23"/>
      <c r="BA4" s="23"/>
    </row>
    <row r="5" spans="1:53" s="1" customFormat="1" x14ac:dyDescent="0.2">
      <c r="A5" s="14"/>
      <c r="B5" s="5" t="s">
        <v>0</v>
      </c>
      <c r="C5" s="1" t="s">
        <v>1</v>
      </c>
      <c r="E5" s="1" t="s">
        <v>4</v>
      </c>
      <c r="F5" s="26" t="s">
        <v>5</v>
      </c>
      <c r="G5" s="14"/>
      <c r="H5" s="14"/>
      <c r="I5" s="1" t="s">
        <v>9</v>
      </c>
      <c r="J5" s="1" t="s">
        <v>10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1" t="s">
        <v>17</v>
      </c>
      <c r="AY5" s="1" t="s">
        <v>2</v>
      </c>
      <c r="AZ5" s="1" t="s">
        <v>1</v>
      </c>
      <c r="BA5" s="20"/>
    </row>
    <row r="6" spans="1:53" s="16" customFormat="1" x14ac:dyDescent="0.2">
      <c r="A6" s="28" t="s">
        <v>53</v>
      </c>
      <c r="B6" s="21"/>
      <c r="C6" s="54" t="s">
        <v>52</v>
      </c>
      <c r="D6" s="54"/>
      <c r="E6" s="29">
        <v>705</v>
      </c>
      <c r="F6" s="7">
        <f>24+58+3+21+85+17+3+29+13+8+35</f>
        <v>296</v>
      </c>
      <c r="G6" s="2">
        <v>130</v>
      </c>
      <c r="H6" s="7">
        <v>66</v>
      </c>
      <c r="I6" s="2">
        <f t="shared" ref="I6:I8" si="0">F6+H6</f>
        <v>362</v>
      </c>
      <c r="J6" s="3">
        <f t="shared" ref="J6:J8" si="1">I6/E6</f>
        <v>0.5134751773049645</v>
      </c>
      <c r="K6" s="2">
        <v>100</v>
      </c>
      <c r="L6" s="2">
        <v>64</v>
      </c>
      <c r="M6" s="74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1">
        <f t="shared" ref="AX6:AX30" si="2">SUM(K6:AW6)</f>
        <v>164</v>
      </c>
      <c r="AY6" s="1">
        <f t="shared" ref="AY6:AY30" si="3">E6-I6</f>
        <v>343</v>
      </c>
      <c r="AZ6" s="1" t="str">
        <f t="shared" ref="AZ6:AZ29" si="4">C6</f>
        <v>046-24</v>
      </c>
      <c r="BA6" s="4">
        <f t="shared" ref="BA6:BA30" si="5">E6-I6-AX6</f>
        <v>179</v>
      </c>
    </row>
    <row r="7" spans="1:53" s="16" customFormat="1" x14ac:dyDescent="0.2">
      <c r="A7" s="28" t="s">
        <v>57</v>
      </c>
      <c r="B7" s="21">
        <v>46027</v>
      </c>
      <c r="C7" s="54" t="s">
        <v>55</v>
      </c>
      <c r="D7" s="54"/>
      <c r="E7" s="29">
        <v>314</v>
      </c>
      <c r="F7" s="7">
        <f>14+21+21+22+38+46+61+75+13</f>
        <v>311</v>
      </c>
      <c r="G7" s="2"/>
      <c r="H7" s="7"/>
      <c r="I7" s="2">
        <f t="shared" si="0"/>
        <v>311</v>
      </c>
      <c r="J7" s="3">
        <f t="shared" si="1"/>
        <v>0.99044585987261147</v>
      </c>
      <c r="AX7" s="1">
        <f t="shared" si="2"/>
        <v>0</v>
      </c>
      <c r="AY7" s="1">
        <f t="shared" si="3"/>
        <v>3</v>
      </c>
      <c r="AZ7" s="1" t="str">
        <f t="shared" si="4"/>
        <v>012-25</v>
      </c>
      <c r="BA7" s="62">
        <f t="shared" si="5"/>
        <v>3</v>
      </c>
    </row>
    <row r="8" spans="1:53" s="16" customFormat="1" x14ac:dyDescent="0.2">
      <c r="A8" s="28" t="s">
        <v>58</v>
      </c>
      <c r="B8" s="21">
        <v>46027</v>
      </c>
      <c r="C8" s="54" t="s">
        <v>56</v>
      </c>
      <c r="D8" s="54"/>
      <c r="E8" s="29">
        <v>513</v>
      </c>
      <c r="F8" s="7">
        <f>40+9+29+3+3+17+12+34+14+23+55</f>
        <v>239</v>
      </c>
      <c r="G8" s="2"/>
      <c r="H8" s="7">
        <v>84</v>
      </c>
      <c r="I8" s="2">
        <f t="shared" si="0"/>
        <v>323</v>
      </c>
      <c r="J8" s="3">
        <f t="shared" si="1"/>
        <v>0.62962962962962965</v>
      </c>
      <c r="AX8" s="1">
        <f t="shared" si="2"/>
        <v>0</v>
      </c>
      <c r="AY8" s="1">
        <f t="shared" si="3"/>
        <v>190</v>
      </c>
      <c r="AZ8" s="1" t="str">
        <f t="shared" si="4"/>
        <v>013-25</v>
      </c>
      <c r="BA8" s="62">
        <f t="shared" si="5"/>
        <v>190</v>
      </c>
    </row>
    <row r="9" spans="1:53" s="16" customFormat="1" x14ac:dyDescent="0.2">
      <c r="A9" s="28" t="s">
        <v>60</v>
      </c>
      <c r="B9" s="21">
        <v>45903</v>
      </c>
      <c r="C9" s="54" t="s">
        <v>61</v>
      </c>
      <c r="D9" s="54"/>
      <c r="E9" s="29">
        <v>190</v>
      </c>
      <c r="F9" s="7">
        <f>1+61+2+3+3+47+31+5+93+12+1+17</f>
        <v>276</v>
      </c>
      <c r="G9" s="2">
        <v>40</v>
      </c>
      <c r="H9" s="7">
        <v>29</v>
      </c>
      <c r="I9" s="2">
        <f t="shared" ref="I9" si="6">F9+H9</f>
        <v>305</v>
      </c>
      <c r="J9" s="3">
        <f t="shared" ref="J9" si="7">I9/E9</f>
        <v>1.6052631578947369</v>
      </c>
      <c r="K9" s="73"/>
      <c r="AX9" s="1">
        <f t="shared" si="2"/>
        <v>0</v>
      </c>
      <c r="AY9" s="1">
        <f t="shared" si="3"/>
        <v>-115</v>
      </c>
      <c r="AZ9" s="1" t="str">
        <f t="shared" si="4"/>
        <v>040-25</v>
      </c>
      <c r="BA9" s="68">
        <f t="shared" si="5"/>
        <v>-115</v>
      </c>
    </row>
    <row r="10" spans="1:53" s="16" customFormat="1" x14ac:dyDescent="0.2">
      <c r="A10" s="28" t="s">
        <v>59</v>
      </c>
      <c r="B10" s="21">
        <v>45884</v>
      </c>
      <c r="C10" s="54" t="s">
        <v>65</v>
      </c>
      <c r="D10" s="54"/>
      <c r="E10" s="29">
        <v>244</v>
      </c>
      <c r="F10" s="7">
        <f>52+50+33+35+1</f>
        <v>171</v>
      </c>
      <c r="G10" s="2"/>
      <c r="H10" s="7"/>
      <c r="I10" s="2">
        <f>F10+H10</f>
        <v>171</v>
      </c>
      <c r="J10" s="3">
        <f>I10/E10</f>
        <v>0.70081967213114749</v>
      </c>
      <c r="K10" s="2"/>
      <c r="L10" s="2"/>
      <c r="M10" s="2"/>
      <c r="N10" s="2"/>
      <c r="O10" s="2"/>
      <c r="P10" s="2"/>
      <c r="Q10" s="2"/>
      <c r="R10" s="2">
        <v>50</v>
      </c>
      <c r="S10" s="2">
        <v>23</v>
      </c>
      <c r="T10" s="74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1">
        <f t="shared" si="2"/>
        <v>73</v>
      </c>
      <c r="AY10" s="1">
        <f t="shared" si="3"/>
        <v>73</v>
      </c>
      <c r="AZ10" s="1" t="str">
        <f t="shared" si="4"/>
        <v>053-25</v>
      </c>
      <c r="BA10" s="4">
        <f t="shared" si="5"/>
        <v>0</v>
      </c>
    </row>
    <row r="11" spans="1:53" s="16" customFormat="1" x14ac:dyDescent="0.2">
      <c r="A11" s="28" t="s">
        <v>68</v>
      </c>
      <c r="B11" s="21">
        <v>45977</v>
      </c>
      <c r="C11" s="54" t="s">
        <v>69</v>
      </c>
      <c r="D11" s="54"/>
      <c r="E11" s="29">
        <v>665</v>
      </c>
      <c r="F11" s="7"/>
      <c r="G11" s="2">
        <v>50</v>
      </c>
      <c r="H11" s="7">
        <v>9</v>
      </c>
      <c r="I11" s="2">
        <f t="shared" ref="I11" si="8">F11+H11</f>
        <v>9</v>
      </c>
      <c r="J11" s="3">
        <f t="shared" ref="J11" si="9">I11/E11</f>
        <v>1.3533834586466165E-2</v>
      </c>
      <c r="K11" s="2">
        <v>80</v>
      </c>
      <c r="L11" s="2">
        <v>80</v>
      </c>
      <c r="M11" s="2">
        <v>70</v>
      </c>
      <c r="N11" s="2">
        <v>70</v>
      </c>
      <c r="O11" s="2">
        <v>60</v>
      </c>
      <c r="P11" s="2">
        <v>60</v>
      </c>
      <c r="Q11" s="2">
        <v>50</v>
      </c>
      <c r="R11" s="2">
        <v>45</v>
      </c>
      <c r="S11" s="74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1">
        <f t="shared" si="2"/>
        <v>515</v>
      </c>
      <c r="AY11" s="1">
        <f t="shared" si="3"/>
        <v>656</v>
      </c>
      <c r="AZ11" s="1" t="str">
        <f t="shared" si="4"/>
        <v>055-25</v>
      </c>
      <c r="BA11" s="4">
        <f t="shared" si="5"/>
        <v>141</v>
      </c>
    </row>
    <row r="12" spans="1:53" s="16" customFormat="1" x14ac:dyDescent="0.2">
      <c r="A12" s="28" t="s">
        <v>66</v>
      </c>
      <c r="B12" s="21">
        <v>46118</v>
      </c>
      <c r="C12" s="54" t="s">
        <v>72</v>
      </c>
      <c r="D12" s="54"/>
      <c r="E12" s="29">
        <v>520</v>
      </c>
      <c r="F12" s="7">
        <f>2+4+5+3+1+2+5+14+2+12+2+2+9+15+6+9+9+24+20+38+12+16+60+81+41</f>
        <v>394</v>
      </c>
      <c r="G12" s="2">
        <v>10</v>
      </c>
      <c r="H12" s="7">
        <v>8</v>
      </c>
      <c r="I12" s="2">
        <f>F12+H12</f>
        <v>402</v>
      </c>
      <c r="J12" s="3">
        <f>I12/E12</f>
        <v>0.77307692307692311</v>
      </c>
      <c r="K12" s="2"/>
      <c r="L12" s="74"/>
      <c r="AX12" s="1">
        <f t="shared" si="2"/>
        <v>0</v>
      </c>
      <c r="AY12" s="1">
        <f t="shared" si="3"/>
        <v>118</v>
      </c>
      <c r="AZ12" s="1" t="str">
        <f t="shared" si="4"/>
        <v>068-25</v>
      </c>
      <c r="BA12" s="62">
        <f t="shared" si="5"/>
        <v>118</v>
      </c>
    </row>
    <row r="13" spans="1:53" s="16" customFormat="1" x14ac:dyDescent="0.2">
      <c r="A13" s="28" t="s">
        <v>67</v>
      </c>
      <c r="B13" s="21">
        <v>46118</v>
      </c>
      <c r="C13" s="54" t="s">
        <v>73</v>
      </c>
      <c r="D13" s="54"/>
      <c r="E13" s="29">
        <v>520</v>
      </c>
      <c r="F13" s="7">
        <f>2+4+5+3+1+2+5+13+5+5+2+6+11+2+10+4+15+46+12+50+21+59</f>
        <v>283</v>
      </c>
      <c r="G13" s="2">
        <v>15</v>
      </c>
      <c r="H13" s="7">
        <v>58</v>
      </c>
      <c r="I13" s="2">
        <f>F13+H13</f>
        <v>341</v>
      </c>
      <c r="J13" s="3">
        <f>I13/E13</f>
        <v>0.65576923076923077</v>
      </c>
      <c r="K13" s="2"/>
      <c r="L13" s="74"/>
      <c r="AX13" s="1">
        <f t="shared" si="2"/>
        <v>0</v>
      </c>
      <c r="AY13" s="1">
        <f t="shared" si="3"/>
        <v>179</v>
      </c>
      <c r="AZ13" s="1" t="str">
        <f t="shared" si="4"/>
        <v>069-25</v>
      </c>
      <c r="BA13" s="62">
        <f t="shared" si="5"/>
        <v>179</v>
      </c>
    </row>
    <row r="14" spans="1:53" s="16" customFormat="1" x14ac:dyDescent="0.2">
      <c r="A14" s="28" t="s">
        <v>70</v>
      </c>
      <c r="B14" s="21">
        <v>46132</v>
      </c>
      <c r="C14" s="54" t="s">
        <v>74</v>
      </c>
      <c r="D14" s="54"/>
      <c r="E14" s="29">
        <v>520</v>
      </c>
      <c r="F14" s="7">
        <f>2+4+4+4+1+5+13+8+7+4+7+14+2+18+1+21+16+40</f>
        <v>171</v>
      </c>
      <c r="G14" s="2">
        <v>50</v>
      </c>
      <c r="H14" s="7">
        <v>39</v>
      </c>
      <c r="I14" s="2">
        <f>F14+H14</f>
        <v>210</v>
      </c>
      <c r="J14" s="3">
        <f>I14/E14</f>
        <v>0.40384615384615385</v>
      </c>
      <c r="K14" s="2">
        <v>50</v>
      </c>
      <c r="L14" s="2">
        <v>50</v>
      </c>
      <c r="M14" s="2">
        <v>42</v>
      </c>
      <c r="N14" s="2"/>
      <c r="O14" s="74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1">
        <f t="shared" si="2"/>
        <v>142</v>
      </c>
      <c r="AY14" s="1">
        <f t="shared" si="3"/>
        <v>310</v>
      </c>
      <c r="AZ14" s="1" t="str">
        <f t="shared" si="4"/>
        <v>070-25</v>
      </c>
      <c r="BA14" s="62">
        <f t="shared" si="5"/>
        <v>168</v>
      </c>
    </row>
    <row r="15" spans="1:53" s="16" customFormat="1" x14ac:dyDescent="0.2">
      <c r="A15" s="28" t="s">
        <v>71</v>
      </c>
      <c r="B15" s="21">
        <v>46132</v>
      </c>
      <c r="C15" s="54" t="s">
        <v>75</v>
      </c>
      <c r="D15" s="54"/>
      <c r="E15" s="29">
        <v>520</v>
      </c>
      <c r="F15" s="7">
        <f>2+4+4+3+1+5+12+11+6+6+5+2+3+10+10+11+13+1+49+33</f>
        <v>191</v>
      </c>
      <c r="G15" s="2">
        <v>50</v>
      </c>
      <c r="H15" s="7">
        <v>52</v>
      </c>
      <c r="I15" s="2">
        <f>F15+H15</f>
        <v>243</v>
      </c>
      <c r="J15" s="3">
        <f>I15/E15</f>
        <v>0.46730769230769231</v>
      </c>
      <c r="K15" s="2">
        <v>50</v>
      </c>
      <c r="L15" s="2">
        <v>50</v>
      </c>
      <c r="M15" s="2">
        <v>51</v>
      </c>
      <c r="N15" s="2"/>
      <c r="O15" s="74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1">
        <f t="shared" si="2"/>
        <v>151</v>
      </c>
      <c r="AY15" s="1">
        <f t="shared" si="3"/>
        <v>277</v>
      </c>
      <c r="AZ15" s="1" t="str">
        <f t="shared" si="4"/>
        <v>071-25</v>
      </c>
      <c r="BA15" s="62">
        <f t="shared" si="5"/>
        <v>126</v>
      </c>
    </row>
    <row r="16" spans="1:53" s="16" customFormat="1" x14ac:dyDescent="0.2">
      <c r="A16" s="28" t="s">
        <v>81</v>
      </c>
      <c r="B16" s="21">
        <v>46071</v>
      </c>
      <c r="C16" s="54" t="s">
        <v>80</v>
      </c>
      <c r="D16" s="54"/>
      <c r="E16" s="29">
        <v>597</v>
      </c>
      <c r="F16" s="7">
        <f>11+57+12+3+64+22+6+2+10+5+13</f>
        <v>205</v>
      </c>
      <c r="G16" s="2">
        <v>80</v>
      </c>
      <c r="H16" s="7">
        <v>20</v>
      </c>
      <c r="I16" s="2">
        <f t="shared" ref="I16" si="10">F16+H16</f>
        <v>225</v>
      </c>
      <c r="J16" s="3">
        <f t="shared" ref="J16" si="11">I16/E16</f>
        <v>0.37688442211055279</v>
      </c>
      <c r="K16" s="2">
        <v>80</v>
      </c>
      <c r="L16" s="73"/>
      <c r="AX16" s="1">
        <f t="shared" si="2"/>
        <v>80</v>
      </c>
      <c r="AY16" s="1">
        <f t="shared" si="3"/>
        <v>372</v>
      </c>
      <c r="AZ16" s="1" t="str">
        <f t="shared" si="4"/>
        <v>083-25</v>
      </c>
      <c r="BA16" s="62">
        <f t="shared" si="5"/>
        <v>292</v>
      </c>
    </row>
    <row r="17" spans="1:53" s="16" customFormat="1" x14ac:dyDescent="0.2">
      <c r="A17" s="28" t="s">
        <v>63</v>
      </c>
      <c r="B17" s="21">
        <v>45988</v>
      </c>
      <c r="C17" s="54" t="s">
        <v>82</v>
      </c>
      <c r="D17" s="54"/>
      <c r="E17" s="29">
        <v>392</v>
      </c>
      <c r="F17" s="7">
        <f>43+97+52+18+49+108+61+35+21+28+2</f>
        <v>514</v>
      </c>
      <c r="G17" s="2"/>
      <c r="H17" s="7"/>
      <c r="I17" s="2">
        <f>F17+H17</f>
        <v>514</v>
      </c>
      <c r="J17" s="3">
        <f>I17/E17</f>
        <v>1.3112244897959184</v>
      </c>
      <c r="K17" s="2"/>
      <c r="M17" s="73"/>
      <c r="AX17" s="1">
        <f t="shared" si="2"/>
        <v>0</v>
      </c>
      <c r="AY17" s="1">
        <f t="shared" si="3"/>
        <v>-122</v>
      </c>
      <c r="AZ17" s="1" t="str">
        <f t="shared" si="4"/>
        <v>084-25</v>
      </c>
      <c r="BA17" s="68">
        <f t="shared" si="5"/>
        <v>-122</v>
      </c>
    </row>
    <row r="18" spans="1:53" s="16" customFormat="1" x14ac:dyDescent="0.2">
      <c r="A18" s="28" t="s">
        <v>88</v>
      </c>
      <c r="B18" s="21">
        <v>46069</v>
      </c>
      <c r="C18" s="54" t="s">
        <v>89</v>
      </c>
      <c r="D18" s="54"/>
      <c r="E18" s="29">
        <v>373</v>
      </c>
      <c r="F18" s="7">
        <f>27+26+1+9+10+1+19+17</f>
        <v>110</v>
      </c>
      <c r="G18" s="2">
        <v>80</v>
      </c>
      <c r="H18" s="7">
        <v>67</v>
      </c>
      <c r="I18" s="2">
        <f t="shared" ref="I18:I19" si="12">F18+H18</f>
        <v>177</v>
      </c>
      <c r="J18" s="3">
        <f t="shared" ref="J18:J19" si="13">I18/E18</f>
        <v>0.47453083109919569</v>
      </c>
      <c r="K18" s="8">
        <v>90</v>
      </c>
      <c r="L18" s="2">
        <v>75</v>
      </c>
      <c r="M18" s="8">
        <v>30</v>
      </c>
      <c r="N18" s="73"/>
      <c r="AX18" s="1">
        <f t="shared" si="2"/>
        <v>195</v>
      </c>
      <c r="AY18" s="1">
        <f t="shared" si="3"/>
        <v>196</v>
      </c>
      <c r="AZ18" s="1" t="str">
        <f t="shared" si="4"/>
        <v>092-25</v>
      </c>
      <c r="BA18" s="62">
        <f t="shared" si="5"/>
        <v>1</v>
      </c>
    </row>
    <row r="19" spans="1:53" s="16" customFormat="1" x14ac:dyDescent="0.2">
      <c r="A19" s="28" t="s">
        <v>88</v>
      </c>
      <c r="B19" s="21">
        <v>46069</v>
      </c>
      <c r="C19" s="54" t="s">
        <v>90</v>
      </c>
      <c r="D19" s="54"/>
      <c r="E19" s="29">
        <v>373</v>
      </c>
      <c r="F19" s="7">
        <f>24+31+1+16+8+1+13+9</f>
        <v>103</v>
      </c>
      <c r="G19" s="2">
        <v>80</v>
      </c>
      <c r="H19" s="7">
        <v>64</v>
      </c>
      <c r="I19" s="2">
        <f t="shared" si="12"/>
        <v>167</v>
      </c>
      <c r="J19" s="3">
        <f t="shared" si="13"/>
        <v>0.4477211796246649</v>
      </c>
      <c r="K19" s="8">
        <v>90</v>
      </c>
      <c r="L19" s="2">
        <v>75</v>
      </c>
      <c r="M19" s="8">
        <v>30</v>
      </c>
      <c r="N19" s="73"/>
      <c r="AX19" s="1">
        <f t="shared" si="2"/>
        <v>195</v>
      </c>
      <c r="AY19" s="1">
        <f t="shared" si="3"/>
        <v>206</v>
      </c>
      <c r="AZ19" s="1" t="str">
        <f t="shared" si="4"/>
        <v>093-25</v>
      </c>
      <c r="BA19" s="62">
        <f t="shared" si="5"/>
        <v>11</v>
      </c>
    </row>
    <row r="20" spans="1:53" s="16" customFormat="1" x14ac:dyDescent="0.2">
      <c r="A20" s="28" t="s">
        <v>95</v>
      </c>
      <c r="B20" s="21">
        <v>46038</v>
      </c>
      <c r="C20" s="54" t="s">
        <v>96</v>
      </c>
      <c r="D20" s="54"/>
      <c r="E20" s="29">
        <v>198</v>
      </c>
      <c r="F20" s="7"/>
      <c r="G20" s="2"/>
      <c r="H20" s="7"/>
      <c r="I20" s="2">
        <f t="shared" ref="I20" si="14">F20+H20</f>
        <v>0</v>
      </c>
      <c r="J20" s="3">
        <f t="shared" ref="J20" si="15">I20/E20</f>
        <v>0</v>
      </c>
      <c r="K20" s="2"/>
      <c r="L20" s="8">
        <v>75</v>
      </c>
      <c r="M20" s="2">
        <v>68</v>
      </c>
      <c r="N20" s="2">
        <v>55</v>
      </c>
      <c r="O20" s="73"/>
      <c r="AX20" s="1">
        <f t="shared" si="2"/>
        <v>198</v>
      </c>
      <c r="AY20" s="1">
        <f t="shared" si="3"/>
        <v>198</v>
      </c>
      <c r="AZ20" s="1" t="str">
        <f t="shared" si="4"/>
        <v>098-25</v>
      </c>
      <c r="BA20" s="4">
        <f t="shared" si="5"/>
        <v>0</v>
      </c>
    </row>
    <row r="21" spans="1:53" s="16" customFormat="1" x14ac:dyDescent="0.2">
      <c r="A21" s="28" t="s">
        <v>99</v>
      </c>
      <c r="B21" s="21">
        <v>46069</v>
      </c>
      <c r="C21" s="54" t="s">
        <v>98</v>
      </c>
      <c r="D21" s="54"/>
      <c r="E21" s="29">
        <v>162</v>
      </c>
      <c r="F21" s="7">
        <f>7+26+48+38</f>
        <v>119</v>
      </c>
      <c r="G21" s="2"/>
      <c r="H21" s="7">
        <v>14</v>
      </c>
      <c r="I21" s="2">
        <f t="shared" ref="I21" si="16">F21+H21</f>
        <v>133</v>
      </c>
      <c r="J21" s="3">
        <f t="shared" ref="J21" si="17">I21/E21</f>
        <v>0.82098765432098764</v>
      </c>
      <c r="K21" s="2"/>
      <c r="AX21" s="1">
        <f t="shared" si="2"/>
        <v>0</v>
      </c>
      <c r="AY21" s="1">
        <f t="shared" si="3"/>
        <v>29</v>
      </c>
      <c r="AZ21" s="1" t="str">
        <f t="shared" si="4"/>
        <v>099-25</v>
      </c>
      <c r="BA21" s="4">
        <f t="shared" si="5"/>
        <v>29</v>
      </c>
    </row>
    <row r="22" spans="1:53" s="16" customFormat="1" x14ac:dyDescent="0.2">
      <c r="A22" s="28" t="s">
        <v>101</v>
      </c>
      <c r="B22" s="21">
        <v>46121</v>
      </c>
      <c r="C22" s="54" t="s">
        <v>100</v>
      </c>
      <c r="D22" s="54"/>
      <c r="E22" s="29">
        <v>781</v>
      </c>
      <c r="F22" s="7">
        <f>6+22+6+15+12+8+28+8</f>
        <v>105</v>
      </c>
      <c r="G22" s="2">
        <v>40</v>
      </c>
      <c r="H22" s="7">
        <v>46</v>
      </c>
      <c r="I22" s="2">
        <f t="shared" ref="I22:I28" si="18">F22+H22</f>
        <v>151</v>
      </c>
      <c r="J22" s="3">
        <f t="shared" ref="J22:J28" si="19">I22/E22</f>
        <v>0.19334186939820744</v>
      </c>
      <c r="K22" s="2">
        <v>100</v>
      </c>
      <c r="L22" s="2">
        <v>120</v>
      </c>
      <c r="M22" s="2">
        <v>120</v>
      </c>
      <c r="N22" s="2">
        <v>120</v>
      </c>
      <c r="O22" s="2">
        <v>100</v>
      </c>
      <c r="P22" s="2">
        <v>76</v>
      </c>
      <c r="Q22" s="73"/>
      <c r="AX22" s="1">
        <f t="shared" si="2"/>
        <v>636</v>
      </c>
      <c r="AY22" s="1">
        <f t="shared" si="3"/>
        <v>630</v>
      </c>
      <c r="AZ22" s="1" t="str">
        <f t="shared" si="4"/>
        <v>101-25</v>
      </c>
      <c r="BA22" s="62">
        <f t="shared" si="5"/>
        <v>-6</v>
      </c>
    </row>
    <row r="23" spans="1:53" s="16" customFormat="1" x14ac:dyDescent="0.2">
      <c r="A23" s="28" t="s">
        <v>64</v>
      </c>
      <c r="B23" s="21">
        <v>46132</v>
      </c>
      <c r="C23" s="54" t="s">
        <v>109</v>
      </c>
      <c r="D23" s="54"/>
      <c r="E23" s="29">
        <v>99</v>
      </c>
      <c r="F23" s="7"/>
      <c r="G23" s="2"/>
      <c r="H23" s="7"/>
      <c r="I23" s="2">
        <f t="shared" si="18"/>
        <v>0</v>
      </c>
      <c r="J23" s="3">
        <f t="shared" si="19"/>
        <v>0</v>
      </c>
      <c r="K23" s="2">
        <v>20</v>
      </c>
      <c r="L23" s="2">
        <v>40</v>
      </c>
      <c r="M23" s="2">
        <v>24</v>
      </c>
      <c r="W23" s="73"/>
      <c r="AX23" s="1">
        <f t="shared" si="2"/>
        <v>84</v>
      </c>
      <c r="AY23" s="1">
        <f>E23-I23</f>
        <v>99</v>
      </c>
      <c r="AZ23" s="1" t="str">
        <f>C23</f>
        <v>109-25</v>
      </c>
      <c r="BA23" s="4">
        <f t="shared" si="5"/>
        <v>15</v>
      </c>
    </row>
    <row r="24" spans="1:53" s="16" customFormat="1" x14ac:dyDescent="0.2">
      <c r="A24" s="28" t="s">
        <v>64</v>
      </c>
      <c r="B24" s="21">
        <v>46132</v>
      </c>
      <c r="C24" s="54" t="s">
        <v>110</v>
      </c>
      <c r="D24" s="54"/>
      <c r="E24" s="29">
        <v>184</v>
      </c>
      <c r="F24" s="7"/>
      <c r="G24" s="2"/>
      <c r="H24" s="7"/>
      <c r="I24" s="2">
        <f t="shared" si="18"/>
        <v>0</v>
      </c>
      <c r="J24" s="3">
        <f t="shared" si="19"/>
        <v>0</v>
      </c>
      <c r="K24" s="2">
        <v>50</v>
      </c>
      <c r="L24" s="2">
        <v>50</v>
      </c>
      <c r="M24" s="2">
        <v>50</v>
      </c>
      <c r="N24" s="2">
        <v>6</v>
      </c>
      <c r="W24" s="73"/>
      <c r="AX24" s="1">
        <f t="shared" si="2"/>
        <v>156</v>
      </c>
      <c r="AY24" s="1">
        <f>E24-I24</f>
        <v>184</v>
      </c>
      <c r="AZ24" s="1" t="str">
        <f>C24</f>
        <v>110-25</v>
      </c>
      <c r="BA24" s="4">
        <f t="shared" si="5"/>
        <v>28</v>
      </c>
    </row>
    <row r="25" spans="1:53" s="16" customFormat="1" x14ac:dyDescent="0.2">
      <c r="A25" s="28" t="s">
        <v>64</v>
      </c>
      <c r="B25" s="21">
        <v>46132</v>
      </c>
      <c r="C25" s="54" t="s">
        <v>111</v>
      </c>
      <c r="D25" s="54"/>
      <c r="E25" s="29">
        <v>180</v>
      </c>
      <c r="F25" s="7"/>
      <c r="G25" s="2"/>
      <c r="H25" s="7"/>
      <c r="I25" s="2">
        <f t="shared" si="18"/>
        <v>0</v>
      </c>
      <c r="J25" s="3">
        <f t="shared" si="19"/>
        <v>0</v>
      </c>
      <c r="K25" s="2">
        <v>50</v>
      </c>
      <c r="L25" s="2">
        <v>50</v>
      </c>
      <c r="M25" s="2">
        <v>50</v>
      </c>
      <c r="N25" s="2">
        <v>3</v>
      </c>
      <c r="W25" s="73"/>
      <c r="AX25" s="1">
        <f t="shared" si="2"/>
        <v>153</v>
      </c>
      <c r="AY25" s="1">
        <f>E25-I25</f>
        <v>180</v>
      </c>
      <c r="AZ25" s="1" t="str">
        <f>C25</f>
        <v>111-25</v>
      </c>
      <c r="BA25" s="4">
        <f t="shared" si="5"/>
        <v>27</v>
      </c>
    </row>
    <row r="26" spans="1:53" s="16" customFormat="1" x14ac:dyDescent="0.2">
      <c r="A26" s="28" t="s">
        <v>64</v>
      </c>
      <c r="B26" s="21">
        <v>46132</v>
      </c>
      <c r="C26" s="54" t="s">
        <v>113</v>
      </c>
      <c r="D26" s="54"/>
      <c r="E26" s="29">
        <v>189</v>
      </c>
      <c r="F26" s="7"/>
      <c r="G26" s="2"/>
      <c r="H26" s="7"/>
      <c r="I26" s="2">
        <f t="shared" si="18"/>
        <v>0</v>
      </c>
      <c r="J26" s="3">
        <f t="shared" si="19"/>
        <v>0</v>
      </c>
      <c r="K26" s="2">
        <v>50</v>
      </c>
      <c r="L26" s="2">
        <v>50</v>
      </c>
      <c r="M26" s="2">
        <v>50</v>
      </c>
      <c r="N26" s="2">
        <v>11</v>
      </c>
      <c r="AX26" s="1">
        <f t="shared" si="2"/>
        <v>161</v>
      </c>
      <c r="AY26" s="1">
        <f>E26-I26</f>
        <v>189</v>
      </c>
      <c r="AZ26" s="1" t="str">
        <f>C26</f>
        <v>113-25</v>
      </c>
      <c r="BA26" s="4">
        <f t="shared" si="5"/>
        <v>28</v>
      </c>
    </row>
    <row r="27" spans="1:53" s="16" customFormat="1" x14ac:dyDescent="0.2">
      <c r="A27" s="28" t="s">
        <v>115</v>
      </c>
      <c r="B27" s="21">
        <v>46149</v>
      </c>
      <c r="C27" s="54" t="s">
        <v>118</v>
      </c>
      <c r="D27" s="54"/>
      <c r="E27" s="29">
        <v>526</v>
      </c>
      <c r="F27" s="7">
        <f>100+99+96</f>
        <v>295</v>
      </c>
      <c r="G27" s="2">
        <v>100</v>
      </c>
      <c r="H27" s="7">
        <v>114</v>
      </c>
      <c r="I27" s="2">
        <f t="shared" si="18"/>
        <v>409</v>
      </c>
      <c r="J27" s="3">
        <f t="shared" si="19"/>
        <v>0.77756653992395441</v>
      </c>
      <c r="K27" s="2">
        <v>100</v>
      </c>
      <c r="L27" s="2">
        <v>17</v>
      </c>
      <c r="M27" s="74"/>
      <c r="AX27" s="1">
        <f t="shared" si="2"/>
        <v>117</v>
      </c>
      <c r="AY27" s="1">
        <f t="shared" si="3"/>
        <v>117</v>
      </c>
      <c r="AZ27" s="1" t="str">
        <f t="shared" si="4"/>
        <v>117-25</v>
      </c>
      <c r="BA27" s="4">
        <f t="shared" si="5"/>
        <v>0</v>
      </c>
    </row>
    <row r="28" spans="1:53" s="16" customFormat="1" x14ac:dyDescent="0.2">
      <c r="A28" s="28" t="s">
        <v>115</v>
      </c>
      <c r="B28" s="21">
        <v>46149</v>
      </c>
      <c r="C28" s="54" t="s">
        <v>119</v>
      </c>
      <c r="D28" s="54"/>
      <c r="E28" s="29">
        <v>526</v>
      </c>
      <c r="F28" s="7">
        <f>14+103</f>
        <v>117</v>
      </c>
      <c r="G28" s="2">
        <v>30</v>
      </c>
      <c r="H28" s="7">
        <v>119</v>
      </c>
      <c r="I28" s="2">
        <f t="shared" si="18"/>
        <v>236</v>
      </c>
      <c r="J28" s="3">
        <f t="shared" si="19"/>
        <v>0.44866920152091255</v>
      </c>
      <c r="K28" s="2">
        <v>40</v>
      </c>
      <c r="L28" s="2">
        <v>50</v>
      </c>
      <c r="M28" s="2">
        <v>50</v>
      </c>
      <c r="N28" s="2">
        <v>50</v>
      </c>
      <c r="O28" s="2">
        <v>50</v>
      </c>
      <c r="P28" s="2">
        <v>50</v>
      </c>
      <c r="Q28" s="73"/>
      <c r="AX28" s="1">
        <f t="shared" si="2"/>
        <v>290</v>
      </c>
      <c r="AY28" s="1">
        <f t="shared" si="3"/>
        <v>290</v>
      </c>
      <c r="AZ28" s="1" t="str">
        <f t="shared" si="4"/>
        <v>118-25</v>
      </c>
      <c r="BA28" s="4">
        <f t="shared" si="5"/>
        <v>0</v>
      </c>
    </row>
    <row r="29" spans="1:53" s="16" customFormat="1" x14ac:dyDescent="0.2">
      <c r="A29" s="67" t="s">
        <v>154</v>
      </c>
      <c r="B29" s="69"/>
      <c r="C29" s="70"/>
      <c r="D29" s="54"/>
      <c r="E29" s="71">
        <v>2240</v>
      </c>
      <c r="F29" s="7">
        <f>60+137+292+492+229+417+382</f>
        <v>2009</v>
      </c>
      <c r="G29" s="8">
        <v>50</v>
      </c>
      <c r="H29" s="7">
        <v>16</v>
      </c>
      <c r="I29" s="2">
        <f t="shared" ref="I29" si="20">F29+H29</f>
        <v>2025</v>
      </c>
      <c r="J29" s="3">
        <f t="shared" ref="J29" si="21">I29/E29</f>
        <v>0.9040178571428571</v>
      </c>
      <c r="K29" s="8">
        <v>300</v>
      </c>
      <c r="L29" s="8">
        <v>300</v>
      </c>
      <c r="M29" s="8">
        <v>300</v>
      </c>
      <c r="N29" s="8">
        <v>300</v>
      </c>
      <c r="O29" s="8">
        <v>300</v>
      </c>
      <c r="P29" s="8">
        <v>300</v>
      </c>
      <c r="Q29" s="8">
        <v>300</v>
      </c>
      <c r="R29" s="8">
        <v>300</v>
      </c>
      <c r="S29" s="8">
        <v>300</v>
      </c>
      <c r="T29" s="8">
        <v>300</v>
      </c>
      <c r="U29" s="8">
        <v>300</v>
      </c>
      <c r="V29" s="8">
        <v>300</v>
      </c>
      <c r="W29" s="8">
        <v>300</v>
      </c>
      <c r="X29" s="8">
        <v>300</v>
      </c>
      <c r="Y29" s="8">
        <v>300</v>
      </c>
      <c r="Z29" s="8">
        <v>300</v>
      </c>
      <c r="AA29" s="8">
        <v>300</v>
      </c>
      <c r="AB29" s="8">
        <v>300</v>
      </c>
      <c r="AC29" s="8">
        <v>300</v>
      </c>
      <c r="AD29" s="8">
        <v>300</v>
      </c>
      <c r="AE29" s="8">
        <v>300</v>
      </c>
      <c r="AF29" s="8">
        <v>300</v>
      </c>
      <c r="AG29" s="8">
        <v>300</v>
      </c>
      <c r="AH29" s="8">
        <v>300</v>
      </c>
      <c r="AI29" s="8">
        <v>300</v>
      </c>
      <c r="AJ29" s="8">
        <v>300</v>
      </c>
      <c r="AK29" s="8">
        <v>300</v>
      </c>
      <c r="AL29" s="8">
        <v>300</v>
      </c>
      <c r="AM29" s="8">
        <v>300</v>
      </c>
      <c r="AN29" s="8">
        <v>300</v>
      </c>
      <c r="AO29" s="8">
        <v>300</v>
      </c>
      <c r="AP29" s="8">
        <v>300</v>
      </c>
      <c r="AQ29" s="8">
        <v>300</v>
      </c>
      <c r="AR29" s="8">
        <v>300</v>
      </c>
      <c r="AS29" s="8">
        <v>300</v>
      </c>
      <c r="AT29" s="8">
        <v>300</v>
      </c>
      <c r="AU29" s="8">
        <v>300</v>
      </c>
      <c r="AV29" s="8">
        <v>150</v>
      </c>
      <c r="AW29" s="8"/>
      <c r="AX29" s="1">
        <f t="shared" si="2"/>
        <v>11250</v>
      </c>
      <c r="AY29" s="1">
        <f t="shared" si="3"/>
        <v>215</v>
      </c>
      <c r="AZ29" s="1">
        <f t="shared" si="4"/>
        <v>0</v>
      </c>
      <c r="BA29" s="4">
        <f t="shared" si="5"/>
        <v>-11035</v>
      </c>
    </row>
    <row r="30" spans="1:53" ht="9" customHeight="1" x14ac:dyDescent="0.2">
      <c r="A30" s="16" t="s">
        <v>32</v>
      </c>
      <c r="B30" s="21"/>
      <c r="C30" s="29"/>
      <c r="D30" s="29"/>
      <c r="E30" s="8"/>
      <c r="F30" s="53"/>
      <c r="H30" s="53"/>
      <c r="I30" s="2">
        <f t="shared" ref="I30" si="22">F30+H30</f>
        <v>0</v>
      </c>
      <c r="J30" s="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1">
        <f t="shared" si="2"/>
        <v>0</v>
      </c>
      <c r="AY30" s="6">
        <f t="shared" si="3"/>
        <v>0</v>
      </c>
      <c r="AZ30" s="6">
        <f>E30-I30</f>
        <v>0</v>
      </c>
      <c r="BA30" s="4">
        <f t="shared" si="5"/>
        <v>0</v>
      </c>
    </row>
    <row r="31" spans="1:53" x14ac:dyDescent="0.2">
      <c r="A31" s="36"/>
      <c r="B31" s="37"/>
      <c r="C31" s="38"/>
      <c r="D31" s="38"/>
      <c r="E31" s="38"/>
      <c r="F31" s="2" t="s">
        <v>8</v>
      </c>
      <c r="G31" s="11">
        <f>SUM(G6:G30)</f>
        <v>805</v>
      </c>
      <c r="H31" s="11">
        <f>SUM(H7:H30)</f>
        <v>739</v>
      </c>
      <c r="I31" s="2">
        <f>SUM(I7:I30)</f>
        <v>6352</v>
      </c>
      <c r="J31" s="2" t="s">
        <v>13</v>
      </c>
      <c r="K31" s="11">
        <f t="shared" ref="K31:AW31" si="23">SUM(K6:K30)</f>
        <v>1250</v>
      </c>
      <c r="L31" s="11">
        <f t="shared" si="23"/>
        <v>1146</v>
      </c>
      <c r="M31" s="11">
        <f t="shared" si="23"/>
        <v>935</v>
      </c>
      <c r="N31" s="11">
        <f t="shared" si="23"/>
        <v>615</v>
      </c>
      <c r="O31" s="11">
        <f t="shared" si="23"/>
        <v>510</v>
      </c>
      <c r="P31" s="11">
        <f t="shared" si="23"/>
        <v>486</v>
      </c>
      <c r="Q31" s="11">
        <f t="shared" si="23"/>
        <v>350</v>
      </c>
      <c r="R31" s="11">
        <f t="shared" si="23"/>
        <v>395</v>
      </c>
      <c r="S31" s="11">
        <f t="shared" si="23"/>
        <v>323</v>
      </c>
      <c r="T31" s="11">
        <f t="shared" si="23"/>
        <v>300</v>
      </c>
      <c r="U31" s="11">
        <f t="shared" si="23"/>
        <v>300</v>
      </c>
      <c r="V31" s="11">
        <f t="shared" si="23"/>
        <v>300</v>
      </c>
      <c r="W31" s="11">
        <f t="shared" si="23"/>
        <v>300</v>
      </c>
      <c r="X31" s="11">
        <f t="shared" si="23"/>
        <v>300</v>
      </c>
      <c r="Y31" s="11">
        <f t="shared" si="23"/>
        <v>300</v>
      </c>
      <c r="Z31" s="11">
        <f t="shared" si="23"/>
        <v>300</v>
      </c>
      <c r="AA31" s="11">
        <f t="shared" si="23"/>
        <v>300</v>
      </c>
      <c r="AB31" s="11">
        <f t="shared" si="23"/>
        <v>300</v>
      </c>
      <c r="AC31" s="11">
        <f t="shared" si="23"/>
        <v>300</v>
      </c>
      <c r="AD31" s="11">
        <f t="shared" si="23"/>
        <v>300</v>
      </c>
      <c r="AE31" s="11">
        <f t="shared" si="23"/>
        <v>300</v>
      </c>
      <c r="AF31" s="11">
        <f t="shared" si="23"/>
        <v>300</v>
      </c>
      <c r="AG31" s="11">
        <f t="shared" si="23"/>
        <v>300</v>
      </c>
      <c r="AH31" s="11">
        <f t="shared" si="23"/>
        <v>300</v>
      </c>
      <c r="AI31" s="11">
        <f t="shared" si="23"/>
        <v>300</v>
      </c>
      <c r="AJ31" s="11">
        <f t="shared" si="23"/>
        <v>300</v>
      </c>
      <c r="AK31" s="11">
        <f t="shared" si="23"/>
        <v>300</v>
      </c>
      <c r="AL31" s="11">
        <f t="shared" si="23"/>
        <v>300</v>
      </c>
      <c r="AM31" s="11">
        <f t="shared" si="23"/>
        <v>300</v>
      </c>
      <c r="AN31" s="11">
        <f t="shared" si="23"/>
        <v>300</v>
      </c>
      <c r="AO31" s="11">
        <f t="shared" si="23"/>
        <v>300</v>
      </c>
      <c r="AP31" s="11">
        <f t="shared" si="23"/>
        <v>300</v>
      </c>
      <c r="AQ31" s="11">
        <f t="shared" si="23"/>
        <v>300</v>
      </c>
      <c r="AR31" s="11">
        <f t="shared" si="23"/>
        <v>300</v>
      </c>
      <c r="AS31" s="11">
        <f t="shared" si="23"/>
        <v>300</v>
      </c>
      <c r="AT31" s="11">
        <f t="shared" si="23"/>
        <v>300</v>
      </c>
      <c r="AU31" s="11">
        <f t="shared" si="23"/>
        <v>300</v>
      </c>
      <c r="AV31" s="11">
        <f t="shared" si="23"/>
        <v>150</v>
      </c>
      <c r="AW31" s="11">
        <f t="shared" si="23"/>
        <v>0</v>
      </c>
      <c r="AX31" s="11">
        <f>SUM(AX7:AX30)</f>
        <v>14396</v>
      </c>
      <c r="AY31" s="6"/>
      <c r="AZ31" s="6"/>
    </row>
    <row r="32" spans="1:53" s="9" customFormat="1" x14ac:dyDescent="0.2">
      <c r="A32" s="36"/>
      <c r="B32" s="37"/>
      <c r="C32" s="38"/>
      <c r="D32" s="38"/>
      <c r="E32" s="38"/>
      <c r="F32" s="9" t="s">
        <v>20</v>
      </c>
      <c r="G32" s="12">
        <f>((G31)/(G4*G3))</f>
        <v>0.66528925619834711</v>
      </c>
      <c r="H32" s="12">
        <f>((H31)/(H4*H3))</f>
        <v>0.55984848484848482</v>
      </c>
      <c r="J32" s="9" t="s">
        <v>20</v>
      </c>
      <c r="K32" s="12">
        <f t="shared" ref="K32:AW32" si="24">((K31)/(K4*K3))</f>
        <v>1.0330578512396693</v>
      </c>
      <c r="L32" s="12">
        <f t="shared" si="24"/>
        <v>0.77171717171717169</v>
      </c>
      <c r="M32" s="12">
        <f t="shared" si="24"/>
        <v>0.62962962962962965</v>
      </c>
      <c r="N32" s="12">
        <f t="shared" si="24"/>
        <v>0.41414141414141414</v>
      </c>
      <c r="O32" s="12">
        <f t="shared" si="24"/>
        <v>0.34343434343434343</v>
      </c>
      <c r="P32" s="12">
        <f t="shared" si="24"/>
        <v>0.32727272727272727</v>
      </c>
      <c r="Q32" s="12">
        <f t="shared" si="24"/>
        <v>0.2356902356902357</v>
      </c>
      <c r="R32" s="12">
        <f t="shared" si="24"/>
        <v>0.265993265993266</v>
      </c>
      <c r="S32" s="12">
        <f t="shared" si="24"/>
        <v>0.29907407407407405</v>
      </c>
      <c r="T32" s="12">
        <f t="shared" si="24"/>
        <v>0.20202020202020202</v>
      </c>
      <c r="U32" s="12">
        <f t="shared" si="24"/>
        <v>0.20202020202020202</v>
      </c>
      <c r="V32" s="12">
        <f t="shared" si="24"/>
        <v>0.20202020202020202</v>
      </c>
      <c r="W32" s="12">
        <f t="shared" si="24"/>
        <v>0.20202020202020202</v>
      </c>
      <c r="X32" s="12">
        <f t="shared" si="24"/>
        <v>0.20202020202020202</v>
      </c>
      <c r="Y32" s="12">
        <f t="shared" si="24"/>
        <v>0.27777777777777779</v>
      </c>
      <c r="Z32" s="12">
        <f t="shared" si="24"/>
        <v>0.20202020202020202</v>
      </c>
      <c r="AA32" s="12">
        <f t="shared" si="24"/>
        <v>0.20202020202020202</v>
      </c>
      <c r="AB32" s="12">
        <f t="shared" si="24"/>
        <v>0.20202020202020202</v>
      </c>
      <c r="AC32" s="12">
        <f t="shared" si="24"/>
        <v>0.20202020202020202</v>
      </c>
      <c r="AD32" s="12">
        <f t="shared" si="24"/>
        <v>0.20202020202020202</v>
      </c>
      <c r="AE32" s="12">
        <f t="shared" si="24"/>
        <v>0.20202020202020202</v>
      </c>
      <c r="AF32" s="12">
        <f t="shared" si="24"/>
        <v>0.20202020202020202</v>
      </c>
      <c r="AG32" s="12">
        <f t="shared" si="24"/>
        <v>0.20202020202020202</v>
      </c>
      <c r="AH32" s="12">
        <f t="shared" si="24"/>
        <v>0.27777777777777779</v>
      </c>
      <c r="AI32" s="12">
        <f t="shared" si="24"/>
        <v>0.20202020202020202</v>
      </c>
      <c r="AJ32" s="12">
        <f t="shared" si="24"/>
        <v>0.20202020202020202</v>
      </c>
      <c r="AK32" s="12">
        <f t="shared" si="24"/>
        <v>0.20202020202020202</v>
      </c>
      <c r="AL32" s="12">
        <f t="shared" si="24"/>
        <v>0.20202020202020202</v>
      </c>
      <c r="AM32" s="12">
        <f t="shared" si="24"/>
        <v>0.20202020202020202</v>
      </c>
      <c r="AN32" s="12">
        <f t="shared" si="24"/>
        <v>0.20202020202020202</v>
      </c>
      <c r="AO32" s="12">
        <f t="shared" si="24"/>
        <v>0.20202020202020202</v>
      </c>
      <c r="AP32" s="12">
        <f t="shared" si="24"/>
        <v>0.20202020202020202</v>
      </c>
      <c r="AQ32" s="12">
        <f t="shared" si="24"/>
        <v>0.20202020202020202</v>
      </c>
      <c r="AR32" s="12">
        <f t="shared" si="24"/>
        <v>0.20202020202020202</v>
      </c>
      <c r="AS32" s="12">
        <f t="shared" si="24"/>
        <v>0.27777777777777779</v>
      </c>
      <c r="AT32" s="12">
        <f t="shared" si="24"/>
        <v>0.20202020202020202</v>
      </c>
      <c r="AU32" s="12">
        <f t="shared" si="24"/>
        <v>0.20202020202020202</v>
      </c>
      <c r="AV32" s="12">
        <f t="shared" si="24"/>
        <v>0.10101010101010101</v>
      </c>
      <c r="AW32" s="12">
        <f t="shared" si="24"/>
        <v>0</v>
      </c>
      <c r="AX32" s="6"/>
      <c r="AY32" s="6"/>
      <c r="AZ32" s="6"/>
      <c r="BA32" s="4"/>
    </row>
    <row r="33" spans="1:54" x14ac:dyDescent="0.2">
      <c r="A33" s="36"/>
      <c r="B33" s="37"/>
      <c r="C33" s="38"/>
      <c r="D33" s="38"/>
      <c r="E33" s="38"/>
      <c r="F33" s="2" t="s">
        <v>2</v>
      </c>
      <c r="G33" s="22">
        <f>(G3*G4)-(G31)</f>
        <v>405</v>
      </c>
      <c r="H33" s="22">
        <f>(H3*H4)-(H31)</f>
        <v>581</v>
      </c>
      <c r="J33" s="2" t="s">
        <v>2</v>
      </c>
      <c r="K33" s="22">
        <f t="shared" ref="K33:AW33" si="25">(K3*K4)-(K31)</f>
        <v>-40</v>
      </c>
      <c r="L33" s="22">
        <f t="shared" si="25"/>
        <v>339</v>
      </c>
      <c r="M33" s="22">
        <f t="shared" si="25"/>
        <v>550</v>
      </c>
      <c r="N33" s="22">
        <f t="shared" si="25"/>
        <v>870</v>
      </c>
      <c r="O33" s="22">
        <f t="shared" si="25"/>
        <v>975</v>
      </c>
      <c r="P33" s="22">
        <f t="shared" si="25"/>
        <v>999</v>
      </c>
      <c r="Q33" s="22">
        <f t="shared" si="25"/>
        <v>1135</v>
      </c>
      <c r="R33" s="22">
        <f t="shared" si="25"/>
        <v>1090</v>
      </c>
      <c r="S33" s="22">
        <f t="shared" si="25"/>
        <v>757</v>
      </c>
      <c r="T33" s="22">
        <f t="shared" si="25"/>
        <v>1185</v>
      </c>
      <c r="U33" s="22">
        <f t="shared" si="25"/>
        <v>1185</v>
      </c>
      <c r="V33" s="22">
        <f t="shared" si="25"/>
        <v>1185</v>
      </c>
      <c r="W33" s="22">
        <f t="shared" si="25"/>
        <v>1185</v>
      </c>
      <c r="X33" s="22">
        <f t="shared" si="25"/>
        <v>1185</v>
      </c>
      <c r="Y33" s="22">
        <f t="shared" si="25"/>
        <v>780</v>
      </c>
      <c r="Z33" s="22">
        <f t="shared" si="25"/>
        <v>1185</v>
      </c>
      <c r="AA33" s="22">
        <f t="shared" si="25"/>
        <v>1185</v>
      </c>
      <c r="AB33" s="22">
        <f t="shared" si="25"/>
        <v>1185</v>
      </c>
      <c r="AC33" s="22">
        <f t="shared" si="25"/>
        <v>1185</v>
      </c>
      <c r="AD33" s="22">
        <f t="shared" si="25"/>
        <v>1185</v>
      </c>
      <c r="AE33" s="22">
        <f t="shared" si="25"/>
        <v>1185</v>
      </c>
      <c r="AF33" s="22">
        <f t="shared" si="25"/>
        <v>1185</v>
      </c>
      <c r="AG33" s="22">
        <f t="shared" si="25"/>
        <v>1185</v>
      </c>
      <c r="AH33" s="22">
        <f t="shared" si="25"/>
        <v>780</v>
      </c>
      <c r="AI33" s="22">
        <f t="shared" si="25"/>
        <v>1185</v>
      </c>
      <c r="AJ33" s="22">
        <f t="shared" si="25"/>
        <v>1185</v>
      </c>
      <c r="AK33" s="22">
        <f t="shared" si="25"/>
        <v>1185</v>
      </c>
      <c r="AL33" s="22">
        <f t="shared" si="25"/>
        <v>1185</v>
      </c>
      <c r="AM33" s="22">
        <f t="shared" si="25"/>
        <v>1185</v>
      </c>
      <c r="AN33" s="22">
        <f t="shared" si="25"/>
        <v>1185</v>
      </c>
      <c r="AO33" s="22">
        <f t="shared" si="25"/>
        <v>1185</v>
      </c>
      <c r="AP33" s="22">
        <f t="shared" si="25"/>
        <v>1185</v>
      </c>
      <c r="AQ33" s="22">
        <f t="shared" si="25"/>
        <v>1185</v>
      </c>
      <c r="AR33" s="22">
        <f t="shared" si="25"/>
        <v>1185</v>
      </c>
      <c r="AS33" s="22">
        <f t="shared" si="25"/>
        <v>780</v>
      </c>
      <c r="AT33" s="22">
        <f t="shared" si="25"/>
        <v>1185</v>
      </c>
      <c r="AU33" s="22">
        <f t="shared" si="25"/>
        <v>1185</v>
      </c>
      <c r="AV33" s="22">
        <f t="shared" si="25"/>
        <v>1335</v>
      </c>
      <c r="AW33" s="22">
        <f t="shared" si="25"/>
        <v>1080</v>
      </c>
      <c r="AX33" s="6"/>
      <c r="AY33" s="6"/>
      <c r="AZ33" s="6"/>
    </row>
    <row r="34" spans="1:54" s="11" customFormat="1" x14ac:dyDescent="0.2">
      <c r="A34" s="36"/>
      <c r="B34" s="37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9"/>
    </row>
    <row r="35" spans="1:54" s="19" customFormat="1" ht="9" customHeight="1" x14ac:dyDescent="0.2">
      <c r="A35" s="16"/>
      <c r="B35" s="5" t="s">
        <v>0</v>
      </c>
      <c r="C35" s="5" t="s">
        <v>1</v>
      </c>
      <c r="D35" s="5"/>
      <c r="E35" s="5" t="s">
        <v>4</v>
      </c>
      <c r="F35" s="29" t="s">
        <v>5</v>
      </c>
      <c r="G35" s="29" t="s">
        <v>18</v>
      </c>
      <c r="H35" s="29" t="s">
        <v>19</v>
      </c>
      <c r="I35" s="19" t="s">
        <v>6</v>
      </c>
      <c r="J35" s="19" t="s">
        <v>7</v>
      </c>
      <c r="K35" s="5">
        <v>46111</v>
      </c>
      <c r="L35" s="5">
        <v>46118</v>
      </c>
      <c r="M35" s="5">
        <v>46125</v>
      </c>
      <c r="N35" s="5">
        <v>46132</v>
      </c>
      <c r="O35" s="5">
        <v>46139</v>
      </c>
      <c r="P35" s="5">
        <v>46146</v>
      </c>
      <c r="Q35" s="5">
        <v>46153</v>
      </c>
      <c r="R35" s="5">
        <v>46160</v>
      </c>
      <c r="S35" s="5">
        <v>46167</v>
      </c>
      <c r="T35" s="5">
        <v>46174</v>
      </c>
      <c r="U35" s="5">
        <v>46181</v>
      </c>
      <c r="V35" s="5">
        <v>46188</v>
      </c>
      <c r="W35" s="5">
        <v>46195</v>
      </c>
      <c r="X35" s="5">
        <v>46202</v>
      </c>
      <c r="Y35" s="5">
        <v>46209</v>
      </c>
      <c r="Z35" s="5">
        <v>46216</v>
      </c>
      <c r="AA35" s="5">
        <v>46223</v>
      </c>
      <c r="AB35" s="5">
        <v>46230</v>
      </c>
      <c r="AC35" s="5">
        <v>46237</v>
      </c>
      <c r="AD35" s="5">
        <v>46244</v>
      </c>
      <c r="AE35" s="5">
        <v>46251</v>
      </c>
      <c r="AF35" s="5">
        <v>46258</v>
      </c>
      <c r="AG35" s="5">
        <v>46265</v>
      </c>
      <c r="AH35" s="5">
        <v>46272</v>
      </c>
      <c r="AI35" s="5">
        <v>46279</v>
      </c>
      <c r="AJ35" s="5">
        <v>46286</v>
      </c>
      <c r="AK35" s="5">
        <v>46293</v>
      </c>
      <c r="AL35" s="5">
        <v>46300</v>
      </c>
      <c r="AM35" s="5">
        <v>46307</v>
      </c>
      <c r="AN35" s="5">
        <v>46314</v>
      </c>
      <c r="AO35" s="5">
        <v>46321</v>
      </c>
      <c r="AP35" s="5">
        <v>46328</v>
      </c>
      <c r="AQ35" s="5">
        <v>46335</v>
      </c>
      <c r="AR35" s="5">
        <v>46342</v>
      </c>
      <c r="AS35" s="5">
        <v>46349</v>
      </c>
      <c r="AT35" s="5">
        <v>46356</v>
      </c>
      <c r="AU35" s="5">
        <v>46363</v>
      </c>
      <c r="AV35" s="5">
        <v>46370</v>
      </c>
      <c r="AW35" s="5">
        <v>46377</v>
      </c>
      <c r="AX35" s="5" t="s">
        <v>17</v>
      </c>
      <c r="AY35" s="5" t="s">
        <v>2</v>
      </c>
      <c r="AZ35" s="5" t="s">
        <v>1</v>
      </c>
      <c r="BA35" s="4"/>
    </row>
    <row r="36" spans="1:54" s="16" customFormat="1" x14ac:dyDescent="0.2">
      <c r="A36" s="28" t="s">
        <v>64</v>
      </c>
      <c r="B36" s="21">
        <v>46132</v>
      </c>
      <c r="C36" s="54" t="s">
        <v>102</v>
      </c>
      <c r="D36" s="54"/>
      <c r="E36" s="29">
        <v>290</v>
      </c>
      <c r="F36" s="7"/>
      <c r="G36" s="2"/>
      <c r="H36" s="7"/>
      <c r="I36" s="2">
        <f t="shared" ref="I36:I42" si="26">F36+H36</f>
        <v>0</v>
      </c>
      <c r="J36" s="3">
        <f t="shared" ref="J36:J42" si="27">I36/E36</f>
        <v>0</v>
      </c>
      <c r="M36" s="2">
        <v>50</v>
      </c>
      <c r="N36" s="2">
        <v>50</v>
      </c>
      <c r="O36" s="2">
        <v>50</v>
      </c>
      <c r="P36" s="2">
        <v>50</v>
      </c>
      <c r="Q36" s="2">
        <v>46</v>
      </c>
      <c r="W36" s="73"/>
      <c r="AX36" s="1">
        <f>SUM(M36:AW36)</f>
        <v>246</v>
      </c>
      <c r="AY36" s="1">
        <f t="shared" ref="AY36:AY65" si="28">E36-I36</f>
        <v>290</v>
      </c>
      <c r="AZ36" s="1" t="str">
        <f t="shared" ref="AZ36:AZ65" si="29">C36</f>
        <v>102-25</v>
      </c>
      <c r="BA36" s="4">
        <f t="shared" ref="BA36:BA70" si="30">E36-I36-AX36</f>
        <v>44</v>
      </c>
    </row>
    <row r="37" spans="1:54" s="16" customFormat="1" x14ac:dyDescent="0.2">
      <c r="A37" s="28" t="s">
        <v>64</v>
      </c>
      <c r="B37" s="21">
        <v>46132</v>
      </c>
      <c r="C37" s="54" t="s">
        <v>103</v>
      </c>
      <c r="D37" s="54"/>
      <c r="E37" s="29">
        <v>322</v>
      </c>
      <c r="F37" s="7"/>
      <c r="G37" s="2"/>
      <c r="H37" s="7"/>
      <c r="I37" s="2">
        <f t="shared" si="26"/>
        <v>0</v>
      </c>
      <c r="J37" s="3">
        <f t="shared" si="27"/>
        <v>0</v>
      </c>
      <c r="N37" s="2">
        <v>50</v>
      </c>
      <c r="O37" s="2">
        <v>50</v>
      </c>
      <c r="P37" s="2">
        <v>50</v>
      </c>
      <c r="Q37" s="2">
        <v>50</v>
      </c>
      <c r="R37" s="2">
        <v>74</v>
      </c>
      <c r="AX37" s="1">
        <f>SUM(K37:AW37)</f>
        <v>274</v>
      </c>
      <c r="AY37" s="1">
        <f t="shared" si="28"/>
        <v>322</v>
      </c>
      <c r="AZ37" s="1" t="str">
        <f t="shared" si="29"/>
        <v>103-25</v>
      </c>
      <c r="BA37" s="4">
        <f t="shared" si="30"/>
        <v>48</v>
      </c>
    </row>
    <row r="38" spans="1:54" s="16" customFormat="1" x14ac:dyDescent="0.2">
      <c r="A38" s="28" t="s">
        <v>64</v>
      </c>
      <c r="B38" s="21">
        <v>46132</v>
      </c>
      <c r="C38" s="54" t="s">
        <v>104</v>
      </c>
      <c r="D38" s="54"/>
      <c r="E38" s="29">
        <v>316</v>
      </c>
      <c r="F38" s="7"/>
      <c r="G38" s="2"/>
      <c r="H38" s="7"/>
      <c r="I38" s="2">
        <f t="shared" si="26"/>
        <v>0</v>
      </c>
      <c r="J38" s="3">
        <f t="shared" si="27"/>
        <v>0</v>
      </c>
      <c r="M38" s="2">
        <v>50</v>
      </c>
      <c r="N38" s="2">
        <v>50</v>
      </c>
      <c r="O38" s="2">
        <v>50</v>
      </c>
      <c r="P38" s="2">
        <v>50</v>
      </c>
      <c r="Q38" s="2">
        <v>69</v>
      </c>
      <c r="W38" s="73"/>
      <c r="AX38" s="1">
        <f>SUM(M38:AW38)</f>
        <v>269</v>
      </c>
      <c r="AY38" s="1">
        <f t="shared" si="28"/>
        <v>316</v>
      </c>
      <c r="AZ38" s="1" t="str">
        <f t="shared" si="29"/>
        <v>104-25</v>
      </c>
      <c r="BA38" s="4">
        <f t="shared" si="30"/>
        <v>47</v>
      </c>
    </row>
    <row r="39" spans="1:54" s="16" customFormat="1" x14ac:dyDescent="0.2">
      <c r="A39" s="28" t="s">
        <v>64</v>
      </c>
      <c r="B39" s="21">
        <v>46132</v>
      </c>
      <c r="C39" s="54" t="s">
        <v>105</v>
      </c>
      <c r="D39" s="54"/>
      <c r="E39" s="29">
        <v>303</v>
      </c>
      <c r="F39" s="7"/>
      <c r="G39" s="2"/>
      <c r="H39" s="7"/>
      <c r="I39" s="2">
        <f t="shared" si="26"/>
        <v>0</v>
      </c>
      <c r="J39" s="3">
        <f t="shared" si="27"/>
        <v>0</v>
      </c>
      <c r="O39" s="2"/>
      <c r="Q39" s="2">
        <v>50</v>
      </c>
      <c r="R39" s="2">
        <v>50</v>
      </c>
      <c r="S39" s="2">
        <v>50</v>
      </c>
      <c r="T39" s="2">
        <v>50</v>
      </c>
      <c r="U39" s="2">
        <v>58</v>
      </c>
      <c r="AC39" s="73"/>
      <c r="AX39" s="1">
        <f t="shared" ref="AX39:AX70" si="31">SUM(K39:AW39)</f>
        <v>258</v>
      </c>
      <c r="AY39" s="1">
        <f t="shared" si="28"/>
        <v>303</v>
      </c>
      <c r="AZ39" s="1" t="str">
        <f t="shared" si="29"/>
        <v>105-25</v>
      </c>
      <c r="BA39" s="4">
        <f t="shared" si="30"/>
        <v>45</v>
      </c>
    </row>
    <row r="40" spans="1:54" s="16" customFormat="1" x14ac:dyDescent="0.2">
      <c r="A40" s="28" t="s">
        <v>64</v>
      </c>
      <c r="B40" s="21">
        <v>46132</v>
      </c>
      <c r="C40" s="54" t="s">
        <v>106</v>
      </c>
      <c r="D40" s="54"/>
      <c r="E40" s="29">
        <v>215</v>
      </c>
      <c r="F40" s="7"/>
      <c r="G40" s="2"/>
      <c r="H40" s="7"/>
      <c r="I40" s="2">
        <f t="shared" si="26"/>
        <v>0</v>
      </c>
      <c r="J40" s="3">
        <f t="shared" si="27"/>
        <v>0</v>
      </c>
      <c r="M40" s="2"/>
      <c r="P40" s="2">
        <v>50</v>
      </c>
      <c r="Q40" s="2">
        <v>50</v>
      </c>
      <c r="R40" s="2">
        <v>50</v>
      </c>
      <c r="S40" s="2">
        <v>33</v>
      </c>
      <c r="W40" s="73"/>
      <c r="AX40" s="1">
        <f t="shared" si="31"/>
        <v>183</v>
      </c>
      <c r="AY40" s="1">
        <f t="shared" si="28"/>
        <v>215</v>
      </c>
      <c r="AZ40" s="1" t="str">
        <f t="shared" si="29"/>
        <v>106-25</v>
      </c>
      <c r="BA40" s="4">
        <f t="shared" si="30"/>
        <v>32</v>
      </c>
    </row>
    <row r="41" spans="1:54" s="16" customFormat="1" x14ac:dyDescent="0.2">
      <c r="A41" s="28" t="s">
        <v>64</v>
      </c>
      <c r="B41" s="21">
        <v>46132</v>
      </c>
      <c r="C41" s="54" t="s">
        <v>107</v>
      </c>
      <c r="D41" s="54"/>
      <c r="E41" s="29">
        <v>114</v>
      </c>
      <c r="F41" s="7"/>
      <c r="G41" s="2"/>
      <c r="H41" s="7"/>
      <c r="I41" s="2">
        <f t="shared" si="26"/>
        <v>0</v>
      </c>
      <c r="J41" s="3">
        <f t="shared" si="27"/>
        <v>0</v>
      </c>
      <c r="K41" s="2"/>
      <c r="Q41" s="2">
        <v>40</v>
      </c>
      <c r="R41" s="2">
        <v>40</v>
      </c>
      <c r="S41" s="2">
        <v>17</v>
      </c>
      <c r="AX41" s="1">
        <f t="shared" si="31"/>
        <v>97</v>
      </c>
      <c r="AY41" s="1">
        <f t="shared" si="28"/>
        <v>114</v>
      </c>
      <c r="AZ41" s="1" t="str">
        <f t="shared" si="29"/>
        <v>107-25</v>
      </c>
      <c r="BA41" s="4">
        <f t="shared" si="30"/>
        <v>17</v>
      </c>
    </row>
    <row r="42" spans="1:54" s="16" customFormat="1" x14ac:dyDescent="0.2">
      <c r="A42" s="28" t="s">
        <v>64</v>
      </c>
      <c r="B42" s="21">
        <v>46132</v>
      </c>
      <c r="C42" s="54" t="s">
        <v>108</v>
      </c>
      <c r="D42" s="54"/>
      <c r="E42" s="29">
        <v>86</v>
      </c>
      <c r="F42" s="7"/>
      <c r="G42" s="2"/>
      <c r="H42" s="7"/>
      <c r="I42" s="2">
        <f t="shared" si="26"/>
        <v>0</v>
      </c>
      <c r="J42" s="3">
        <f t="shared" si="27"/>
        <v>0</v>
      </c>
      <c r="K42" s="2"/>
      <c r="R42" s="2">
        <v>40</v>
      </c>
      <c r="S42" s="2">
        <v>33</v>
      </c>
      <c r="AX42" s="1">
        <f t="shared" si="31"/>
        <v>73</v>
      </c>
      <c r="AY42" s="1">
        <f t="shared" si="28"/>
        <v>86</v>
      </c>
      <c r="AZ42" s="1" t="str">
        <f t="shared" si="29"/>
        <v>108-25</v>
      </c>
      <c r="BA42" s="4">
        <f t="shared" si="30"/>
        <v>13</v>
      </c>
    </row>
    <row r="43" spans="1:54" s="16" customFormat="1" x14ac:dyDescent="0.2">
      <c r="A43" s="28" t="s">
        <v>64</v>
      </c>
      <c r="B43" s="21">
        <v>46132</v>
      </c>
      <c r="C43" s="54" t="s">
        <v>112</v>
      </c>
      <c r="D43" s="54"/>
      <c r="E43" s="29">
        <v>180</v>
      </c>
      <c r="F43" s="7"/>
      <c r="G43" s="2"/>
      <c r="H43" s="7"/>
      <c r="I43" s="2">
        <f t="shared" ref="I43:I44" si="32">F43+H43</f>
        <v>0</v>
      </c>
      <c r="J43" s="3">
        <f t="shared" ref="J43:J44" si="33">I43/E43</f>
        <v>0</v>
      </c>
      <c r="M43" s="2">
        <v>50</v>
      </c>
      <c r="N43" s="2">
        <v>50</v>
      </c>
      <c r="O43" s="2">
        <v>50</v>
      </c>
      <c r="P43" s="2">
        <v>3</v>
      </c>
      <c r="W43" s="73"/>
      <c r="AX43" s="1">
        <f t="shared" si="31"/>
        <v>153</v>
      </c>
      <c r="AY43" s="1">
        <f t="shared" si="28"/>
        <v>180</v>
      </c>
      <c r="AZ43" s="1" t="str">
        <f t="shared" si="29"/>
        <v>112-25</v>
      </c>
      <c r="BA43" s="4">
        <f t="shared" si="30"/>
        <v>27</v>
      </c>
    </row>
    <row r="44" spans="1:54" s="16" customFormat="1" x14ac:dyDescent="0.2">
      <c r="A44" s="28" t="s">
        <v>64</v>
      </c>
      <c r="B44" s="21">
        <v>46132</v>
      </c>
      <c r="C44" s="54" t="s">
        <v>114</v>
      </c>
      <c r="D44" s="54"/>
      <c r="E44" s="29">
        <v>86</v>
      </c>
      <c r="F44" s="7"/>
      <c r="G44" s="2"/>
      <c r="H44" s="7"/>
      <c r="I44" s="2">
        <f t="shared" si="32"/>
        <v>0</v>
      </c>
      <c r="J44" s="3">
        <f t="shared" si="33"/>
        <v>0</v>
      </c>
      <c r="O44" s="2">
        <v>50</v>
      </c>
      <c r="P44" s="2">
        <v>23</v>
      </c>
      <c r="W44" s="73"/>
      <c r="AX44" s="1">
        <f t="shared" si="31"/>
        <v>73</v>
      </c>
      <c r="AY44" s="1">
        <f t="shared" si="28"/>
        <v>86</v>
      </c>
      <c r="AZ44" s="1" t="str">
        <f t="shared" si="29"/>
        <v>115-25</v>
      </c>
      <c r="BA44" s="4">
        <f t="shared" si="30"/>
        <v>13</v>
      </c>
    </row>
    <row r="45" spans="1:54" s="16" customFormat="1" x14ac:dyDescent="0.2">
      <c r="A45" s="28" t="s">
        <v>97</v>
      </c>
      <c r="B45" s="21">
        <v>46142</v>
      </c>
      <c r="C45" s="54" t="s">
        <v>117</v>
      </c>
      <c r="D45" s="54"/>
      <c r="E45" s="29">
        <v>522</v>
      </c>
      <c r="F45" s="7"/>
      <c r="G45" s="2"/>
      <c r="H45" s="7"/>
      <c r="I45" s="2">
        <f t="shared" ref="I45" si="34">F45+H45</f>
        <v>0</v>
      </c>
      <c r="J45" s="3">
        <f t="shared" ref="J45" si="35">I45/E45</f>
        <v>0</v>
      </c>
      <c r="K45" s="2"/>
      <c r="L45" s="2"/>
      <c r="M45" s="2"/>
      <c r="N45" s="2">
        <v>25</v>
      </c>
      <c r="O45" s="2">
        <v>75</v>
      </c>
      <c r="P45" s="2">
        <v>75</v>
      </c>
      <c r="Q45" s="2">
        <v>75</v>
      </c>
      <c r="R45" s="2">
        <v>75</v>
      </c>
      <c r="S45" s="2">
        <v>75</v>
      </c>
      <c r="T45" s="2">
        <v>44</v>
      </c>
      <c r="U45" s="73"/>
      <c r="AX45" s="1">
        <f t="shared" si="31"/>
        <v>444</v>
      </c>
      <c r="AY45" s="1">
        <f t="shared" si="28"/>
        <v>522</v>
      </c>
      <c r="AZ45" s="1" t="str">
        <f t="shared" si="29"/>
        <v>116-25</v>
      </c>
      <c r="BA45" s="4">
        <f t="shared" si="30"/>
        <v>78</v>
      </c>
    </row>
    <row r="46" spans="1:54" s="16" customFormat="1" x14ac:dyDescent="0.2">
      <c r="A46" s="28" t="s">
        <v>116</v>
      </c>
      <c r="B46" s="21">
        <v>46174</v>
      </c>
      <c r="C46" s="54" t="s">
        <v>126</v>
      </c>
      <c r="D46" s="54"/>
      <c r="E46" s="29">
        <v>1842</v>
      </c>
      <c r="F46" s="7"/>
      <c r="G46" s="2"/>
      <c r="H46" s="7"/>
      <c r="I46" s="2">
        <f t="shared" ref="I46" si="36">F46+H46</f>
        <v>0</v>
      </c>
      <c r="J46" s="3">
        <f t="shared" ref="J46" si="37">I46/E46</f>
        <v>0</v>
      </c>
      <c r="O46" s="8">
        <v>150</v>
      </c>
      <c r="P46" s="8">
        <v>180</v>
      </c>
      <c r="Q46" s="8">
        <v>180</v>
      </c>
      <c r="R46" s="8">
        <v>100</v>
      </c>
      <c r="S46" s="8">
        <v>56</v>
      </c>
      <c r="T46" s="8">
        <v>180</v>
      </c>
      <c r="U46" s="8">
        <v>180</v>
      </c>
      <c r="V46" s="8">
        <v>180</v>
      </c>
      <c r="W46" s="8">
        <v>180</v>
      </c>
      <c r="X46" s="2">
        <v>180</v>
      </c>
      <c r="Y46" s="73"/>
      <c r="AX46" s="1">
        <f t="shared" si="31"/>
        <v>1566</v>
      </c>
      <c r="AY46" s="1">
        <f t="shared" si="28"/>
        <v>1842</v>
      </c>
      <c r="AZ46" s="1" t="str">
        <f t="shared" si="29"/>
        <v>120-25</v>
      </c>
      <c r="BA46" s="4">
        <f t="shared" si="30"/>
        <v>276</v>
      </c>
    </row>
    <row r="47" spans="1:54" s="16" customFormat="1" x14ac:dyDescent="0.2">
      <c r="A47" s="67" t="s">
        <v>91</v>
      </c>
      <c r="B47" s="21">
        <v>46161</v>
      </c>
      <c r="C47" s="54" t="s">
        <v>127</v>
      </c>
      <c r="D47" s="54"/>
      <c r="E47" s="29">
        <v>528</v>
      </c>
      <c r="F47" s="7"/>
      <c r="G47" s="2"/>
      <c r="H47" s="7"/>
      <c r="I47" s="2">
        <f t="shared" ref="I47:I49" si="38">F47+H47</f>
        <v>0</v>
      </c>
      <c r="J47" s="3">
        <f t="shared" ref="J47:J49" si="39">I47/E47</f>
        <v>0</v>
      </c>
      <c r="Q47" s="8">
        <v>50</v>
      </c>
      <c r="R47" s="8">
        <v>50</v>
      </c>
      <c r="S47" s="8">
        <v>75</v>
      </c>
      <c r="T47" s="8">
        <v>75</v>
      </c>
      <c r="U47" s="8">
        <v>75</v>
      </c>
      <c r="V47" s="8">
        <v>75</v>
      </c>
      <c r="W47" s="8">
        <v>49</v>
      </c>
      <c r="AX47" s="1">
        <f t="shared" si="31"/>
        <v>449</v>
      </c>
      <c r="AY47" s="1">
        <f t="shared" si="28"/>
        <v>528</v>
      </c>
      <c r="AZ47" s="1" t="str">
        <f t="shared" si="29"/>
        <v>121-25</v>
      </c>
      <c r="BA47" s="4">
        <f t="shared" si="30"/>
        <v>79</v>
      </c>
    </row>
    <row r="48" spans="1:54" s="16" customFormat="1" x14ac:dyDescent="0.2">
      <c r="A48" s="67" t="s">
        <v>91</v>
      </c>
      <c r="B48" s="21">
        <v>46161</v>
      </c>
      <c r="C48" s="54" t="s">
        <v>128</v>
      </c>
      <c r="D48" s="54"/>
      <c r="E48" s="29">
        <v>466</v>
      </c>
      <c r="F48" s="7"/>
      <c r="G48" s="2"/>
      <c r="H48" s="7"/>
      <c r="I48" s="2">
        <f t="shared" si="38"/>
        <v>0</v>
      </c>
      <c r="J48" s="3">
        <f t="shared" si="39"/>
        <v>0</v>
      </c>
      <c r="Q48" s="8">
        <v>75</v>
      </c>
      <c r="R48" s="8">
        <v>30</v>
      </c>
      <c r="S48" s="8">
        <v>75</v>
      </c>
      <c r="T48" s="8">
        <v>75</v>
      </c>
      <c r="U48" s="8">
        <v>75</v>
      </c>
      <c r="V48" s="8">
        <v>40</v>
      </c>
      <c r="W48" s="8">
        <v>26</v>
      </c>
      <c r="AX48" s="1">
        <f t="shared" si="31"/>
        <v>396</v>
      </c>
      <c r="AY48" s="1">
        <f t="shared" si="28"/>
        <v>466</v>
      </c>
      <c r="AZ48" s="1" t="str">
        <f t="shared" si="29"/>
        <v>122-25</v>
      </c>
      <c r="BA48" s="4">
        <f t="shared" si="30"/>
        <v>70</v>
      </c>
    </row>
    <row r="49" spans="1:53" s="16" customFormat="1" x14ac:dyDescent="0.2">
      <c r="A49" s="67" t="s">
        <v>91</v>
      </c>
      <c r="B49" s="21">
        <v>46161</v>
      </c>
      <c r="C49" s="54" t="s">
        <v>129</v>
      </c>
      <c r="D49" s="54"/>
      <c r="E49" s="29">
        <v>413</v>
      </c>
      <c r="F49" s="7"/>
      <c r="G49" s="2"/>
      <c r="H49" s="7"/>
      <c r="I49" s="2">
        <f t="shared" si="38"/>
        <v>0</v>
      </c>
      <c r="J49" s="3">
        <f t="shared" si="39"/>
        <v>0</v>
      </c>
      <c r="Q49" s="8"/>
      <c r="R49" s="8"/>
      <c r="S49" s="8">
        <v>75</v>
      </c>
      <c r="T49" s="8">
        <v>75</v>
      </c>
      <c r="U49" s="8">
        <v>75</v>
      </c>
      <c r="V49" s="8">
        <v>50</v>
      </c>
      <c r="W49" s="8">
        <v>76</v>
      </c>
      <c r="AX49" s="1">
        <f t="shared" si="31"/>
        <v>351</v>
      </c>
      <c r="AY49" s="1">
        <f t="shared" si="28"/>
        <v>413</v>
      </c>
      <c r="AZ49" s="1" t="str">
        <f t="shared" si="29"/>
        <v>123-25</v>
      </c>
      <c r="BA49" s="4">
        <f t="shared" si="30"/>
        <v>62</v>
      </c>
    </row>
    <row r="50" spans="1:53" s="16" customFormat="1" x14ac:dyDescent="0.2">
      <c r="A50" s="67" t="s">
        <v>81</v>
      </c>
      <c r="B50" s="21">
        <v>46188</v>
      </c>
      <c r="C50" s="54" t="s">
        <v>132</v>
      </c>
      <c r="D50" s="54"/>
      <c r="E50" s="29">
        <v>461</v>
      </c>
      <c r="F50" s="7"/>
      <c r="G50" s="2"/>
      <c r="H50" s="7"/>
      <c r="I50" s="2">
        <f t="shared" ref="I50:I52" si="40">F50+H50</f>
        <v>0</v>
      </c>
      <c r="J50" s="3">
        <f t="shared" ref="J50:J52" si="41">I50/E50</f>
        <v>0</v>
      </c>
      <c r="K50" s="8"/>
      <c r="L50" s="8"/>
      <c r="M50" s="8"/>
      <c r="N50" s="8"/>
      <c r="O50" s="8">
        <v>75</v>
      </c>
      <c r="P50" s="8">
        <v>75</v>
      </c>
      <c r="Q50" s="8">
        <v>75</v>
      </c>
      <c r="R50" s="8">
        <v>40</v>
      </c>
      <c r="S50" s="8">
        <v>25</v>
      </c>
      <c r="T50" s="2">
        <v>75</v>
      </c>
      <c r="U50" s="2">
        <v>27</v>
      </c>
      <c r="X50" s="73"/>
      <c r="AX50" s="1">
        <f t="shared" si="31"/>
        <v>392</v>
      </c>
      <c r="AY50" s="1">
        <f t="shared" si="28"/>
        <v>461</v>
      </c>
      <c r="AZ50" s="1" t="str">
        <f t="shared" si="29"/>
        <v>356-25</v>
      </c>
      <c r="BA50" s="4">
        <f t="shared" si="30"/>
        <v>69</v>
      </c>
    </row>
    <row r="51" spans="1:53" s="16" customFormat="1" x14ac:dyDescent="0.2">
      <c r="A51" s="67" t="s">
        <v>135</v>
      </c>
      <c r="B51" s="21">
        <v>46175</v>
      </c>
      <c r="C51" s="54" t="s">
        <v>133</v>
      </c>
      <c r="D51" s="54"/>
      <c r="E51" s="29">
        <v>214</v>
      </c>
      <c r="F51" s="7"/>
      <c r="G51" s="2"/>
      <c r="H51" s="7"/>
      <c r="I51" s="2">
        <f t="shared" si="40"/>
        <v>0</v>
      </c>
      <c r="J51" s="3">
        <f t="shared" si="41"/>
        <v>0</v>
      </c>
      <c r="K51" s="8"/>
      <c r="L51" s="8"/>
      <c r="M51" s="8"/>
      <c r="N51" s="8"/>
      <c r="O51" s="8">
        <v>50</v>
      </c>
      <c r="P51" s="8">
        <v>50</v>
      </c>
      <c r="Q51" s="8">
        <v>50</v>
      </c>
      <c r="R51" s="8">
        <v>32</v>
      </c>
      <c r="S51" s="74"/>
      <c r="AX51" s="1">
        <f t="shared" si="31"/>
        <v>182</v>
      </c>
      <c r="AY51" s="1">
        <f t="shared" si="28"/>
        <v>214</v>
      </c>
      <c r="AZ51" s="1" t="str">
        <f t="shared" si="29"/>
        <v>357-25</v>
      </c>
      <c r="BA51" s="4">
        <f t="shared" si="30"/>
        <v>32</v>
      </c>
    </row>
    <row r="52" spans="1:53" s="16" customFormat="1" x14ac:dyDescent="0.2">
      <c r="A52" s="67" t="s">
        <v>135</v>
      </c>
      <c r="B52" s="21">
        <v>46175</v>
      </c>
      <c r="C52" s="54" t="s">
        <v>134</v>
      </c>
      <c r="D52" s="54"/>
      <c r="E52" s="29">
        <v>262</v>
      </c>
      <c r="F52" s="7"/>
      <c r="G52" s="2"/>
      <c r="H52" s="7"/>
      <c r="I52" s="2">
        <f t="shared" si="40"/>
        <v>0</v>
      </c>
      <c r="J52" s="3">
        <f t="shared" si="41"/>
        <v>0</v>
      </c>
      <c r="K52" s="8"/>
      <c r="L52" s="8"/>
      <c r="M52" s="8"/>
      <c r="N52" s="8">
        <v>50</v>
      </c>
      <c r="O52" s="8">
        <v>50</v>
      </c>
      <c r="P52" s="8">
        <v>50</v>
      </c>
      <c r="Q52" s="8">
        <v>50</v>
      </c>
      <c r="R52" s="8">
        <v>23</v>
      </c>
      <c r="S52" s="74"/>
      <c r="AX52" s="1">
        <f t="shared" si="31"/>
        <v>223</v>
      </c>
      <c r="AY52" s="1">
        <f t="shared" si="28"/>
        <v>262</v>
      </c>
      <c r="AZ52" s="1" t="str">
        <f t="shared" si="29"/>
        <v>358-25</v>
      </c>
      <c r="BA52" s="4">
        <f t="shared" si="30"/>
        <v>39</v>
      </c>
    </row>
    <row r="53" spans="1:53" s="16" customFormat="1" x14ac:dyDescent="0.2">
      <c r="A53" s="67" t="s">
        <v>131</v>
      </c>
      <c r="B53" s="69">
        <v>46202</v>
      </c>
      <c r="C53" s="70" t="s">
        <v>141</v>
      </c>
      <c r="D53" s="54"/>
      <c r="E53" s="71">
        <v>436</v>
      </c>
      <c r="F53" s="7"/>
      <c r="G53" s="8"/>
      <c r="H53" s="7"/>
      <c r="I53" s="2">
        <f t="shared" ref="I53:I55" si="42">F53+H53</f>
        <v>0</v>
      </c>
      <c r="J53" s="3">
        <f t="shared" ref="J53:J55" si="43">I53/E53</f>
        <v>0</v>
      </c>
      <c r="K53" s="72"/>
      <c r="L53" s="72"/>
      <c r="M53" s="72"/>
      <c r="N53" s="72"/>
      <c r="O53" s="72"/>
      <c r="P53" s="8"/>
      <c r="Q53" s="8"/>
      <c r="R53" s="8">
        <v>50</v>
      </c>
      <c r="S53" s="8">
        <v>75</v>
      </c>
      <c r="T53" s="8">
        <v>75</v>
      </c>
      <c r="U53" s="8">
        <v>75</v>
      </c>
      <c r="V53" s="8">
        <v>75</v>
      </c>
      <c r="W53" s="8">
        <v>21</v>
      </c>
      <c r="X53" s="74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1">
        <f t="shared" si="31"/>
        <v>371</v>
      </c>
      <c r="AY53" s="1">
        <f t="shared" si="28"/>
        <v>436</v>
      </c>
      <c r="AZ53" s="1" t="str">
        <f t="shared" si="29"/>
        <v>002-26</v>
      </c>
      <c r="BA53" s="4">
        <f t="shared" si="30"/>
        <v>65</v>
      </c>
    </row>
    <row r="54" spans="1:53" s="16" customFormat="1" x14ac:dyDescent="0.2">
      <c r="A54" s="67" t="s">
        <v>131</v>
      </c>
      <c r="B54" s="69">
        <v>46202</v>
      </c>
      <c r="C54" s="70" t="s">
        <v>142</v>
      </c>
      <c r="D54" s="54"/>
      <c r="E54" s="71">
        <v>436</v>
      </c>
      <c r="F54" s="7"/>
      <c r="G54" s="8"/>
      <c r="H54" s="7"/>
      <c r="I54" s="2">
        <f t="shared" si="42"/>
        <v>0</v>
      </c>
      <c r="J54" s="3">
        <f t="shared" si="43"/>
        <v>0</v>
      </c>
      <c r="K54" s="72"/>
      <c r="L54" s="72"/>
      <c r="M54" s="72"/>
      <c r="N54" s="72"/>
      <c r="O54" s="72"/>
      <c r="P54" s="8"/>
      <c r="Q54" s="8"/>
      <c r="R54" s="8">
        <v>75</v>
      </c>
      <c r="S54" s="8">
        <v>50</v>
      </c>
      <c r="T54" s="8">
        <v>75</v>
      </c>
      <c r="U54" s="8">
        <v>75</v>
      </c>
      <c r="V54" s="8">
        <v>75</v>
      </c>
      <c r="W54" s="8">
        <v>21</v>
      </c>
      <c r="X54" s="74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1">
        <f t="shared" si="31"/>
        <v>371</v>
      </c>
      <c r="AY54" s="1">
        <f t="shared" si="28"/>
        <v>436</v>
      </c>
      <c r="AZ54" s="1" t="str">
        <f t="shared" si="29"/>
        <v>003-26</v>
      </c>
      <c r="BA54" s="4">
        <f t="shared" si="30"/>
        <v>65</v>
      </c>
    </row>
    <row r="55" spans="1:53" s="16" customFormat="1" x14ac:dyDescent="0.2">
      <c r="A55" s="67" t="s">
        <v>131</v>
      </c>
      <c r="B55" s="69">
        <v>46202</v>
      </c>
      <c r="C55" s="70" t="s">
        <v>143</v>
      </c>
      <c r="D55" s="54"/>
      <c r="E55" s="71">
        <v>436</v>
      </c>
      <c r="F55" s="7"/>
      <c r="G55" s="8"/>
      <c r="H55" s="7"/>
      <c r="I55" s="2">
        <f t="shared" si="42"/>
        <v>0</v>
      </c>
      <c r="J55" s="3">
        <f t="shared" si="43"/>
        <v>0</v>
      </c>
      <c r="K55" s="72"/>
      <c r="L55" s="72"/>
      <c r="M55" s="72"/>
      <c r="N55" s="72"/>
      <c r="O55" s="72"/>
      <c r="P55" s="8"/>
      <c r="Q55" s="8"/>
      <c r="R55" s="8">
        <v>75</v>
      </c>
      <c r="S55" s="8">
        <v>50</v>
      </c>
      <c r="T55" s="8">
        <v>75</v>
      </c>
      <c r="U55" s="8">
        <v>75</v>
      </c>
      <c r="V55" s="8">
        <v>75</v>
      </c>
      <c r="W55" s="8">
        <v>21</v>
      </c>
      <c r="X55" s="74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1">
        <f t="shared" si="31"/>
        <v>371</v>
      </c>
      <c r="AY55" s="1">
        <f t="shared" si="28"/>
        <v>436</v>
      </c>
      <c r="AZ55" s="1" t="str">
        <f t="shared" si="29"/>
        <v>004-26</v>
      </c>
      <c r="BA55" s="4">
        <f t="shared" si="30"/>
        <v>65</v>
      </c>
    </row>
    <row r="56" spans="1:53" s="16" customFormat="1" x14ac:dyDescent="0.2">
      <c r="A56" s="67" t="s">
        <v>130</v>
      </c>
      <c r="B56" s="69">
        <v>46181</v>
      </c>
      <c r="C56" s="70" t="s">
        <v>144</v>
      </c>
      <c r="D56" s="54"/>
      <c r="E56" s="71">
        <v>203</v>
      </c>
      <c r="F56" s="7"/>
      <c r="G56" s="8"/>
      <c r="H56" s="7"/>
      <c r="I56" s="2">
        <f t="shared" ref="I56:I61" si="44">F56+H56</f>
        <v>0</v>
      </c>
      <c r="J56" s="3">
        <f t="shared" ref="J56:J61" si="45">I56/E56</f>
        <v>0</v>
      </c>
      <c r="K56" s="72"/>
      <c r="L56" s="72"/>
      <c r="M56" s="72"/>
      <c r="N56" s="72"/>
      <c r="O56" s="72"/>
      <c r="P56" s="8">
        <v>50</v>
      </c>
      <c r="Q56" s="8">
        <v>50</v>
      </c>
      <c r="R56" s="8">
        <v>50</v>
      </c>
      <c r="S56" s="8">
        <v>23</v>
      </c>
      <c r="T56" s="74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1">
        <f t="shared" si="31"/>
        <v>173</v>
      </c>
      <c r="AY56" s="1">
        <f t="shared" si="28"/>
        <v>203</v>
      </c>
      <c r="AZ56" s="1" t="str">
        <f t="shared" si="29"/>
        <v>005-26</v>
      </c>
      <c r="BA56" s="4">
        <f t="shared" si="30"/>
        <v>30</v>
      </c>
    </row>
    <row r="57" spans="1:53" s="16" customFormat="1" x14ac:dyDescent="0.2">
      <c r="A57" s="67" t="s">
        <v>136</v>
      </c>
      <c r="B57" s="69">
        <v>46174</v>
      </c>
      <c r="C57" s="70" t="s">
        <v>147</v>
      </c>
      <c r="D57" s="54"/>
      <c r="E57" s="71">
        <v>429</v>
      </c>
      <c r="F57" s="7"/>
      <c r="G57" s="8"/>
      <c r="H57" s="7"/>
      <c r="I57" s="2">
        <f t="shared" si="44"/>
        <v>0</v>
      </c>
      <c r="J57" s="3">
        <f t="shared" si="45"/>
        <v>0</v>
      </c>
      <c r="K57" s="72"/>
      <c r="L57" s="8"/>
      <c r="M57" s="8">
        <v>50</v>
      </c>
      <c r="N57" s="8">
        <v>75</v>
      </c>
      <c r="O57" s="8">
        <v>75</v>
      </c>
      <c r="P57" s="8">
        <v>75</v>
      </c>
      <c r="Q57" s="8">
        <v>75</v>
      </c>
      <c r="R57" s="8">
        <v>15</v>
      </c>
      <c r="S57" s="8"/>
      <c r="T57" s="74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1">
        <f t="shared" si="31"/>
        <v>365</v>
      </c>
      <c r="AY57" s="1">
        <f t="shared" si="28"/>
        <v>429</v>
      </c>
      <c r="AZ57" s="1" t="str">
        <f t="shared" si="29"/>
        <v>014-26</v>
      </c>
      <c r="BA57" s="4">
        <f t="shared" si="30"/>
        <v>64</v>
      </c>
    </row>
    <row r="58" spans="1:53" s="16" customFormat="1" x14ac:dyDescent="0.2">
      <c r="A58" s="67" t="s">
        <v>137</v>
      </c>
      <c r="B58" s="69">
        <v>46174</v>
      </c>
      <c r="C58" s="70" t="s">
        <v>148</v>
      </c>
      <c r="D58" s="54"/>
      <c r="E58" s="71">
        <v>393</v>
      </c>
      <c r="F58" s="7"/>
      <c r="G58" s="8"/>
      <c r="H58" s="7"/>
      <c r="I58" s="2">
        <f t="shared" si="44"/>
        <v>0</v>
      </c>
      <c r="J58" s="3">
        <f t="shared" si="45"/>
        <v>0</v>
      </c>
      <c r="O58" s="72"/>
      <c r="P58" s="72"/>
      <c r="S58" s="72"/>
      <c r="T58" s="8"/>
      <c r="U58" s="8">
        <v>50</v>
      </c>
      <c r="V58" s="8">
        <v>75</v>
      </c>
      <c r="W58" s="8">
        <v>75</v>
      </c>
      <c r="X58" s="8">
        <v>70</v>
      </c>
      <c r="Y58" s="8">
        <v>64</v>
      </c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1">
        <f t="shared" si="31"/>
        <v>334</v>
      </c>
      <c r="AY58" s="1">
        <f t="shared" si="28"/>
        <v>393</v>
      </c>
      <c r="AZ58" s="1" t="str">
        <f t="shared" si="29"/>
        <v>015-26</v>
      </c>
      <c r="BA58" s="4">
        <f t="shared" si="30"/>
        <v>59</v>
      </c>
    </row>
    <row r="59" spans="1:53" s="16" customFormat="1" x14ac:dyDescent="0.2">
      <c r="A59" s="67" t="s">
        <v>138</v>
      </c>
      <c r="B59" s="69">
        <v>46174</v>
      </c>
      <c r="C59" s="70" t="s">
        <v>149</v>
      </c>
      <c r="D59" s="54"/>
      <c r="E59" s="71">
        <v>574</v>
      </c>
      <c r="F59" s="7"/>
      <c r="G59" s="8"/>
      <c r="H59" s="7"/>
      <c r="I59" s="2">
        <f t="shared" si="44"/>
        <v>0</v>
      </c>
      <c r="J59" s="3">
        <f t="shared" si="45"/>
        <v>0</v>
      </c>
      <c r="O59" s="8"/>
      <c r="P59" s="8"/>
      <c r="S59" s="8">
        <v>25</v>
      </c>
      <c r="T59" s="8">
        <v>100</v>
      </c>
      <c r="U59" s="8">
        <v>60</v>
      </c>
      <c r="V59" s="8">
        <v>75</v>
      </c>
      <c r="W59" s="8">
        <v>75</v>
      </c>
      <c r="X59" s="8">
        <v>75</v>
      </c>
      <c r="Y59" s="8">
        <v>78</v>
      </c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1">
        <f t="shared" si="31"/>
        <v>488</v>
      </c>
      <c r="AY59" s="1">
        <f t="shared" si="28"/>
        <v>574</v>
      </c>
      <c r="AZ59" s="1" t="str">
        <f t="shared" si="29"/>
        <v>016-26</v>
      </c>
      <c r="BA59" s="4">
        <f t="shared" si="30"/>
        <v>86</v>
      </c>
    </row>
    <row r="60" spans="1:53" s="16" customFormat="1" x14ac:dyDescent="0.2">
      <c r="A60" s="67" t="s">
        <v>139</v>
      </c>
      <c r="B60" s="69">
        <v>46204</v>
      </c>
      <c r="C60" s="70" t="s">
        <v>150</v>
      </c>
      <c r="D60" s="54"/>
      <c r="E60" s="71">
        <v>553</v>
      </c>
      <c r="F60" s="7"/>
      <c r="G60" s="8"/>
      <c r="H60" s="7"/>
      <c r="I60" s="2">
        <f t="shared" si="44"/>
        <v>0</v>
      </c>
      <c r="J60" s="3">
        <f t="shared" si="45"/>
        <v>0</v>
      </c>
      <c r="K60" s="72"/>
      <c r="L60" s="72"/>
      <c r="M60" s="72"/>
      <c r="N60" s="72"/>
      <c r="O60" s="72"/>
      <c r="P60" s="72"/>
      <c r="Q60" s="8"/>
      <c r="R60" s="8">
        <v>70</v>
      </c>
      <c r="S60" s="8">
        <v>25</v>
      </c>
      <c r="T60" s="8">
        <v>100</v>
      </c>
      <c r="U60" s="8">
        <v>75</v>
      </c>
      <c r="V60" s="8">
        <v>75</v>
      </c>
      <c r="W60" s="8">
        <v>75</v>
      </c>
      <c r="X60" s="8">
        <v>50</v>
      </c>
      <c r="Y60" s="74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1">
        <f t="shared" si="31"/>
        <v>470</v>
      </c>
      <c r="AY60" s="1">
        <f t="shared" si="28"/>
        <v>553</v>
      </c>
      <c r="AZ60" s="1" t="str">
        <f t="shared" si="29"/>
        <v>017-26</v>
      </c>
      <c r="BA60" s="4">
        <f t="shared" si="30"/>
        <v>83</v>
      </c>
    </row>
    <row r="61" spans="1:53" s="16" customFormat="1" x14ac:dyDescent="0.2">
      <c r="A61" s="67" t="s">
        <v>140</v>
      </c>
      <c r="B61" s="69">
        <v>46204</v>
      </c>
      <c r="C61" s="70" t="s">
        <v>151</v>
      </c>
      <c r="D61" s="54"/>
      <c r="E61" s="71">
        <v>553</v>
      </c>
      <c r="F61" s="7"/>
      <c r="G61" s="8"/>
      <c r="H61" s="7"/>
      <c r="I61" s="2">
        <f t="shared" si="44"/>
        <v>0</v>
      </c>
      <c r="J61" s="3">
        <f t="shared" si="45"/>
        <v>0</v>
      </c>
      <c r="K61" s="72"/>
      <c r="L61" s="72"/>
      <c r="M61" s="72"/>
      <c r="N61" s="72"/>
      <c r="O61" s="72"/>
      <c r="P61" s="72"/>
      <c r="Q61" s="8"/>
      <c r="R61" s="8">
        <v>70</v>
      </c>
      <c r="S61" s="8">
        <v>25</v>
      </c>
      <c r="T61" s="8">
        <v>100</v>
      </c>
      <c r="U61" s="8">
        <v>75</v>
      </c>
      <c r="V61" s="8">
        <v>75</v>
      </c>
      <c r="W61" s="8">
        <v>75</v>
      </c>
      <c r="X61" s="8">
        <v>50</v>
      </c>
      <c r="Y61" s="74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1">
        <f t="shared" si="31"/>
        <v>470</v>
      </c>
      <c r="AY61" s="1">
        <f t="shared" si="28"/>
        <v>553</v>
      </c>
      <c r="AZ61" s="1" t="str">
        <f t="shared" si="29"/>
        <v>018-26</v>
      </c>
      <c r="BA61" s="4">
        <f t="shared" si="30"/>
        <v>83</v>
      </c>
    </row>
    <row r="62" spans="1:53" s="16" customFormat="1" x14ac:dyDescent="0.2">
      <c r="A62" s="67" t="s">
        <v>130</v>
      </c>
      <c r="B62" s="69">
        <v>46223</v>
      </c>
      <c r="C62" s="70" t="s">
        <v>158</v>
      </c>
      <c r="D62" s="54"/>
      <c r="E62" s="71">
        <v>247</v>
      </c>
      <c r="F62" s="7"/>
      <c r="G62" s="8"/>
      <c r="H62" s="7"/>
      <c r="I62" s="2">
        <f t="shared" ref="I62:I63" si="46">F62+H62</f>
        <v>0</v>
      </c>
      <c r="J62" s="3">
        <f t="shared" ref="J62:J63" si="47">I62/E62</f>
        <v>0</v>
      </c>
      <c r="K62" s="72"/>
      <c r="L62" s="72"/>
      <c r="M62" s="72"/>
      <c r="N62" s="72"/>
      <c r="O62" s="72"/>
      <c r="P62" s="72"/>
      <c r="Q62" s="8"/>
      <c r="R62" s="8"/>
      <c r="S62" s="8"/>
      <c r="T62" s="8"/>
      <c r="U62" s="8"/>
      <c r="V62" s="8">
        <v>50</v>
      </c>
      <c r="W62" s="8">
        <v>50</v>
      </c>
      <c r="X62" s="8">
        <v>50</v>
      </c>
      <c r="Y62" s="2">
        <v>50</v>
      </c>
      <c r="Z62" s="8">
        <v>10</v>
      </c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1">
        <f t="shared" si="31"/>
        <v>210</v>
      </c>
      <c r="AY62" s="1">
        <f t="shared" si="28"/>
        <v>247</v>
      </c>
      <c r="AZ62" s="1" t="str">
        <f t="shared" si="29"/>
        <v>020-26</v>
      </c>
      <c r="BA62" s="4">
        <f t="shared" si="30"/>
        <v>37</v>
      </c>
    </row>
    <row r="63" spans="1:53" s="16" customFormat="1" x14ac:dyDescent="0.2">
      <c r="A63" s="67" t="s">
        <v>130</v>
      </c>
      <c r="B63" s="69">
        <v>46223</v>
      </c>
      <c r="C63" s="70" t="s">
        <v>159</v>
      </c>
      <c r="D63" s="54"/>
      <c r="E63" s="71">
        <v>268</v>
      </c>
      <c r="F63" s="7"/>
      <c r="G63" s="8"/>
      <c r="H63" s="7"/>
      <c r="I63" s="2">
        <f t="shared" si="46"/>
        <v>0</v>
      </c>
      <c r="J63" s="3">
        <f t="shared" si="47"/>
        <v>0</v>
      </c>
      <c r="K63" s="72"/>
      <c r="L63" s="72"/>
      <c r="M63" s="72"/>
      <c r="N63" s="72"/>
      <c r="O63" s="72"/>
      <c r="P63" s="72"/>
      <c r="Q63" s="8"/>
      <c r="R63" s="8"/>
      <c r="S63" s="8"/>
      <c r="T63" s="8"/>
      <c r="U63" s="8"/>
      <c r="V63" s="8">
        <v>50</v>
      </c>
      <c r="W63" s="8">
        <v>50</v>
      </c>
      <c r="X63" s="8">
        <v>50</v>
      </c>
      <c r="Y63" s="2">
        <v>50</v>
      </c>
      <c r="Z63" s="8">
        <v>28</v>
      </c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1">
        <f t="shared" si="31"/>
        <v>228</v>
      </c>
      <c r="AY63" s="1">
        <f t="shared" si="28"/>
        <v>268</v>
      </c>
      <c r="AZ63" s="1" t="str">
        <f t="shared" si="29"/>
        <v>021-26</v>
      </c>
      <c r="BA63" s="4">
        <f t="shared" si="30"/>
        <v>40</v>
      </c>
    </row>
    <row r="64" spans="1:53" s="16" customFormat="1" x14ac:dyDescent="0.2">
      <c r="A64" s="67" t="s">
        <v>59</v>
      </c>
      <c r="B64" s="69">
        <v>46181</v>
      </c>
      <c r="C64" s="70" t="s">
        <v>161</v>
      </c>
      <c r="D64" s="54"/>
      <c r="E64" s="71">
        <v>260</v>
      </c>
      <c r="F64" s="7"/>
      <c r="G64" s="8"/>
      <c r="H64" s="7"/>
      <c r="I64" s="2">
        <f t="shared" ref="I64" si="48">F64+H64</f>
        <v>0</v>
      </c>
      <c r="J64" s="3">
        <f t="shared" ref="J64" si="49">I64/E64</f>
        <v>0</v>
      </c>
      <c r="K64" s="72"/>
      <c r="L64" s="72"/>
      <c r="M64" s="72"/>
      <c r="N64" s="72"/>
      <c r="O64" s="72"/>
      <c r="P64" s="8">
        <v>50</v>
      </c>
      <c r="Q64" s="8">
        <v>50</v>
      </c>
      <c r="R64" s="8">
        <v>50</v>
      </c>
      <c r="S64" s="8">
        <v>50</v>
      </c>
      <c r="T64" s="8">
        <v>21</v>
      </c>
      <c r="U64" s="8"/>
      <c r="V64" s="8"/>
      <c r="W64" s="8"/>
      <c r="X64" s="8"/>
      <c r="Y64" s="2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1">
        <f t="shared" si="31"/>
        <v>221</v>
      </c>
      <c r="AY64" s="1">
        <f t="shared" si="28"/>
        <v>260</v>
      </c>
      <c r="AZ64" s="1" t="str">
        <f t="shared" si="29"/>
        <v>022-26</v>
      </c>
      <c r="BA64" s="4">
        <f t="shared" si="30"/>
        <v>39</v>
      </c>
    </row>
    <row r="65" spans="1:53" s="16" customFormat="1" x14ac:dyDescent="0.2">
      <c r="A65" s="67" t="s">
        <v>97</v>
      </c>
      <c r="B65" s="69">
        <v>46231</v>
      </c>
      <c r="C65" s="70" t="s">
        <v>163</v>
      </c>
      <c r="D65" s="54"/>
      <c r="E65" s="71">
        <v>89</v>
      </c>
      <c r="F65" s="7"/>
      <c r="G65" s="8"/>
      <c r="H65" s="7"/>
      <c r="I65" s="2">
        <f t="shared" ref="I65" si="50">F65+H65</f>
        <v>0</v>
      </c>
      <c r="J65" s="3">
        <f t="shared" ref="J65" si="51">I65/E65</f>
        <v>0</v>
      </c>
      <c r="K65" s="72"/>
      <c r="L65" s="72"/>
      <c r="M65" s="72"/>
      <c r="N65" s="72"/>
      <c r="O65" s="72"/>
      <c r="P65" s="8"/>
      <c r="Q65" s="8"/>
      <c r="R65" s="8"/>
      <c r="S65" s="8"/>
      <c r="T65" s="8"/>
      <c r="U65" s="8"/>
      <c r="V65" s="8"/>
      <c r="W65" s="8"/>
      <c r="X65" s="8"/>
      <c r="Y65" s="2"/>
      <c r="Z65" s="8">
        <v>40</v>
      </c>
      <c r="AA65" s="8">
        <v>36</v>
      </c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1">
        <f t="shared" si="31"/>
        <v>76</v>
      </c>
      <c r="AY65" s="1">
        <f t="shared" si="28"/>
        <v>89</v>
      </c>
      <c r="AZ65" s="1" t="str">
        <f t="shared" si="29"/>
        <v>024-26</v>
      </c>
      <c r="BA65" s="4">
        <f t="shared" si="30"/>
        <v>13</v>
      </c>
    </row>
    <row r="66" spans="1:53" s="16" customFormat="1" x14ac:dyDescent="0.2">
      <c r="A66" s="67" t="s">
        <v>175</v>
      </c>
      <c r="B66" s="69">
        <v>46224</v>
      </c>
      <c r="C66" s="70" t="s">
        <v>176</v>
      </c>
      <c r="D66" s="54"/>
      <c r="E66" s="71">
        <v>173</v>
      </c>
      <c r="F66" s="7"/>
      <c r="G66" s="8"/>
      <c r="H66" s="7"/>
      <c r="I66" s="2">
        <f t="shared" ref="I66:I70" si="52">F66+H66</f>
        <v>0</v>
      </c>
      <c r="J66" s="3">
        <f t="shared" ref="J66:J70" si="53">I66/E66</f>
        <v>0</v>
      </c>
      <c r="K66" s="72"/>
      <c r="L66" s="72"/>
      <c r="M66" s="72"/>
      <c r="N66" s="72"/>
      <c r="O66" s="72"/>
      <c r="P66" s="8"/>
      <c r="Q66" s="8"/>
      <c r="R66" s="8"/>
      <c r="S66" s="8"/>
      <c r="T66" s="8"/>
      <c r="U66" s="2">
        <v>50</v>
      </c>
      <c r="V66" s="8">
        <v>50</v>
      </c>
      <c r="W66" s="8">
        <v>47</v>
      </c>
      <c r="X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1">
        <f t="shared" si="31"/>
        <v>147</v>
      </c>
      <c r="AY66" s="1">
        <f>E66-I66</f>
        <v>173</v>
      </c>
      <c r="AZ66" s="1" t="str">
        <f>C66</f>
        <v>025-26</v>
      </c>
      <c r="BA66" s="4">
        <f t="shared" si="30"/>
        <v>26</v>
      </c>
    </row>
    <row r="67" spans="1:53" s="16" customFormat="1" x14ac:dyDescent="0.2">
      <c r="A67" s="67" t="s">
        <v>88</v>
      </c>
      <c r="B67" s="69">
        <v>46254</v>
      </c>
      <c r="C67" s="70" t="s">
        <v>177</v>
      </c>
      <c r="D67" s="54"/>
      <c r="E67" s="71">
        <v>373</v>
      </c>
      <c r="F67" s="7"/>
      <c r="G67" s="8"/>
      <c r="H67" s="7"/>
      <c r="I67" s="2">
        <f t="shared" si="52"/>
        <v>0</v>
      </c>
      <c r="J67" s="3">
        <f t="shared" si="53"/>
        <v>0</v>
      </c>
      <c r="K67" s="72"/>
      <c r="L67" s="72"/>
      <c r="M67" s="72"/>
      <c r="N67" s="72"/>
      <c r="O67" s="72"/>
      <c r="P67" s="8"/>
      <c r="Q67" s="8"/>
      <c r="R67" s="8"/>
      <c r="S67" s="8"/>
      <c r="T67" s="8"/>
      <c r="U67" s="8"/>
      <c r="V67" s="8"/>
      <c r="W67" s="8"/>
      <c r="X67" s="8"/>
      <c r="Y67" s="2">
        <v>50</v>
      </c>
      <c r="Z67" s="8">
        <v>50</v>
      </c>
      <c r="AA67" s="8">
        <v>50</v>
      </c>
      <c r="AB67" s="8">
        <v>50</v>
      </c>
      <c r="AC67" s="8">
        <v>50</v>
      </c>
      <c r="AD67" s="8">
        <v>50</v>
      </c>
      <c r="AE67" s="8">
        <v>13</v>
      </c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1">
        <f t="shared" si="31"/>
        <v>313</v>
      </c>
      <c r="AY67" s="1">
        <f>E67-I67</f>
        <v>373</v>
      </c>
      <c r="AZ67" s="1" t="str">
        <f>C67</f>
        <v>030-26</v>
      </c>
      <c r="BA67" s="4">
        <f t="shared" si="30"/>
        <v>60</v>
      </c>
    </row>
    <row r="68" spans="1:53" s="16" customFormat="1" x14ac:dyDescent="0.2">
      <c r="A68" s="67" t="s">
        <v>178</v>
      </c>
      <c r="B68" s="69">
        <v>46261</v>
      </c>
      <c r="C68" s="70" t="s">
        <v>179</v>
      </c>
      <c r="D68" s="54"/>
      <c r="E68" s="71">
        <v>922</v>
      </c>
      <c r="F68" s="7"/>
      <c r="G68" s="8"/>
      <c r="H68" s="7"/>
      <c r="I68" s="2">
        <f t="shared" si="52"/>
        <v>0</v>
      </c>
      <c r="J68" s="3">
        <f t="shared" si="53"/>
        <v>0</v>
      </c>
      <c r="K68" s="72"/>
      <c r="L68" s="72"/>
      <c r="M68" s="72"/>
      <c r="N68" s="72"/>
      <c r="O68" s="72"/>
      <c r="P68" s="8"/>
      <c r="Q68" s="8"/>
      <c r="R68" s="8"/>
      <c r="S68" s="8"/>
      <c r="T68" s="8"/>
      <c r="U68" s="8"/>
      <c r="AA68" s="8">
        <v>55</v>
      </c>
      <c r="AB68" s="8">
        <v>75</v>
      </c>
      <c r="AC68" s="8">
        <v>75</v>
      </c>
      <c r="AD68" s="2">
        <v>75</v>
      </c>
      <c r="AE68" s="8">
        <v>75</v>
      </c>
      <c r="AF68" s="8">
        <v>75</v>
      </c>
      <c r="AG68" s="8">
        <v>75</v>
      </c>
      <c r="AH68" s="8">
        <v>75</v>
      </c>
      <c r="AI68" s="8">
        <v>75</v>
      </c>
      <c r="AJ68" s="8">
        <v>75</v>
      </c>
      <c r="AK68" s="8">
        <v>54</v>
      </c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1">
        <f t="shared" si="31"/>
        <v>784</v>
      </c>
      <c r="AY68" s="1">
        <f>E68-I68</f>
        <v>922</v>
      </c>
      <c r="AZ68" s="1" t="str">
        <f>C68</f>
        <v>031-26</v>
      </c>
      <c r="BA68" s="4">
        <f t="shared" si="30"/>
        <v>138</v>
      </c>
    </row>
    <row r="69" spans="1:53" s="16" customFormat="1" x14ac:dyDescent="0.2">
      <c r="A69" s="67" t="s">
        <v>91</v>
      </c>
      <c r="B69" s="69">
        <v>46260</v>
      </c>
      <c r="C69" s="70" t="s">
        <v>180</v>
      </c>
      <c r="D69" s="54"/>
      <c r="E69" s="71">
        <v>310</v>
      </c>
      <c r="F69" s="7"/>
      <c r="G69" s="8"/>
      <c r="H69" s="7"/>
      <c r="I69" s="2">
        <f t="shared" si="52"/>
        <v>0</v>
      </c>
      <c r="J69" s="3">
        <f t="shared" si="53"/>
        <v>0</v>
      </c>
      <c r="K69" s="72"/>
      <c r="L69" s="72"/>
      <c r="M69" s="72"/>
      <c r="N69" s="72"/>
      <c r="O69" s="72"/>
      <c r="P69" s="8"/>
      <c r="Q69" s="8"/>
      <c r="R69" s="8"/>
      <c r="S69" s="8"/>
      <c r="T69" s="8"/>
      <c r="U69" s="8"/>
      <c r="V69" s="8"/>
      <c r="W69" s="8"/>
      <c r="X69" s="8"/>
      <c r="Y69" s="2"/>
      <c r="Z69" s="8"/>
      <c r="AA69" s="8">
        <v>50</v>
      </c>
      <c r="AB69" s="8">
        <v>50</v>
      </c>
      <c r="AC69" s="8">
        <v>50</v>
      </c>
      <c r="AD69" s="8">
        <v>50</v>
      </c>
      <c r="AE69" s="8">
        <v>40</v>
      </c>
      <c r="AF69" s="8">
        <v>23</v>
      </c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1">
        <f t="shared" si="31"/>
        <v>263</v>
      </c>
      <c r="AY69" s="1">
        <f>E69-I69</f>
        <v>310</v>
      </c>
      <c r="AZ69" s="1" t="str">
        <f>C69</f>
        <v>032-26</v>
      </c>
      <c r="BA69" s="4">
        <f t="shared" si="30"/>
        <v>47</v>
      </c>
    </row>
    <row r="70" spans="1:53" s="16" customFormat="1" x14ac:dyDescent="0.2">
      <c r="A70" s="67" t="s">
        <v>91</v>
      </c>
      <c r="B70" s="69">
        <v>46260</v>
      </c>
      <c r="C70" s="70" t="s">
        <v>181</v>
      </c>
      <c r="D70" s="54"/>
      <c r="E70" s="71">
        <v>81</v>
      </c>
      <c r="F70" s="7"/>
      <c r="G70" s="8"/>
      <c r="H70" s="7"/>
      <c r="I70" s="2">
        <f t="shared" si="52"/>
        <v>0</v>
      </c>
      <c r="J70" s="3">
        <f t="shared" si="53"/>
        <v>0</v>
      </c>
      <c r="K70" s="72"/>
      <c r="L70" s="72"/>
      <c r="M70" s="72"/>
      <c r="N70" s="72"/>
      <c r="O70" s="72"/>
      <c r="P70" s="8"/>
      <c r="Q70" s="8"/>
      <c r="R70" s="8"/>
      <c r="S70" s="8"/>
      <c r="T70" s="8"/>
      <c r="U70" s="8"/>
      <c r="V70" s="8"/>
      <c r="W70" s="8"/>
      <c r="X70" s="8"/>
      <c r="Y70" s="2"/>
      <c r="Z70" s="8"/>
      <c r="AA70" s="8"/>
      <c r="AB70" s="8"/>
      <c r="AC70" s="8"/>
      <c r="AD70" s="8"/>
      <c r="AE70" s="8">
        <v>39</v>
      </c>
      <c r="AF70" s="8">
        <v>30</v>
      </c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1">
        <f t="shared" si="31"/>
        <v>69</v>
      </c>
      <c r="AY70" s="1">
        <f>E70-I70</f>
        <v>81</v>
      </c>
      <c r="AZ70" s="1" t="str">
        <f>C70</f>
        <v>033-26</v>
      </c>
      <c r="BA70" s="4">
        <f t="shared" si="30"/>
        <v>12</v>
      </c>
    </row>
    <row r="71" spans="1:53" s="16" customFormat="1" x14ac:dyDescent="0.2">
      <c r="A71" s="28"/>
      <c r="B71" s="21"/>
      <c r="C71" s="54"/>
      <c r="D71" s="54"/>
      <c r="E71" s="29"/>
      <c r="F71" s="7"/>
      <c r="G71" s="2"/>
      <c r="H71" s="7"/>
      <c r="I71" s="2"/>
      <c r="J71" s="3"/>
      <c r="K71" s="2"/>
      <c r="AX71" s="1"/>
      <c r="AY71" s="1"/>
      <c r="AZ71" s="1"/>
      <c r="BA71" s="4"/>
    </row>
    <row r="72" spans="1:53" s="16" customFormat="1" x14ac:dyDescent="0.2">
      <c r="A72" s="66" t="s">
        <v>83</v>
      </c>
      <c r="B72" s="56"/>
      <c r="C72" s="57"/>
      <c r="D72" s="57"/>
      <c r="E72" s="58">
        <v>603</v>
      </c>
      <c r="F72" s="59"/>
      <c r="G72" s="60"/>
      <c r="H72" s="59"/>
      <c r="I72" s="60"/>
      <c r="J72" s="61"/>
      <c r="K72" s="63"/>
      <c r="L72" s="60" t="s">
        <v>92</v>
      </c>
      <c r="M72" s="60" t="s">
        <v>120</v>
      </c>
      <c r="N72" s="60" t="s">
        <v>121</v>
      </c>
      <c r="O72" s="60" t="s">
        <v>122</v>
      </c>
      <c r="P72" s="60" t="s">
        <v>123</v>
      </c>
      <c r="Q72" s="60" t="s">
        <v>124</v>
      </c>
      <c r="R72" s="60" t="s">
        <v>125</v>
      </c>
      <c r="S72" s="63"/>
      <c r="T72" s="63"/>
      <c r="U72" s="60">
        <v>50</v>
      </c>
      <c r="V72" s="60">
        <v>50</v>
      </c>
      <c r="W72" s="60">
        <v>50</v>
      </c>
      <c r="X72" s="60">
        <v>50</v>
      </c>
      <c r="Y72" s="60">
        <v>50</v>
      </c>
      <c r="Z72" s="60">
        <v>50</v>
      </c>
      <c r="AA72" s="60">
        <v>50</v>
      </c>
      <c r="AB72" s="60">
        <v>50</v>
      </c>
      <c r="AC72" s="60">
        <v>50</v>
      </c>
      <c r="AD72" s="60">
        <v>50</v>
      </c>
      <c r="AE72" s="60">
        <v>13</v>
      </c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1">
        <f t="shared" ref="AX72:AX81" si="54">SUM(K72:AW72)</f>
        <v>513</v>
      </c>
      <c r="AY72" s="1">
        <f t="shared" ref="AY72:AY81" si="55">E72-I72</f>
        <v>603</v>
      </c>
      <c r="AZ72" s="1">
        <f t="shared" ref="AZ72:AZ81" si="56">C72</f>
        <v>0</v>
      </c>
      <c r="BA72" s="4">
        <f t="shared" ref="BA72:BA81" si="57">E72-I72-AX72</f>
        <v>90</v>
      </c>
    </row>
    <row r="73" spans="1:53" s="16" customFormat="1" x14ac:dyDescent="0.2">
      <c r="A73" s="66" t="s">
        <v>164</v>
      </c>
      <c r="B73" s="56"/>
      <c r="C73" s="57"/>
      <c r="D73" s="57"/>
      <c r="E73" s="58">
        <v>586</v>
      </c>
      <c r="F73" s="59"/>
      <c r="G73" s="60"/>
      <c r="H73" s="59"/>
      <c r="I73" s="60"/>
      <c r="J73" s="61"/>
      <c r="K73" s="60" t="s">
        <v>92</v>
      </c>
      <c r="L73" s="60" t="s">
        <v>120</v>
      </c>
      <c r="M73" s="60" t="s">
        <v>121</v>
      </c>
      <c r="N73" s="60" t="s">
        <v>122</v>
      </c>
      <c r="O73" s="60" t="s">
        <v>123</v>
      </c>
      <c r="P73" s="60" t="s">
        <v>173</v>
      </c>
      <c r="Q73" s="60" t="s">
        <v>174</v>
      </c>
      <c r="R73" s="60" t="s">
        <v>124</v>
      </c>
      <c r="S73" s="60" t="s">
        <v>125</v>
      </c>
      <c r="T73" s="63"/>
      <c r="U73" s="60"/>
      <c r="V73" s="60"/>
      <c r="W73" s="60"/>
      <c r="X73" s="60"/>
      <c r="Y73" s="60"/>
      <c r="Z73" s="60"/>
      <c r="AA73" s="60"/>
      <c r="AB73" s="60"/>
      <c r="AC73" s="60"/>
      <c r="AD73" s="60">
        <v>25</v>
      </c>
      <c r="AE73" s="60">
        <v>75</v>
      </c>
      <c r="AF73" s="60">
        <v>75</v>
      </c>
      <c r="AG73" s="60">
        <v>75</v>
      </c>
      <c r="AH73" s="60">
        <v>75</v>
      </c>
      <c r="AI73" s="60">
        <v>75</v>
      </c>
      <c r="AJ73" s="60">
        <v>50</v>
      </c>
      <c r="AK73" s="60">
        <v>48</v>
      </c>
      <c r="AL73" s="63"/>
      <c r="AM73" s="63"/>
      <c r="AN73" s="63"/>
      <c r="AO73" s="63"/>
      <c r="AP73" s="63"/>
      <c r="AQ73" s="60"/>
      <c r="AR73" s="60"/>
      <c r="AS73" s="60"/>
      <c r="AT73" s="60"/>
      <c r="AU73" s="60"/>
      <c r="AV73" s="60"/>
      <c r="AW73" s="60"/>
      <c r="AX73" s="1">
        <f t="shared" si="54"/>
        <v>498</v>
      </c>
      <c r="AY73" s="1">
        <f t="shared" si="55"/>
        <v>586</v>
      </c>
      <c r="AZ73" s="1">
        <f t="shared" si="56"/>
        <v>0</v>
      </c>
      <c r="BA73" s="4">
        <f t="shared" si="57"/>
        <v>88</v>
      </c>
    </row>
    <row r="74" spans="1:53" s="16" customFormat="1" x14ac:dyDescent="0.2">
      <c r="A74" s="66" t="s">
        <v>166</v>
      </c>
      <c r="B74" s="56"/>
      <c r="C74" s="57"/>
      <c r="D74" s="57"/>
      <c r="E74" s="58">
        <v>586</v>
      </c>
      <c r="F74" s="59"/>
      <c r="G74" s="60"/>
      <c r="H74" s="59"/>
      <c r="I74" s="60"/>
      <c r="J74" s="61"/>
      <c r="K74" s="60" t="s">
        <v>92</v>
      </c>
      <c r="L74" s="60" t="s">
        <v>120</v>
      </c>
      <c r="M74" s="60" t="s">
        <v>121</v>
      </c>
      <c r="N74" s="60" t="s">
        <v>122</v>
      </c>
      <c r="O74" s="60" t="s">
        <v>123</v>
      </c>
      <c r="P74" s="60" t="s">
        <v>173</v>
      </c>
      <c r="Q74" s="60" t="s">
        <v>174</v>
      </c>
      <c r="R74" s="60" t="s">
        <v>124</v>
      </c>
      <c r="S74" s="60" t="s">
        <v>125</v>
      </c>
      <c r="T74" s="63"/>
      <c r="U74" s="60"/>
      <c r="V74" s="60"/>
      <c r="W74" s="60"/>
      <c r="X74" s="60"/>
      <c r="Y74" s="60"/>
      <c r="Z74" s="60"/>
      <c r="AA74" s="60"/>
      <c r="AB74" s="60"/>
      <c r="AC74" s="60"/>
      <c r="AD74" s="60">
        <v>25</v>
      </c>
      <c r="AE74" s="60">
        <v>75</v>
      </c>
      <c r="AF74" s="60">
        <v>75</v>
      </c>
      <c r="AG74" s="60">
        <v>75</v>
      </c>
      <c r="AH74" s="60">
        <v>75</v>
      </c>
      <c r="AI74" s="60">
        <v>75</v>
      </c>
      <c r="AJ74" s="60">
        <v>50</v>
      </c>
      <c r="AK74" s="60">
        <v>48</v>
      </c>
      <c r="AL74" s="63"/>
      <c r="AM74" s="63"/>
      <c r="AN74" s="63"/>
      <c r="AO74" s="63"/>
      <c r="AP74" s="63"/>
      <c r="AQ74" s="60"/>
      <c r="AR74" s="60"/>
      <c r="AS74" s="60"/>
      <c r="AT74" s="60"/>
      <c r="AU74" s="60"/>
      <c r="AV74" s="60"/>
      <c r="AW74" s="60"/>
      <c r="AX74" s="1">
        <f t="shared" si="54"/>
        <v>498</v>
      </c>
      <c r="AY74" s="1">
        <f t="shared" si="55"/>
        <v>586</v>
      </c>
      <c r="AZ74" s="1">
        <f t="shared" si="56"/>
        <v>0</v>
      </c>
      <c r="BA74" s="4">
        <f t="shared" si="57"/>
        <v>88</v>
      </c>
    </row>
    <row r="75" spans="1:53" s="16" customFormat="1" x14ac:dyDescent="0.2">
      <c r="A75" s="66" t="s">
        <v>165</v>
      </c>
      <c r="B75" s="56"/>
      <c r="C75" s="57"/>
      <c r="D75" s="57"/>
      <c r="E75" s="58">
        <v>586</v>
      </c>
      <c r="F75" s="59"/>
      <c r="G75" s="60"/>
      <c r="H75" s="59"/>
      <c r="I75" s="60"/>
      <c r="J75" s="61"/>
      <c r="K75" s="60" t="s">
        <v>92</v>
      </c>
      <c r="L75" s="60" t="s">
        <v>120</v>
      </c>
      <c r="M75" s="60" t="s">
        <v>121</v>
      </c>
      <c r="N75" s="60" t="s">
        <v>122</v>
      </c>
      <c r="O75" s="60" t="s">
        <v>123</v>
      </c>
      <c r="P75" s="60" t="s">
        <v>173</v>
      </c>
      <c r="Q75" s="60" t="s">
        <v>174</v>
      </c>
      <c r="R75" s="60" t="s">
        <v>124</v>
      </c>
      <c r="S75" s="60" t="s">
        <v>125</v>
      </c>
      <c r="T75" s="63"/>
      <c r="U75" s="60"/>
      <c r="V75" s="60"/>
      <c r="W75" s="60"/>
      <c r="X75" s="60"/>
      <c r="Y75" s="60"/>
      <c r="Z75" s="60"/>
      <c r="AA75" s="60"/>
      <c r="AB75" s="60"/>
      <c r="AC75" s="60"/>
      <c r="AD75" s="60">
        <v>25</v>
      </c>
      <c r="AE75" s="60">
        <v>75</v>
      </c>
      <c r="AF75" s="60">
        <v>75</v>
      </c>
      <c r="AG75" s="60">
        <v>75</v>
      </c>
      <c r="AH75" s="60">
        <v>75</v>
      </c>
      <c r="AI75" s="60">
        <v>75</v>
      </c>
      <c r="AJ75" s="60">
        <v>50</v>
      </c>
      <c r="AK75" s="60">
        <v>48</v>
      </c>
      <c r="AL75" s="63"/>
      <c r="AM75" s="63"/>
      <c r="AN75" s="63"/>
      <c r="AO75" s="63"/>
      <c r="AP75" s="63"/>
      <c r="AQ75" s="60"/>
      <c r="AR75" s="60"/>
      <c r="AS75" s="60"/>
      <c r="AT75" s="60"/>
      <c r="AU75" s="60"/>
      <c r="AV75" s="60"/>
      <c r="AW75" s="60"/>
      <c r="AX75" s="1">
        <f t="shared" si="54"/>
        <v>498</v>
      </c>
      <c r="AY75" s="1">
        <f t="shared" si="55"/>
        <v>586</v>
      </c>
      <c r="AZ75" s="1">
        <f t="shared" si="56"/>
        <v>0</v>
      </c>
      <c r="BA75" s="4">
        <f t="shared" si="57"/>
        <v>88</v>
      </c>
    </row>
    <row r="76" spans="1:53" s="16" customFormat="1" x14ac:dyDescent="0.2">
      <c r="A76" s="66" t="s">
        <v>167</v>
      </c>
      <c r="B76" s="56"/>
      <c r="C76" s="57"/>
      <c r="D76" s="57"/>
      <c r="E76" s="58">
        <v>495</v>
      </c>
      <c r="F76" s="59"/>
      <c r="G76" s="60"/>
      <c r="H76" s="59"/>
      <c r="I76" s="60"/>
      <c r="J76" s="61"/>
      <c r="K76" s="60" t="s">
        <v>92</v>
      </c>
      <c r="L76" s="60" t="s">
        <v>120</v>
      </c>
      <c r="M76" s="60" t="s">
        <v>121</v>
      </c>
      <c r="N76" s="60" t="s">
        <v>122</v>
      </c>
      <c r="O76" s="60" t="s">
        <v>123</v>
      </c>
      <c r="P76" s="60" t="s">
        <v>173</v>
      </c>
      <c r="Q76" s="60" t="s">
        <v>174</v>
      </c>
      <c r="R76" s="60" t="s">
        <v>124</v>
      </c>
      <c r="S76" s="60" t="s">
        <v>125</v>
      </c>
      <c r="T76" s="63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>
        <v>50</v>
      </c>
      <c r="AI76" s="60">
        <v>50</v>
      </c>
      <c r="AJ76" s="60">
        <v>75</v>
      </c>
      <c r="AK76" s="60">
        <v>75</v>
      </c>
      <c r="AL76" s="60">
        <v>75</v>
      </c>
      <c r="AM76" s="60">
        <v>75</v>
      </c>
      <c r="AN76" s="60">
        <v>21</v>
      </c>
      <c r="AO76" s="60"/>
      <c r="AP76" s="60"/>
      <c r="AQ76" s="60"/>
      <c r="AR76" s="60"/>
      <c r="AS76" s="60"/>
      <c r="AT76" s="60"/>
      <c r="AU76" s="60"/>
      <c r="AV76" s="60"/>
      <c r="AW76" s="60"/>
      <c r="AX76" s="1">
        <f t="shared" si="54"/>
        <v>421</v>
      </c>
      <c r="AY76" s="1">
        <f t="shared" si="55"/>
        <v>495</v>
      </c>
      <c r="AZ76" s="1">
        <f t="shared" si="56"/>
        <v>0</v>
      </c>
      <c r="BA76" s="4">
        <f t="shared" si="57"/>
        <v>74</v>
      </c>
    </row>
    <row r="77" spans="1:53" s="16" customFormat="1" x14ac:dyDescent="0.2">
      <c r="A77" s="66" t="s">
        <v>168</v>
      </c>
      <c r="B77" s="56"/>
      <c r="C77" s="57"/>
      <c r="D77" s="57"/>
      <c r="E77" s="58">
        <v>568</v>
      </c>
      <c r="F77" s="59"/>
      <c r="G77" s="60"/>
      <c r="H77" s="59"/>
      <c r="I77" s="60"/>
      <c r="J77" s="61"/>
      <c r="K77" s="60" t="s">
        <v>92</v>
      </c>
      <c r="L77" s="60" t="s">
        <v>120</v>
      </c>
      <c r="M77" s="60" t="s">
        <v>121</v>
      </c>
      <c r="N77" s="60" t="s">
        <v>122</v>
      </c>
      <c r="O77" s="60" t="s">
        <v>123</v>
      </c>
      <c r="P77" s="60" t="s">
        <v>173</v>
      </c>
      <c r="Q77" s="60" t="s">
        <v>174</v>
      </c>
      <c r="R77" s="60" t="s">
        <v>124</v>
      </c>
      <c r="S77" s="60" t="s">
        <v>125</v>
      </c>
      <c r="T77" s="63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>
        <v>50</v>
      </c>
      <c r="AJ77" s="60">
        <v>50</v>
      </c>
      <c r="AK77" s="60">
        <v>75</v>
      </c>
      <c r="AL77" s="60">
        <v>75</v>
      </c>
      <c r="AM77" s="60">
        <v>75</v>
      </c>
      <c r="AN77" s="60">
        <v>75</v>
      </c>
      <c r="AO77" s="60">
        <v>50</v>
      </c>
      <c r="AP77" s="60">
        <v>33</v>
      </c>
      <c r="AQ77" s="60"/>
      <c r="AR77" s="60"/>
      <c r="AS77" s="60"/>
      <c r="AT77" s="60"/>
      <c r="AU77" s="60"/>
      <c r="AV77" s="60"/>
      <c r="AW77" s="60"/>
      <c r="AX77" s="1">
        <f t="shared" si="54"/>
        <v>483</v>
      </c>
      <c r="AY77" s="1">
        <f t="shared" si="55"/>
        <v>568</v>
      </c>
      <c r="AZ77" s="1">
        <f t="shared" si="56"/>
        <v>0</v>
      </c>
      <c r="BA77" s="4">
        <f t="shared" si="57"/>
        <v>85</v>
      </c>
    </row>
    <row r="78" spans="1:53" s="16" customFormat="1" x14ac:dyDescent="0.2">
      <c r="A78" s="66" t="s">
        <v>169</v>
      </c>
      <c r="B78" s="56"/>
      <c r="C78" s="57"/>
      <c r="D78" s="57"/>
      <c r="E78" s="58">
        <v>568</v>
      </c>
      <c r="F78" s="59"/>
      <c r="G78" s="60"/>
      <c r="H78" s="59"/>
      <c r="I78" s="60"/>
      <c r="J78" s="61"/>
      <c r="K78" s="60" t="s">
        <v>92</v>
      </c>
      <c r="L78" s="60" t="s">
        <v>120</v>
      </c>
      <c r="M78" s="60" t="s">
        <v>121</v>
      </c>
      <c r="N78" s="60" t="s">
        <v>122</v>
      </c>
      <c r="O78" s="60" t="s">
        <v>123</v>
      </c>
      <c r="P78" s="60" t="s">
        <v>173</v>
      </c>
      <c r="Q78" s="60" t="s">
        <v>174</v>
      </c>
      <c r="R78" s="60" t="s">
        <v>124</v>
      </c>
      <c r="S78" s="60" t="s">
        <v>125</v>
      </c>
      <c r="T78" s="63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>
        <v>50</v>
      </c>
      <c r="AJ78" s="60">
        <v>50</v>
      </c>
      <c r="AK78" s="60">
        <v>75</v>
      </c>
      <c r="AL78" s="60">
        <v>75</v>
      </c>
      <c r="AM78" s="60">
        <v>75</v>
      </c>
      <c r="AN78" s="60">
        <v>75</v>
      </c>
      <c r="AO78" s="60">
        <v>50</v>
      </c>
      <c r="AP78" s="60">
        <v>33</v>
      </c>
      <c r="AQ78" s="60"/>
      <c r="AR78" s="60"/>
      <c r="AS78" s="60"/>
      <c r="AT78" s="60"/>
      <c r="AU78" s="60"/>
      <c r="AV78" s="60"/>
      <c r="AW78" s="60"/>
      <c r="AX78" s="1">
        <f t="shared" si="54"/>
        <v>483</v>
      </c>
      <c r="AY78" s="1">
        <f t="shared" si="55"/>
        <v>568</v>
      </c>
      <c r="AZ78" s="1">
        <f t="shared" si="56"/>
        <v>0</v>
      </c>
      <c r="BA78" s="4">
        <f t="shared" si="57"/>
        <v>85</v>
      </c>
    </row>
    <row r="79" spans="1:53" s="16" customFormat="1" x14ac:dyDescent="0.2">
      <c r="A79" s="66" t="s">
        <v>171</v>
      </c>
      <c r="B79" s="56"/>
      <c r="C79" s="57"/>
      <c r="D79" s="57"/>
      <c r="E79" s="58">
        <v>582</v>
      </c>
      <c r="F79" s="59"/>
      <c r="G79" s="60"/>
      <c r="H79" s="59"/>
      <c r="I79" s="60"/>
      <c r="J79" s="61"/>
      <c r="K79" s="60" t="s">
        <v>92</v>
      </c>
      <c r="L79" s="60" t="s">
        <v>120</v>
      </c>
      <c r="M79" s="60" t="s">
        <v>121</v>
      </c>
      <c r="N79" s="60" t="s">
        <v>122</v>
      </c>
      <c r="O79" s="60" t="s">
        <v>123</v>
      </c>
      <c r="P79" s="60" t="s">
        <v>173</v>
      </c>
      <c r="Q79" s="60" t="s">
        <v>174</v>
      </c>
      <c r="R79" s="60" t="s">
        <v>124</v>
      </c>
      <c r="S79" s="60" t="s">
        <v>125</v>
      </c>
      <c r="T79" s="63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>
        <v>50</v>
      </c>
      <c r="AL79" s="60">
        <v>50</v>
      </c>
      <c r="AM79" s="60">
        <v>75</v>
      </c>
      <c r="AN79" s="60">
        <v>75</v>
      </c>
      <c r="AO79" s="60">
        <v>75</v>
      </c>
      <c r="AP79" s="60">
        <v>75</v>
      </c>
      <c r="AQ79" s="60">
        <v>50</v>
      </c>
      <c r="AR79" s="60">
        <v>45</v>
      </c>
      <c r="AS79" s="60"/>
      <c r="AT79" s="60"/>
      <c r="AU79" s="60"/>
      <c r="AV79" s="60"/>
      <c r="AW79" s="60"/>
      <c r="AX79" s="1">
        <f t="shared" si="54"/>
        <v>495</v>
      </c>
      <c r="AY79" s="1">
        <f t="shared" si="55"/>
        <v>582</v>
      </c>
      <c r="AZ79" s="1">
        <f t="shared" si="56"/>
        <v>0</v>
      </c>
      <c r="BA79" s="4">
        <f t="shared" si="57"/>
        <v>87</v>
      </c>
    </row>
    <row r="80" spans="1:53" s="16" customFormat="1" x14ac:dyDescent="0.2">
      <c r="A80" s="66" t="s">
        <v>170</v>
      </c>
      <c r="B80" s="56"/>
      <c r="C80" s="57"/>
      <c r="D80" s="57"/>
      <c r="E80" s="58">
        <v>582</v>
      </c>
      <c r="F80" s="59"/>
      <c r="G80" s="60"/>
      <c r="H80" s="59"/>
      <c r="I80" s="60"/>
      <c r="J80" s="61"/>
      <c r="K80" s="60" t="s">
        <v>92</v>
      </c>
      <c r="L80" s="60" t="s">
        <v>120</v>
      </c>
      <c r="M80" s="60" t="s">
        <v>121</v>
      </c>
      <c r="N80" s="60" t="s">
        <v>122</v>
      </c>
      <c r="O80" s="60" t="s">
        <v>123</v>
      </c>
      <c r="P80" s="60" t="s">
        <v>173</v>
      </c>
      <c r="Q80" s="60" t="s">
        <v>174</v>
      </c>
      <c r="R80" s="60" t="s">
        <v>124</v>
      </c>
      <c r="S80" s="60" t="s">
        <v>125</v>
      </c>
      <c r="T80" s="63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>
        <v>50</v>
      </c>
      <c r="AL80" s="60">
        <v>50</v>
      </c>
      <c r="AM80" s="60">
        <v>75</v>
      </c>
      <c r="AN80" s="60">
        <v>75</v>
      </c>
      <c r="AO80" s="60">
        <v>75</v>
      </c>
      <c r="AP80" s="60">
        <v>75</v>
      </c>
      <c r="AQ80" s="60">
        <v>50</v>
      </c>
      <c r="AR80" s="60">
        <v>45</v>
      </c>
      <c r="AS80" s="60"/>
      <c r="AT80" s="60"/>
      <c r="AU80" s="60"/>
      <c r="AV80" s="60"/>
      <c r="AW80" s="60"/>
      <c r="AX80" s="1">
        <f t="shared" si="54"/>
        <v>495</v>
      </c>
      <c r="AY80" s="1">
        <f t="shared" si="55"/>
        <v>582</v>
      </c>
      <c r="AZ80" s="1">
        <f t="shared" si="56"/>
        <v>0</v>
      </c>
      <c r="BA80" s="4">
        <f t="shared" si="57"/>
        <v>87</v>
      </c>
    </row>
    <row r="81" spans="1:53" s="16" customFormat="1" x14ac:dyDescent="0.2">
      <c r="A81" s="66" t="s">
        <v>172</v>
      </c>
      <c r="B81" s="56"/>
      <c r="C81" s="57"/>
      <c r="D81" s="57"/>
      <c r="E81" s="58">
        <v>571</v>
      </c>
      <c r="F81" s="59"/>
      <c r="G81" s="60"/>
      <c r="H81" s="59"/>
      <c r="I81" s="60"/>
      <c r="J81" s="61"/>
      <c r="K81" s="60" t="s">
        <v>92</v>
      </c>
      <c r="L81" s="60" t="s">
        <v>120</v>
      </c>
      <c r="M81" s="60" t="s">
        <v>121</v>
      </c>
      <c r="N81" s="60" t="s">
        <v>122</v>
      </c>
      <c r="O81" s="60" t="s">
        <v>123</v>
      </c>
      <c r="P81" s="60" t="s">
        <v>173</v>
      </c>
      <c r="Q81" s="60" t="s">
        <v>174</v>
      </c>
      <c r="R81" s="60" t="s">
        <v>124</v>
      </c>
      <c r="S81" s="60" t="s">
        <v>125</v>
      </c>
      <c r="T81" s="63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>
        <v>50</v>
      </c>
      <c r="AL81" s="60">
        <v>50</v>
      </c>
      <c r="AM81" s="60">
        <v>75</v>
      </c>
      <c r="AN81" s="60">
        <v>75</v>
      </c>
      <c r="AO81" s="60">
        <v>75</v>
      </c>
      <c r="AP81" s="60">
        <v>75</v>
      </c>
      <c r="AQ81" s="60">
        <v>50</v>
      </c>
      <c r="AR81" s="60">
        <v>35</v>
      </c>
      <c r="AS81" s="60"/>
      <c r="AT81" s="60"/>
      <c r="AU81" s="60"/>
      <c r="AV81" s="60"/>
      <c r="AW81" s="60"/>
      <c r="AX81" s="1">
        <f t="shared" si="54"/>
        <v>485</v>
      </c>
      <c r="AY81" s="1">
        <f t="shared" si="55"/>
        <v>571</v>
      </c>
      <c r="AZ81" s="1">
        <f t="shared" si="56"/>
        <v>0</v>
      </c>
      <c r="BA81" s="4">
        <f t="shared" si="57"/>
        <v>86</v>
      </c>
    </row>
    <row r="82" spans="1:53" s="16" customFormat="1" x14ac:dyDescent="0.2">
      <c r="A82" s="66" t="s">
        <v>185</v>
      </c>
      <c r="B82" s="56"/>
      <c r="C82" s="57"/>
      <c r="D82" s="57"/>
      <c r="E82" s="58">
        <v>424</v>
      </c>
      <c r="F82" s="59"/>
      <c r="G82" s="60"/>
      <c r="H82" s="59"/>
      <c r="I82" s="60"/>
      <c r="J82" s="61"/>
      <c r="K82" s="60" t="s">
        <v>92</v>
      </c>
      <c r="L82" s="60" t="s">
        <v>120</v>
      </c>
      <c r="M82" s="60" t="s">
        <v>121</v>
      </c>
      <c r="N82" s="60" t="s">
        <v>122</v>
      </c>
      <c r="O82" s="60" t="s">
        <v>123</v>
      </c>
      <c r="P82" s="60" t="s">
        <v>124</v>
      </c>
      <c r="Q82" s="60" t="s">
        <v>125</v>
      </c>
      <c r="R82" s="63"/>
      <c r="S82" s="63"/>
      <c r="T82" s="63"/>
      <c r="U82" s="60"/>
      <c r="V82" s="60"/>
      <c r="W82" s="60"/>
      <c r="X82" s="60"/>
      <c r="Y82" s="60"/>
      <c r="Z82" s="60"/>
      <c r="AA82" s="60">
        <v>21</v>
      </c>
      <c r="AB82" s="60">
        <v>40</v>
      </c>
      <c r="AC82" s="60">
        <v>70</v>
      </c>
      <c r="AD82" s="60">
        <v>70</v>
      </c>
      <c r="AE82" s="60">
        <v>60</v>
      </c>
      <c r="AF82" s="60">
        <v>60</v>
      </c>
      <c r="AG82" s="60">
        <v>40</v>
      </c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1">
        <f t="shared" ref="AX82:AX107" si="58">SUM(K82:AW82)</f>
        <v>361</v>
      </c>
      <c r="AY82" s="1">
        <f t="shared" ref="AY82:AY107" si="59">E82-I82</f>
        <v>424</v>
      </c>
      <c r="AZ82" s="1">
        <f t="shared" ref="AZ82:AZ107" si="60">C82</f>
        <v>0</v>
      </c>
      <c r="BA82" s="4">
        <f t="shared" ref="BA82:BA107" si="61">E82-I82-AX82</f>
        <v>63</v>
      </c>
    </row>
    <row r="83" spans="1:53" s="16" customFormat="1" x14ac:dyDescent="0.2">
      <c r="A83" s="66" t="s">
        <v>186</v>
      </c>
      <c r="B83" s="56"/>
      <c r="C83" s="57"/>
      <c r="D83" s="57"/>
      <c r="E83" s="58">
        <v>371</v>
      </c>
      <c r="F83" s="59"/>
      <c r="G83" s="60"/>
      <c r="H83" s="59"/>
      <c r="I83" s="60"/>
      <c r="J83" s="61"/>
      <c r="K83" s="60" t="s">
        <v>92</v>
      </c>
      <c r="L83" s="60" t="s">
        <v>120</v>
      </c>
      <c r="M83" s="60" t="s">
        <v>121</v>
      </c>
      <c r="N83" s="60" t="s">
        <v>122</v>
      </c>
      <c r="O83" s="60" t="s">
        <v>123</v>
      </c>
      <c r="P83" s="60" t="s">
        <v>124</v>
      </c>
      <c r="Q83" s="60" t="s">
        <v>125</v>
      </c>
      <c r="R83" s="63"/>
      <c r="S83" s="63"/>
      <c r="T83" s="63"/>
      <c r="U83" s="60"/>
      <c r="V83" s="60"/>
      <c r="W83" s="60"/>
      <c r="X83" s="60"/>
      <c r="Y83" s="60"/>
      <c r="Z83" s="60"/>
      <c r="AA83" s="60"/>
      <c r="AB83" s="60">
        <v>30</v>
      </c>
      <c r="AC83" s="60">
        <v>60</v>
      </c>
      <c r="AD83" s="60">
        <v>60</v>
      </c>
      <c r="AE83" s="60">
        <v>60</v>
      </c>
      <c r="AF83" s="60">
        <v>60</v>
      </c>
      <c r="AG83" s="60">
        <v>46</v>
      </c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1">
        <f t="shared" si="58"/>
        <v>316</v>
      </c>
      <c r="AY83" s="1">
        <f t="shared" si="59"/>
        <v>371</v>
      </c>
      <c r="AZ83" s="1">
        <f t="shared" si="60"/>
        <v>0</v>
      </c>
      <c r="BA83" s="4">
        <f t="shared" si="61"/>
        <v>55</v>
      </c>
    </row>
    <row r="84" spans="1:53" s="16" customFormat="1" x14ac:dyDescent="0.2">
      <c r="A84" s="66" t="s">
        <v>187</v>
      </c>
      <c r="B84" s="56"/>
      <c r="C84" s="57"/>
      <c r="D84" s="57"/>
      <c r="E84" s="58">
        <v>425</v>
      </c>
      <c r="F84" s="59"/>
      <c r="G84" s="60"/>
      <c r="H84" s="59"/>
      <c r="I84" s="60"/>
      <c r="J84" s="61"/>
      <c r="K84" s="60"/>
      <c r="L84" s="60"/>
      <c r="M84" s="60"/>
      <c r="N84" s="60"/>
      <c r="O84" s="60"/>
      <c r="P84" s="60"/>
      <c r="Q84" s="60"/>
      <c r="R84" s="63"/>
      <c r="S84" s="63"/>
      <c r="T84" s="63"/>
      <c r="U84" s="60"/>
      <c r="V84" s="60"/>
      <c r="W84" s="60">
        <v>21</v>
      </c>
      <c r="X84" s="60">
        <v>60</v>
      </c>
      <c r="Y84" s="60">
        <v>70</v>
      </c>
      <c r="Z84" s="60">
        <v>70</v>
      </c>
      <c r="AA84" s="60">
        <v>60</v>
      </c>
      <c r="AB84" s="60">
        <v>60</v>
      </c>
      <c r="AC84" s="60">
        <v>20</v>
      </c>
      <c r="AD84" s="63"/>
      <c r="AE84" s="63"/>
      <c r="AF84" s="63"/>
      <c r="AG84" s="63"/>
      <c r="AH84" s="63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1">
        <f t="shared" si="58"/>
        <v>361</v>
      </c>
      <c r="AY84" s="1">
        <f t="shared" si="59"/>
        <v>425</v>
      </c>
      <c r="AZ84" s="1">
        <f t="shared" si="60"/>
        <v>0</v>
      </c>
      <c r="BA84" s="4">
        <f t="shared" si="61"/>
        <v>64</v>
      </c>
    </row>
    <row r="85" spans="1:53" s="16" customFormat="1" x14ac:dyDescent="0.2">
      <c r="A85" s="66" t="s">
        <v>188</v>
      </c>
      <c r="B85" s="56"/>
      <c r="C85" s="57"/>
      <c r="D85" s="57"/>
      <c r="E85" s="58">
        <v>425</v>
      </c>
      <c r="F85" s="59"/>
      <c r="G85" s="60"/>
      <c r="H85" s="59"/>
      <c r="I85" s="60"/>
      <c r="J85" s="61"/>
      <c r="K85" s="60"/>
      <c r="L85" s="60"/>
      <c r="M85" s="60"/>
      <c r="N85" s="60"/>
      <c r="O85" s="60"/>
      <c r="P85" s="60"/>
      <c r="Q85" s="60"/>
      <c r="R85" s="63"/>
      <c r="S85" s="63"/>
      <c r="T85" s="63"/>
      <c r="U85" s="60"/>
      <c r="V85" s="60"/>
      <c r="W85" s="60">
        <v>21</v>
      </c>
      <c r="X85" s="60">
        <v>60</v>
      </c>
      <c r="Y85" s="60">
        <v>70</v>
      </c>
      <c r="Z85" s="60">
        <v>70</v>
      </c>
      <c r="AA85" s="60">
        <v>60</v>
      </c>
      <c r="AB85" s="60">
        <v>60</v>
      </c>
      <c r="AC85" s="60">
        <v>20</v>
      </c>
      <c r="AD85" s="63"/>
      <c r="AE85" s="63"/>
      <c r="AF85" s="63"/>
      <c r="AG85" s="63"/>
      <c r="AH85" s="63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1">
        <f t="shared" si="58"/>
        <v>361</v>
      </c>
      <c r="AY85" s="1">
        <f t="shared" si="59"/>
        <v>425</v>
      </c>
      <c r="AZ85" s="1">
        <f t="shared" si="60"/>
        <v>0</v>
      </c>
      <c r="BA85" s="4">
        <f t="shared" si="61"/>
        <v>64</v>
      </c>
    </row>
    <row r="86" spans="1:53" s="16" customFormat="1" x14ac:dyDescent="0.2">
      <c r="A86" s="66" t="s">
        <v>189</v>
      </c>
      <c r="B86" s="56"/>
      <c r="C86" s="57"/>
      <c r="D86" s="57"/>
      <c r="E86" s="58">
        <v>425</v>
      </c>
      <c r="F86" s="59"/>
      <c r="G86" s="60"/>
      <c r="H86" s="59"/>
      <c r="I86" s="60"/>
      <c r="J86" s="61"/>
      <c r="K86" s="60"/>
      <c r="L86" s="60"/>
      <c r="M86" s="60"/>
      <c r="N86" s="60"/>
      <c r="O86" s="60"/>
      <c r="P86" s="60"/>
      <c r="Q86" s="60"/>
      <c r="R86" s="63"/>
      <c r="S86" s="63"/>
      <c r="T86" s="63"/>
      <c r="U86" s="60"/>
      <c r="V86" s="60"/>
      <c r="W86" s="60"/>
      <c r="X86" s="60"/>
      <c r="Y86" s="60"/>
      <c r="Z86" s="60"/>
      <c r="AA86" s="60"/>
      <c r="AB86" s="60">
        <v>21</v>
      </c>
      <c r="AC86" s="60">
        <v>60</v>
      </c>
      <c r="AD86" s="60">
        <v>70</v>
      </c>
      <c r="AE86" s="60">
        <v>70</v>
      </c>
      <c r="AF86" s="60">
        <v>60</v>
      </c>
      <c r="AG86" s="60">
        <v>60</v>
      </c>
      <c r="AH86" s="60">
        <v>20</v>
      </c>
      <c r="AI86" s="63"/>
      <c r="AJ86" s="63"/>
      <c r="AK86" s="63"/>
      <c r="AL86" s="63"/>
      <c r="AM86" s="63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1">
        <f t="shared" si="58"/>
        <v>361</v>
      </c>
      <c r="AY86" s="1">
        <f t="shared" si="59"/>
        <v>425</v>
      </c>
      <c r="AZ86" s="1">
        <f t="shared" si="60"/>
        <v>0</v>
      </c>
      <c r="BA86" s="4">
        <f t="shared" si="61"/>
        <v>64</v>
      </c>
    </row>
    <row r="87" spans="1:53" s="16" customFormat="1" x14ac:dyDescent="0.2">
      <c r="A87" s="66" t="s">
        <v>190</v>
      </c>
      <c r="B87" s="56"/>
      <c r="C87" s="57"/>
      <c r="D87" s="57"/>
      <c r="E87" s="58">
        <v>425</v>
      </c>
      <c r="F87" s="59"/>
      <c r="G87" s="60"/>
      <c r="H87" s="59"/>
      <c r="I87" s="60"/>
      <c r="J87" s="61"/>
      <c r="K87" s="60"/>
      <c r="L87" s="60"/>
      <c r="M87" s="60"/>
      <c r="N87" s="60"/>
      <c r="O87" s="60"/>
      <c r="P87" s="60"/>
      <c r="Q87" s="60"/>
      <c r="R87" s="63"/>
      <c r="S87" s="63"/>
      <c r="T87" s="63"/>
      <c r="U87" s="60"/>
      <c r="V87" s="60"/>
      <c r="W87" s="60"/>
      <c r="X87" s="60"/>
      <c r="Y87" s="60"/>
      <c r="Z87" s="60"/>
      <c r="AA87" s="60"/>
      <c r="AB87" s="60">
        <v>21</v>
      </c>
      <c r="AC87" s="60">
        <v>60</v>
      </c>
      <c r="AD87" s="60">
        <v>70</v>
      </c>
      <c r="AE87" s="60">
        <v>70</v>
      </c>
      <c r="AF87" s="60">
        <v>60</v>
      </c>
      <c r="AG87" s="60">
        <v>60</v>
      </c>
      <c r="AH87" s="60">
        <v>20</v>
      </c>
      <c r="AI87" s="63"/>
      <c r="AJ87" s="63"/>
      <c r="AK87" s="63"/>
      <c r="AL87" s="63"/>
      <c r="AM87" s="63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1">
        <f t="shared" si="58"/>
        <v>361</v>
      </c>
      <c r="AY87" s="1">
        <f t="shared" si="59"/>
        <v>425</v>
      </c>
      <c r="AZ87" s="1">
        <f t="shared" si="60"/>
        <v>0</v>
      </c>
      <c r="BA87" s="4">
        <f t="shared" si="61"/>
        <v>64</v>
      </c>
    </row>
    <row r="88" spans="1:53" s="16" customFormat="1" x14ac:dyDescent="0.2">
      <c r="A88" s="66" t="s">
        <v>191</v>
      </c>
      <c r="B88" s="56"/>
      <c r="C88" s="57"/>
      <c r="D88" s="57"/>
      <c r="E88" s="58">
        <v>425</v>
      </c>
      <c r="F88" s="59"/>
      <c r="G88" s="60"/>
      <c r="H88" s="59"/>
      <c r="I88" s="60"/>
      <c r="J88" s="61"/>
      <c r="K88" s="60"/>
      <c r="L88" s="60"/>
      <c r="M88" s="60"/>
      <c r="N88" s="60"/>
      <c r="O88" s="60"/>
      <c r="P88" s="60"/>
      <c r="Q88" s="60"/>
      <c r="R88" s="63"/>
      <c r="S88" s="63"/>
      <c r="T88" s="63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>
        <v>21</v>
      </c>
      <c r="AH88" s="60">
        <v>60</v>
      </c>
      <c r="AI88" s="60">
        <v>70</v>
      </c>
      <c r="AJ88" s="60">
        <v>70</v>
      </c>
      <c r="AK88" s="60">
        <v>60</v>
      </c>
      <c r="AL88" s="60">
        <v>60</v>
      </c>
      <c r="AM88" s="60">
        <v>20</v>
      </c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1">
        <f t="shared" si="58"/>
        <v>361</v>
      </c>
      <c r="AY88" s="1">
        <f t="shared" si="59"/>
        <v>425</v>
      </c>
      <c r="AZ88" s="1">
        <f t="shared" si="60"/>
        <v>0</v>
      </c>
      <c r="BA88" s="4">
        <f t="shared" si="61"/>
        <v>64</v>
      </c>
    </row>
    <row r="89" spans="1:53" s="16" customFormat="1" x14ac:dyDescent="0.2">
      <c r="A89" s="66" t="s">
        <v>192</v>
      </c>
      <c r="B89" s="56"/>
      <c r="C89" s="57"/>
      <c r="D89" s="57"/>
      <c r="E89" s="58">
        <v>425</v>
      </c>
      <c r="F89" s="59"/>
      <c r="G89" s="60"/>
      <c r="H89" s="59"/>
      <c r="I89" s="60"/>
      <c r="J89" s="61"/>
      <c r="K89" s="60"/>
      <c r="L89" s="60"/>
      <c r="M89" s="60"/>
      <c r="N89" s="60"/>
      <c r="O89" s="60"/>
      <c r="P89" s="60"/>
      <c r="Q89" s="60"/>
      <c r="R89" s="63"/>
      <c r="S89" s="63"/>
      <c r="T89" s="63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>
        <v>21</v>
      </c>
      <c r="AH89" s="60">
        <v>60</v>
      </c>
      <c r="AI89" s="60">
        <v>70</v>
      </c>
      <c r="AJ89" s="60">
        <v>70</v>
      </c>
      <c r="AK89" s="60">
        <v>60</v>
      </c>
      <c r="AL89" s="60">
        <v>60</v>
      </c>
      <c r="AM89" s="60">
        <v>20</v>
      </c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1">
        <f t="shared" si="58"/>
        <v>361</v>
      </c>
      <c r="AY89" s="1">
        <f t="shared" si="59"/>
        <v>425</v>
      </c>
      <c r="AZ89" s="1">
        <f t="shared" si="60"/>
        <v>0</v>
      </c>
      <c r="BA89" s="4">
        <f t="shared" si="61"/>
        <v>64</v>
      </c>
    </row>
    <row r="90" spans="1:53" s="16" customFormat="1" x14ac:dyDescent="0.2">
      <c r="A90" s="66" t="s">
        <v>193</v>
      </c>
      <c r="B90" s="56"/>
      <c r="C90" s="57"/>
      <c r="D90" s="57"/>
      <c r="E90" s="58">
        <v>425</v>
      </c>
      <c r="F90" s="59"/>
      <c r="G90" s="60"/>
      <c r="H90" s="59"/>
      <c r="I90" s="60"/>
      <c r="J90" s="61"/>
      <c r="K90" s="60"/>
      <c r="L90" s="60"/>
      <c r="M90" s="60"/>
      <c r="N90" s="60"/>
      <c r="O90" s="60"/>
      <c r="P90" s="60"/>
      <c r="Q90" s="60"/>
      <c r="R90" s="63"/>
      <c r="S90" s="63"/>
      <c r="T90" s="63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3"/>
      <c r="AH90" s="63"/>
      <c r="AI90" s="63"/>
      <c r="AJ90" s="63"/>
      <c r="AK90" s="63"/>
      <c r="AL90" s="60">
        <v>21</v>
      </c>
      <c r="AM90" s="60">
        <v>60</v>
      </c>
      <c r="AN90" s="60">
        <v>70</v>
      </c>
      <c r="AO90" s="60">
        <v>70</v>
      </c>
      <c r="AP90" s="60">
        <v>60</v>
      </c>
      <c r="AQ90" s="60">
        <v>60</v>
      </c>
      <c r="AR90" s="60">
        <v>20</v>
      </c>
      <c r="AS90" s="60"/>
      <c r="AT90" s="60"/>
      <c r="AU90" s="60"/>
      <c r="AV90" s="60"/>
      <c r="AW90" s="60"/>
      <c r="AX90" s="1">
        <f t="shared" si="58"/>
        <v>361</v>
      </c>
      <c r="AY90" s="1">
        <f t="shared" si="59"/>
        <v>425</v>
      </c>
      <c r="AZ90" s="1">
        <f t="shared" si="60"/>
        <v>0</v>
      </c>
      <c r="BA90" s="4">
        <f t="shared" si="61"/>
        <v>64</v>
      </c>
    </row>
    <row r="91" spans="1:53" s="16" customFormat="1" x14ac:dyDescent="0.2">
      <c r="A91" s="66" t="s">
        <v>194</v>
      </c>
      <c r="B91" s="56"/>
      <c r="C91" s="57"/>
      <c r="D91" s="57"/>
      <c r="E91" s="58">
        <v>425</v>
      </c>
      <c r="F91" s="59"/>
      <c r="G91" s="60"/>
      <c r="H91" s="59"/>
      <c r="I91" s="60"/>
      <c r="J91" s="61"/>
      <c r="K91" s="60"/>
      <c r="L91" s="60"/>
      <c r="M91" s="60"/>
      <c r="N91" s="60"/>
      <c r="O91" s="60"/>
      <c r="P91" s="60"/>
      <c r="Q91" s="60"/>
      <c r="R91" s="63"/>
      <c r="S91" s="63"/>
      <c r="T91" s="63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3"/>
      <c r="AH91" s="63"/>
      <c r="AI91" s="63"/>
      <c r="AJ91" s="63"/>
      <c r="AK91" s="63"/>
      <c r="AL91" s="60">
        <v>21</v>
      </c>
      <c r="AM91" s="60">
        <v>60</v>
      </c>
      <c r="AN91" s="60">
        <v>70</v>
      </c>
      <c r="AO91" s="60">
        <v>70</v>
      </c>
      <c r="AP91" s="60">
        <v>60</v>
      </c>
      <c r="AQ91" s="60">
        <v>60</v>
      </c>
      <c r="AR91" s="60">
        <v>20</v>
      </c>
      <c r="AS91" s="60"/>
      <c r="AT91" s="60"/>
      <c r="AU91" s="60"/>
      <c r="AV91" s="60"/>
      <c r="AW91" s="60"/>
      <c r="AX91" s="1">
        <f t="shared" si="58"/>
        <v>361</v>
      </c>
      <c r="AY91" s="1">
        <f t="shared" si="59"/>
        <v>425</v>
      </c>
      <c r="AZ91" s="1">
        <f t="shared" si="60"/>
        <v>0</v>
      </c>
      <c r="BA91" s="4">
        <f t="shared" si="61"/>
        <v>64</v>
      </c>
    </row>
    <row r="92" spans="1:53" s="16" customFormat="1" x14ac:dyDescent="0.2">
      <c r="A92" s="66" t="s">
        <v>195</v>
      </c>
      <c r="B92" s="56"/>
      <c r="C92" s="57"/>
      <c r="D92" s="57"/>
      <c r="E92" s="58">
        <v>204</v>
      </c>
      <c r="F92" s="59"/>
      <c r="G92" s="60"/>
      <c r="H92" s="59"/>
      <c r="I92" s="60"/>
      <c r="J92" s="61"/>
      <c r="K92" s="60"/>
      <c r="L92" s="60"/>
      <c r="M92" s="60"/>
      <c r="N92" s="60"/>
      <c r="O92" s="60"/>
      <c r="P92" s="60"/>
      <c r="Q92" s="60"/>
      <c r="R92" s="63"/>
      <c r="S92" s="63"/>
      <c r="T92" s="63"/>
      <c r="U92" s="60"/>
      <c r="V92" s="60"/>
      <c r="W92" s="60"/>
      <c r="X92" s="60">
        <v>25</v>
      </c>
      <c r="Y92" s="60">
        <v>50</v>
      </c>
      <c r="Z92" s="60">
        <v>50</v>
      </c>
      <c r="AA92" s="60">
        <v>50</v>
      </c>
      <c r="AB92" s="60"/>
      <c r="AC92" s="60"/>
      <c r="AD92" s="60"/>
      <c r="AE92" s="60"/>
      <c r="AF92" s="60"/>
      <c r="AG92" s="63"/>
      <c r="AH92" s="63"/>
      <c r="AI92" s="63"/>
      <c r="AJ92" s="63"/>
      <c r="AK92" s="63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1">
        <f>SUM(K92:AW92)</f>
        <v>175</v>
      </c>
      <c r="AY92" s="1">
        <f t="shared" ref="AY92:AY99" si="62">E92-I92</f>
        <v>204</v>
      </c>
      <c r="AZ92" s="1">
        <f t="shared" ref="AZ92:AZ99" si="63">C92</f>
        <v>0</v>
      </c>
      <c r="BA92" s="4">
        <f t="shared" ref="BA92:BA99" si="64">E92-I92-AX92</f>
        <v>29</v>
      </c>
    </row>
    <row r="93" spans="1:53" s="16" customFormat="1" x14ac:dyDescent="0.2">
      <c r="A93" s="66" t="s">
        <v>196</v>
      </c>
      <c r="B93" s="56"/>
      <c r="C93" s="57"/>
      <c r="D93" s="57"/>
      <c r="E93" s="58">
        <v>204</v>
      </c>
      <c r="F93" s="59"/>
      <c r="G93" s="60"/>
      <c r="H93" s="59"/>
      <c r="I93" s="60"/>
      <c r="J93" s="61"/>
      <c r="K93" s="60"/>
      <c r="L93" s="60"/>
      <c r="M93" s="60"/>
      <c r="N93" s="60"/>
      <c r="O93" s="60"/>
      <c r="P93" s="60"/>
      <c r="Q93" s="60"/>
      <c r="R93" s="63"/>
      <c r="S93" s="63"/>
      <c r="T93" s="63"/>
      <c r="U93" s="60"/>
      <c r="V93" s="60"/>
      <c r="W93" s="60"/>
      <c r="X93" s="60">
        <v>25</v>
      </c>
      <c r="Y93" s="60">
        <v>50</v>
      </c>
      <c r="Z93" s="60">
        <v>50</v>
      </c>
      <c r="AA93" s="60">
        <v>50</v>
      </c>
      <c r="AB93" s="60"/>
      <c r="AC93" s="60"/>
      <c r="AD93" s="60"/>
      <c r="AE93" s="60"/>
      <c r="AF93" s="60"/>
      <c r="AG93" s="63"/>
      <c r="AH93" s="63"/>
      <c r="AI93" s="63"/>
      <c r="AJ93" s="63"/>
      <c r="AK93" s="63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1">
        <f>SUM(K93:AW93)</f>
        <v>175</v>
      </c>
      <c r="AY93" s="1">
        <f t="shared" si="62"/>
        <v>204</v>
      </c>
      <c r="AZ93" s="1">
        <f t="shared" si="63"/>
        <v>0</v>
      </c>
      <c r="BA93" s="4">
        <f t="shared" si="64"/>
        <v>29</v>
      </c>
    </row>
    <row r="94" spans="1:53" s="16" customFormat="1" x14ac:dyDescent="0.2">
      <c r="A94" s="66" t="s">
        <v>197</v>
      </c>
      <c r="B94" s="56"/>
      <c r="C94" s="57"/>
      <c r="D94" s="57"/>
      <c r="E94" s="58">
        <v>204</v>
      </c>
      <c r="F94" s="59"/>
      <c r="G94" s="60"/>
      <c r="H94" s="59"/>
      <c r="I94" s="60"/>
      <c r="J94" s="61"/>
      <c r="K94" s="60"/>
      <c r="L94" s="60"/>
      <c r="M94" s="60"/>
      <c r="N94" s="60"/>
      <c r="O94" s="60"/>
      <c r="P94" s="60"/>
      <c r="Q94" s="60"/>
      <c r="R94" s="63"/>
      <c r="S94" s="63"/>
      <c r="T94" s="63"/>
      <c r="U94" s="60"/>
      <c r="V94" s="60"/>
      <c r="W94" s="60"/>
      <c r="X94" s="63"/>
      <c r="Y94" s="63"/>
      <c r="Z94" s="63"/>
      <c r="AA94" s="60">
        <v>25</v>
      </c>
      <c r="AB94" s="60">
        <v>50</v>
      </c>
      <c r="AC94" s="60">
        <v>50</v>
      </c>
      <c r="AD94" s="60">
        <v>50</v>
      </c>
      <c r="AE94" s="60"/>
      <c r="AF94" s="60"/>
      <c r="AG94" s="63"/>
      <c r="AH94" s="63"/>
      <c r="AI94" s="63"/>
      <c r="AJ94" s="63"/>
      <c r="AK94" s="63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1">
        <f t="shared" ref="AX94:AX99" si="65">SUM(K94:AW94)</f>
        <v>175</v>
      </c>
      <c r="AY94" s="1">
        <f t="shared" si="62"/>
        <v>204</v>
      </c>
      <c r="AZ94" s="1">
        <f t="shared" si="63"/>
        <v>0</v>
      </c>
      <c r="BA94" s="4">
        <f t="shared" si="64"/>
        <v>29</v>
      </c>
    </row>
    <row r="95" spans="1:53" s="16" customFormat="1" x14ac:dyDescent="0.2">
      <c r="A95" s="66" t="s">
        <v>198</v>
      </c>
      <c r="B95" s="56"/>
      <c r="C95" s="57"/>
      <c r="D95" s="57"/>
      <c r="E95" s="58">
        <v>204</v>
      </c>
      <c r="F95" s="59"/>
      <c r="G95" s="60"/>
      <c r="H95" s="59"/>
      <c r="I95" s="60"/>
      <c r="J95" s="61"/>
      <c r="K95" s="60"/>
      <c r="L95" s="60"/>
      <c r="M95" s="60"/>
      <c r="N95" s="60"/>
      <c r="O95" s="60"/>
      <c r="P95" s="60"/>
      <c r="Q95" s="60"/>
      <c r="R95" s="63"/>
      <c r="S95" s="63"/>
      <c r="T95" s="63"/>
      <c r="U95" s="60"/>
      <c r="V95" s="60"/>
      <c r="W95" s="60"/>
      <c r="X95" s="63"/>
      <c r="Y95" s="63"/>
      <c r="Z95" s="63"/>
      <c r="AA95" s="60">
        <v>25</v>
      </c>
      <c r="AB95" s="60">
        <v>50</v>
      </c>
      <c r="AC95" s="60">
        <v>50</v>
      </c>
      <c r="AD95" s="60">
        <v>50</v>
      </c>
      <c r="AE95" s="60"/>
      <c r="AF95" s="60"/>
      <c r="AG95" s="63"/>
      <c r="AH95" s="63"/>
      <c r="AI95" s="63"/>
      <c r="AJ95" s="63"/>
      <c r="AK95" s="63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1">
        <f t="shared" si="65"/>
        <v>175</v>
      </c>
      <c r="AY95" s="1">
        <f t="shared" si="62"/>
        <v>204</v>
      </c>
      <c r="AZ95" s="1">
        <f t="shared" si="63"/>
        <v>0</v>
      </c>
      <c r="BA95" s="4">
        <f t="shared" si="64"/>
        <v>29</v>
      </c>
    </row>
    <row r="96" spans="1:53" s="16" customFormat="1" x14ac:dyDescent="0.2">
      <c r="A96" s="66" t="s">
        <v>199</v>
      </c>
      <c r="B96" s="56"/>
      <c r="C96" s="57"/>
      <c r="D96" s="57"/>
      <c r="E96" s="58">
        <v>204</v>
      </c>
      <c r="F96" s="59"/>
      <c r="G96" s="60"/>
      <c r="H96" s="59"/>
      <c r="I96" s="60"/>
      <c r="J96" s="61"/>
      <c r="K96" s="60"/>
      <c r="L96" s="60"/>
      <c r="M96" s="60"/>
      <c r="N96" s="60"/>
      <c r="O96" s="60"/>
      <c r="P96" s="60"/>
      <c r="Q96" s="60"/>
      <c r="R96" s="63"/>
      <c r="S96" s="63"/>
      <c r="T96" s="63"/>
      <c r="U96" s="60"/>
      <c r="V96" s="60"/>
      <c r="W96" s="60"/>
      <c r="X96" s="60"/>
      <c r="Y96" s="60"/>
      <c r="Z96" s="60"/>
      <c r="AA96" s="63"/>
      <c r="AB96" s="63"/>
      <c r="AC96" s="63"/>
      <c r="AD96" s="60">
        <v>25</v>
      </c>
      <c r="AE96" s="60">
        <v>50</v>
      </c>
      <c r="AF96" s="60">
        <v>50</v>
      </c>
      <c r="AG96" s="60">
        <v>50</v>
      </c>
      <c r="AH96" s="63"/>
      <c r="AI96" s="63"/>
      <c r="AJ96" s="63"/>
      <c r="AK96" s="63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1">
        <f t="shared" si="65"/>
        <v>175</v>
      </c>
      <c r="AY96" s="1">
        <f t="shared" si="62"/>
        <v>204</v>
      </c>
      <c r="AZ96" s="1">
        <f t="shared" si="63"/>
        <v>0</v>
      </c>
      <c r="BA96" s="4">
        <f t="shared" si="64"/>
        <v>29</v>
      </c>
    </row>
    <row r="97" spans="1:53" s="16" customFormat="1" x14ac:dyDescent="0.2">
      <c r="A97" s="66" t="s">
        <v>200</v>
      </c>
      <c r="B97" s="56"/>
      <c r="C97" s="57"/>
      <c r="D97" s="57"/>
      <c r="E97" s="58">
        <v>204</v>
      </c>
      <c r="F97" s="59"/>
      <c r="G97" s="60"/>
      <c r="H97" s="59"/>
      <c r="I97" s="60"/>
      <c r="J97" s="61"/>
      <c r="K97" s="60"/>
      <c r="L97" s="60"/>
      <c r="M97" s="60"/>
      <c r="N97" s="60"/>
      <c r="O97" s="60"/>
      <c r="P97" s="60"/>
      <c r="Q97" s="60"/>
      <c r="R97" s="63"/>
      <c r="S97" s="63"/>
      <c r="T97" s="63"/>
      <c r="U97" s="60"/>
      <c r="V97" s="60"/>
      <c r="W97" s="60"/>
      <c r="X97" s="60"/>
      <c r="Y97" s="60"/>
      <c r="Z97" s="60"/>
      <c r="AA97" s="63"/>
      <c r="AB97" s="63"/>
      <c r="AC97" s="63"/>
      <c r="AD97" s="60">
        <v>25</v>
      </c>
      <c r="AE97" s="60">
        <v>50</v>
      </c>
      <c r="AF97" s="60">
        <v>50</v>
      </c>
      <c r="AG97" s="60">
        <v>50</v>
      </c>
      <c r="AH97" s="63"/>
      <c r="AI97" s="63"/>
      <c r="AJ97" s="63"/>
      <c r="AK97" s="63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1">
        <f t="shared" si="65"/>
        <v>175</v>
      </c>
      <c r="AY97" s="1">
        <f t="shared" si="62"/>
        <v>204</v>
      </c>
      <c r="AZ97" s="1">
        <f t="shared" si="63"/>
        <v>0</v>
      </c>
      <c r="BA97" s="4">
        <f t="shared" si="64"/>
        <v>29</v>
      </c>
    </row>
    <row r="98" spans="1:53" s="16" customFormat="1" x14ac:dyDescent="0.2">
      <c r="A98" s="66" t="s">
        <v>201</v>
      </c>
      <c r="B98" s="56"/>
      <c r="C98" s="57"/>
      <c r="D98" s="57"/>
      <c r="E98" s="58">
        <v>204</v>
      </c>
      <c r="F98" s="59"/>
      <c r="G98" s="60"/>
      <c r="H98" s="59"/>
      <c r="I98" s="60"/>
      <c r="J98" s="61"/>
      <c r="K98" s="60"/>
      <c r="L98" s="60"/>
      <c r="M98" s="60"/>
      <c r="N98" s="60"/>
      <c r="O98" s="60"/>
      <c r="P98" s="60"/>
      <c r="Q98" s="60"/>
      <c r="R98" s="63"/>
      <c r="S98" s="63"/>
      <c r="T98" s="63"/>
      <c r="U98" s="60"/>
      <c r="V98" s="60"/>
      <c r="W98" s="60"/>
      <c r="X98" s="60"/>
      <c r="Y98" s="60"/>
      <c r="Z98" s="60"/>
      <c r="AA98" s="60"/>
      <c r="AB98" s="60"/>
      <c r="AC98" s="60"/>
      <c r="AD98" s="63"/>
      <c r="AE98" s="63"/>
      <c r="AF98" s="63"/>
      <c r="AG98" s="60">
        <v>25</v>
      </c>
      <c r="AH98" s="60">
        <v>50</v>
      </c>
      <c r="AI98" s="60">
        <v>50</v>
      </c>
      <c r="AJ98" s="60">
        <v>50</v>
      </c>
      <c r="AK98" s="63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1">
        <f t="shared" si="65"/>
        <v>175</v>
      </c>
      <c r="AY98" s="1">
        <f t="shared" si="62"/>
        <v>204</v>
      </c>
      <c r="AZ98" s="1">
        <f t="shared" si="63"/>
        <v>0</v>
      </c>
      <c r="BA98" s="4">
        <f t="shared" si="64"/>
        <v>29</v>
      </c>
    </row>
    <row r="99" spans="1:53" s="16" customFormat="1" x14ac:dyDescent="0.2">
      <c r="A99" s="66" t="s">
        <v>202</v>
      </c>
      <c r="B99" s="56"/>
      <c r="C99" s="57"/>
      <c r="D99" s="57"/>
      <c r="E99" s="58">
        <v>204</v>
      </c>
      <c r="F99" s="59"/>
      <c r="G99" s="60"/>
      <c r="H99" s="59"/>
      <c r="I99" s="60"/>
      <c r="J99" s="61"/>
      <c r="K99" s="60"/>
      <c r="L99" s="60"/>
      <c r="M99" s="60"/>
      <c r="N99" s="60"/>
      <c r="O99" s="60"/>
      <c r="P99" s="60"/>
      <c r="Q99" s="60"/>
      <c r="R99" s="63"/>
      <c r="S99" s="63"/>
      <c r="T99" s="63"/>
      <c r="U99" s="60"/>
      <c r="V99" s="60"/>
      <c r="W99" s="60"/>
      <c r="X99" s="60"/>
      <c r="Y99" s="60"/>
      <c r="Z99" s="60"/>
      <c r="AA99" s="60"/>
      <c r="AB99" s="60"/>
      <c r="AC99" s="60"/>
      <c r="AD99" s="63"/>
      <c r="AE99" s="63"/>
      <c r="AF99" s="63"/>
      <c r="AG99" s="60">
        <v>25</v>
      </c>
      <c r="AH99" s="60">
        <v>50</v>
      </c>
      <c r="AI99" s="60">
        <v>50</v>
      </c>
      <c r="AJ99" s="60">
        <v>50</v>
      </c>
      <c r="AK99" s="63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1">
        <f t="shared" si="65"/>
        <v>175</v>
      </c>
      <c r="AY99" s="1">
        <f t="shared" si="62"/>
        <v>204</v>
      </c>
      <c r="AZ99" s="1">
        <f t="shared" si="63"/>
        <v>0</v>
      </c>
      <c r="BA99" s="4">
        <f t="shared" si="64"/>
        <v>29</v>
      </c>
    </row>
    <row r="100" spans="1:53" s="16" customFormat="1" x14ac:dyDescent="0.2">
      <c r="A100" s="66" t="s">
        <v>203</v>
      </c>
      <c r="B100" s="56"/>
      <c r="C100" s="57"/>
      <c r="D100" s="57"/>
      <c r="E100" s="58">
        <v>204</v>
      </c>
      <c r="F100" s="59"/>
      <c r="G100" s="60"/>
      <c r="H100" s="59"/>
      <c r="I100" s="60"/>
      <c r="J100" s="61"/>
      <c r="K100" s="60"/>
      <c r="L100" s="60"/>
      <c r="M100" s="60"/>
      <c r="N100" s="60"/>
      <c r="O100" s="60"/>
      <c r="P100" s="60"/>
      <c r="Q100" s="60"/>
      <c r="R100" s="63"/>
      <c r="S100" s="63"/>
      <c r="T100" s="63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3"/>
      <c r="AH100" s="63"/>
      <c r="AI100" s="63"/>
      <c r="AJ100" s="60">
        <v>25</v>
      </c>
      <c r="AK100" s="60">
        <v>50</v>
      </c>
      <c r="AL100" s="60">
        <v>50</v>
      </c>
      <c r="AM100" s="60">
        <v>50</v>
      </c>
      <c r="AN100" s="63"/>
      <c r="AO100" s="63"/>
      <c r="AP100" s="63"/>
      <c r="AQ100" s="60"/>
      <c r="AR100" s="60"/>
      <c r="AS100" s="60"/>
      <c r="AT100" s="60"/>
      <c r="AU100" s="60"/>
      <c r="AV100" s="60"/>
      <c r="AW100" s="60"/>
      <c r="AX100" s="1">
        <f>SUM(K100:AW100)</f>
        <v>175</v>
      </c>
      <c r="AY100" s="1">
        <f>E100-I100</f>
        <v>204</v>
      </c>
      <c r="AZ100" s="1">
        <f t="shared" si="60"/>
        <v>0</v>
      </c>
      <c r="BA100" s="4">
        <f t="shared" si="61"/>
        <v>29</v>
      </c>
    </row>
    <row r="101" spans="1:53" s="16" customFormat="1" x14ac:dyDescent="0.2">
      <c r="A101" s="66" t="s">
        <v>204</v>
      </c>
      <c r="B101" s="56"/>
      <c r="C101" s="57"/>
      <c r="D101" s="57"/>
      <c r="E101" s="58">
        <v>204</v>
      </c>
      <c r="F101" s="59"/>
      <c r="G101" s="60"/>
      <c r="H101" s="59"/>
      <c r="I101" s="60"/>
      <c r="J101" s="61"/>
      <c r="K101" s="60"/>
      <c r="L101" s="60"/>
      <c r="M101" s="60"/>
      <c r="N101" s="60"/>
      <c r="O101" s="60"/>
      <c r="P101" s="60"/>
      <c r="Q101" s="60"/>
      <c r="R101" s="63"/>
      <c r="S101" s="63"/>
      <c r="T101" s="63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3"/>
      <c r="AH101" s="63"/>
      <c r="AI101" s="63"/>
      <c r="AJ101" s="60">
        <v>25</v>
      </c>
      <c r="AK101" s="60">
        <v>50</v>
      </c>
      <c r="AL101" s="60">
        <v>50</v>
      </c>
      <c r="AM101" s="60">
        <v>50</v>
      </c>
      <c r="AN101" s="63"/>
      <c r="AO101" s="63"/>
      <c r="AP101" s="63"/>
      <c r="AQ101" s="60"/>
      <c r="AR101" s="60"/>
      <c r="AS101" s="60"/>
      <c r="AT101" s="60"/>
      <c r="AU101" s="60"/>
      <c r="AV101" s="60"/>
      <c r="AW101" s="60"/>
      <c r="AX101" s="1">
        <f>SUM(K101:AW101)</f>
        <v>175</v>
      </c>
      <c r="AY101" s="1">
        <f t="shared" si="59"/>
        <v>204</v>
      </c>
      <c r="AZ101" s="1">
        <f t="shared" si="60"/>
        <v>0</v>
      </c>
      <c r="BA101" s="4">
        <f t="shared" si="61"/>
        <v>29</v>
      </c>
    </row>
    <row r="102" spans="1:53" s="16" customFormat="1" x14ac:dyDescent="0.2">
      <c r="A102" s="66" t="s">
        <v>205</v>
      </c>
      <c r="B102" s="56"/>
      <c r="C102" s="57"/>
      <c r="D102" s="57"/>
      <c r="E102" s="58">
        <v>204</v>
      </c>
      <c r="F102" s="59"/>
      <c r="G102" s="60"/>
      <c r="H102" s="59"/>
      <c r="I102" s="60"/>
      <c r="J102" s="61"/>
      <c r="K102" s="60"/>
      <c r="L102" s="60"/>
      <c r="M102" s="60"/>
      <c r="N102" s="60"/>
      <c r="O102" s="60"/>
      <c r="P102" s="60"/>
      <c r="Q102" s="60"/>
      <c r="R102" s="63"/>
      <c r="S102" s="63"/>
      <c r="T102" s="63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3"/>
      <c r="AK102" s="63"/>
      <c r="AL102" s="63"/>
      <c r="AM102" s="60">
        <v>25</v>
      </c>
      <c r="AN102" s="60">
        <v>50</v>
      </c>
      <c r="AO102" s="60">
        <v>50</v>
      </c>
      <c r="AP102" s="60">
        <v>50</v>
      </c>
      <c r="AQ102" s="60"/>
      <c r="AR102" s="60"/>
      <c r="AS102" s="60"/>
      <c r="AT102" s="60"/>
      <c r="AU102" s="60"/>
      <c r="AV102" s="60"/>
      <c r="AW102" s="60"/>
      <c r="AX102" s="1">
        <f t="shared" si="58"/>
        <v>175</v>
      </c>
      <c r="AY102" s="1">
        <f t="shared" si="59"/>
        <v>204</v>
      </c>
      <c r="AZ102" s="1">
        <f t="shared" si="60"/>
        <v>0</v>
      </c>
      <c r="BA102" s="4">
        <f t="shared" si="61"/>
        <v>29</v>
      </c>
    </row>
    <row r="103" spans="1:53" s="16" customFormat="1" x14ac:dyDescent="0.2">
      <c r="A103" s="66" t="s">
        <v>206</v>
      </c>
      <c r="B103" s="56"/>
      <c r="C103" s="57"/>
      <c r="D103" s="57"/>
      <c r="E103" s="58">
        <v>204</v>
      </c>
      <c r="F103" s="59"/>
      <c r="G103" s="60"/>
      <c r="H103" s="59"/>
      <c r="I103" s="60"/>
      <c r="J103" s="61"/>
      <c r="K103" s="60"/>
      <c r="L103" s="60"/>
      <c r="M103" s="60"/>
      <c r="N103" s="60"/>
      <c r="O103" s="60"/>
      <c r="P103" s="60"/>
      <c r="Q103" s="60"/>
      <c r="R103" s="63"/>
      <c r="S103" s="63"/>
      <c r="T103" s="63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3"/>
      <c r="AK103" s="63"/>
      <c r="AL103" s="63"/>
      <c r="AM103" s="60">
        <v>25</v>
      </c>
      <c r="AN103" s="60">
        <v>50</v>
      </c>
      <c r="AO103" s="60">
        <v>50</v>
      </c>
      <c r="AP103" s="60">
        <v>50</v>
      </c>
      <c r="AQ103" s="60"/>
      <c r="AR103" s="60"/>
      <c r="AS103" s="60"/>
      <c r="AT103" s="60"/>
      <c r="AU103" s="60"/>
      <c r="AV103" s="60"/>
      <c r="AW103" s="60"/>
      <c r="AX103" s="1">
        <f t="shared" si="58"/>
        <v>175</v>
      </c>
      <c r="AY103" s="1">
        <f t="shared" si="59"/>
        <v>204</v>
      </c>
      <c r="AZ103" s="1">
        <f t="shared" si="60"/>
        <v>0</v>
      </c>
      <c r="BA103" s="4">
        <f t="shared" si="61"/>
        <v>29</v>
      </c>
    </row>
    <row r="104" spans="1:53" s="16" customFormat="1" x14ac:dyDescent="0.2">
      <c r="A104" s="66" t="s">
        <v>207</v>
      </c>
      <c r="B104" s="56"/>
      <c r="C104" s="57"/>
      <c r="D104" s="57"/>
      <c r="E104" s="58">
        <v>204</v>
      </c>
      <c r="F104" s="59"/>
      <c r="G104" s="60"/>
      <c r="H104" s="59"/>
      <c r="I104" s="60"/>
      <c r="J104" s="61"/>
      <c r="K104" s="60"/>
      <c r="L104" s="60"/>
      <c r="M104" s="60"/>
      <c r="N104" s="60"/>
      <c r="O104" s="60"/>
      <c r="P104" s="60"/>
      <c r="Q104" s="60"/>
      <c r="R104" s="63"/>
      <c r="S104" s="63"/>
      <c r="T104" s="63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3"/>
      <c r="AN104" s="63"/>
      <c r="AO104" s="63"/>
      <c r="AP104" s="60">
        <v>25</v>
      </c>
      <c r="AQ104" s="60">
        <v>50</v>
      </c>
      <c r="AR104" s="60">
        <v>50</v>
      </c>
      <c r="AS104" s="60">
        <v>50</v>
      </c>
      <c r="AT104" s="60"/>
      <c r="AU104" s="60"/>
      <c r="AV104" s="60"/>
      <c r="AW104" s="60"/>
      <c r="AX104" s="1">
        <f t="shared" si="58"/>
        <v>175</v>
      </c>
      <c r="AY104" s="1">
        <f t="shared" si="59"/>
        <v>204</v>
      </c>
      <c r="AZ104" s="1">
        <f t="shared" si="60"/>
        <v>0</v>
      </c>
      <c r="BA104" s="4">
        <f t="shared" si="61"/>
        <v>29</v>
      </c>
    </row>
    <row r="105" spans="1:53" s="16" customFormat="1" x14ac:dyDescent="0.2">
      <c r="A105" s="66" t="s">
        <v>208</v>
      </c>
      <c r="B105" s="56"/>
      <c r="C105" s="57"/>
      <c r="D105" s="57"/>
      <c r="E105" s="58">
        <v>204</v>
      </c>
      <c r="F105" s="59"/>
      <c r="G105" s="60"/>
      <c r="H105" s="59"/>
      <c r="I105" s="60"/>
      <c r="J105" s="61"/>
      <c r="K105" s="60"/>
      <c r="L105" s="60"/>
      <c r="M105" s="60"/>
      <c r="N105" s="60"/>
      <c r="O105" s="60"/>
      <c r="P105" s="60"/>
      <c r="Q105" s="60"/>
      <c r="R105" s="63"/>
      <c r="S105" s="63"/>
      <c r="T105" s="63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3"/>
      <c r="AN105" s="63"/>
      <c r="AO105" s="63"/>
      <c r="AP105" s="60">
        <v>25</v>
      </c>
      <c r="AQ105" s="60">
        <v>50</v>
      </c>
      <c r="AR105" s="60">
        <v>50</v>
      </c>
      <c r="AS105" s="60">
        <v>50</v>
      </c>
      <c r="AT105" s="60"/>
      <c r="AU105" s="60"/>
      <c r="AV105" s="60"/>
      <c r="AW105" s="60"/>
      <c r="AX105" s="1">
        <f t="shared" si="58"/>
        <v>175</v>
      </c>
      <c r="AY105" s="1">
        <f t="shared" si="59"/>
        <v>204</v>
      </c>
      <c r="AZ105" s="1">
        <f t="shared" si="60"/>
        <v>0</v>
      </c>
      <c r="BA105" s="4">
        <f t="shared" si="61"/>
        <v>29</v>
      </c>
    </row>
    <row r="106" spans="1:53" s="16" customFormat="1" x14ac:dyDescent="0.2">
      <c r="A106" s="66" t="s">
        <v>209</v>
      </c>
      <c r="B106" s="56"/>
      <c r="C106" s="57"/>
      <c r="D106" s="57"/>
      <c r="E106" s="58">
        <v>204</v>
      </c>
      <c r="F106" s="59"/>
      <c r="G106" s="60"/>
      <c r="H106" s="59"/>
      <c r="I106" s="60"/>
      <c r="J106" s="61"/>
      <c r="K106" s="60"/>
      <c r="L106" s="60"/>
      <c r="M106" s="60"/>
      <c r="N106" s="60"/>
      <c r="O106" s="60"/>
      <c r="P106" s="60"/>
      <c r="Q106" s="60"/>
      <c r="R106" s="63"/>
      <c r="S106" s="63"/>
      <c r="T106" s="63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3"/>
      <c r="AQ106" s="63"/>
      <c r="AR106" s="63"/>
      <c r="AS106" s="60">
        <v>25</v>
      </c>
      <c r="AT106" s="60">
        <v>50</v>
      </c>
      <c r="AU106" s="60">
        <v>50</v>
      </c>
      <c r="AV106" s="60">
        <v>50</v>
      </c>
      <c r="AW106" s="60"/>
      <c r="AX106" s="1">
        <f t="shared" si="58"/>
        <v>175</v>
      </c>
      <c r="AY106" s="1">
        <f t="shared" si="59"/>
        <v>204</v>
      </c>
      <c r="AZ106" s="1">
        <f t="shared" si="60"/>
        <v>0</v>
      </c>
      <c r="BA106" s="4">
        <f t="shared" si="61"/>
        <v>29</v>
      </c>
    </row>
    <row r="107" spans="1:53" s="16" customFormat="1" x14ac:dyDescent="0.2">
      <c r="A107" s="66"/>
      <c r="B107" s="56"/>
      <c r="C107" s="57"/>
      <c r="D107" s="57"/>
      <c r="E107" s="58"/>
      <c r="F107" s="59"/>
      <c r="G107" s="60"/>
      <c r="H107" s="59"/>
      <c r="I107" s="60"/>
      <c r="J107" s="61"/>
      <c r="K107" s="60"/>
      <c r="L107" s="60"/>
      <c r="M107" s="60"/>
      <c r="N107" s="60"/>
      <c r="O107" s="60"/>
      <c r="P107" s="60"/>
      <c r="Q107" s="60"/>
      <c r="R107" s="60"/>
      <c r="S107" s="60"/>
      <c r="T107" s="63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1">
        <f t="shared" si="58"/>
        <v>0</v>
      </c>
      <c r="AY107" s="1">
        <f t="shared" si="59"/>
        <v>0</v>
      </c>
      <c r="AZ107" s="1">
        <f t="shared" si="60"/>
        <v>0</v>
      </c>
      <c r="BA107" s="4">
        <f t="shared" si="61"/>
        <v>0</v>
      </c>
    </row>
    <row r="108" spans="1:53" ht="9" customHeight="1" x14ac:dyDescent="0.2">
      <c r="A108" s="28"/>
      <c r="B108" s="21"/>
      <c r="E108" s="8"/>
      <c r="F108" s="7"/>
      <c r="H108" s="7"/>
      <c r="J108" s="8"/>
      <c r="AX108" s="6"/>
      <c r="AY108" s="6"/>
      <c r="AZ108" s="6"/>
    </row>
    <row r="109" spans="1:53" x14ac:dyDescent="0.2">
      <c r="A109" s="36"/>
      <c r="B109" s="36"/>
      <c r="C109" s="36"/>
      <c r="D109" s="36"/>
      <c r="E109" s="36"/>
      <c r="F109" s="2" t="s">
        <v>8</v>
      </c>
      <c r="G109" s="2">
        <f>SUM(G6:G108)+G31</f>
        <v>2820.6652892561983</v>
      </c>
      <c r="H109" s="2">
        <f>SUM(H6:H108)+H31</f>
        <v>2864.5598484848488</v>
      </c>
      <c r="I109" s="16"/>
      <c r="J109" s="2" t="s">
        <v>3</v>
      </c>
      <c r="K109" s="2">
        <f t="shared" ref="K109:AW109" si="66">K31+SUM(K36:K108)</f>
        <v>1250</v>
      </c>
      <c r="L109" s="2">
        <f t="shared" si="66"/>
        <v>1146</v>
      </c>
      <c r="M109" s="2">
        <f t="shared" si="66"/>
        <v>1135</v>
      </c>
      <c r="N109" s="2">
        <f t="shared" si="66"/>
        <v>965</v>
      </c>
      <c r="O109" s="2">
        <f t="shared" si="66"/>
        <v>1235</v>
      </c>
      <c r="P109" s="2">
        <f t="shared" si="66"/>
        <v>1317</v>
      </c>
      <c r="Q109" s="2">
        <f t="shared" si="66"/>
        <v>1385</v>
      </c>
      <c r="R109" s="2">
        <f t="shared" si="66"/>
        <v>1454</v>
      </c>
      <c r="S109" s="2">
        <f t="shared" si="66"/>
        <v>1160</v>
      </c>
      <c r="T109" s="2">
        <f t="shared" si="66"/>
        <v>1420</v>
      </c>
      <c r="U109" s="2">
        <f t="shared" si="66"/>
        <v>1375</v>
      </c>
      <c r="V109" s="2">
        <f t="shared" si="66"/>
        <v>1370</v>
      </c>
      <c r="W109" s="2">
        <f t="shared" si="66"/>
        <v>1233</v>
      </c>
      <c r="X109" s="2">
        <f t="shared" si="66"/>
        <v>1045</v>
      </c>
      <c r="Y109" s="2">
        <f t="shared" si="66"/>
        <v>882</v>
      </c>
      <c r="Z109" s="2">
        <f t="shared" si="66"/>
        <v>718</v>
      </c>
      <c r="AA109" s="2">
        <f t="shared" si="66"/>
        <v>832</v>
      </c>
      <c r="AB109" s="2">
        <f t="shared" si="66"/>
        <v>857</v>
      </c>
      <c r="AC109" s="2">
        <f t="shared" si="66"/>
        <v>915</v>
      </c>
      <c r="AD109" s="2">
        <f t="shared" si="66"/>
        <v>1020</v>
      </c>
      <c r="AE109" s="2">
        <f t="shared" si="66"/>
        <v>1065</v>
      </c>
      <c r="AF109" s="2">
        <f t="shared" si="66"/>
        <v>993</v>
      </c>
      <c r="AG109" s="2">
        <f t="shared" si="66"/>
        <v>998</v>
      </c>
      <c r="AH109" s="2">
        <f t="shared" si="66"/>
        <v>910</v>
      </c>
      <c r="AI109" s="2">
        <f t="shared" si="66"/>
        <v>990</v>
      </c>
      <c r="AJ109" s="2">
        <f t="shared" si="66"/>
        <v>990</v>
      </c>
      <c r="AK109" s="2">
        <f t="shared" si="66"/>
        <v>1093</v>
      </c>
      <c r="AL109" s="2">
        <f t="shared" si="66"/>
        <v>937</v>
      </c>
      <c r="AM109" s="2">
        <f t="shared" si="66"/>
        <v>1060</v>
      </c>
      <c r="AN109" s="2">
        <f t="shared" si="66"/>
        <v>936</v>
      </c>
      <c r="AO109" s="2">
        <f t="shared" si="66"/>
        <v>865</v>
      </c>
      <c r="AP109" s="2">
        <f t="shared" si="66"/>
        <v>861</v>
      </c>
      <c r="AQ109" s="2">
        <f t="shared" si="66"/>
        <v>670</v>
      </c>
      <c r="AR109" s="2">
        <f t="shared" si="66"/>
        <v>565</v>
      </c>
      <c r="AS109" s="2">
        <f t="shared" si="66"/>
        <v>425</v>
      </c>
      <c r="AT109" s="2">
        <f t="shared" si="66"/>
        <v>350</v>
      </c>
      <c r="AU109" s="2">
        <f t="shared" si="66"/>
        <v>350</v>
      </c>
      <c r="AV109" s="2">
        <f t="shared" si="66"/>
        <v>200</v>
      </c>
      <c r="AW109" s="2">
        <f t="shared" si="66"/>
        <v>0</v>
      </c>
      <c r="AX109" s="6">
        <f>SUM(K109:AW109)</f>
        <v>36972</v>
      </c>
      <c r="AY109" s="16"/>
      <c r="AZ109" s="16"/>
    </row>
    <row r="110" spans="1:53" x14ac:dyDescent="0.2">
      <c r="A110" s="41"/>
      <c r="B110" s="42" t="s">
        <v>15</v>
      </c>
      <c r="C110" s="43" t="s">
        <v>16</v>
      </c>
      <c r="D110" s="77"/>
      <c r="E110" s="36"/>
      <c r="F110" s="9" t="s">
        <v>20</v>
      </c>
      <c r="G110" s="16"/>
      <c r="H110" s="16"/>
      <c r="I110" s="16"/>
      <c r="J110" s="9" t="s">
        <v>20</v>
      </c>
      <c r="K110" s="3">
        <f t="shared" ref="K110:AW110" si="67">((K109)/(K3*K4))</f>
        <v>1.0330578512396693</v>
      </c>
      <c r="L110" s="3">
        <f t="shared" si="67"/>
        <v>0.77171717171717169</v>
      </c>
      <c r="M110" s="3">
        <f t="shared" si="67"/>
        <v>0.76430976430976427</v>
      </c>
      <c r="N110" s="3">
        <f t="shared" si="67"/>
        <v>0.64983164983164987</v>
      </c>
      <c r="O110" s="3">
        <f t="shared" si="67"/>
        <v>0.83164983164983164</v>
      </c>
      <c r="P110" s="3">
        <f t="shared" si="67"/>
        <v>0.88686868686868692</v>
      </c>
      <c r="Q110" s="3">
        <f t="shared" si="67"/>
        <v>0.93265993265993263</v>
      </c>
      <c r="R110" s="3">
        <f t="shared" si="67"/>
        <v>0.97912457912457918</v>
      </c>
      <c r="S110" s="3">
        <f t="shared" si="67"/>
        <v>1.0740740740740742</v>
      </c>
      <c r="T110" s="3">
        <f t="shared" si="67"/>
        <v>0.95622895622895621</v>
      </c>
      <c r="U110" s="3">
        <f t="shared" si="67"/>
        <v>0.92592592592592593</v>
      </c>
      <c r="V110" s="3">
        <f t="shared" si="67"/>
        <v>0.92255892255892258</v>
      </c>
      <c r="W110" s="3">
        <f t="shared" si="67"/>
        <v>0.83030303030303032</v>
      </c>
      <c r="X110" s="3">
        <f t="shared" si="67"/>
        <v>0.70370370370370372</v>
      </c>
      <c r="Y110" s="3">
        <f t="shared" si="67"/>
        <v>0.81666666666666665</v>
      </c>
      <c r="Z110" s="3">
        <f t="shared" si="67"/>
        <v>0.48350168350168349</v>
      </c>
      <c r="AA110" s="3">
        <f t="shared" si="67"/>
        <v>0.56026936026936025</v>
      </c>
      <c r="AB110" s="3">
        <f t="shared" si="67"/>
        <v>0.57710437710437712</v>
      </c>
      <c r="AC110" s="3">
        <f t="shared" si="67"/>
        <v>0.61616161616161613</v>
      </c>
      <c r="AD110" s="3">
        <f t="shared" si="67"/>
        <v>0.68686868686868685</v>
      </c>
      <c r="AE110" s="3">
        <f t="shared" si="67"/>
        <v>0.71717171717171713</v>
      </c>
      <c r="AF110" s="3">
        <f t="shared" si="67"/>
        <v>0.66868686868686866</v>
      </c>
      <c r="AG110" s="3">
        <f t="shared" si="67"/>
        <v>0.67205387205387201</v>
      </c>
      <c r="AH110" s="3">
        <f t="shared" si="67"/>
        <v>0.84259259259259256</v>
      </c>
      <c r="AI110" s="3">
        <f t="shared" si="67"/>
        <v>0.66666666666666663</v>
      </c>
      <c r="AJ110" s="3">
        <f t="shared" si="67"/>
        <v>0.66666666666666663</v>
      </c>
      <c r="AK110" s="3">
        <f t="shared" si="67"/>
        <v>0.73602693602693603</v>
      </c>
      <c r="AL110" s="3">
        <f t="shared" si="67"/>
        <v>0.63097643097643097</v>
      </c>
      <c r="AM110" s="3">
        <f t="shared" si="67"/>
        <v>0.71380471380471378</v>
      </c>
      <c r="AN110" s="3">
        <f t="shared" si="67"/>
        <v>0.63030303030303025</v>
      </c>
      <c r="AO110" s="3">
        <f t="shared" si="67"/>
        <v>0.5824915824915825</v>
      </c>
      <c r="AP110" s="3">
        <f t="shared" si="67"/>
        <v>0.57979797979797976</v>
      </c>
      <c r="AQ110" s="3">
        <f t="shared" si="67"/>
        <v>0.45117845117845118</v>
      </c>
      <c r="AR110" s="3">
        <f t="shared" si="67"/>
        <v>0.38047138047138046</v>
      </c>
      <c r="AS110" s="3">
        <f t="shared" si="67"/>
        <v>0.39351851851851855</v>
      </c>
      <c r="AT110" s="3">
        <f t="shared" si="67"/>
        <v>0.2356902356902357</v>
      </c>
      <c r="AU110" s="3">
        <f t="shared" si="67"/>
        <v>0.2356902356902357</v>
      </c>
      <c r="AV110" s="3">
        <f t="shared" si="67"/>
        <v>0.13468013468013468</v>
      </c>
      <c r="AW110" s="3">
        <f t="shared" si="67"/>
        <v>0</v>
      </c>
      <c r="AX110" s="16"/>
      <c r="AY110" s="16"/>
      <c r="AZ110" s="16"/>
    </row>
    <row r="111" spans="1:53" s="3" customFormat="1" x14ac:dyDescent="0.2">
      <c r="A111" s="44" t="s">
        <v>14</v>
      </c>
      <c r="B111" s="40">
        <f>AX109/(C164*48)</f>
        <v>32.776595744680854</v>
      </c>
      <c r="C111" s="45">
        <f>AX109/((C164)*40)</f>
        <v>39.331914893617018</v>
      </c>
      <c r="D111" s="40"/>
      <c r="E111" s="36"/>
      <c r="F111" s="2" t="s">
        <v>2</v>
      </c>
      <c r="G111" s="16"/>
      <c r="H111" s="16"/>
      <c r="I111" s="16"/>
      <c r="J111" s="2" t="s">
        <v>2</v>
      </c>
      <c r="K111" s="4">
        <f t="shared" ref="K111:AW111" si="68">(K3*K4)-K109</f>
        <v>-40</v>
      </c>
      <c r="L111" s="4">
        <f t="shared" si="68"/>
        <v>339</v>
      </c>
      <c r="M111" s="4">
        <f t="shared" si="68"/>
        <v>350</v>
      </c>
      <c r="N111" s="4">
        <f t="shared" si="68"/>
        <v>520</v>
      </c>
      <c r="O111" s="4">
        <f t="shared" si="68"/>
        <v>250</v>
      </c>
      <c r="P111" s="4">
        <f t="shared" si="68"/>
        <v>168</v>
      </c>
      <c r="Q111" s="4">
        <f t="shared" si="68"/>
        <v>100</v>
      </c>
      <c r="R111" s="4">
        <f t="shared" si="68"/>
        <v>31</v>
      </c>
      <c r="S111" s="4">
        <f t="shared" si="68"/>
        <v>-80</v>
      </c>
      <c r="T111" s="4">
        <f t="shared" si="68"/>
        <v>65</v>
      </c>
      <c r="U111" s="4">
        <f t="shared" si="68"/>
        <v>110</v>
      </c>
      <c r="V111" s="4">
        <f t="shared" si="68"/>
        <v>115</v>
      </c>
      <c r="W111" s="4">
        <f t="shared" si="68"/>
        <v>252</v>
      </c>
      <c r="X111" s="4">
        <f t="shared" si="68"/>
        <v>440</v>
      </c>
      <c r="Y111" s="4">
        <f t="shared" si="68"/>
        <v>198</v>
      </c>
      <c r="Z111" s="4">
        <f t="shared" si="68"/>
        <v>767</v>
      </c>
      <c r="AA111" s="4">
        <f t="shared" si="68"/>
        <v>653</v>
      </c>
      <c r="AB111" s="4">
        <f t="shared" si="68"/>
        <v>628</v>
      </c>
      <c r="AC111" s="4">
        <f t="shared" si="68"/>
        <v>570</v>
      </c>
      <c r="AD111" s="4">
        <f t="shared" si="68"/>
        <v>465</v>
      </c>
      <c r="AE111" s="4">
        <f t="shared" si="68"/>
        <v>420</v>
      </c>
      <c r="AF111" s="4">
        <f t="shared" si="68"/>
        <v>492</v>
      </c>
      <c r="AG111" s="4">
        <f t="shared" si="68"/>
        <v>487</v>
      </c>
      <c r="AH111" s="4">
        <f t="shared" si="68"/>
        <v>170</v>
      </c>
      <c r="AI111" s="4">
        <f t="shared" si="68"/>
        <v>495</v>
      </c>
      <c r="AJ111" s="4">
        <f t="shared" si="68"/>
        <v>495</v>
      </c>
      <c r="AK111" s="4">
        <f t="shared" si="68"/>
        <v>392</v>
      </c>
      <c r="AL111" s="4">
        <f t="shared" si="68"/>
        <v>548</v>
      </c>
      <c r="AM111" s="4">
        <f t="shared" si="68"/>
        <v>425</v>
      </c>
      <c r="AN111" s="4">
        <f t="shared" si="68"/>
        <v>549</v>
      </c>
      <c r="AO111" s="4">
        <f t="shared" si="68"/>
        <v>620</v>
      </c>
      <c r="AP111" s="4">
        <f t="shared" si="68"/>
        <v>624</v>
      </c>
      <c r="AQ111" s="4">
        <f t="shared" si="68"/>
        <v>815</v>
      </c>
      <c r="AR111" s="4">
        <f t="shared" si="68"/>
        <v>920</v>
      </c>
      <c r="AS111" s="4">
        <f t="shared" si="68"/>
        <v>655</v>
      </c>
      <c r="AT111" s="4">
        <f t="shared" si="68"/>
        <v>1135</v>
      </c>
      <c r="AU111" s="4">
        <f t="shared" si="68"/>
        <v>1135</v>
      </c>
      <c r="AV111" s="4">
        <f t="shared" si="68"/>
        <v>1285</v>
      </c>
      <c r="AW111" s="4">
        <f t="shared" si="68"/>
        <v>1080</v>
      </c>
      <c r="AX111" s="16"/>
      <c r="AY111" s="16"/>
      <c r="AZ111" s="16"/>
      <c r="BA111" s="4"/>
    </row>
    <row r="112" spans="1:53" x14ac:dyDescent="0.2">
      <c r="A112" s="46"/>
      <c r="B112" s="47"/>
      <c r="C112" s="48"/>
      <c r="D112" s="36"/>
      <c r="E112" s="3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</row>
    <row r="113" spans="1:53" ht="9" customHeight="1" x14ac:dyDescent="0.2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</row>
    <row r="114" spans="1:53" x14ac:dyDescent="0.2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36"/>
      <c r="AY114" s="36"/>
      <c r="AZ114" s="36"/>
      <c r="BA114" s="36"/>
    </row>
    <row r="115" spans="1:53" ht="9" customHeight="1" x14ac:dyDescent="0.2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36"/>
      <c r="AY115" s="36"/>
      <c r="AZ115" s="36"/>
      <c r="BA115" s="36"/>
    </row>
    <row r="116" spans="1:53" ht="9" customHeight="1" x14ac:dyDescent="0.2">
      <c r="A116" s="36"/>
      <c r="B116" s="36"/>
      <c r="C116" s="36"/>
      <c r="D116" s="36"/>
      <c r="E116" s="36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</row>
    <row r="117" spans="1:53" ht="9" customHeight="1" x14ac:dyDescent="0.2">
      <c r="A117" s="36"/>
      <c r="B117" s="36"/>
      <c r="C117" s="36"/>
      <c r="D117" s="36"/>
      <c r="E117" s="36"/>
      <c r="F117" s="49"/>
      <c r="G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</row>
    <row r="118" spans="1:53" ht="9" customHeight="1" x14ac:dyDescent="0.2">
      <c r="AX118" s="18"/>
    </row>
    <row r="119" spans="1:53" x14ac:dyDescent="0.2">
      <c r="A119" s="50" t="s">
        <v>26</v>
      </c>
      <c r="B119" s="51"/>
      <c r="C119" s="51"/>
      <c r="D119" s="51"/>
    </row>
    <row r="120" spans="1:53" x14ac:dyDescent="0.2">
      <c r="A120" s="16" t="s">
        <v>45</v>
      </c>
      <c r="C120" s="55">
        <v>0.5</v>
      </c>
      <c r="D120" s="55"/>
    </row>
    <row r="121" spans="1:53" x14ac:dyDescent="0.2">
      <c r="A121" s="16" t="s">
        <v>47</v>
      </c>
      <c r="C121" s="55">
        <v>0.5</v>
      </c>
      <c r="D121" s="55"/>
    </row>
    <row r="122" spans="1:53" x14ac:dyDescent="0.2">
      <c r="A122" s="16" t="s">
        <v>50</v>
      </c>
      <c r="C122" s="2">
        <v>1</v>
      </c>
    </row>
    <row r="123" spans="1:53" x14ac:dyDescent="0.2">
      <c r="A123" s="16" t="s">
        <v>93</v>
      </c>
      <c r="C123" s="2">
        <v>1</v>
      </c>
    </row>
    <row r="124" spans="1:53" x14ac:dyDescent="0.2">
      <c r="A124" s="16" t="s">
        <v>46</v>
      </c>
      <c r="C124" s="2">
        <v>1</v>
      </c>
    </row>
    <row r="125" spans="1:53" x14ac:dyDescent="0.2">
      <c r="A125" s="16" t="s">
        <v>42</v>
      </c>
      <c r="C125" s="2">
        <v>1</v>
      </c>
    </row>
    <row r="126" spans="1:53" x14ac:dyDescent="0.2">
      <c r="A126" s="16" t="s">
        <v>54</v>
      </c>
      <c r="C126" s="2">
        <v>1</v>
      </c>
    </row>
    <row r="127" spans="1:53" x14ac:dyDescent="0.2">
      <c r="A127" s="16" t="s">
        <v>87</v>
      </c>
      <c r="C127" s="2">
        <v>1</v>
      </c>
    </row>
    <row r="128" spans="1:53" x14ac:dyDescent="0.2">
      <c r="A128" s="16" t="s">
        <v>184</v>
      </c>
      <c r="C128" s="2">
        <v>1</v>
      </c>
    </row>
    <row r="129" spans="1:4" x14ac:dyDescent="0.2">
      <c r="A129" s="16" t="s">
        <v>145</v>
      </c>
      <c r="C129" s="2">
        <v>1</v>
      </c>
    </row>
    <row r="130" spans="1:4" x14ac:dyDescent="0.2">
      <c r="A130" s="16" t="s">
        <v>162</v>
      </c>
      <c r="C130" s="2">
        <v>1</v>
      </c>
    </row>
    <row r="131" spans="1:4" x14ac:dyDescent="0.2"/>
    <row r="132" spans="1:4" s="17" customFormat="1" x14ac:dyDescent="0.2">
      <c r="A132" s="50" t="s">
        <v>38</v>
      </c>
      <c r="B132" s="51"/>
      <c r="C132" s="51"/>
      <c r="D132" s="51"/>
    </row>
    <row r="133" spans="1:4" x14ac:dyDescent="0.2">
      <c r="A133" s="16" t="s">
        <v>44</v>
      </c>
      <c r="C133" s="55">
        <v>0</v>
      </c>
      <c r="D133" s="55"/>
    </row>
    <row r="134" spans="1:4" x14ac:dyDescent="0.2">
      <c r="A134" s="16" t="s">
        <v>43</v>
      </c>
      <c r="C134" s="2">
        <v>1</v>
      </c>
    </row>
    <row r="135" spans="1:4" x14ac:dyDescent="0.2">
      <c r="A135" s="16" t="s">
        <v>41</v>
      </c>
      <c r="C135" s="2">
        <v>1</v>
      </c>
    </row>
    <row r="136" spans="1:4" x14ac:dyDescent="0.2">
      <c r="A136" s="16" t="s">
        <v>76</v>
      </c>
      <c r="C136" s="2">
        <v>1</v>
      </c>
    </row>
    <row r="137" spans="1:4" x14ac:dyDescent="0.2">
      <c r="A137" s="16" t="s">
        <v>77</v>
      </c>
      <c r="C137" s="2">
        <v>1</v>
      </c>
    </row>
    <row r="138" spans="1:4" x14ac:dyDescent="0.2">
      <c r="A138" s="16" t="s">
        <v>78</v>
      </c>
      <c r="C138" s="2">
        <v>1</v>
      </c>
    </row>
    <row r="139" spans="1:4" x14ac:dyDescent="0.2">
      <c r="A139" s="16" t="s">
        <v>79</v>
      </c>
      <c r="C139" s="2">
        <v>1</v>
      </c>
    </row>
    <row r="140" spans="1:4" x14ac:dyDescent="0.2">
      <c r="A140" s="16" t="s">
        <v>84</v>
      </c>
      <c r="C140" s="2">
        <v>1</v>
      </c>
    </row>
    <row r="141" spans="1:4" x14ac:dyDescent="0.2">
      <c r="A141" s="16" t="s">
        <v>156</v>
      </c>
      <c r="C141" s="2">
        <v>1</v>
      </c>
    </row>
    <row r="142" spans="1:4" x14ac:dyDescent="0.2">
      <c r="A142" s="16" t="s">
        <v>157</v>
      </c>
      <c r="C142" s="2">
        <v>1</v>
      </c>
    </row>
    <row r="143" spans="1:4" x14ac:dyDescent="0.2">
      <c r="C143" s="2">
        <v>0</v>
      </c>
    </row>
    <row r="144" spans="1:4" x14ac:dyDescent="0.2"/>
    <row r="145" spans="1:4" x14ac:dyDescent="0.2">
      <c r="A145" s="50" t="s">
        <v>39</v>
      </c>
      <c r="B145" s="51"/>
      <c r="C145" s="51"/>
      <c r="D145" s="51"/>
    </row>
    <row r="146" spans="1:4" x14ac:dyDescent="0.2">
      <c r="A146" s="16" t="s">
        <v>152</v>
      </c>
      <c r="C146" s="55">
        <v>0.5</v>
      </c>
      <c r="D146" s="55"/>
    </row>
    <row r="147" spans="1:4" x14ac:dyDescent="0.2">
      <c r="A147" s="16" t="s">
        <v>49</v>
      </c>
      <c r="C147" s="2">
        <v>1</v>
      </c>
    </row>
    <row r="148" spans="1:4" x14ac:dyDescent="0.2">
      <c r="A148" s="16" t="s">
        <v>62</v>
      </c>
      <c r="C148" s="2">
        <v>1</v>
      </c>
    </row>
    <row r="149" spans="1:4" x14ac:dyDescent="0.2">
      <c r="A149" s="16" t="s">
        <v>155</v>
      </c>
      <c r="C149" s="2">
        <v>1</v>
      </c>
    </row>
    <row r="150" spans="1:4" x14ac:dyDescent="0.2">
      <c r="A150" s="16" t="s">
        <v>182</v>
      </c>
      <c r="C150" s="2">
        <v>1</v>
      </c>
    </row>
    <row r="151" spans="1:4" ht="9" customHeight="1" x14ac:dyDescent="0.2">
      <c r="A151" s="16" t="s">
        <v>85</v>
      </c>
    </row>
    <row r="152" spans="1:4" x14ac:dyDescent="0.2">
      <c r="A152" s="50" t="s">
        <v>21</v>
      </c>
      <c r="B152" s="51"/>
      <c r="C152" s="51"/>
      <c r="D152" s="51"/>
    </row>
    <row r="153" spans="1:4" x14ac:dyDescent="0.2">
      <c r="A153" s="16" t="s">
        <v>28</v>
      </c>
      <c r="C153" s="55">
        <v>0.5</v>
      </c>
      <c r="D153" s="55"/>
    </row>
    <row r="154" spans="1:4" x14ac:dyDescent="0.2">
      <c r="A154" s="16" t="s">
        <v>94</v>
      </c>
      <c r="C154" s="55">
        <v>0.5</v>
      </c>
      <c r="D154" s="55"/>
    </row>
    <row r="155" spans="1:4" x14ac:dyDescent="0.2">
      <c r="A155" s="16" t="s">
        <v>27</v>
      </c>
      <c r="C155" s="55">
        <v>1</v>
      </c>
      <c r="D155" s="55"/>
    </row>
    <row r="156" spans="1:4" x14ac:dyDescent="0.2">
      <c r="A156" s="16" t="s">
        <v>34</v>
      </c>
      <c r="C156" s="2">
        <v>1</v>
      </c>
    </row>
    <row r="157" spans="1:4" x14ac:dyDescent="0.2">
      <c r="A157" s="16" t="s">
        <v>183</v>
      </c>
      <c r="C157" s="2">
        <v>1</v>
      </c>
    </row>
    <row r="158" spans="1:4" x14ac:dyDescent="0.2">
      <c r="A158" s="16" t="s">
        <v>153</v>
      </c>
      <c r="C158" s="2">
        <v>0</v>
      </c>
    </row>
    <row r="159" spans="1:4" x14ac:dyDescent="0.2">
      <c r="A159" s="16" t="s">
        <v>48</v>
      </c>
      <c r="C159" s="55">
        <v>0.5</v>
      </c>
      <c r="D159" s="55"/>
    </row>
    <row r="160" spans="1:4" x14ac:dyDescent="0.2">
      <c r="A160" s="16" t="s">
        <v>86</v>
      </c>
      <c r="C160" s="55">
        <v>1</v>
      </c>
      <c r="D160" s="55"/>
    </row>
    <row r="161" spans="1:4" x14ac:dyDescent="0.2">
      <c r="A161" s="16" t="s">
        <v>146</v>
      </c>
      <c r="C161" s="55">
        <v>0</v>
      </c>
      <c r="D161" s="55"/>
    </row>
    <row r="162" spans="1:4" x14ac:dyDescent="0.2"/>
    <row r="163" spans="1:4" x14ac:dyDescent="0.2"/>
    <row r="164" spans="1:4" x14ac:dyDescent="0.2">
      <c r="A164" s="16" t="s">
        <v>22</v>
      </c>
      <c r="C164" s="55">
        <f>SUM(C120:C151)</f>
        <v>23.5</v>
      </c>
      <c r="D164" s="55"/>
    </row>
    <row r="165" spans="1:4" x14ac:dyDescent="0.2">
      <c r="A165" s="16" t="s">
        <v>23</v>
      </c>
      <c r="C165" s="55">
        <f>SUM(C153:C162)</f>
        <v>5.5</v>
      </c>
      <c r="D165" s="55"/>
    </row>
    <row r="166" spans="1:4" x14ac:dyDescent="0.2"/>
    <row r="167" spans="1:4" x14ac:dyDescent="0.2">
      <c r="A167" s="16" t="s">
        <v>35</v>
      </c>
      <c r="C167" s="2">
        <f>SUM(C164:C165)</f>
        <v>29</v>
      </c>
    </row>
    <row r="168" spans="1:4" x14ac:dyDescent="0.2"/>
    <row r="169" spans="1:4" x14ac:dyDescent="0.2">
      <c r="A169" s="50" t="s">
        <v>36</v>
      </c>
      <c r="B169" s="51"/>
      <c r="C169" s="51"/>
      <c r="D169" s="51"/>
    </row>
    <row r="170" spans="1:4" x14ac:dyDescent="0.2">
      <c r="A170" s="16" t="s">
        <v>29</v>
      </c>
      <c r="C170" s="2">
        <v>1</v>
      </c>
    </row>
    <row r="171" spans="1:4" x14ac:dyDescent="0.2">
      <c r="A171" s="16" t="s">
        <v>33</v>
      </c>
      <c r="C171" s="2">
        <v>1</v>
      </c>
    </row>
    <row r="172" spans="1:4" ht="9" customHeight="1" x14ac:dyDescent="0.2">
      <c r="A172" s="16" t="s">
        <v>30</v>
      </c>
      <c r="C172" s="2">
        <v>1</v>
      </c>
    </row>
    <row r="173" spans="1:4" ht="9" customHeight="1" x14ac:dyDescent="0.2">
      <c r="A173" s="16" t="s">
        <v>40</v>
      </c>
      <c r="C173" s="2">
        <v>1</v>
      </c>
    </row>
    <row r="174" spans="1:4" ht="9" customHeight="1" x14ac:dyDescent="0.2">
      <c r="A174" s="16" t="s">
        <v>160</v>
      </c>
      <c r="C174" s="2">
        <v>1</v>
      </c>
    </row>
    <row r="175" spans="1:4" ht="9" customHeight="1" x14ac:dyDescent="0.2">
      <c r="A175" s="16" t="s">
        <v>37</v>
      </c>
      <c r="C175" s="2">
        <v>1</v>
      </c>
    </row>
    <row r="176" spans="1:4" ht="9" customHeight="1" x14ac:dyDescent="0.2">
      <c r="A176" s="16" t="s">
        <v>51</v>
      </c>
      <c r="C176" s="2">
        <v>1</v>
      </c>
    </row>
    <row r="177" spans="1:3" ht="9" customHeight="1" x14ac:dyDescent="0.2">
      <c r="A177" s="16" t="s">
        <v>31</v>
      </c>
      <c r="C177" s="2">
        <v>1</v>
      </c>
    </row>
    <row r="179" spans="1:3" ht="9" customHeight="1" x14ac:dyDescent="0.2">
      <c r="A179" s="16" t="s">
        <v>36</v>
      </c>
      <c r="C179" s="2">
        <f>SUM(C169:C178)</f>
        <v>8</v>
      </c>
    </row>
    <row r="181" spans="1:3" ht="9" customHeight="1" x14ac:dyDescent="0.2">
      <c r="A181" s="16" t="s">
        <v>24</v>
      </c>
      <c r="C181" s="2">
        <f>C167+C179</f>
        <v>37</v>
      </c>
    </row>
  </sheetData>
  <sheetProtection selectLockedCells="1"/>
  <mergeCells count="1">
    <mergeCell ref="A1:C1"/>
  </mergeCells>
  <phoneticPr fontId="9" type="noConversion"/>
  <pageMargins left="0.25" right="0.25" top="0.75" bottom="0.75" header="0.3" footer="0.3"/>
  <pageSetup paperSize="3" scale="77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E36" sqref="E36"/>
    </sheetView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Schedule</vt:lpstr>
      <vt:lpstr>Sheet1</vt:lpstr>
      <vt:lpstr>Schedule!Print_Area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Onachilla</dc:creator>
  <cp:lastModifiedBy>Chris Fletcher</cp:lastModifiedBy>
  <cp:lastPrinted>2026-01-08T13:05:07Z</cp:lastPrinted>
  <dcterms:created xsi:type="dcterms:W3CDTF">2013-11-08T12:57:55Z</dcterms:created>
  <dcterms:modified xsi:type="dcterms:W3CDTF">2026-04-02T17:29:39Z</dcterms:modified>
</cp:coreProperties>
</file>