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P:\Chris\"/>
    </mc:Choice>
  </mc:AlternateContent>
  <xr:revisionPtr revIDLastSave="0" documentId="13_ncr:1_{734E5B83-E8C2-4726-91AE-B3F4B13240F8}" xr6:coauthVersionLast="47" xr6:coauthVersionMax="47" xr10:uidLastSave="{00000000-0000-0000-0000-000000000000}"/>
  <bookViews>
    <workbookView xWindow="28680" yWindow="-120" windowWidth="29040" windowHeight="15840" xr2:uid="{E8926E5B-B7DD-4E94-BE84-F715D44D192E}"/>
  </bookViews>
  <sheets>
    <sheet name="Sheet1" sheetId="1" r:id="rId1"/>
  </sheets>
  <definedNames>
    <definedName name="_xlnm._FilterDatabase" localSheetId="0" hidden="1">Sheet1!$A$1:$J$1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H3" i="1" s="1"/>
  <c r="E4" i="1"/>
  <c r="H4" i="1" s="1"/>
  <c r="E5" i="1"/>
  <c r="H5" i="1" s="1"/>
  <c r="E6" i="1"/>
  <c r="H6" i="1" s="1"/>
  <c r="E7" i="1"/>
  <c r="H7" i="1" s="1"/>
  <c r="E8" i="1"/>
  <c r="H8" i="1" s="1"/>
  <c r="E9" i="1"/>
  <c r="H9" i="1" s="1"/>
  <c r="E10" i="1"/>
  <c r="H10" i="1" s="1"/>
  <c r="E11" i="1"/>
  <c r="H11" i="1" s="1"/>
  <c r="E12" i="1"/>
  <c r="H12" i="1" s="1"/>
  <c r="E13" i="1"/>
  <c r="H13" i="1" s="1"/>
  <c r="E14" i="1"/>
  <c r="H14" i="1" s="1"/>
  <c r="E15" i="1"/>
  <c r="H15" i="1" s="1"/>
  <c r="E16" i="1"/>
  <c r="H16" i="1" s="1"/>
  <c r="E17" i="1"/>
  <c r="H17" i="1" s="1"/>
  <c r="E18" i="1"/>
  <c r="H18" i="1" s="1"/>
  <c r="E19" i="1"/>
  <c r="H19" i="1" s="1"/>
  <c r="E20" i="1"/>
  <c r="H20" i="1" s="1"/>
  <c r="E21" i="1"/>
  <c r="H21" i="1" s="1"/>
  <c r="E22" i="1"/>
  <c r="H22" i="1" s="1"/>
  <c r="E23" i="1"/>
  <c r="H23" i="1" s="1"/>
  <c r="E24" i="1"/>
  <c r="H24" i="1" s="1"/>
  <c r="E25" i="1"/>
  <c r="H25" i="1" s="1"/>
  <c r="E26" i="1"/>
  <c r="H26" i="1" s="1"/>
  <c r="E27" i="1"/>
  <c r="H27" i="1" s="1"/>
  <c r="E28" i="1"/>
  <c r="H28" i="1" s="1"/>
  <c r="E29" i="1"/>
  <c r="H29" i="1" s="1"/>
  <c r="E30" i="1"/>
  <c r="H30" i="1" s="1"/>
  <c r="E31" i="1"/>
  <c r="H31" i="1" s="1"/>
  <c r="E32" i="1"/>
  <c r="H32" i="1" s="1"/>
  <c r="E33" i="1"/>
  <c r="H33" i="1" s="1"/>
  <c r="E34" i="1"/>
  <c r="H34" i="1" s="1"/>
  <c r="E35" i="1"/>
  <c r="H35" i="1" s="1"/>
  <c r="E36" i="1"/>
  <c r="H36" i="1" s="1"/>
  <c r="E37" i="1"/>
  <c r="H37" i="1" s="1"/>
  <c r="E38" i="1"/>
  <c r="H38" i="1" s="1"/>
  <c r="E39" i="1"/>
  <c r="H39" i="1" s="1"/>
  <c r="E40" i="1"/>
  <c r="H40" i="1" s="1"/>
  <c r="E41" i="1"/>
  <c r="H41" i="1" s="1"/>
  <c r="E42" i="1"/>
  <c r="H42" i="1" s="1"/>
  <c r="E43" i="1"/>
  <c r="H43" i="1" s="1"/>
  <c r="E44" i="1"/>
  <c r="H44" i="1" s="1"/>
  <c r="E45" i="1"/>
  <c r="H45" i="1" s="1"/>
  <c r="E46" i="1"/>
  <c r="H46" i="1" s="1"/>
  <c r="E47" i="1"/>
  <c r="H47" i="1" s="1"/>
  <c r="E48" i="1"/>
  <c r="H48" i="1" s="1"/>
  <c r="E49" i="1"/>
  <c r="H49" i="1" s="1"/>
  <c r="E50" i="1"/>
  <c r="H50" i="1" s="1"/>
  <c r="E51" i="1"/>
  <c r="H51" i="1" s="1"/>
  <c r="E52" i="1"/>
  <c r="H52" i="1" s="1"/>
  <c r="E53" i="1"/>
  <c r="H53" i="1" s="1"/>
  <c r="E54" i="1"/>
  <c r="H54" i="1" s="1"/>
  <c r="E55" i="1"/>
  <c r="H55" i="1" s="1"/>
  <c r="E56" i="1"/>
  <c r="H56" i="1" s="1"/>
  <c r="E57" i="1"/>
  <c r="H57" i="1" s="1"/>
  <c r="E58" i="1"/>
  <c r="H58" i="1" s="1"/>
  <c r="E59" i="1"/>
  <c r="H59" i="1" s="1"/>
  <c r="E60" i="1"/>
  <c r="H60" i="1" s="1"/>
  <c r="E61" i="1"/>
  <c r="H61" i="1" s="1"/>
  <c r="E62" i="1"/>
  <c r="H62" i="1" s="1"/>
  <c r="E63" i="1"/>
  <c r="H63" i="1" s="1"/>
  <c r="E64" i="1"/>
  <c r="H64" i="1" s="1"/>
  <c r="E65" i="1"/>
  <c r="H65" i="1" s="1"/>
  <c r="E66" i="1"/>
  <c r="H66" i="1" s="1"/>
  <c r="E67" i="1"/>
  <c r="H67" i="1" s="1"/>
  <c r="E2" i="1"/>
  <c r="H2" i="1" s="1"/>
</calcChain>
</file>

<file path=xl/sharedStrings.xml><?xml version="1.0" encoding="utf-8"?>
<sst xmlns="http://schemas.openxmlformats.org/spreadsheetml/2006/main" count="159" uniqueCount="102">
  <si>
    <t>Job #</t>
  </si>
  <si>
    <t>Certified Date</t>
  </si>
  <si>
    <t>Fab Weeks</t>
  </si>
  <si>
    <t>Due Date</t>
  </si>
  <si>
    <t>046-24</t>
  </si>
  <si>
    <t>010-25</t>
  </si>
  <si>
    <t>011-25</t>
  </si>
  <si>
    <t>012-25</t>
  </si>
  <si>
    <t>013-25</t>
  </si>
  <si>
    <t>016-25</t>
  </si>
  <si>
    <t>017-25</t>
  </si>
  <si>
    <t>018-25</t>
  </si>
  <si>
    <t>019-25</t>
  </si>
  <si>
    <t>020-25</t>
  </si>
  <si>
    <t>021-25</t>
  </si>
  <si>
    <t>040-25</t>
  </si>
  <si>
    <t>053-25</t>
  </si>
  <si>
    <t>062-25</t>
  </si>
  <si>
    <t>063-25</t>
  </si>
  <si>
    <t>064-25</t>
  </si>
  <si>
    <t>065-25</t>
  </si>
  <si>
    <t>066-25</t>
  </si>
  <si>
    <t>067-25</t>
  </si>
  <si>
    <t>083-25</t>
  </si>
  <si>
    <t>084-25</t>
  </si>
  <si>
    <t>089-25</t>
  </si>
  <si>
    <t>092-25</t>
  </si>
  <si>
    <t>093-25</t>
  </si>
  <si>
    <t>094-25</t>
  </si>
  <si>
    <t>098-25</t>
  </si>
  <si>
    <t>101-25</t>
  </si>
  <si>
    <t>055-25</t>
  </si>
  <si>
    <t>068-25</t>
  </si>
  <si>
    <t>069-25</t>
  </si>
  <si>
    <t>070-25</t>
  </si>
  <si>
    <t>071-25</t>
  </si>
  <si>
    <t>099-25</t>
  </si>
  <si>
    <t>102-25</t>
  </si>
  <si>
    <t>103-25</t>
  </si>
  <si>
    <t>104-25</t>
  </si>
  <si>
    <t>105-25</t>
  </si>
  <si>
    <t>106-25</t>
  </si>
  <si>
    <t>107-25</t>
  </si>
  <si>
    <t>108-25</t>
  </si>
  <si>
    <t>109-25</t>
  </si>
  <si>
    <t>110-25</t>
  </si>
  <si>
    <t>111-25</t>
  </si>
  <si>
    <t>112-25</t>
  </si>
  <si>
    <t>113-25</t>
  </si>
  <si>
    <t>114-25</t>
  </si>
  <si>
    <t>115-25</t>
  </si>
  <si>
    <t>116-25</t>
  </si>
  <si>
    <t>117-25</t>
  </si>
  <si>
    <t>118-25</t>
  </si>
  <si>
    <t>120-25</t>
  </si>
  <si>
    <t>121-25</t>
  </si>
  <si>
    <t>122-25</t>
  </si>
  <si>
    <t>123-25</t>
  </si>
  <si>
    <t>356-25</t>
  </si>
  <si>
    <t>357-25</t>
  </si>
  <si>
    <t>358-25</t>
  </si>
  <si>
    <t>002-26</t>
  </si>
  <si>
    <t>003-26</t>
  </si>
  <si>
    <t>004-26</t>
  </si>
  <si>
    <t>005-26</t>
  </si>
  <si>
    <t>014-26</t>
  </si>
  <si>
    <t>015-26</t>
  </si>
  <si>
    <t>016-26</t>
  </si>
  <si>
    <t>017-26</t>
  </si>
  <si>
    <t>018-26</t>
  </si>
  <si>
    <t>Notes</t>
  </si>
  <si>
    <t>Customer</t>
  </si>
  <si>
    <t>Syms</t>
  </si>
  <si>
    <t>KC</t>
  </si>
  <si>
    <t>Nak Kiln</t>
  </si>
  <si>
    <t>Andritz</t>
  </si>
  <si>
    <t>ducting</t>
  </si>
  <si>
    <t>Reco</t>
  </si>
  <si>
    <t>Synthomer</t>
  </si>
  <si>
    <t>Atlas</t>
  </si>
  <si>
    <t>Valmet</t>
  </si>
  <si>
    <t>penn. Dissolving tank</t>
  </si>
  <si>
    <t>symrise</t>
  </si>
  <si>
    <t>coastal tech</t>
  </si>
  <si>
    <t>harper love</t>
  </si>
  <si>
    <t>airgas</t>
  </si>
  <si>
    <t>reco</t>
  </si>
  <si>
    <t>burke</t>
  </si>
  <si>
    <t>epic</t>
  </si>
  <si>
    <t>polynt</t>
  </si>
  <si>
    <t>merrick</t>
  </si>
  <si>
    <t>Dissolving Tank</t>
  </si>
  <si>
    <t>Bonnie</t>
  </si>
  <si>
    <t>Sylvamo</t>
  </si>
  <si>
    <t>SNF</t>
  </si>
  <si>
    <t>US Sugar</t>
  </si>
  <si>
    <t>ADJ Due Date</t>
  </si>
  <si>
    <t>Change Order Adj. weeks</t>
  </si>
  <si>
    <t>Cust Delay add weeks</t>
  </si>
  <si>
    <t>CUST Requested or commited date</t>
  </si>
  <si>
    <t>LDs</t>
  </si>
  <si>
    <t>move up if possible (may)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</si>
</sst>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"/>
  </numFmts>
  <fonts count="2" x14ac:knownFonts="1">
    <font>
      <sz val="11"/>
      <color theme="1"/>
      <name val="Aptos Narrow"/>
      <family val="2"/>
      <scheme val="minor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1" fillId="0" borderId="1" xfId="0" applyNumberFormat="1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1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0B7A2-9770-4389-8AAE-C90E2D0C1E22}">
  <sheetPr>
    <pageSetUpPr fitToPage="1"/>
  </sheetPr>
  <dimension ref="A1:J67"/>
  <sheetViews>
    <sheetView tabSelected="1" workbookViewId="0">
      <selection activeCell="I30" sqref="I30"/>
    </sheetView>
  </sheetViews>
  <sheetFormatPr defaultRowHeight="15" x14ac:dyDescent="0.25"/>
  <cols>
    <col min="2" max="2" width="12.28515625" bestFit="1" customWidth="1"/>
    <col min="3" max="4" width="12.7109375" bestFit="1" customWidth="1"/>
    <col min="5" max="5" width="11.140625" bestFit="1" customWidth="1"/>
    <col min="6" max="6" width="22.42578125" bestFit="1" customWidth="1"/>
    <col min="7" max="7" width="25.42578125" bestFit="1" customWidth="1"/>
    <col min="8" max="8" width="14.7109375" style="3" bestFit="1" customWidth="1"/>
    <col min="9" max="9" width="33.85546875" style="3" bestFit="1" customWidth="1"/>
    <col min="10" max="10" width="24" bestFit="1" customWidth="1"/>
  </cols>
  <sheetData>
    <row r="1" spans="1:10" x14ac:dyDescent="0.25">
      <c r="A1" s="4" t="s">
        <v>0</v>
      </c>
      <c r="B1" s="4" t="s">
        <v>71</v>
      </c>
      <c r="C1" s="4" t="s">
        <v>1</v>
      </c>
      <c r="D1" s="4" t="s">
        <v>2</v>
      </c>
      <c r="E1" s="4" t="s">
        <v>3</v>
      </c>
      <c r="F1" s="4" t="s">
        <v>98</v>
      </c>
      <c r="G1" s="4" t="s">
        <v>97</v>
      </c>
      <c r="H1" s="5" t="s">
        <v>96</v>
      </c>
      <c r="I1" s="5" t="s">
        <v>99</v>
      </c>
      <c r="J1" s="4" t="s">
        <v>70</v>
      </c>
    </row>
    <row r="2" spans="1:10" x14ac:dyDescent="0.25">
      <c r="A2" s="1" t="s">
        <v>4</v>
      </c>
      <c r="B2" s="1" t="s">
        <v>72</v>
      </c>
      <c r="C2" s="5">
        <v>45883</v>
      </c>
      <c r="D2" s="4">
        <v>20</v>
      </c>
      <c r="E2" s="5">
        <f>IF(C2="","",C2+(D2*7))</f>
        <v>46023</v>
      </c>
      <c r="F2" s="4">
        <v>10</v>
      </c>
      <c r="G2" s="4"/>
      <c r="H2" s="5">
        <f>IF(E2="","",E2 + (SUM(F2,G2) * 7))</f>
        <v>46093</v>
      </c>
      <c r="I2" s="5"/>
      <c r="J2" s="4"/>
    </row>
    <row r="3" spans="1:10" x14ac:dyDescent="0.25">
      <c r="A3" s="1" t="s">
        <v>5</v>
      </c>
      <c r="B3" s="1" t="s">
        <v>73</v>
      </c>
      <c r="C3" s="5">
        <v>45897</v>
      </c>
      <c r="D3" s="4">
        <v>18</v>
      </c>
      <c r="E3" s="5">
        <f t="shared" ref="E3:E64" si="0">IF(C3="","",C3+(D3*7))</f>
        <v>46023</v>
      </c>
      <c r="F3" s="4"/>
      <c r="G3" s="4"/>
      <c r="H3" s="5">
        <f t="shared" ref="H3:H64" si="1">IF(E3="","",E3 + (SUM(F3,G3) * 7))</f>
        <v>46023</v>
      </c>
      <c r="I3" s="5">
        <v>46070</v>
      </c>
      <c r="J3" s="6"/>
    </row>
    <row r="4" spans="1:10" x14ac:dyDescent="0.25">
      <c r="A4" s="1" t="s">
        <v>6</v>
      </c>
      <c r="B4" s="1" t="s">
        <v>73</v>
      </c>
      <c r="C4" s="5">
        <v>45904</v>
      </c>
      <c r="D4" s="4">
        <v>18</v>
      </c>
      <c r="E4" s="5">
        <f t="shared" si="0"/>
        <v>46030</v>
      </c>
      <c r="F4" s="4"/>
      <c r="G4" s="4"/>
      <c r="H4" s="5">
        <f t="shared" si="1"/>
        <v>46030</v>
      </c>
      <c r="I4" s="5">
        <v>46049</v>
      </c>
      <c r="J4" s="6"/>
    </row>
    <row r="5" spans="1:10" x14ac:dyDescent="0.25">
      <c r="A5" s="1" t="s">
        <v>7</v>
      </c>
      <c r="B5" s="1" t="s">
        <v>73</v>
      </c>
      <c r="C5" s="5">
        <v>45904</v>
      </c>
      <c r="D5" s="4">
        <v>18</v>
      </c>
      <c r="E5" s="5">
        <f t="shared" si="0"/>
        <v>46030</v>
      </c>
      <c r="F5" s="4"/>
      <c r="G5" s="4"/>
      <c r="H5" s="5">
        <f t="shared" si="1"/>
        <v>46030</v>
      </c>
      <c r="I5" s="5">
        <v>46071</v>
      </c>
      <c r="J5" s="6"/>
    </row>
    <row r="6" spans="1:10" x14ac:dyDescent="0.25">
      <c r="A6" s="1" t="s">
        <v>8</v>
      </c>
      <c r="B6" s="1" t="s">
        <v>73</v>
      </c>
      <c r="C6" s="5">
        <v>45812</v>
      </c>
      <c r="D6" s="4">
        <v>18</v>
      </c>
      <c r="E6" s="5">
        <f t="shared" si="0"/>
        <v>45938</v>
      </c>
      <c r="F6" s="4"/>
      <c r="G6" s="4"/>
      <c r="H6" s="5">
        <f t="shared" si="1"/>
        <v>45938</v>
      </c>
      <c r="I6" s="5">
        <v>46063</v>
      </c>
      <c r="J6" s="6"/>
    </row>
    <row r="7" spans="1:10" x14ac:dyDescent="0.25">
      <c r="A7" s="1" t="s">
        <v>9</v>
      </c>
      <c r="B7" s="1" t="s">
        <v>73</v>
      </c>
      <c r="C7" s="5">
        <v>45805</v>
      </c>
      <c r="D7" s="4">
        <v>18</v>
      </c>
      <c r="E7" s="5">
        <f t="shared" si="0"/>
        <v>45931</v>
      </c>
      <c r="F7" s="4"/>
      <c r="G7" s="4"/>
      <c r="H7" s="5">
        <f t="shared" si="1"/>
        <v>45931</v>
      </c>
      <c r="I7" s="5">
        <v>46070</v>
      </c>
      <c r="J7" s="6"/>
    </row>
    <row r="8" spans="1:10" x14ac:dyDescent="0.25">
      <c r="A8" s="1" t="s">
        <v>10</v>
      </c>
      <c r="B8" s="1" t="s">
        <v>73</v>
      </c>
      <c r="C8" s="5">
        <v>45769</v>
      </c>
      <c r="D8" s="4">
        <v>18</v>
      </c>
      <c r="E8" s="5">
        <f t="shared" si="0"/>
        <v>45895</v>
      </c>
      <c r="F8" s="4"/>
      <c r="G8" s="4"/>
      <c r="H8" s="5">
        <f t="shared" si="1"/>
        <v>45895</v>
      </c>
      <c r="I8" s="5">
        <v>46044</v>
      </c>
      <c r="J8" s="4"/>
    </row>
    <row r="9" spans="1:10" x14ac:dyDescent="0.25">
      <c r="A9" s="1" t="s">
        <v>11</v>
      </c>
      <c r="B9" s="1" t="s">
        <v>73</v>
      </c>
      <c r="C9" s="5">
        <v>45905</v>
      </c>
      <c r="D9" s="4">
        <v>18</v>
      </c>
      <c r="E9" s="5">
        <f t="shared" si="0"/>
        <v>46031</v>
      </c>
      <c r="F9" s="4"/>
      <c r="G9" s="4"/>
      <c r="H9" s="5">
        <f t="shared" si="1"/>
        <v>46031</v>
      </c>
      <c r="I9" s="5">
        <v>46050</v>
      </c>
      <c r="J9" s="4"/>
    </row>
    <row r="10" spans="1:10" x14ac:dyDescent="0.25">
      <c r="A10" s="1" t="s">
        <v>12</v>
      </c>
      <c r="B10" s="1" t="s">
        <v>73</v>
      </c>
      <c r="C10" s="5">
        <v>45905</v>
      </c>
      <c r="D10" s="4">
        <v>18</v>
      </c>
      <c r="E10" s="5">
        <f t="shared" si="0"/>
        <v>46031</v>
      </c>
      <c r="F10" s="4"/>
      <c r="G10" s="4"/>
      <c r="H10" s="5">
        <f t="shared" si="1"/>
        <v>46031</v>
      </c>
      <c r="I10" s="5">
        <v>46070</v>
      </c>
      <c r="J10" s="4"/>
    </row>
    <row r="11" spans="1:10" x14ac:dyDescent="0.25">
      <c r="A11" s="1" t="s">
        <v>13</v>
      </c>
      <c r="B11" s="1" t="s">
        <v>73</v>
      </c>
      <c r="C11" s="5">
        <v>45895</v>
      </c>
      <c r="D11" s="4">
        <v>18</v>
      </c>
      <c r="E11" s="5">
        <f t="shared" si="0"/>
        <v>46021</v>
      </c>
      <c r="F11" s="4"/>
      <c r="G11" s="4"/>
      <c r="H11" s="5">
        <f t="shared" si="1"/>
        <v>46021</v>
      </c>
      <c r="I11" s="5">
        <v>46057</v>
      </c>
      <c r="J11" s="4"/>
    </row>
    <row r="12" spans="1:10" x14ac:dyDescent="0.25">
      <c r="A12" s="1" t="s">
        <v>14</v>
      </c>
      <c r="B12" s="1" t="s">
        <v>73</v>
      </c>
      <c r="C12" s="5">
        <v>45902</v>
      </c>
      <c r="D12" s="4">
        <v>18</v>
      </c>
      <c r="E12" s="5">
        <f t="shared" si="0"/>
        <v>46028</v>
      </c>
      <c r="F12" s="4"/>
      <c r="G12" s="4"/>
      <c r="H12" s="5">
        <f t="shared" si="1"/>
        <v>46028</v>
      </c>
      <c r="I12" s="5">
        <v>46063</v>
      </c>
      <c r="J12" s="4"/>
    </row>
    <row r="13" spans="1:10" x14ac:dyDescent="0.25">
      <c r="A13" s="1" t="s">
        <v>15</v>
      </c>
      <c r="B13" s="1" t="s">
        <v>74</v>
      </c>
      <c r="C13" s="5">
        <v>45729</v>
      </c>
      <c r="D13" s="4">
        <v>22</v>
      </c>
      <c r="E13" s="5">
        <f t="shared" si="0"/>
        <v>45883</v>
      </c>
      <c r="F13" s="4"/>
      <c r="G13" s="4"/>
      <c r="H13" s="5">
        <f t="shared" si="1"/>
        <v>45883</v>
      </c>
      <c r="I13" s="5">
        <v>46065</v>
      </c>
      <c r="J13" s="4"/>
    </row>
    <row r="14" spans="1:10" x14ac:dyDescent="0.25">
      <c r="A14" s="1" t="s">
        <v>16</v>
      </c>
      <c r="B14" s="1" t="s">
        <v>75</v>
      </c>
      <c r="C14" s="5"/>
      <c r="D14" s="4">
        <v>10</v>
      </c>
      <c r="E14" s="5" t="str">
        <f t="shared" si="0"/>
        <v/>
      </c>
      <c r="F14" s="4"/>
      <c r="G14" s="4"/>
      <c r="H14" s="5" t="str">
        <f t="shared" si="1"/>
        <v/>
      </c>
      <c r="I14" s="5"/>
      <c r="J14" s="4" t="s">
        <v>76</v>
      </c>
    </row>
    <row r="15" spans="1:10" x14ac:dyDescent="0.25">
      <c r="A15" s="1" t="s">
        <v>17</v>
      </c>
      <c r="B15" s="1" t="s">
        <v>77</v>
      </c>
      <c r="C15" s="5">
        <v>45873</v>
      </c>
      <c r="D15" s="4">
        <v>22</v>
      </c>
      <c r="E15" s="5">
        <f t="shared" si="0"/>
        <v>46027</v>
      </c>
      <c r="F15" s="4"/>
      <c r="G15" s="4"/>
      <c r="H15" s="5">
        <f t="shared" si="1"/>
        <v>46027</v>
      </c>
      <c r="I15" s="5">
        <v>46056</v>
      </c>
      <c r="J15" s="4"/>
    </row>
    <row r="16" spans="1:10" x14ac:dyDescent="0.25">
      <c r="A16" s="1" t="s">
        <v>18</v>
      </c>
      <c r="B16" s="1" t="s">
        <v>77</v>
      </c>
      <c r="C16" s="5">
        <v>45873</v>
      </c>
      <c r="D16" s="4">
        <v>22</v>
      </c>
      <c r="E16" s="5">
        <f t="shared" si="0"/>
        <v>46027</v>
      </c>
      <c r="F16" s="4"/>
      <c r="G16" s="4"/>
      <c r="H16" s="5">
        <f t="shared" si="1"/>
        <v>46027</v>
      </c>
      <c r="I16" s="5">
        <v>46056</v>
      </c>
      <c r="J16" s="4"/>
    </row>
    <row r="17" spans="1:10" x14ac:dyDescent="0.25">
      <c r="A17" s="1" t="s">
        <v>19</v>
      </c>
      <c r="B17" s="1" t="s">
        <v>77</v>
      </c>
      <c r="C17" s="5">
        <v>45873</v>
      </c>
      <c r="D17" s="4">
        <v>26</v>
      </c>
      <c r="E17" s="5">
        <f t="shared" si="0"/>
        <v>46055</v>
      </c>
      <c r="F17" s="4"/>
      <c r="G17" s="4"/>
      <c r="H17" s="5">
        <f t="shared" si="1"/>
        <v>46055</v>
      </c>
      <c r="I17" s="5">
        <v>46070</v>
      </c>
      <c r="J17" s="4"/>
    </row>
    <row r="18" spans="1:10" x14ac:dyDescent="0.25">
      <c r="A18" s="1" t="s">
        <v>20</v>
      </c>
      <c r="B18" s="1" t="s">
        <v>77</v>
      </c>
      <c r="C18" s="5">
        <v>45873</v>
      </c>
      <c r="D18" s="4">
        <v>26</v>
      </c>
      <c r="E18" s="5">
        <f t="shared" si="0"/>
        <v>46055</v>
      </c>
      <c r="F18" s="4"/>
      <c r="G18" s="4"/>
      <c r="H18" s="5">
        <f t="shared" si="1"/>
        <v>46055</v>
      </c>
      <c r="I18" s="5">
        <v>46070</v>
      </c>
      <c r="J18" s="4"/>
    </row>
    <row r="19" spans="1:10" x14ac:dyDescent="0.25">
      <c r="A19" s="1" t="s">
        <v>21</v>
      </c>
      <c r="B19" s="1" t="s">
        <v>77</v>
      </c>
      <c r="C19" s="5">
        <v>45873</v>
      </c>
      <c r="D19" s="4">
        <v>30</v>
      </c>
      <c r="E19" s="5">
        <f t="shared" si="0"/>
        <v>46083</v>
      </c>
      <c r="F19" s="4"/>
      <c r="G19" s="4"/>
      <c r="H19" s="5">
        <f t="shared" si="1"/>
        <v>46083</v>
      </c>
      <c r="I19" s="5">
        <v>46090</v>
      </c>
      <c r="J19" s="4"/>
    </row>
    <row r="20" spans="1:10" x14ac:dyDescent="0.25">
      <c r="A20" s="1" t="s">
        <v>22</v>
      </c>
      <c r="B20" s="1" t="s">
        <v>77</v>
      </c>
      <c r="C20" s="5">
        <v>45873</v>
      </c>
      <c r="D20" s="4">
        <v>30</v>
      </c>
      <c r="E20" s="5">
        <f t="shared" si="0"/>
        <v>46083</v>
      </c>
      <c r="F20" s="4"/>
      <c r="G20" s="4"/>
      <c r="H20" s="5">
        <f t="shared" si="1"/>
        <v>46083</v>
      </c>
      <c r="I20" s="5">
        <v>46090</v>
      </c>
      <c r="J20" s="4"/>
    </row>
    <row r="21" spans="1:10" x14ac:dyDescent="0.25">
      <c r="A21" s="1" t="s">
        <v>23</v>
      </c>
      <c r="B21" s="1" t="s">
        <v>78</v>
      </c>
      <c r="C21" s="5">
        <v>45965</v>
      </c>
      <c r="D21" s="4">
        <v>26</v>
      </c>
      <c r="E21" s="5">
        <f t="shared" si="0"/>
        <v>46147</v>
      </c>
      <c r="F21" s="4"/>
      <c r="G21" s="4"/>
      <c r="H21" s="5">
        <f t="shared" si="1"/>
        <v>46147</v>
      </c>
      <c r="I21" s="5">
        <v>46078</v>
      </c>
      <c r="J21" s="4"/>
    </row>
    <row r="22" spans="1:10" x14ac:dyDescent="0.25">
      <c r="A22" s="1" t="s">
        <v>24</v>
      </c>
      <c r="B22" s="1" t="s">
        <v>79</v>
      </c>
      <c r="C22" s="5">
        <v>45965</v>
      </c>
      <c r="D22" s="4">
        <v>15</v>
      </c>
      <c r="E22" s="5">
        <f t="shared" si="0"/>
        <v>46070</v>
      </c>
      <c r="F22" s="4"/>
      <c r="G22" s="4"/>
      <c r="H22" s="5">
        <f t="shared" si="1"/>
        <v>46070</v>
      </c>
      <c r="I22" s="5">
        <v>46071</v>
      </c>
      <c r="J22" s="4"/>
    </row>
    <row r="23" spans="1:10" x14ac:dyDescent="0.25">
      <c r="A23" s="1" t="s">
        <v>25</v>
      </c>
      <c r="B23" s="1" t="s">
        <v>80</v>
      </c>
      <c r="C23" s="5">
        <v>45995</v>
      </c>
      <c r="D23" s="4">
        <v>24</v>
      </c>
      <c r="E23" s="5">
        <f t="shared" si="0"/>
        <v>46163</v>
      </c>
      <c r="F23" s="4"/>
      <c r="G23" s="4"/>
      <c r="H23" s="5">
        <f t="shared" si="1"/>
        <v>46163</v>
      </c>
      <c r="I23" s="5">
        <v>46076</v>
      </c>
      <c r="J23" s="4" t="s">
        <v>81</v>
      </c>
    </row>
    <row r="24" spans="1:10" x14ac:dyDescent="0.25">
      <c r="A24" s="1" t="s">
        <v>26</v>
      </c>
      <c r="B24" s="1" t="s">
        <v>82</v>
      </c>
      <c r="C24" s="5">
        <v>45957</v>
      </c>
      <c r="D24" s="4">
        <v>18</v>
      </c>
      <c r="E24" s="5">
        <f t="shared" si="0"/>
        <v>46083</v>
      </c>
      <c r="F24" s="4"/>
      <c r="G24" s="4"/>
      <c r="H24" s="5">
        <f t="shared" si="1"/>
        <v>46083</v>
      </c>
      <c r="I24" s="5">
        <v>46083</v>
      </c>
      <c r="J24" s="4"/>
    </row>
    <row r="25" spans="1:10" x14ac:dyDescent="0.25">
      <c r="A25" s="1" t="s">
        <v>27</v>
      </c>
      <c r="B25" s="1" t="s">
        <v>82</v>
      </c>
      <c r="C25" s="5">
        <v>45957</v>
      </c>
      <c r="D25" s="4">
        <v>18</v>
      </c>
      <c r="E25" s="5">
        <f t="shared" si="0"/>
        <v>46083</v>
      </c>
      <c r="F25" s="4"/>
      <c r="G25" s="4"/>
      <c r="H25" s="5">
        <f t="shared" si="1"/>
        <v>46083</v>
      </c>
      <c r="I25" s="5">
        <v>46083</v>
      </c>
      <c r="J25" s="4"/>
    </row>
    <row r="26" spans="1:10" x14ac:dyDescent="0.25">
      <c r="A26" s="1" t="s">
        <v>28</v>
      </c>
      <c r="B26" s="1" t="s">
        <v>73</v>
      </c>
      <c r="C26" s="5">
        <v>45979</v>
      </c>
      <c r="D26" s="4">
        <v>14</v>
      </c>
      <c r="E26" s="5">
        <f t="shared" si="0"/>
        <v>46077</v>
      </c>
      <c r="F26" s="4"/>
      <c r="G26" s="4"/>
      <c r="H26" s="5">
        <f t="shared" si="1"/>
        <v>46077</v>
      </c>
      <c r="I26" s="5">
        <v>46044</v>
      </c>
      <c r="J26" s="4"/>
    </row>
    <row r="27" spans="1:10" x14ac:dyDescent="0.25">
      <c r="A27" s="1" t="s">
        <v>29</v>
      </c>
      <c r="B27" s="1" t="s">
        <v>83</v>
      </c>
      <c r="C27" s="5">
        <v>45960</v>
      </c>
      <c r="D27" s="4">
        <v>16</v>
      </c>
      <c r="E27" s="5">
        <f t="shared" si="0"/>
        <v>46072</v>
      </c>
      <c r="F27" s="4"/>
      <c r="G27" s="4">
        <v>2</v>
      </c>
      <c r="H27" s="5">
        <f t="shared" si="1"/>
        <v>46086</v>
      </c>
      <c r="I27" s="5"/>
      <c r="J27" s="4"/>
    </row>
    <row r="28" spans="1:10" x14ac:dyDescent="0.25">
      <c r="A28" s="1" t="s">
        <v>30</v>
      </c>
      <c r="B28" s="1" t="s">
        <v>84</v>
      </c>
      <c r="C28" s="5">
        <v>45999</v>
      </c>
      <c r="D28" s="4">
        <v>18</v>
      </c>
      <c r="E28" s="5">
        <f t="shared" si="0"/>
        <v>46125</v>
      </c>
      <c r="F28" s="4"/>
      <c r="G28" s="4"/>
      <c r="H28" s="5">
        <f t="shared" si="1"/>
        <v>46125</v>
      </c>
      <c r="I28" s="5"/>
      <c r="J28" s="4"/>
    </row>
    <row r="29" spans="1:10" x14ac:dyDescent="0.25">
      <c r="A29" s="1" t="s">
        <v>31</v>
      </c>
      <c r="B29" s="1" t="s">
        <v>85</v>
      </c>
      <c r="C29" s="5">
        <v>46008</v>
      </c>
      <c r="D29" s="4">
        <v>26</v>
      </c>
      <c r="E29" s="5">
        <f t="shared" si="0"/>
        <v>46190</v>
      </c>
      <c r="F29" s="4">
        <v>-8</v>
      </c>
      <c r="G29" s="4"/>
      <c r="H29" s="5">
        <f t="shared" si="1"/>
        <v>46134</v>
      </c>
      <c r="I29" s="5"/>
      <c r="J29" s="4"/>
    </row>
    <row r="30" spans="1:10" x14ac:dyDescent="0.25">
      <c r="A30" s="1" t="s">
        <v>32</v>
      </c>
      <c r="B30" s="1" t="s">
        <v>86</v>
      </c>
      <c r="C30" s="5">
        <v>45873</v>
      </c>
      <c r="D30" s="4">
        <v>34</v>
      </c>
      <c r="E30" s="5">
        <f t="shared" si="0"/>
        <v>46111</v>
      </c>
      <c r="F30" s="4"/>
      <c r="G30" s="4"/>
      <c r="H30" s="5">
        <f t="shared" si="1"/>
        <v>46111</v>
      </c>
      <c r="I30" s="5">
        <v>46118</v>
      </c>
      <c r="J30" s="4"/>
    </row>
    <row r="31" spans="1:10" x14ac:dyDescent="0.25">
      <c r="A31" s="1" t="s">
        <v>33</v>
      </c>
      <c r="B31" s="1" t="s">
        <v>86</v>
      </c>
      <c r="C31" s="5">
        <v>45873</v>
      </c>
      <c r="D31" s="4">
        <v>34</v>
      </c>
      <c r="E31" s="5">
        <f t="shared" si="0"/>
        <v>46111</v>
      </c>
      <c r="F31" s="4"/>
      <c r="G31" s="4"/>
      <c r="H31" s="5">
        <f t="shared" si="1"/>
        <v>46111</v>
      </c>
      <c r="I31" s="5">
        <v>46118</v>
      </c>
      <c r="J31" s="4"/>
    </row>
    <row r="32" spans="1:10" x14ac:dyDescent="0.25">
      <c r="A32" s="1" t="s">
        <v>34</v>
      </c>
      <c r="B32" s="1" t="s">
        <v>86</v>
      </c>
      <c r="C32" s="5">
        <v>45873</v>
      </c>
      <c r="D32" s="4">
        <v>38</v>
      </c>
      <c r="E32" s="5">
        <f t="shared" si="0"/>
        <v>46139</v>
      </c>
      <c r="F32" s="4"/>
      <c r="G32" s="4"/>
      <c r="H32" s="5">
        <f t="shared" si="1"/>
        <v>46139</v>
      </c>
      <c r="I32" s="5">
        <v>46132</v>
      </c>
      <c r="J32" s="4"/>
    </row>
    <row r="33" spans="1:10" x14ac:dyDescent="0.25">
      <c r="A33" s="1" t="s">
        <v>35</v>
      </c>
      <c r="B33" s="1" t="s">
        <v>86</v>
      </c>
      <c r="C33" s="5">
        <v>45873</v>
      </c>
      <c r="D33" s="4">
        <v>38</v>
      </c>
      <c r="E33" s="5">
        <f t="shared" si="0"/>
        <v>46139</v>
      </c>
      <c r="F33" s="4"/>
      <c r="G33" s="4"/>
      <c r="H33" s="5">
        <f t="shared" si="1"/>
        <v>46139</v>
      </c>
      <c r="I33" s="5">
        <v>46132</v>
      </c>
      <c r="J33" s="4"/>
    </row>
    <row r="34" spans="1:10" x14ac:dyDescent="0.25">
      <c r="A34" s="1" t="s">
        <v>36</v>
      </c>
      <c r="B34" s="1" t="s">
        <v>87</v>
      </c>
      <c r="C34" s="5">
        <v>45966</v>
      </c>
      <c r="D34" s="4">
        <v>16</v>
      </c>
      <c r="E34" s="5">
        <f t="shared" si="0"/>
        <v>46078</v>
      </c>
      <c r="F34" s="4"/>
      <c r="G34" s="4"/>
      <c r="H34" s="5">
        <f t="shared" si="1"/>
        <v>46078</v>
      </c>
      <c r="I34" s="5"/>
      <c r="J34" s="4"/>
    </row>
    <row r="35" spans="1:10" x14ac:dyDescent="0.25">
      <c r="A35" s="1" t="s">
        <v>37</v>
      </c>
      <c r="B35" s="1" t="s">
        <v>88</v>
      </c>
      <c r="C35" s="5"/>
      <c r="D35" s="4">
        <v>18</v>
      </c>
      <c r="E35" s="5" t="str">
        <f t="shared" si="0"/>
        <v/>
      </c>
      <c r="F35" s="4"/>
      <c r="G35" s="4"/>
      <c r="H35" s="5" t="str">
        <f t="shared" si="1"/>
        <v/>
      </c>
      <c r="I35" s="5"/>
      <c r="J35" s="4"/>
    </row>
    <row r="36" spans="1:10" x14ac:dyDescent="0.25">
      <c r="A36" s="1" t="s">
        <v>38</v>
      </c>
      <c r="B36" s="1" t="s">
        <v>88</v>
      </c>
      <c r="C36" s="5"/>
      <c r="D36" s="4">
        <v>18</v>
      </c>
      <c r="E36" s="5" t="str">
        <f t="shared" si="0"/>
        <v/>
      </c>
      <c r="F36" s="4"/>
      <c r="G36" s="4"/>
      <c r="H36" s="5" t="str">
        <f t="shared" si="1"/>
        <v/>
      </c>
      <c r="I36" s="5"/>
      <c r="J36" s="4"/>
    </row>
    <row r="37" spans="1:10" x14ac:dyDescent="0.25">
      <c r="A37" s="1" t="s">
        <v>39</v>
      </c>
      <c r="B37" s="1" t="s">
        <v>88</v>
      </c>
      <c r="C37" s="5"/>
      <c r="D37" s="4">
        <v>18</v>
      </c>
      <c r="E37" s="5" t="str">
        <f t="shared" si="0"/>
        <v/>
      </c>
      <c r="F37" s="4"/>
      <c r="G37" s="4"/>
      <c r="H37" s="5" t="str">
        <f t="shared" si="1"/>
        <v/>
      </c>
      <c r="I37" s="5"/>
      <c r="J37" s="4"/>
    </row>
    <row r="38" spans="1:10" x14ac:dyDescent="0.25">
      <c r="A38" s="1" t="s">
        <v>40</v>
      </c>
      <c r="B38" s="1" t="s">
        <v>88</v>
      </c>
      <c r="C38" s="5"/>
      <c r="D38" s="4">
        <v>18</v>
      </c>
      <c r="E38" s="5" t="str">
        <f t="shared" si="0"/>
        <v/>
      </c>
      <c r="F38" s="4"/>
      <c r="G38" s="4"/>
      <c r="H38" s="5" t="str">
        <f t="shared" si="1"/>
        <v/>
      </c>
      <c r="I38" s="5"/>
      <c r="J38" s="4"/>
    </row>
    <row r="39" spans="1:10" x14ac:dyDescent="0.25">
      <c r="A39" s="1" t="s">
        <v>41</v>
      </c>
      <c r="B39" s="1" t="s">
        <v>88</v>
      </c>
      <c r="C39" s="5"/>
      <c r="D39" s="4">
        <v>18</v>
      </c>
      <c r="E39" s="5" t="str">
        <f t="shared" si="0"/>
        <v/>
      </c>
      <c r="F39" s="4"/>
      <c r="G39" s="4"/>
      <c r="H39" s="5" t="str">
        <f t="shared" si="1"/>
        <v/>
      </c>
      <c r="I39" s="5"/>
      <c r="J39" s="4"/>
    </row>
    <row r="40" spans="1:10" x14ac:dyDescent="0.25">
      <c r="A40" s="1" t="s">
        <v>42</v>
      </c>
      <c r="B40" s="1" t="s">
        <v>88</v>
      </c>
      <c r="C40" s="5"/>
      <c r="D40" s="4">
        <v>18</v>
      </c>
      <c r="E40" s="5" t="str">
        <f t="shared" si="0"/>
        <v/>
      </c>
      <c r="F40" s="4"/>
      <c r="G40" s="4"/>
      <c r="H40" s="5" t="str">
        <f t="shared" si="1"/>
        <v/>
      </c>
      <c r="I40" s="5"/>
      <c r="J40" s="4"/>
    </row>
    <row r="41" spans="1:10" x14ac:dyDescent="0.25">
      <c r="A41" s="1" t="s">
        <v>43</v>
      </c>
      <c r="B41" s="1" t="s">
        <v>88</v>
      </c>
      <c r="C41" s="5"/>
      <c r="D41" s="4">
        <v>18</v>
      </c>
      <c r="E41" s="5" t="str">
        <f t="shared" si="0"/>
        <v/>
      </c>
      <c r="F41" s="4"/>
      <c r="G41" s="4"/>
      <c r="H41" s="5" t="str">
        <f t="shared" si="1"/>
        <v/>
      </c>
      <c r="I41" s="5"/>
      <c r="J41" s="4"/>
    </row>
    <row r="42" spans="1:10" x14ac:dyDescent="0.25">
      <c r="A42" s="1" t="s">
        <v>44</v>
      </c>
      <c r="B42" s="1" t="s">
        <v>88</v>
      </c>
      <c r="C42" s="5">
        <v>46010</v>
      </c>
      <c r="D42" s="4">
        <v>18</v>
      </c>
      <c r="E42" s="5">
        <f t="shared" si="0"/>
        <v>46136</v>
      </c>
      <c r="F42" s="4"/>
      <c r="G42" s="4"/>
      <c r="H42" s="5">
        <f t="shared" si="1"/>
        <v>46136</v>
      </c>
      <c r="I42" s="5"/>
      <c r="J42" s="4"/>
    </row>
    <row r="43" spans="1:10" x14ac:dyDescent="0.25">
      <c r="A43" s="1" t="s">
        <v>45</v>
      </c>
      <c r="B43" s="1" t="s">
        <v>88</v>
      </c>
      <c r="C43" s="5">
        <v>46013</v>
      </c>
      <c r="D43" s="4">
        <v>18</v>
      </c>
      <c r="E43" s="5">
        <f t="shared" si="0"/>
        <v>46139</v>
      </c>
      <c r="F43" s="4"/>
      <c r="G43" s="4"/>
      <c r="H43" s="5">
        <f t="shared" si="1"/>
        <v>46139</v>
      </c>
      <c r="I43" s="5"/>
      <c r="J43" s="4"/>
    </row>
    <row r="44" spans="1:10" x14ac:dyDescent="0.25">
      <c r="A44" s="1" t="s">
        <v>46</v>
      </c>
      <c r="B44" s="1" t="s">
        <v>88</v>
      </c>
      <c r="C44" s="5">
        <v>46010</v>
      </c>
      <c r="D44" s="4">
        <v>18</v>
      </c>
      <c r="E44" s="5">
        <f t="shared" si="0"/>
        <v>46136</v>
      </c>
      <c r="F44" s="4"/>
      <c r="G44" s="4"/>
      <c r="H44" s="5">
        <f t="shared" si="1"/>
        <v>46136</v>
      </c>
      <c r="I44" s="5"/>
      <c r="J44" s="4"/>
    </row>
    <row r="45" spans="1:10" x14ac:dyDescent="0.25">
      <c r="A45" s="1" t="s">
        <v>47</v>
      </c>
      <c r="B45" s="1" t="s">
        <v>88</v>
      </c>
      <c r="C45" s="5">
        <v>46010</v>
      </c>
      <c r="D45" s="4">
        <v>18</v>
      </c>
      <c r="E45" s="5">
        <f t="shared" si="0"/>
        <v>46136</v>
      </c>
      <c r="F45" s="4"/>
      <c r="G45" s="4"/>
      <c r="H45" s="5">
        <f t="shared" si="1"/>
        <v>46136</v>
      </c>
      <c r="I45" s="5"/>
      <c r="J45" s="4"/>
    </row>
    <row r="46" spans="1:10" x14ac:dyDescent="0.25">
      <c r="A46" s="1" t="s">
        <v>48</v>
      </c>
      <c r="B46" s="1" t="s">
        <v>88</v>
      </c>
      <c r="C46" s="5"/>
      <c r="D46" s="4">
        <v>18</v>
      </c>
      <c r="E46" s="5" t="str">
        <f t="shared" si="0"/>
        <v/>
      </c>
      <c r="F46" s="4"/>
      <c r="G46" s="4"/>
      <c r="H46" s="5" t="str">
        <f t="shared" si="1"/>
        <v/>
      </c>
      <c r="I46" s="5"/>
      <c r="J46" s="4"/>
    </row>
    <row r="47" spans="1:10" x14ac:dyDescent="0.25">
      <c r="A47" s="1" t="s">
        <v>49</v>
      </c>
      <c r="B47" s="1" t="s">
        <v>88</v>
      </c>
      <c r="C47" s="5"/>
      <c r="D47" s="4">
        <v>18</v>
      </c>
      <c r="E47" s="5" t="str">
        <f t="shared" si="0"/>
        <v/>
      </c>
      <c r="F47" s="4"/>
      <c r="G47" s="4"/>
      <c r="H47" s="5" t="str">
        <f t="shared" si="1"/>
        <v/>
      </c>
      <c r="I47" s="5"/>
      <c r="J47" s="4"/>
    </row>
    <row r="48" spans="1:10" x14ac:dyDescent="0.25">
      <c r="A48" s="1" t="s">
        <v>50</v>
      </c>
      <c r="B48" s="1" t="s">
        <v>88</v>
      </c>
      <c r="C48" s="4"/>
      <c r="D48" s="4">
        <v>18</v>
      </c>
      <c r="E48" s="5" t="str">
        <f t="shared" si="0"/>
        <v/>
      </c>
      <c r="F48" s="4"/>
      <c r="G48" s="4"/>
      <c r="H48" s="5" t="str">
        <f t="shared" si="1"/>
        <v/>
      </c>
      <c r="I48" s="5"/>
      <c r="J48" s="4"/>
    </row>
    <row r="49" spans="1:10" x14ac:dyDescent="0.25">
      <c r="A49" s="1" t="s">
        <v>51</v>
      </c>
      <c r="B49" s="1" t="s">
        <v>89</v>
      </c>
      <c r="C49" s="5">
        <v>46031</v>
      </c>
      <c r="D49" s="4">
        <v>18</v>
      </c>
      <c r="E49" s="5">
        <f t="shared" si="0"/>
        <v>46157</v>
      </c>
      <c r="F49" s="4"/>
      <c r="G49" s="4"/>
      <c r="H49" s="5">
        <f t="shared" si="1"/>
        <v>46157</v>
      </c>
      <c r="I49" s="5"/>
      <c r="J49" s="4"/>
    </row>
    <row r="50" spans="1:10" x14ac:dyDescent="0.25">
      <c r="A50" s="1" t="s">
        <v>52</v>
      </c>
      <c r="B50" s="1" t="s">
        <v>90</v>
      </c>
      <c r="C50" s="4"/>
      <c r="D50" s="4">
        <v>20</v>
      </c>
      <c r="E50" s="5" t="str">
        <f t="shared" si="0"/>
        <v/>
      </c>
      <c r="F50" s="4"/>
      <c r="G50" s="4"/>
      <c r="H50" s="5" t="str">
        <f t="shared" si="1"/>
        <v/>
      </c>
      <c r="I50" s="5"/>
      <c r="J50" s="4" t="s">
        <v>100</v>
      </c>
    </row>
    <row r="51" spans="1:10" x14ac:dyDescent="0.25">
      <c r="A51" s="1" t="s">
        <v>53</v>
      </c>
      <c r="B51" s="1" t="s">
        <v>90</v>
      </c>
      <c r="C51" s="4"/>
      <c r="D51" s="4">
        <v>20</v>
      </c>
      <c r="E51" s="5" t="str">
        <f t="shared" si="0"/>
        <v/>
      </c>
      <c r="F51" s="4"/>
      <c r="G51" s="4"/>
      <c r="H51" s="5" t="str">
        <f t="shared" si="1"/>
        <v/>
      </c>
      <c r="I51" s="5"/>
      <c r="J51" s="4" t="s">
        <v>100</v>
      </c>
    </row>
    <row r="52" spans="1:10" x14ac:dyDescent="0.25">
      <c r="A52" s="1" t="s">
        <v>54</v>
      </c>
      <c r="B52" s="1" t="s">
        <v>75</v>
      </c>
      <c r="C52" s="4"/>
      <c r="D52" s="4">
        <v>26</v>
      </c>
      <c r="E52" s="5" t="str">
        <f t="shared" si="0"/>
        <v/>
      </c>
      <c r="F52" s="4"/>
      <c r="G52" s="4"/>
      <c r="H52" s="5" t="str">
        <f t="shared" si="1"/>
        <v/>
      </c>
      <c r="I52" s="5"/>
      <c r="J52" s="4" t="s">
        <v>91</v>
      </c>
    </row>
    <row r="53" spans="1:10" x14ac:dyDescent="0.25">
      <c r="A53" s="1" t="s">
        <v>55</v>
      </c>
      <c r="B53" s="1" t="s">
        <v>73</v>
      </c>
      <c r="C53" s="4"/>
      <c r="D53" s="4">
        <v>18</v>
      </c>
      <c r="E53" s="5" t="str">
        <f t="shared" si="0"/>
        <v/>
      </c>
      <c r="F53" s="4"/>
      <c r="G53" s="4"/>
      <c r="H53" s="5" t="str">
        <f t="shared" si="1"/>
        <v/>
      </c>
      <c r="I53" s="5"/>
      <c r="J53" s="4" t="s">
        <v>92</v>
      </c>
    </row>
    <row r="54" spans="1:10" x14ac:dyDescent="0.25">
      <c r="A54" s="1" t="s">
        <v>56</v>
      </c>
      <c r="B54" s="1" t="s">
        <v>73</v>
      </c>
      <c r="C54" s="4"/>
      <c r="D54" s="4">
        <v>18</v>
      </c>
      <c r="E54" s="5" t="str">
        <f t="shared" si="0"/>
        <v/>
      </c>
      <c r="F54" s="4"/>
      <c r="G54" s="4"/>
      <c r="H54" s="5" t="str">
        <f t="shared" si="1"/>
        <v/>
      </c>
      <c r="I54" s="5"/>
      <c r="J54" s="4" t="s">
        <v>92</v>
      </c>
    </row>
    <row r="55" spans="1:10" x14ac:dyDescent="0.25">
      <c r="A55" s="1" t="s">
        <v>57</v>
      </c>
      <c r="B55" s="1" t="s">
        <v>73</v>
      </c>
      <c r="C55" s="4"/>
      <c r="D55" s="4">
        <v>18</v>
      </c>
      <c r="E55" s="5" t="str">
        <f t="shared" si="0"/>
        <v/>
      </c>
      <c r="F55" s="4"/>
      <c r="G55" s="4"/>
      <c r="H55" s="5" t="str">
        <f t="shared" si="1"/>
        <v/>
      </c>
      <c r="I55" s="5"/>
      <c r="J55" s="4" t="s">
        <v>92</v>
      </c>
    </row>
    <row r="56" spans="1:10" x14ac:dyDescent="0.25">
      <c r="A56" s="1" t="s">
        <v>58</v>
      </c>
      <c r="B56" s="1" t="s">
        <v>78</v>
      </c>
      <c r="C56" s="4"/>
      <c r="D56" s="4">
        <v>18</v>
      </c>
      <c r="E56" s="5" t="str">
        <f t="shared" si="0"/>
        <v/>
      </c>
      <c r="F56" s="4"/>
      <c r="G56" s="4"/>
      <c r="H56" s="5" t="str">
        <f t="shared" si="1"/>
        <v/>
      </c>
      <c r="I56" s="5">
        <v>46188</v>
      </c>
      <c r="J56" s="4" t="s">
        <v>101</v>
      </c>
    </row>
    <row r="57" spans="1:10" x14ac:dyDescent="0.25">
      <c r="A57" s="1" t="s">
        <v>59</v>
      </c>
      <c r="B57" s="1" t="s">
        <v>93</v>
      </c>
      <c r="C57" s="4"/>
      <c r="D57" s="4">
        <v>16</v>
      </c>
      <c r="E57" s="5" t="str">
        <f t="shared" si="0"/>
        <v/>
      </c>
      <c r="F57" s="4"/>
      <c r="G57" s="4"/>
      <c r="H57" s="5" t="str">
        <f t="shared" si="1"/>
        <v/>
      </c>
      <c r="I57" s="5"/>
      <c r="J57" s="4"/>
    </row>
    <row r="58" spans="1:10" x14ac:dyDescent="0.25">
      <c r="A58" s="1" t="s">
        <v>60</v>
      </c>
      <c r="B58" s="1" t="s">
        <v>93</v>
      </c>
      <c r="C58" s="4"/>
      <c r="D58" s="4">
        <v>16</v>
      </c>
      <c r="E58" s="5" t="str">
        <f t="shared" si="0"/>
        <v/>
      </c>
      <c r="F58" s="4"/>
      <c r="G58" s="4"/>
      <c r="H58" s="5" t="str">
        <f t="shared" si="1"/>
        <v/>
      </c>
      <c r="I58" s="5"/>
      <c r="J58" s="4"/>
    </row>
    <row r="59" spans="1:10" x14ac:dyDescent="0.25">
      <c r="A59" s="2" t="s">
        <v>61</v>
      </c>
      <c r="B59" s="2" t="s">
        <v>94</v>
      </c>
      <c r="C59" s="4"/>
      <c r="D59" s="4">
        <v>18</v>
      </c>
      <c r="E59" s="5" t="str">
        <f t="shared" si="0"/>
        <v/>
      </c>
      <c r="F59" s="4"/>
      <c r="G59" s="4"/>
      <c r="H59" s="5" t="str">
        <f t="shared" si="1"/>
        <v/>
      </c>
      <c r="I59" s="5">
        <v>46202</v>
      </c>
      <c r="J59" s="4" t="s">
        <v>100</v>
      </c>
    </row>
    <row r="60" spans="1:10" x14ac:dyDescent="0.25">
      <c r="A60" s="2" t="s">
        <v>62</v>
      </c>
      <c r="B60" s="2" t="s">
        <v>94</v>
      </c>
      <c r="C60" s="4"/>
      <c r="D60" s="4">
        <v>18</v>
      </c>
      <c r="E60" s="5" t="str">
        <f t="shared" si="0"/>
        <v/>
      </c>
      <c r="F60" s="4"/>
      <c r="G60" s="4"/>
      <c r="H60" s="5" t="str">
        <f t="shared" si="1"/>
        <v/>
      </c>
      <c r="I60" s="5">
        <v>46202</v>
      </c>
      <c r="J60" s="4" t="s">
        <v>100</v>
      </c>
    </row>
    <row r="61" spans="1:10" x14ac:dyDescent="0.25">
      <c r="A61" s="2" t="s">
        <v>63</v>
      </c>
      <c r="B61" s="2" t="s">
        <v>94</v>
      </c>
      <c r="C61" s="4"/>
      <c r="D61" s="4">
        <v>18</v>
      </c>
      <c r="E61" s="5" t="str">
        <f t="shared" si="0"/>
        <v/>
      </c>
      <c r="F61" s="4"/>
      <c r="G61" s="4"/>
      <c r="H61" s="5" t="str">
        <f t="shared" si="1"/>
        <v/>
      </c>
      <c r="I61" s="5">
        <v>46202</v>
      </c>
      <c r="J61" s="4" t="s">
        <v>100</v>
      </c>
    </row>
    <row r="62" spans="1:10" x14ac:dyDescent="0.25">
      <c r="A62" s="2" t="s">
        <v>64</v>
      </c>
      <c r="B62" s="2" t="s">
        <v>95</v>
      </c>
      <c r="C62" s="4"/>
      <c r="D62" s="4">
        <v>20</v>
      </c>
      <c r="E62" s="5" t="str">
        <f t="shared" si="0"/>
        <v/>
      </c>
      <c r="F62" s="4"/>
      <c r="G62" s="4"/>
      <c r="H62" s="5" t="str">
        <f t="shared" si="1"/>
        <v/>
      </c>
      <c r="I62" s="5"/>
      <c r="J62" s="4"/>
    </row>
    <row r="63" spans="1:10" x14ac:dyDescent="0.25">
      <c r="A63" s="2" t="s">
        <v>65</v>
      </c>
      <c r="B63" s="2" t="s">
        <v>94</v>
      </c>
      <c r="C63" s="4"/>
      <c r="D63" s="4">
        <v>26</v>
      </c>
      <c r="E63" s="5" t="str">
        <f t="shared" si="0"/>
        <v/>
      </c>
      <c r="F63" s="4"/>
      <c r="G63" s="4"/>
      <c r="H63" s="5" t="str">
        <f t="shared" si="1"/>
        <v/>
      </c>
      <c r="I63" s="5">
        <v>46176</v>
      </c>
      <c r="J63" s="4" t="s">
        <v>100</v>
      </c>
    </row>
    <row r="64" spans="1:10" x14ac:dyDescent="0.25">
      <c r="A64" s="2" t="s">
        <v>66</v>
      </c>
      <c r="B64" s="2" t="s">
        <v>94</v>
      </c>
      <c r="C64" s="4"/>
      <c r="D64" s="4">
        <v>26</v>
      </c>
      <c r="E64" s="5" t="str">
        <f t="shared" si="0"/>
        <v/>
      </c>
      <c r="F64" s="4"/>
      <c r="G64" s="4"/>
      <c r="H64" s="5" t="str">
        <f t="shared" si="1"/>
        <v/>
      </c>
      <c r="I64" s="5">
        <v>46176</v>
      </c>
      <c r="J64" s="4" t="s">
        <v>100</v>
      </c>
    </row>
    <row r="65" spans="1:10" x14ac:dyDescent="0.25">
      <c r="A65" s="2" t="s">
        <v>67</v>
      </c>
      <c r="B65" s="2" t="s">
        <v>94</v>
      </c>
      <c r="C65" s="4"/>
      <c r="D65" s="4">
        <v>26</v>
      </c>
      <c r="E65" s="5" t="str">
        <f t="shared" ref="E65:E67" si="2">IF(C65="","",C65+(D65*7))</f>
        <v/>
      </c>
      <c r="F65" s="4"/>
      <c r="G65" s="4"/>
      <c r="H65" s="5" t="str">
        <f t="shared" ref="H65:H67" si="3">IF(E65="","",E65 + (SUM(F65,G65) * 7))</f>
        <v/>
      </c>
      <c r="I65" s="5">
        <v>46176</v>
      </c>
      <c r="J65" s="4" t="s">
        <v>100</v>
      </c>
    </row>
    <row r="66" spans="1:10" x14ac:dyDescent="0.25">
      <c r="A66" s="2" t="s">
        <v>68</v>
      </c>
      <c r="B66" s="2" t="s">
        <v>94</v>
      </c>
      <c r="C66" s="4"/>
      <c r="D66" s="4">
        <v>26</v>
      </c>
      <c r="E66" s="5" t="str">
        <f t="shared" si="2"/>
        <v/>
      </c>
      <c r="F66" s="4"/>
      <c r="G66" s="4"/>
      <c r="H66" s="5" t="str">
        <f t="shared" si="3"/>
        <v/>
      </c>
      <c r="I66" s="5">
        <v>46204</v>
      </c>
      <c r="J66" s="4" t="s">
        <v>100</v>
      </c>
    </row>
    <row r="67" spans="1:10" x14ac:dyDescent="0.25">
      <c r="A67" s="2" t="s">
        <v>69</v>
      </c>
      <c r="B67" s="2" t="s">
        <v>94</v>
      </c>
      <c r="C67" s="4"/>
      <c r="D67" s="4">
        <v>26</v>
      </c>
      <c r="E67" s="5" t="str">
        <f t="shared" si="2"/>
        <v/>
      </c>
      <c r="F67" s="4"/>
      <c r="G67" s="4"/>
      <c r="H67" s="5" t="str">
        <f t="shared" si="3"/>
        <v/>
      </c>
      <c r="I67" s="5">
        <v>46204</v>
      </c>
      <c r="J67" s="4" t="s">
        <v>100</v>
      </c>
    </row>
  </sheetData>
  <autoFilter ref="A1:J1" xr:uid="{AD80B7A2-9770-4389-8AAE-C90E2D0C1E22}"/>
  <pageMargins left="0.25" right="0.25" top="0.75" bottom="0.75" header="0.3" footer="0.3"/>
  <pageSetup scale="7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Fletcher</dc:creator>
  <cp:lastModifiedBy>Chris Fletcher</cp:lastModifiedBy>
  <cp:lastPrinted>2026-01-19T18:15:43Z</cp:lastPrinted>
  <dcterms:created xsi:type="dcterms:W3CDTF">2026-01-18T20:46:25Z</dcterms:created>
  <dcterms:modified xsi:type="dcterms:W3CDTF">2026-01-19T18:16:27Z</dcterms:modified>
</cp:coreProperties>
</file>