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JOBS\2025\102-25 - Epic - T-101\"/>
    </mc:Choice>
  </mc:AlternateContent>
  <xr:revisionPtr revIDLastSave="0" documentId="13_ncr:1_{8C189D31-83DA-48BA-9065-78F3D0A1A4BB}" xr6:coauthVersionLast="47" xr6:coauthVersionMax="47" xr10:uidLastSave="{00000000-0000-0000-0000-000000000000}"/>
  <bookViews>
    <workbookView xWindow="28680" yWindow="-120" windowWidth="29040" windowHeight="15840" xr2:uid="{0A8D882C-737C-4888-A608-6392367AB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8" i="1"/>
  <c r="I7" i="1"/>
</calcChain>
</file>

<file path=xl/sharedStrings.xml><?xml version="1.0" encoding="utf-8"?>
<sst xmlns="http://schemas.openxmlformats.org/spreadsheetml/2006/main" count="92" uniqueCount="49">
  <si>
    <t>JOB #</t>
  </si>
  <si>
    <t>TAG #</t>
  </si>
  <si>
    <t>STATUS</t>
  </si>
  <si>
    <t>102-25</t>
  </si>
  <si>
    <t>103-25</t>
  </si>
  <si>
    <t>104-25</t>
  </si>
  <si>
    <t>105-25</t>
  </si>
  <si>
    <t>106-25</t>
  </si>
  <si>
    <t>107-25</t>
  </si>
  <si>
    <t>108-25</t>
  </si>
  <si>
    <t>109-25</t>
  </si>
  <si>
    <t>110-25</t>
  </si>
  <si>
    <t>111-25</t>
  </si>
  <si>
    <t>112-25</t>
  </si>
  <si>
    <t>113-25</t>
  </si>
  <si>
    <t>114-25</t>
  </si>
  <si>
    <t>115-25</t>
  </si>
  <si>
    <t>T-101</t>
  </si>
  <si>
    <t>T-104</t>
  </si>
  <si>
    <t>T-103</t>
  </si>
  <si>
    <t>T-105</t>
  </si>
  <si>
    <t>T-121</t>
  </si>
  <si>
    <t>T-113</t>
  </si>
  <si>
    <t>T-114</t>
  </si>
  <si>
    <t>V-117</t>
  </si>
  <si>
    <t>T-117</t>
  </si>
  <si>
    <t>T-118A</t>
  </si>
  <si>
    <t>T-118B</t>
  </si>
  <si>
    <t>T-120</t>
  </si>
  <si>
    <t>V-104</t>
  </si>
  <si>
    <t>V-103</t>
  </si>
  <si>
    <t>CANCELLED</t>
  </si>
  <si>
    <t>STATUS DATE</t>
  </si>
  <si>
    <t>NEXT ACTION DATE</t>
  </si>
  <si>
    <t>WITH EPIC FOR COMMENT</t>
  </si>
  <si>
    <t>DELIVERY DATE BASED ON ORIGINAL QUOTED LEAD TIME</t>
  </si>
  <si>
    <t>SPECIAL FLANGE</t>
  </si>
  <si>
    <t>CHANGE ORDER</t>
  </si>
  <si>
    <t>YES</t>
  </si>
  <si>
    <t>Ship To</t>
  </si>
  <si>
    <t>New Mexico</t>
  </si>
  <si>
    <t>St Louis</t>
  </si>
  <si>
    <t>Priority</t>
  </si>
  <si>
    <t>C</t>
  </si>
  <si>
    <t>B</t>
  </si>
  <si>
    <t>A</t>
  </si>
  <si>
    <t>CURRENT SHIP DATE WEEK OF</t>
  </si>
  <si>
    <t>CERTIFIED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</si>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</sst>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16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0" fontId="0" fillId="2" borderId="0" xfId="0" applyFill="1"/>
    <xf numFmtId="16" fontId="1" fillId="0" borderId="1" xfId="0" applyNumberFormat="1" applyFont="1" applyBorder="1" applyAlignment="1">
      <alignment horizontal="right"/>
    </xf>
    <xf numFmtId="0" fontId="1" fillId="2" borderId="1" xfId="0" applyFont="1" applyFill="1" applyBorder="1"/>
    <xf numFmtId="0" fontId="1" fillId="0" borderId="1" xfId="0" applyFont="1" applyBorder="1" applyAlignment="1">
      <alignment horizontal="center" wrapText="1"/>
    </xf>
    <xf numFmtId="0" fontId="3" fillId="3" borderId="1" xfId="1" applyBorder="1"/>
    <xf numFmtId="0" fontId="4" fillId="4" borderId="1" xfId="2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7C23-F98C-4A89-A574-981B1417CE18}">
  <sheetPr>
    <pageSetUpPr fitToPage="1"/>
  </sheetPr>
  <dimension ref="A1:K15"/>
  <sheetViews>
    <sheetView tabSelected="1" workbookViewId="0">
      <selection activeCell="A6" sqref="A6"/>
    </sheetView>
  </sheetViews>
  <sheetFormatPr defaultRowHeight="15" x14ac:dyDescent="0.25"/>
  <cols>
    <col min="1" max="1" width="10" bestFit="1" customWidth="1"/>
    <col min="2" max="2" width="10" customWidth="1"/>
    <col min="3" max="3" width="9.85546875" bestFit="1" customWidth="1"/>
    <col min="4" max="4" width="38.7109375" bestFit="1" customWidth="1"/>
    <col min="5" max="5" width="15.85546875" customWidth="1"/>
    <col min="6" max="6" width="18.42578125" customWidth="1"/>
    <col min="7" max="7" width="18.7109375" style="2" customWidth="1"/>
    <col min="8" max="8" width="16.85546875" customWidth="1"/>
    <col min="9" max="9" width="40.85546875" style="2" customWidth="1"/>
    <col min="10" max="10" width="25" style="2" customWidth="1"/>
    <col min="11" max="11" width="15.140625" bestFit="1" customWidth="1"/>
  </cols>
  <sheetData>
    <row r="1" spans="1:11" ht="63" x14ac:dyDescent="0.35">
      <c r="A1" s="8" t="s">
        <v>0</v>
      </c>
      <c r="B1" s="8" t="s">
        <v>42</v>
      </c>
      <c r="C1" s="8" t="s">
        <v>1</v>
      </c>
      <c r="D1" s="8" t="s">
        <v>2</v>
      </c>
      <c r="E1" s="13" t="s">
        <v>37</v>
      </c>
      <c r="F1" s="9" t="s">
        <v>32</v>
      </c>
      <c r="G1" s="9" t="s">
        <v>33</v>
      </c>
      <c r="H1" s="13" t="s">
        <v>46</v>
      </c>
      <c r="I1" s="9" t="s">
        <v>35</v>
      </c>
      <c r="J1" s="9" t="s">
        <v>39</v>
      </c>
    </row>
    <row r="2" spans="1:11" ht="21" x14ac:dyDescent="0.35">
      <c r="A2" s="15" t="s">
        <v>3</v>
      </c>
      <c r="B2" s="1" t="s">
        <v>43</v>
      </c>
      <c r="C2" s="1" t="s">
        <v>17</v>
      </c>
      <c r="D2" s="1" t="s">
        <v>47</v>
      </c>
      <c r="E2" s="1" t="s">
        <v>38</v>
      </c>
      <c r="F2" s="5">
        <v>46072</v>
      </c>
      <c r="G2" s="5"/>
      <c r="H2" s="7">
        <v>46139</v>
      </c>
      <c r="I2" s="5">
        <v>46203</v>
      </c>
      <c r="J2" s="5" t="s">
        <v>40</v>
      </c>
    </row>
    <row r="3" spans="1:11" ht="21" x14ac:dyDescent="0.35">
      <c r="A3" s="15" t="s">
        <v>4</v>
      </c>
      <c r="B3" s="1" t="s">
        <v>43</v>
      </c>
      <c r="C3" s="1" t="s">
        <v>18</v>
      </c>
      <c r="D3" s="1" t="s">
        <v>47</v>
      </c>
      <c r="E3" s="1" t="s">
        <v>48</v>
      </c>
      <c r="F3" s="5">
        <v>46072</v>
      </c>
      <c r="G3" s="5"/>
      <c r="H3" s="7">
        <v>46139</v>
      </c>
      <c r="I3" s="5">
        <v>46198</v>
      </c>
      <c r="J3" s="5" t="s">
        <v>40</v>
      </c>
    </row>
    <row r="4" spans="1:11" ht="21" x14ac:dyDescent="0.35">
      <c r="A4" s="15" t="s">
        <v>5</v>
      </c>
      <c r="B4" s="1" t="s">
        <v>43</v>
      </c>
      <c r="C4" s="1" t="s">
        <v>19</v>
      </c>
      <c r="D4" s="1" t="s">
        <v>47</v>
      </c>
      <c r="E4" s="1" t="s">
        <v>48</v>
      </c>
      <c r="F4" s="5">
        <v>46072</v>
      </c>
      <c r="G4" s="5"/>
      <c r="H4" s="7">
        <v>46139</v>
      </c>
      <c r="I4" s="5">
        <v>46198</v>
      </c>
      <c r="J4" s="5" t="s">
        <v>40</v>
      </c>
    </row>
    <row r="5" spans="1:11" ht="21" x14ac:dyDescent="0.35">
      <c r="A5" s="14" t="s">
        <v>6</v>
      </c>
      <c r="B5" s="1" t="s">
        <v>43</v>
      </c>
      <c r="C5" s="1" t="s">
        <v>20</v>
      </c>
      <c r="D5" s="1" t="s">
        <v>47</v>
      </c>
      <c r="E5" s="1" t="s">
        <v>48</v>
      </c>
      <c r="F5" s="5">
        <v>46072</v>
      </c>
      <c r="G5" s="5"/>
      <c r="H5" s="7">
        <v>46174</v>
      </c>
      <c r="I5" s="5">
        <v>46198</v>
      </c>
      <c r="J5" s="5" t="s">
        <v>40</v>
      </c>
    </row>
    <row r="6" spans="1:11" ht="21" x14ac:dyDescent="0.35">
      <c r="A6" s="14" t="s">
        <v>7</v>
      </c>
      <c r="B6" s="1" t="s">
        <v>43</v>
      </c>
      <c r="C6" s="1" t="s">
        <v>21</v>
      </c>
      <c r="D6" s="1" t="s">
        <v>47</v>
      </c>
      <c r="E6" s="1" t="s">
        <v>48</v>
      </c>
      <c r="F6" s="5">
        <v>46072</v>
      </c>
      <c r="G6" s="5"/>
      <c r="H6" s="7">
        <v>46174</v>
      </c>
      <c r="I6" s="5">
        <v>46203</v>
      </c>
      <c r="J6" s="5" t="s">
        <v>40</v>
      </c>
    </row>
    <row r="7" spans="1:11" ht="21" x14ac:dyDescent="0.35">
      <c r="A7" s="1" t="s">
        <v>8</v>
      </c>
      <c r="B7" s="1" t="s">
        <v>43</v>
      </c>
      <c r="C7" s="1" t="s">
        <v>22</v>
      </c>
      <c r="D7" s="12" t="s">
        <v>34</v>
      </c>
      <c r="E7" s="1" t="s">
        <v>48</v>
      </c>
      <c r="F7" s="5">
        <v>46086</v>
      </c>
      <c r="G7" s="6">
        <v>46093</v>
      </c>
      <c r="H7" s="7">
        <v>46174</v>
      </c>
      <c r="I7" s="5">
        <f t="shared" ref="I7:I13" ca="1" si="0">TODAY()+18*7</f>
        <v>46225</v>
      </c>
      <c r="J7" s="4" t="s">
        <v>40</v>
      </c>
    </row>
    <row r="8" spans="1:11" ht="21" x14ac:dyDescent="0.35">
      <c r="A8" s="1" t="s">
        <v>9</v>
      </c>
      <c r="B8" s="1" t="s">
        <v>43</v>
      </c>
      <c r="C8" s="1" t="s">
        <v>23</v>
      </c>
      <c r="D8" s="12" t="s">
        <v>34</v>
      </c>
      <c r="E8" s="1" t="s">
        <v>48</v>
      </c>
      <c r="F8" s="5">
        <v>46086</v>
      </c>
      <c r="G8" s="6">
        <v>46093</v>
      </c>
      <c r="H8" s="7">
        <v>46174</v>
      </c>
      <c r="I8" s="5">
        <f t="shared" ca="1" si="0"/>
        <v>46225</v>
      </c>
      <c r="J8" s="4" t="s">
        <v>40</v>
      </c>
    </row>
    <row r="9" spans="1:11" ht="21" x14ac:dyDescent="0.35">
      <c r="A9" s="14" t="s">
        <v>10</v>
      </c>
      <c r="B9" s="12" t="s">
        <v>44</v>
      </c>
      <c r="C9" s="1" t="s">
        <v>24</v>
      </c>
      <c r="D9" s="1" t="s">
        <v>47</v>
      </c>
      <c r="E9" s="1"/>
      <c r="F9" s="5">
        <v>46086</v>
      </c>
      <c r="G9" s="5"/>
      <c r="H9" s="7">
        <v>46139</v>
      </c>
      <c r="I9" s="5">
        <v>46198</v>
      </c>
      <c r="J9" s="5" t="s">
        <v>41</v>
      </c>
    </row>
    <row r="10" spans="1:11" ht="21" x14ac:dyDescent="0.35">
      <c r="A10" s="14" t="s">
        <v>11</v>
      </c>
      <c r="B10" s="12" t="s">
        <v>45</v>
      </c>
      <c r="C10" s="1" t="s">
        <v>25</v>
      </c>
      <c r="D10" s="1" t="s">
        <v>47</v>
      </c>
      <c r="E10" s="5"/>
      <c r="F10" s="5">
        <v>46086</v>
      </c>
      <c r="G10" s="5"/>
      <c r="H10" s="7">
        <v>46139</v>
      </c>
      <c r="I10" s="5">
        <v>46203</v>
      </c>
      <c r="J10" s="5" t="s">
        <v>41</v>
      </c>
      <c r="K10" s="10" t="s">
        <v>36</v>
      </c>
    </row>
    <row r="11" spans="1:11" ht="21" x14ac:dyDescent="0.35">
      <c r="A11" s="15" t="s">
        <v>12</v>
      </c>
      <c r="B11" s="12" t="s">
        <v>45</v>
      </c>
      <c r="C11" s="1" t="s">
        <v>26</v>
      </c>
      <c r="D11" s="1" t="s">
        <v>47</v>
      </c>
      <c r="E11" s="5"/>
      <c r="F11" s="5">
        <v>46086</v>
      </c>
      <c r="G11" s="5"/>
      <c r="H11" s="7">
        <v>46139</v>
      </c>
      <c r="I11" s="5">
        <v>46203</v>
      </c>
      <c r="J11" s="5" t="s">
        <v>41</v>
      </c>
      <c r="K11" s="10" t="s">
        <v>36</v>
      </c>
    </row>
    <row r="12" spans="1:11" ht="21" x14ac:dyDescent="0.35">
      <c r="A12" s="15" t="s">
        <v>13</v>
      </c>
      <c r="B12" s="12" t="s">
        <v>45</v>
      </c>
      <c r="C12" s="1" t="s">
        <v>27</v>
      </c>
      <c r="D12" s="1" t="s">
        <v>47</v>
      </c>
      <c r="E12" s="5"/>
      <c r="F12" s="5">
        <v>46086</v>
      </c>
      <c r="G12" s="5"/>
      <c r="H12" s="7">
        <v>46139</v>
      </c>
      <c r="I12" s="5">
        <v>46203</v>
      </c>
      <c r="J12" s="5" t="s">
        <v>41</v>
      </c>
      <c r="K12" s="10" t="s">
        <v>36</v>
      </c>
    </row>
    <row r="13" spans="1:11" ht="21" x14ac:dyDescent="0.35">
      <c r="A13" s="1" t="s">
        <v>14</v>
      </c>
      <c r="B13" s="1" t="s">
        <v>43</v>
      </c>
      <c r="C13" s="1" t="s">
        <v>28</v>
      </c>
      <c r="D13" s="12" t="s">
        <v>34</v>
      </c>
      <c r="E13" s="1"/>
      <c r="F13" s="5">
        <v>46086</v>
      </c>
      <c r="G13" s="6">
        <v>46093</v>
      </c>
      <c r="H13" s="11">
        <v>46153</v>
      </c>
      <c r="I13" s="5">
        <f t="shared" ca="1" si="0"/>
        <v>46225</v>
      </c>
      <c r="J13" s="4" t="s">
        <v>40</v>
      </c>
    </row>
    <row r="14" spans="1:11" ht="21" hidden="1" x14ac:dyDescent="0.35">
      <c r="A14" s="3" t="s">
        <v>15</v>
      </c>
      <c r="B14" s="3"/>
      <c r="C14" s="3" t="s">
        <v>30</v>
      </c>
      <c r="D14" s="3" t="s">
        <v>31</v>
      </c>
      <c r="E14" s="3"/>
      <c r="F14" s="3" t="s">
        <v>31</v>
      </c>
      <c r="G14" s="3" t="s">
        <v>31</v>
      </c>
      <c r="H14" s="3" t="s">
        <v>31</v>
      </c>
      <c r="I14" s="4" t="s">
        <v>31</v>
      </c>
      <c r="J14" s="4"/>
    </row>
    <row r="15" spans="1:11" ht="21" x14ac:dyDescent="0.35">
      <c r="A15" s="14" t="s">
        <v>16</v>
      </c>
      <c r="B15" s="12" t="s">
        <v>44</v>
      </c>
      <c r="C15" s="1" t="s">
        <v>29</v>
      </c>
      <c r="D15" s="1" t="s">
        <v>47</v>
      </c>
      <c r="E15" s="1"/>
      <c r="F15" s="5">
        <v>46072</v>
      </c>
      <c r="G15" s="5"/>
      <c r="H15" s="7">
        <v>46167</v>
      </c>
      <c r="I15" s="5">
        <v>46198</v>
      </c>
      <c r="J15" s="5" t="s">
        <v>41</v>
      </c>
    </row>
  </sheetData>
  <pageMargins left="0.25" right="0.25" top="0.75" bottom="0.75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April Lewis</cp:lastModifiedBy>
  <cp:lastPrinted>2026-03-16T19:18:35Z</cp:lastPrinted>
  <dcterms:created xsi:type="dcterms:W3CDTF">2026-01-29T14:42:23Z</dcterms:created>
  <dcterms:modified xsi:type="dcterms:W3CDTF">2026-03-18T12:10:56Z</dcterms:modified>
</cp:coreProperties>
</file>