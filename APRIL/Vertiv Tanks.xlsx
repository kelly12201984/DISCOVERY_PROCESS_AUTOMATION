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139" documentId="13_ncr:1_{EAA139C4-B5C6-4F16-B731-F4C8C8774B2F}" xr6:coauthVersionLast="47" xr6:coauthVersionMax="47" xr10:uidLastSave="{0999C3D3-A6FF-4897-9CFD-C9B9CAEDA2D7}"/>
  <bookViews>
    <workbookView xWindow="28680" yWindow="-120" windowWidth="29040" windowHeight="15840" tabRatio="415" firstSheet="1" activeTab="1" xr2:uid="{00000000-000D-0000-FFFF-FFFF00000000}"/>
  </bookViews>
  <sheets>
    <sheet name="About" sheetId="12" state="hidden" r:id="rId1"/>
    <sheet name="By Tank" sheetId="18" r:id="rId2"/>
    <sheet name="Overall" sheetId="20" r:id="rId3"/>
    <sheet name="Count Sheet" sheetId="21" r:id="rId4"/>
  </sheets>
  <definedNames>
    <definedName name="_xlnm.Print_Titles" localSheetId="1">'By Tank'!$2:$2</definedName>
    <definedName name="_xlnm.Print_Titles" localSheetId="2">Overall!$2:$5</definedName>
    <definedName name="Project_Start" localSheetId="1">'By Tank'!#REF!</definedName>
    <definedName name="Project_Start" localSheetId="2">Overall!$C$2</definedName>
    <definedName name="Project_Start">#REF!</definedName>
    <definedName name="Scrolling_Increment" localSheetId="1">'By Tank'!#REF!</definedName>
    <definedName name="Scrolling_Increment" localSheetId="2">Overall!$C$3</definedName>
    <definedName name="Scrolling_Increment">#REF!</definedName>
    <definedName name="Today" localSheetId="1">TODAY()</definedName>
    <definedName name="Today" localSheetId="2">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21" l="1"/>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8" i="18"/>
  <c r="E37" i="20"/>
  <c r="E20" i="20"/>
  <c r="E19" i="20"/>
  <c r="I3" i="20"/>
  <c r="I14" i="20" s="1"/>
  <c r="E6" i="18"/>
  <c r="E7" i="18"/>
  <c r="E8" i="18"/>
  <c r="E9" i="18"/>
  <c r="E10" i="18"/>
  <c r="E11" i="18"/>
  <c r="E12" i="18"/>
  <c r="E13" i="18"/>
  <c r="E14" i="18"/>
  <c r="E15" i="18"/>
  <c r="E16" i="18"/>
  <c r="E17" i="18"/>
  <c r="E18" i="18"/>
  <c r="E19" i="18"/>
  <c r="E20" i="18"/>
  <c r="E21" i="18"/>
  <c r="E22" i="18"/>
  <c r="E23" i="18"/>
  <c r="E24" i="18"/>
  <c r="E25" i="18"/>
  <c r="E26" i="18"/>
  <c r="E27" i="18"/>
  <c r="E5" i="18"/>
  <c r="E4" i="18"/>
  <c r="I16" i="20" l="1"/>
  <c r="I15" i="20"/>
  <c r="I37" i="20"/>
  <c r="I31" i="20"/>
  <c r="I2" i="20"/>
  <c r="J3" i="20"/>
  <c r="J16" i="20" s="1"/>
  <c r="I17" i="20"/>
  <c r="I18" i="20"/>
  <c r="I26" i="20"/>
  <c r="I25" i="20"/>
  <c r="I46" i="20"/>
  <c r="I45" i="20"/>
  <c r="I44" i="20"/>
  <c r="I36" i="20"/>
  <c r="I28" i="20"/>
  <c r="I38" i="20"/>
  <c r="I35" i="20"/>
  <c r="I32" i="20"/>
  <c r="I30" i="20"/>
  <c r="I39" i="20"/>
  <c r="I5" i="20"/>
  <c r="I7" i="20"/>
  <c r="I8" i="20"/>
  <c r="I9" i="20"/>
  <c r="I10" i="20"/>
  <c r="I11" i="20"/>
  <c r="I13" i="20"/>
  <c r="I24" i="20"/>
  <c r="I19" i="20"/>
  <c r="I27" i="20"/>
  <c r="I29" i="20"/>
  <c r="I34" i="20"/>
  <c r="J37" i="20" l="1"/>
  <c r="J15" i="20"/>
  <c r="J46" i="20"/>
  <c r="J31" i="20"/>
  <c r="J26" i="20"/>
  <c r="J14" i="20"/>
  <c r="J34" i="20"/>
  <c r="K3" i="20"/>
  <c r="K16" i="20" s="1"/>
  <c r="J39" i="20"/>
  <c r="J44" i="20"/>
  <c r="J24" i="20"/>
  <c r="J5" i="20"/>
  <c r="J45" i="20"/>
  <c r="J9" i="20"/>
  <c r="J18" i="20"/>
  <c r="J27" i="20"/>
  <c r="J28" i="20"/>
  <c r="J7" i="20"/>
  <c r="J19" i="20"/>
  <c r="J8" i="20"/>
  <c r="J10" i="20"/>
  <c r="J35" i="20"/>
  <c r="J29" i="20"/>
  <c r="J11" i="20"/>
  <c r="J17" i="20"/>
  <c r="J36" i="20"/>
  <c r="J30" i="20"/>
  <c r="J13" i="20"/>
  <c r="J25" i="20"/>
  <c r="J38" i="20"/>
  <c r="J32" i="20"/>
  <c r="K46" i="20" l="1"/>
  <c r="K37" i="20"/>
  <c r="K15" i="20"/>
  <c r="K45" i="20"/>
  <c r="K31" i="20"/>
  <c r="K32" i="20"/>
  <c r="K7" i="20"/>
  <c r="K17" i="20"/>
  <c r="K18" i="20"/>
  <c r="K28" i="20"/>
  <c r="K10" i="20"/>
  <c r="K24" i="20"/>
  <c r="K36" i="20"/>
  <c r="K8" i="20"/>
  <c r="K9" i="20"/>
  <c r="K35" i="20"/>
  <c r="K25" i="20"/>
  <c r="K13" i="20"/>
  <c r="K26" i="20"/>
  <c r="K39" i="20"/>
  <c r="K14" i="20"/>
  <c r="K29" i="20"/>
  <c r="K27" i="20"/>
  <c r="K44" i="20"/>
  <c r="K19" i="20"/>
  <c r="K11" i="20"/>
  <c r="K38" i="20"/>
  <c r="L3" i="20"/>
  <c r="L16" i="20" s="1"/>
  <c r="K5" i="20"/>
  <c r="K34" i="20"/>
  <c r="K30" i="20"/>
  <c r="L37" i="20" l="1"/>
  <c r="L15" i="20"/>
  <c r="L32" i="20"/>
  <c r="L31" i="20"/>
  <c r="L25" i="20"/>
  <c r="L17" i="20"/>
  <c r="L35" i="20"/>
  <c r="L44" i="20"/>
  <c r="L39" i="20"/>
  <c r="L34" i="20"/>
  <c r="L7" i="20"/>
  <c r="L36" i="20"/>
  <c r="L13" i="20"/>
  <c r="L26" i="20"/>
  <c r="L9" i="20"/>
  <c r="L45" i="20"/>
  <c r="L5" i="20"/>
  <c r="L27" i="20"/>
  <c r="L10" i="20"/>
  <c r="L46" i="20"/>
  <c r="L11" i="20"/>
  <c r="L18" i="20"/>
  <c r="L38" i="20"/>
  <c r="M3" i="20"/>
  <c r="L19" i="20"/>
  <c r="L28" i="20"/>
  <c r="L8" i="20"/>
  <c r="L14" i="20"/>
  <c r="L24" i="20"/>
  <c r="L29" i="20"/>
  <c r="L30" i="20"/>
  <c r="M15" i="20" l="1"/>
  <c r="M16" i="20"/>
  <c r="M7" i="20"/>
  <c r="M37" i="20"/>
  <c r="M24" i="20"/>
  <c r="M35" i="20"/>
  <c r="M31" i="20"/>
  <c r="M34" i="20"/>
  <c r="M17" i="20"/>
  <c r="M25" i="20"/>
  <c r="M10" i="20"/>
  <c r="M27" i="20"/>
  <c r="M8" i="20"/>
  <c r="M11" i="20"/>
  <c r="M32" i="20"/>
  <c r="M13" i="20"/>
  <c r="M36" i="20"/>
  <c r="M14" i="20"/>
  <c r="M38" i="20"/>
  <c r="M39" i="20"/>
  <c r="M5" i="20"/>
  <c r="M19" i="20"/>
  <c r="M45" i="20"/>
  <c r="N3" i="20"/>
  <c r="N16" i="20" s="1"/>
  <c r="M28" i="20"/>
  <c r="M26" i="20"/>
  <c r="M44" i="20"/>
  <c r="M29" i="20"/>
  <c r="M30" i="20"/>
  <c r="M46" i="20"/>
  <c r="M9" i="20"/>
  <c r="M18" i="20"/>
  <c r="N37" i="20" l="1"/>
  <c r="N15" i="20"/>
  <c r="N45" i="20"/>
  <c r="N31" i="20"/>
  <c r="N32" i="20"/>
  <c r="N46" i="20"/>
  <c r="N13" i="20"/>
  <c r="N10" i="20"/>
  <c r="N34" i="20"/>
  <c r="N29" i="20"/>
  <c r="N30" i="20"/>
  <c r="N9" i="20"/>
  <c r="N35" i="20"/>
  <c r="N5" i="20"/>
  <c r="N19" i="20"/>
  <c r="N36" i="20"/>
  <c r="N11" i="20"/>
  <c r="O3" i="20"/>
  <c r="O16" i="20" s="1"/>
  <c r="N25" i="20"/>
  <c r="N39" i="20"/>
  <c r="N18" i="20"/>
  <c r="N14" i="20"/>
  <c r="N24" i="20"/>
  <c r="N38" i="20"/>
  <c r="N7" i="20"/>
  <c r="N17" i="20"/>
  <c r="N26" i="20"/>
  <c r="N44" i="20"/>
  <c r="N8" i="20"/>
  <c r="N28" i="20"/>
  <c r="N27" i="20"/>
  <c r="O37" i="20" l="1"/>
  <c r="O15" i="20"/>
  <c r="O38" i="20"/>
  <c r="O31" i="20"/>
  <c r="P3" i="20"/>
  <c r="P16" i="20" s="1"/>
  <c r="O19" i="20"/>
  <c r="O5" i="20"/>
  <c r="O24" i="20"/>
  <c r="O46" i="20"/>
  <c r="O36" i="20"/>
  <c r="O45" i="20"/>
  <c r="O14" i="20"/>
  <c r="O8" i="20"/>
  <c r="O34" i="20"/>
  <c r="O39" i="20"/>
  <c r="O29" i="20"/>
  <c r="O7" i="20"/>
  <c r="O32" i="20"/>
  <c r="O26" i="20"/>
  <c r="O9" i="20"/>
  <c r="O27" i="20"/>
  <c r="O10" i="20"/>
  <c r="O30" i="20"/>
  <c r="O17" i="20"/>
  <c r="O35" i="20"/>
  <c r="O28" i="20"/>
  <c r="O25" i="20"/>
  <c r="O44" i="20"/>
  <c r="O11" i="20"/>
  <c r="O13" i="20"/>
  <c r="O18" i="20"/>
  <c r="P19" i="20" l="1"/>
  <c r="P30" i="20"/>
  <c r="P39" i="20"/>
  <c r="P7" i="20"/>
  <c r="P28" i="20"/>
  <c r="P29" i="20"/>
  <c r="P15" i="20"/>
  <c r="P44" i="20"/>
  <c r="P11" i="20"/>
  <c r="P32" i="20"/>
  <c r="P37" i="20"/>
  <c r="P8" i="20"/>
  <c r="P36" i="20"/>
  <c r="P17" i="20"/>
  <c r="P5" i="20"/>
  <c r="P26" i="20"/>
  <c r="P9" i="20"/>
  <c r="P25" i="20"/>
  <c r="P46" i="20"/>
  <c r="Q3" i="20"/>
  <c r="Q16" i="20" s="1"/>
  <c r="P27" i="20"/>
  <c r="P14" i="20"/>
  <c r="P34" i="20"/>
  <c r="P35" i="20"/>
  <c r="P31" i="20"/>
  <c r="P2" i="20"/>
  <c r="P13" i="20"/>
  <c r="P24" i="20"/>
  <c r="P38" i="20"/>
  <c r="P45" i="20"/>
  <c r="P10" i="20"/>
  <c r="P18" i="20"/>
  <c r="Q27" i="20" l="1"/>
  <c r="Q15" i="20"/>
  <c r="Q32" i="20"/>
  <c r="Q35" i="20"/>
  <c r="Q31" i="20"/>
  <c r="Q37" i="20"/>
  <c r="Q26" i="20"/>
  <c r="R3" i="20"/>
  <c r="R16" i="20" s="1"/>
  <c r="Q7" i="20"/>
  <c r="Q11" i="20"/>
  <c r="Q13" i="20"/>
  <c r="Q17" i="20"/>
  <c r="Q18" i="20"/>
  <c r="Q34" i="20"/>
  <c r="Q14" i="20"/>
  <c r="Q38" i="20"/>
  <c r="Q30" i="20"/>
  <c r="Q25" i="20"/>
  <c r="Q5" i="20"/>
  <c r="Q36" i="20"/>
  <c r="Q19" i="20"/>
  <c r="Q9" i="20"/>
  <c r="Q39" i="20"/>
  <c r="Q45" i="20"/>
  <c r="Q29" i="20"/>
  <c r="Q8" i="20"/>
  <c r="Q24" i="20"/>
  <c r="Q44" i="20"/>
  <c r="Q10" i="20"/>
  <c r="Q28" i="20"/>
  <c r="Q46" i="20"/>
  <c r="R32" i="20" l="1"/>
  <c r="R8" i="20"/>
  <c r="R15" i="20"/>
  <c r="R31" i="20"/>
  <c r="R37" i="20"/>
  <c r="R38" i="20"/>
  <c r="R18" i="20"/>
  <c r="R39" i="20"/>
  <c r="R5" i="20"/>
  <c r="R44" i="20"/>
  <c r="R10" i="20"/>
  <c r="R14" i="20"/>
  <c r="R45" i="20"/>
  <c r="R46" i="20"/>
  <c r="R26" i="20"/>
  <c r="R35" i="20"/>
  <c r="R19" i="20"/>
  <c r="R17" i="20"/>
  <c r="R7" i="20"/>
  <c r="R25" i="20"/>
  <c r="R28" i="20"/>
  <c r="R9" i="20"/>
  <c r="S3" i="20"/>
  <c r="S16" i="20" s="1"/>
  <c r="R29" i="20"/>
  <c r="R27" i="20"/>
  <c r="R11" i="20"/>
  <c r="R24" i="20"/>
  <c r="R36" i="20"/>
  <c r="R30" i="20"/>
  <c r="S32" i="20" l="1"/>
  <c r="S15" i="20"/>
  <c r="S30" i="20"/>
  <c r="S31" i="20"/>
  <c r="S37" i="20"/>
  <c r="S28" i="20"/>
  <c r="S45" i="20"/>
  <c r="S34" i="20"/>
  <c r="S8" i="20"/>
  <c r="S14" i="20"/>
  <c r="S29" i="20"/>
  <c r="S18" i="20"/>
  <c r="S19" i="20"/>
  <c r="S35" i="20"/>
  <c r="S24" i="20"/>
  <c r="S36" i="20"/>
  <c r="S9" i="20"/>
  <c r="S25" i="20"/>
  <c r="S38" i="20"/>
  <c r="S7" i="20"/>
  <c r="S26" i="20"/>
  <c r="S17" i="20"/>
  <c r="S46" i="20"/>
  <c r="S5" i="20"/>
  <c r="T3" i="20"/>
  <c r="T7" i="20" s="1"/>
  <c r="S10" i="20"/>
  <c r="S39" i="20"/>
  <c r="S13" i="20"/>
  <c r="S11" i="20"/>
  <c r="S27" i="20"/>
  <c r="S44" i="20"/>
  <c r="T27" i="20" l="1"/>
  <c r="T16" i="20"/>
  <c r="T46" i="20"/>
  <c r="T15" i="20"/>
  <c r="T39" i="20"/>
  <c r="T35" i="20"/>
  <c r="T29" i="20"/>
  <c r="T38" i="20"/>
  <c r="T34" i="20"/>
  <c r="U3" i="20"/>
  <c r="U16" i="20" s="1"/>
  <c r="T30" i="20"/>
  <c r="T14" i="20"/>
  <c r="T25" i="20"/>
  <c r="T24" i="20"/>
  <c r="T11" i="20"/>
  <c r="T36" i="20"/>
  <c r="T9" i="20"/>
  <c r="T13" i="20"/>
  <c r="T26" i="20"/>
  <c r="T28" i="20"/>
  <c r="T18" i="20"/>
  <c r="T31" i="20"/>
  <c r="T37" i="20"/>
  <c r="T5" i="20"/>
  <c r="T17" i="20"/>
  <c r="T44" i="20"/>
  <c r="T32" i="20"/>
  <c r="T10" i="20"/>
  <c r="T8" i="20"/>
  <c r="T19" i="20"/>
  <c r="T45" i="20"/>
  <c r="U44" i="20" l="1"/>
  <c r="U38" i="20"/>
  <c r="U15" i="20"/>
  <c r="V3" i="20"/>
  <c r="V45" i="20" s="1"/>
  <c r="U45" i="20"/>
  <c r="U46" i="20"/>
  <c r="U13" i="20"/>
  <c r="U30" i="20"/>
  <c r="U17" i="20"/>
  <c r="U25" i="20"/>
  <c r="U37" i="20"/>
  <c r="U5" i="20"/>
  <c r="U27" i="20"/>
  <c r="U14" i="20"/>
  <c r="U32" i="20"/>
  <c r="U10" i="20"/>
  <c r="U28" i="20"/>
  <c r="U34" i="20"/>
  <c r="U26" i="20"/>
  <c r="U11" i="20"/>
  <c r="U29" i="20"/>
  <c r="U39" i="20"/>
  <c r="U35" i="20"/>
  <c r="U31" i="20"/>
  <c r="U8" i="20"/>
  <c r="U19" i="20"/>
  <c r="U36" i="20"/>
  <c r="U7" i="20"/>
  <c r="U18" i="20"/>
  <c r="U9" i="20"/>
  <c r="U24" i="20"/>
  <c r="V18" i="20" l="1"/>
  <c r="V31" i="20"/>
  <c r="V29" i="20"/>
  <c r="V24" i="20"/>
  <c r="V35" i="20"/>
  <c r="V9" i="20"/>
  <c r="V44" i="20"/>
  <c r="V11" i="20"/>
  <c r="V14" i="20"/>
  <c r="V30" i="20"/>
  <c r="V5" i="20"/>
  <c r="V17" i="20"/>
  <c r="V46" i="20"/>
  <c r="V10" i="20"/>
  <c r="V26" i="20"/>
  <c r="V13" i="20"/>
  <c r="V28" i="20"/>
  <c r="W3" i="20"/>
  <c r="W37" i="20" s="1"/>
  <c r="V38" i="20"/>
  <c r="V34" i="20"/>
  <c r="V37" i="20"/>
  <c r="V7" i="20"/>
  <c r="V19" i="20"/>
  <c r="V36" i="20"/>
  <c r="V25" i="20"/>
  <c r="V39" i="20"/>
  <c r="V8" i="20"/>
  <c r="V32" i="20"/>
  <c r="V27" i="20"/>
  <c r="V15" i="20"/>
  <c r="V16" i="20"/>
  <c r="W30" i="20" l="1"/>
  <c r="W26" i="20"/>
  <c r="W31" i="20"/>
  <c r="W10" i="20"/>
  <c r="W44" i="20"/>
  <c r="W13" i="20"/>
  <c r="W2" i="20"/>
  <c r="W17" i="20"/>
  <c r="W39" i="20"/>
  <c r="W16" i="20"/>
  <c r="W14" i="20"/>
  <c r="X3" i="20"/>
  <c r="X46" i="20" s="1"/>
  <c r="W34" i="20"/>
  <c r="W28" i="20"/>
  <c r="W7" i="20"/>
  <c r="W38" i="20"/>
  <c r="W19" i="20"/>
  <c r="W46" i="20"/>
  <c r="W11" i="20"/>
  <c r="W36" i="20"/>
  <c r="W27" i="20"/>
  <c r="W45" i="20"/>
  <c r="W8" i="20"/>
  <c r="W24" i="20"/>
  <c r="W32" i="20"/>
  <c r="W5" i="20"/>
  <c r="W18" i="20"/>
  <c r="W15" i="20"/>
  <c r="W29" i="20"/>
  <c r="W9" i="20"/>
  <c r="W35" i="20"/>
  <c r="W25" i="20"/>
  <c r="X8" i="20" l="1"/>
  <c r="X10" i="20"/>
  <c r="X18" i="20"/>
  <c r="X19" i="20"/>
  <c r="X38" i="20"/>
  <c r="X37" i="20"/>
  <c r="X30" i="20"/>
  <c r="X34" i="20"/>
  <c r="X11" i="20"/>
  <c r="X36" i="20"/>
  <c r="X16" i="20"/>
  <c r="X15" i="20"/>
  <c r="X9" i="20"/>
  <c r="X17" i="20"/>
  <c r="X35" i="20"/>
  <c r="X31" i="20"/>
  <c r="Y3" i="20"/>
  <c r="Y45" i="20" s="1"/>
  <c r="X39" i="20"/>
  <c r="X44" i="20"/>
  <c r="X24" i="20"/>
  <c r="X14" i="20"/>
  <c r="X25" i="20"/>
  <c r="X5" i="20"/>
  <c r="X29" i="20"/>
  <c r="X26" i="20"/>
  <c r="X45" i="20"/>
  <c r="X13" i="20"/>
  <c r="X28" i="20"/>
  <c r="X7" i="20"/>
  <c r="X32" i="20"/>
  <c r="X27" i="20"/>
  <c r="Y27" i="20" l="1"/>
  <c r="Y32" i="20"/>
  <c r="Y13" i="20"/>
  <c r="Y29" i="20"/>
  <c r="Y46" i="20"/>
  <c r="Y30" i="20"/>
  <c r="Y5" i="20"/>
  <c r="Y16" i="20"/>
  <c r="Y11" i="20"/>
  <c r="Y18" i="20"/>
  <c r="Y17" i="20"/>
  <c r="Y37" i="20"/>
  <c r="Y14" i="20"/>
  <c r="Y26" i="20"/>
  <c r="Y36" i="20"/>
  <c r="Y31" i="20"/>
  <c r="Y34" i="20"/>
  <c r="Y15" i="20"/>
  <c r="Y25" i="20"/>
  <c r="Z3" i="20"/>
  <c r="Z29" i="20" s="1"/>
  <c r="Y8" i="20"/>
  <c r="Y28" i="20"/>
  <c r="Y39" i="20"/>
  <c r="Y24" i="20"/>
  <c r="Y9" i="20"/>
  <c r="Y38" i="20"/>
  <c r="Y44" i="20"/>
  <c r="Y7" i="20"/>
  <c r="Y19" i="20"/>
  <c r="Y10" i="20"/>
  <c r="Y35" i="20"/>
  <c r="Z7" i="20" l="1"/>
  <c r="Z13" i="20"/>
  <c r="Z14" i="20"/>
  <c r="Z36" i="20"/>
  <c r="Z38" i="20"/>
  <c r="Z30" i="20"/>
  <c r="Z32" i="20"/>
  <c r="Z5" i="20"/>
  <c r="Z37" i="20"/>
  <c r="Z8" i="20"/>
  <c r="Z39" i="20"/>
  <c r="Z24" i="20"/>
  <c r="Z26" i="20"/>
  <c r="Z44" i="20"/>
  <c r="Z31" i="20"/>
  <c r="Z16" i="20"/>
  <c r="Z18" i="20"/>
  <c r="Z10" i="20"/>
  <c r="AA3" i="20"/>
  <c r="AA16" i="20" s="1"/>
  <c r="Z45" i="20"/>
  <c r="Z34" i="20"/>
  <c r="Z17" i="20"/>
  <c r="Z46" i="20"/>
  <c r="Z15" i="20"/>
  <c r="Z19" i="20"/>
  <c r="Z9" i="20"/>
  <c r="Z25" i="20"/>
  <c r="Z28" i="20"/>
  <c r="Z11" i="20"/>
  <c r="Z27" i="20"/>
  <c r="Z35" i="20"/>
  <c r="AA30" i="20" l="1"/>
  <c r="AA13" i="20"/>
  <c r="AA9" i="20"/>
  <c r="AA11" i="20"/>
  <c r="AA5" i="20"/>
  <c r="AA10" i="20"/>
  <c r="AA19" i="20"/>
  <c r="AA26" i="20"/>
  <c r="AA28" i="20"/>
  <c r="AA27" i="20"/>
  <c r="AA15" i="20"/>
  <c r="AB3" i="20"/>
  <c r="AB31" i="20" s="1"/>
  <c r="AA17" i="20"/>
  <c r="AA29" i="20"/>
  <c r="AA14" i="20"/>
  <c r="AA18" i="20"/>
  <c r="AA32" i="20"/>
  <c r="AA36" i="20"/>
  <c r="AA7" i="20"/>
  <c r="AA24" i="20"/>
  <c r="AA8" i="20"/>
  <c r="AA25" i="20"/>
  <c r="AA38" i="20"/>
  <c r="AA34" i="20"/>
  <c r="AA35" i="20"/>
  <c r="AA39" i="20"/>
  <c r="AA44" i="20"/>
  <c r="AA46" i="20"/>
  <c r="AA31" i="20"/>
  <c r="AA37" i="20"/>
  <c r="AA45" i="20"/>
  <c r="AB35" i="20" l="1"/>
  <c r="AB18" i="20"/>
  <c r="AB27" i="20"/>
  <c r="AB25" i="20"/>
  <c r="AB7" i="20"/>
  <c r="AB36" i="20"/>
  <c r="AB28" i="20"/>
  <c r="AC3" i="20"/>
  <c r="AC32" i="20" s="1"/>
  <c r="AB32" i="20"/>
  <c r="AB11" i="20"/>
  <c r="AB14" i="20"/>
  <c r="AB16" i="20"/>
  <c r="AB13" i="20"/>
  <c r="AB26" i="20"/>
  <c r="AB39" i="20"/>
  <c r="AB15" i="20"/>
  <c r="AB5" i="20"/>
  <c r="AB34" i="20"/>
  <c r="AB38" i="20"/>
  <c r="AB29" i="20"/>
  <c r="AB10" i="20"/>
  <c r="AB17" i="20"/>
  <c r="AB46" i="20"/>
  <c r="AB30" i="20"/>
  <c r="AB9" i="20"/>
  <c r="AB19" i="20"/>
  <c r="AB44" i="20"/>
  <c r="AB37" i="20"/>
  <c r="AB8" i="20"/>
  <c r="AB24" i="20"/>
  <c r="AB45" i="20"/>
  <c r="AC15" i="20" l="1"/>
  <c r="AC26" i="20"/>
  <c r="AC8" i="20"/>
  <c r="AC35" i="20"/>
  <c r="AC9" i="20"/>
  <c r="AC10" i="20"/>
  <c r="AC37" i="20"/>
  <c r="AC36" i="20"/>
  <c r="AC38" i="20"/>
  <c r="AC11" i="20"/>
  <c r="AC39" i="20"/>
  <c r="AC19" i="20"/>
  <c r="AC24" i="20"/>
  <c r="AC31" i="20"/>
  <c r="AC25" i="20"/>
  <c r="AC16" i="20"/>
  <c r="AC44" i="20"/>
  <c r="AC13" i="20"/>
  <c r="AC14" i="20"/>
  <c r="AC28" i="20"/>
  <c r="AC17" i="20"/>
  <c r="AC29" i="20"/>
  <c r="AC46" i="20"/>
  <c r="AC30" i="20"/>
  <c r="AC27" i="20"/>
  <c r="AD3" i="20"/>
  <c r="AD46" i="20" s="1"/>
  <c r="AC45" i="20"/>
  <c r="AC5" i="20"/>
  <c r="AC7" i="20"/>
  <c r="AC18" i="20"/>
  <c r="AC34" i="20"/>
  <c r="AD28" i="20" l="1"/>
  <c r="AD44" i="20"/>
  <c r="AD39" i="20"/>
  <c r="AD9" i="20"/>
  <c r="AE3" i="20"/>
  <c r="AE16" i="20" s="1"/>
  <c r="AD30" i="20"/>
  <c r="AD19" i="20"/>
  <c r="AD37" i="20"/>
  <c r="AD24" i="20"/>
  <c r="AD31" i="20"/>
  <c r="AD7" i="20"/>
  <c r="AD27" i="20"/>
  <c r="AD11" i="20"/>
  <c r="AD34" i="20"/>
  <c r="AD8" i="20"/>
  <c r="AD35" i="20"/>
  <c r="AD13" i="20"/>
  <c r="AD25" i="20"/>
  <c r="AD36" i="20"/>
  <c r="AD16" i="20"/>
  <c r="AD10" i="20"/>
  <c r="AD14" i="20"/>
  <c r="AD26" i="20"/>
  <c r="AD38" i="20"/>
  <c r="AD15" i="20"/>
  <c r="AD5" i="20"/>
  <c r="AD17" i="20"/>
  <c r="AD32" i="20"/>
  <c r="AD45" i="20"/>
  <c r="AD2" i="20"/>
  <c r="AD18" i="20"/>
  <c r="AD29" i="20"/>
  <c r="AE14" i="20" l="1"/>
  <c r="AE11" i="20"/>
  <c r="AE44" i="20"/>
  <c r="AE7" i="20"/>
  <c r="AE18" i="20"/>
  <c r="AE5" i="20"/>
  <c r="AE19" i="20"/>
  <c r="AE25" i="20"/>
  <c r="AE26" i="20"/>
  <c r="AE15" i="20"/>
  <c r="AE29" i="20"/>
  <c r="AE36" i="20"/>
  <c r="AE39" i="20"/>
  <c r="AE46" i="20"/>
  <c r="AE30" i="20"/>
  <c r="AE32" i="20"/>
  <c r="AE13" i="20"/>
  <c r="AF3" i="20"/>
  <c r="AF16" i="20" s="1"/>
  <c r="AE24" i="20"/>
  <c r="AE45" i="20"/>
  <c r="AE8" i="20"/>
  <c r="AE34" i="20"/>
  <c r="AE27" i="20"/>
  <c r="AE37" i="20"/>
  <c r="AE9" i="20"/>
  <c r="AE38" i="20"/>
  <c r="AE28" i="20"/>
  <c r="AE31" i="20"/>
  <c r="AE10" i="20"/>
  <c r="AE17" i="20"/>
  <c r="AE35" i="20"/>
  <c r="AF32" i="20" l="1"/>
  <c r="AF37" i="20"/>
  <c r="AF35" i="20"/>
  <c r="AF14" i="20"/>
  <c r="AF7" i="20"/>
  <c r="AF30" i="20"/>
  <c r="AF18" i="20"/>
  <c r="AF8" i="20"/>
  <c r="AF19" i="20"/>
  <c r="AF38" i="20"/>
  <c r="AF15" i="20"/>
  <c r="AF9" i="20"/>
  <c r="AF25" i="20"/>
  <c r="AF39" i="20"/>
  <c r="AF11" i="20"/>
  <c r="AF26" i="20"/>
  <c r="AF44" i="20"/>
  <c r="AF29" i="20"/>
  <c r="AF27" i="20"/>
  <c r="AF45" i="20"/>
  <c r="AF13" i="20"/>
  <c r="AG3" i="20"/>
  <c r="AG15" i="20" s="1"/>
  <c r="AF28" i="20"/>
  <c r="AF46" i="20"/>
  <c r="AF5" i="20"/>
  <c r="AF17" i="20"/>
  <c r="AF34" i="20"/>
  <c r="AF31" i="20"/>
  <c r="AF10" i="20"/>
  <c r="AF24" i="20"/>
  <c r="AF36" i="20"/>
  <c r="AH3" i="20" l="1"/>
  <c r="AH37" i="20" s="1"/>
  <c r="AG17" i="20"/>
  <c r="AG7" i="20"/>
  <c r="AG8" i="20"/>
  <c r="AG18" i="20"/>
  <c r="AG26" i="20"/>
  <c r="AG39" i="20"/>
  <c r="AG44" i="20"/>
  <c r="AG45" i="20"/>
  <c r="AG25" i="20"/>
  <c r="AG36" i="20"/>
  <c r="AG28" i="20"/>
  <c r="AG10" i="20"/>
  <c r="AG29" i="20"/>
  <c r="AG46" i="20"/>
  <c r="AG9" i="20"/>
  <c r="AG24" i="20"/>
  <c r="AG11" i="20"/>
  <c r="AG34" i="20"/>
  <c r="AG37" i="20"/>
  <c r="AG13" i="20"/>
  <c r="AG19" i="20"/>
  <c r="AG30" i="20"/>
  <c r="AG31" i="20"/>
  <c r="AG14" i="20"/>
  <c r="AG27" i="20"/>
  <c r="AG38" i="20"/>
  <c r="AG16" i="20"/>
  <c r="AG5" i="20"/>
  <c r="AG32" i="20"/>
  <c r="AG35" i="20"/>
  <c r="AH31" i="20" l="1"/>
  <c r="AH5" i="20"/>
  <c r="AH17" i="20"/>
  <c r="AH14" i="20"/>
  <c r="AH26" i="20"/>
  <c r="AH8" i="20"/>
  <c r="AH16" i="20"/>
  <c r="AI3" i="20"/>
  <c r="AI37" i="20" s="1"/>
  <c r="AH28" i="20"/>
  <c r="AH34" i="20"/>
  <c r="AH11" i="20"/>
  <c r="AH36" i="20"/>
  <c r="AH24" i="20"/>
  <c r="AH44" i="20"/>
  <c r="AH13" i="20"/>
  <c r="AH45" i="20"/>
  <c r="AH10" i="20"/>
  <c r="AH27" i="20"/>
  <c r="AH29" i="20"/>
  <c r="AH25" i="20"/>
  <c r="AH18" i="20"/>
  <c r="AH46" i="20"/>
  <c r="AH15" i="20"/>
  <c r="AH7" i="20"/>
  <c r="AH35" i="20"/>
  <c r="AH38" i="20"/>
  <c r="AH32" i="20"/>
  <c r="AH30" i="20"/>
  <c r="AH9" i="20"/>
  <c r="AH19" i="20"/>
  <c r="AH39" i="20"/>
  <c r="AI15" i="20" l="1"/>
  <c r="AI14" i="20"/>
  <c r="AI19" i="20"/>
  <c r="AI8" i="20"/>
  <c r="AI25" i="20"/>
  <c r="AI45" i="20"/>
  <c r="AI9" i="20"/>
  <c r="AI29" i="20"/>
  <c r="AI30" i="20"/>
  <c r="AI7" i="20"/>
  <c r="AI16" i="20"/>
  <c r="AI32" i="20"/>
  <c r="AI36" i="20"/>
  <c r="AI11" i="20"/>
  <c r="AI35" i="20"/>
  <c r="AI28" i="20"/>
  <c r="AI17" i="20"/>
  <c r="AI38" i="20"/>
  <c r="AI13" i="20"/>
  <c r="AI24" i="20"/>
  <c r="AI46" i="20"/>
  <c r="AI31" i="20"/>
  <c r="AJ3" i="20"/>
  <c r="AJ16" i="20" s="1"/>
  <c r="AI10" i="20"/>
  <c r="AI26" i="20"/>
  <c r="AI39" i="20"/>
  <c r="AI27" i="20"/>
  <c r="AI44" i="20"/>
  <c r="AI5" i="20"/>
  <c r="AI18" i="20"/>
  <c r="AI34" i="20"/>
  <c r="AJ25" i="20" l="1"/>
  <c r="AJ44" i="20"/>
  <c r="AJ15" i="20"/>
  <c r="AJ11" i="20"/>
  <c r="AJ14" i="20"/>
  <c r="AJ24" i="20"/>
  <c r="AJ28" i="20"/>
  <c r="AJ13" i="20"/>
  <c r="AJ35" i="20"/>
  <c r="AJ29" i="20"/>
  <c r="AJ10" i="20"/>
  <c r="AJ39" i="20"/>
  <c r="AJ34" i="20"/>
  <c r="AJ32" i="20"/>
  <c r="AJ8" i="20"/>
  <c r="AJ26" i="20"/>
  <c r="AJ7" i="20"/>
  <c r="AJ36" i="20"/>
  <c r="AJ27" i="20"/>
  <c r="AJ30" i="20"/>
  <c r="AJ9" i="20"/>
  <c r="AJ17" i="20"/>
  <c r="AJ46" i="20"/>
  <c r="AJ37" i="20"/>
  <c r="AJ5" i="20"/>
  <c r="AJ18" i="20"/>
  <c r="AJ38" i="20"/>
  <c r="AJ31" i="20"/>
  <c r="AK3" i="20"/>
  <c r="AK37" i="20" s="1"/>
  <c r="AJ19" i="20"/>
  <c r="AJ45" i="20"/>
  <c r="AK26" i="20" l="1"/>
  <c r="AL3" i="20"/>
  <c r="AL31" i="20" s="1"/>
  <c r="AK36" i="20"/>
  <c r="AK5" i="20"/>
  <c r="AK46" i="20"/>
  <c r="AK38" i="20"/>
  <c r="AK31" i="20"/>
  <c r="AK17" i="20"/>
  <c r="AK15" i="20"/>
  <c r="AK30" i="20"/>
  <c r="AK9" i="20"/>
  <c r="AK10" i="20"/>
  <c r="AK24" i="20"/>
  <c r="AK11" i="20"/>
  <c r="AK39" i="20"/>
  <c r="AK25" i="20"/>
  <c r="AK16" i="20"/>
  <c r="AK13" i="20"/>
  <c r="AK14" i="20"/>
  <c r="AK27" i="20"/>
  <c r="AK44" i="20"/>
  <c r="AK2" i="20"/>
  <c r="AK28" i="20"/>
  <c r="AK29" i="20"/>
  <c r="AK45" i="20"/>
  <c r="AK7" i="20"/>
  <c r="AK18" i="20"/>
  <c r="AK34" i="20"/>
  <c r="AK32" i="20"/>
  <c r="AK8" i="20"/>
  <c r="AK19" i="20"/>
  <c r="AK35" i="20"/>
  <c r="AL36" i="20" l="1"/>
  <c r="AL16" i="20"/>
  <c r="AL13" i="20"/>
  <c r="AL24" i="20"/>
  <c r="AL14" i="20"/>
  <c r="AL38" i="20"/>
  <c r="AM3" i="20"/>
  <c r="AM45" i="20" s="1"/>
  <c r="AL26" i="20"/>
  <c r="AL39" i="20"/>
  <c r="AL11" i="20"/>
  <c r="AL28" i="20"/>
  <c r="AL5" i="20"/>
  <c r="AL32" i="20"/>
  <c r="AL27" i="20"/>
  <c r="AL44" i="20"/>
  <c r="AL8" i="20"/>
  <c r="AL29" i="20"/>
  <c r="AL45" i="20"/>
  <c r="AL10" i="20"/>
  <c r="AL17" i="20"/>
  <c r="AL30" i="20"/>
  <c r="AL46" i="20"/>
  <c r="AL25" i="20"/>
  <c r="AL15" i="20"/>
  <c r="AL7" i="20"/>
  <c r="AL18" i="20"/>
  <c r="AL34" i="20"/>
  <c r="AL37" i="20"/>
  <c r="AL9" i="20"/>
  <c r="AL19" i="20"/>
  <c r="AL35" i="20"/>
  <c r="AM15" i="20" l="1"/>
  <c r="AM35" i="20"/>
  <c r="AN3" i="20"/>
  <c r="AN31" i="20" s="1"/>
  <c r="AM36" i="20"/>
  <c r="AM31" i="20"/>
  <c r="AM26" i="20"/>
  <c r="AM29" i="20"/>
  <c r="AM18" i="20"/>
  <c r="AM14" i="20"/>
  <c r="AM27" i="20"/>
  <c r="AM8" i="20"/>
  <c r="AM9" i="20"/>
  <c r="AM32" i="20"/>
  <c r="AM5" i="20"/>
  <c r="AM39" i="20"/>
  <c r="AM38" i="20"/>
  <c r="AM7" i="20"/>
  <c r="AM28" i="20"/>
  <c r="AM44" i="20"/>
  <c r="AM46" i="20"/>
  <c r="AM19" i="20"/>
  <c r="AM11" i="20"/>
  <c r="AM25" i="20"/>
  <c r="AM37" i="20"/>
  <c r="AM10" i="20"/>
  <c r="AM17" i="20"/>
  <c r="AM34" i="20"/>
  <c r="AM16" i="20"/>
  <c r="AM13" i="20"/>
  <c r="AM30" i="20"/>
  <c r="AM24" i="20"/>
  <c r="AO3" i="20"/>
  <c r="AN37" i="20" l="1"/>
  <c r="AN13" i="20"/>
  <c r="AN8" i="20"/>
  <c r="AN25" i="20"/>
  <c r="AN39" i="20"/>
  <c r="AN17" i="20"/>
  <c r="AN34" i="20"/>
  <c r="AN9" i="20"/>
  <c r="AN18" i="20"/>
  <c r="AN35" i="20"/>
  <c r="AN10" i="20"/>
  <c r="AN19" i="20"/>
  <c r="AN36" i="20"/>
  <c r="AN16" i="20"/>
  <c r="AN11" i="20"/>
  <c r="AN24" i="20"/>
  <c r="AN38" i="20"/>
  <c r="AN15" i="20"/>
  <c r="AN27" i="20"/>
  <c r="AN14" i="20"/>
  <c r="AN30" i="20"/>
  <c r="AN26" i="20"/>
  <c r="AN44" i="20"/>
  <c r="AN5" i="20"/>
  <c r="AN32" i="20"/>
  <c r="AN45" i="20"/>
  <c r="AN7" i="20"/>
  <c r="AN28" i="20"/>
  <c r="AN29" i="20"/>
  <c r="AN46" i="20"/>
  <c r="AO15" i="20"/>
  <c r="AO16" i="20"/>
  <c r="AO31" i="20"/>
  <c r="AO37" i="20"/>
  <c r="AO46" i="20"/>
  <c r="AO45" i="20"/>
  <c r="AO44" i="20"/>
  <c r="AO39" i="20"/>
  <c r="AO34" i="20"/>
  <c r="AO28" i="20"/>
  <c r="AO32" i="20"/>
  <c r="AO36" i="20"/>
  <c r="AO35" i="20"/>
  <c r="AO30" i="20"/>
  <c r="AO27" i="20"/>
  <c r="AO19" i="20"/>
  <c r="AO29" i="20"/>
  <c r="AO24" i="20"/>
  <c r="AO11" i="20"/>
  <c r="AO10" i="20"/>
  <c r="AO9" i="20"/>
  <c r="AO8" i="20"/>
  <c r="AO7" i="20"/>
  <c r="AO5" i="20"/>
  <c r="AO14" i="20"/>
  <c r="AO13" i="20"/>
  <c r="AO38" i="20"/>
  <c r="AO25" i="20"/>
  <c r="AO17" i="20"/>
  <c r="AO26" i="20"/>
  <c r="AO18" i="20"/>
  <c r="AP3" i="20"/>
  <c r="AP15" i="20" l="1"/>
  <c r="AP16" i="20"/>
  <c r="AP31" i="20"/>
  <c r="AP37" i="20"/>
  <c r="AP32" i="20"/>
  <c r="AP30" i="20"/>
  <c r="AP29" i="20"/>
  <c r="AP28" i="20"/>
  <c r="AP46" i="20"/>
  <c r="AP45" i="20"/>
  <c r="AP44" i="20"/>
  <c r="AP39" i="20"/>
  <c r="AP38" i="20"/>
  <c r="AP36" i="20"/>
  <c r="AP35" i="20"/>
  <c r="AP27" i="20"/>
  <c r="AP19" i="20"/>
  <c r="AQ3" i="20"/>
  <c r="AP24" i="20"/>
  <c r="AP14" i="20"/>
  <c r="AP13" i="20"/>
  <c r="AP25" i="20"/>
  <c r="AP17" i="20"/>
  <c r="AP7" i="20"/>
  <c r="AP10" i="20"/>
  <c r="AP8" i="20"/>
  <c r="AP9" i="20"/>
  <c r="AP18" i="20"/>
  <c r="AP11" i="20"/>
  <c r="AP26" i="20"/>
  <c r="AP5" i="20"/>
  <c r="AP34" i="20"/>
  <c r="AQ15" i="20" l="1"/>
  <c r="AQ16" i="20"/>
  <c r="AQ31" i="20"/>
  <c r="AQ37" i="20"/>
  <c r="AQ46" i="20"/>
  <c r="AQ45" i="20"/>
  <c r="AQ44" i="20"/>
  <c r="AQ39" i="20"/>
  <c r="AQ38" i="20"/>
  <c r="AQ36" i="20"/>
  <c r="AQ35" i="20"/>
  <c r="AQ34" i="20"/>
  <c r="AQ28" i="20"/>
  <c r="AQ32" i="20"/>
  <c r="AQ30" i="20"/>
  <c r="AQ27" i="20"/>
  <c r="AQ26" i="20"/>
  <c r="AQ25" i="20"/>
  <c r="AQ24" i="20"/>
  <c r="AQ19" i="20"/>
  <c r="AQ18" i="20"/>
  <c r="AQ17" i="20"/>
  <c r="AQ11" i="20"/>
  <c r="AQ10" i="20"/>
  <c r="AQ9" i="20"/>
  <c r="AQ8" i="20"/>
  <c r="AQ7" i="20"/>
  <c r="AQ5" i="20"/>
  <c r="AQ29" i="20"/>
  <c r="AQ14" i="20"/>
  <c r="AQ13" i="20"/>
  <c r="AR3" i="20"/>
  <c r="AR15" i="20" l="1"/>
  <c r="AR16" i="20"/>
  <c r="AR31" i="20"/>
  <c r="AR37" i="20"/>
  <c r="AR32" i="20"/>
  <c r="AR30" i="20"/>
  <c r="AR29" i="20"/>
  <c r="AR28" i="20"/>
  <c r="AR45" i="20"/>
  <c r="AR46" i="20"/>
  <c r="AR35" i="20"/>
  <c r="AR36" i="20"/>
  <c r="AR39" i="20"/>
  <c r="AR27" i="20"/>
  <c r="AR26" i="20"/>
  <c r="AR25" i="20"/>
  <c r="AR24" i="20"/>
  <c r="AR19" i="20"/>
  <c r="AR18" i="20"/>
  <c r="AR17" i="20"/>
  <c r="AR38" i="20"/>
  <c r="AR34" i="20"/>
  <c r="AR44" i="20"/>
  <c r="AR14" i="20"/>
  <c r="AR13" i="20"/>
  <c r="AS3" i="20"/>
  <c r="AR7" i="20"/>
  <c r="AR10" i="20"/>
  <c r="AR2" i="20"/>
  <c r="AR11" i="20"/>
  <c r="AR8" i="20"/>
  <c r="AR5" i="20"/>
  <c r="AR9" i="20"/>
  <c r="AS15" i="20" l="1"/>
  <c r="AS16" i="20"/>
  <c r="AS31" i="20"/>
  <c r="AS37" i="20"/>
  <c r="AS32" i="20"/>
  <c r="AS46" i="20"/>
  <c r="AS45" i="20"/>
  <c r="AS44" i="20"/>
  <c r="AS39" i="20"/>
  <c r="AS38" i="20"/>
  <c r="AS36" i="20"/>
  <c r="AS35" i="20"/>
  <c r="AS34" i="20"/>
  <c r="AS30" i="20"/>
  <c r="AS27" i="20"/>
  <c r="AS26" i="20"/>
  <c r="AS25" i="20"/>
  <c r="AS24" i="20"/>
  <c r="AS19" i="20"/>
  <c r="AS18" i="20"/>
  <c r="AS17" i="20"/>
  <c r="AS29" i="20"/>
  <c r="AS14" i="20"/>
  <c r="AS13" i="20"/>
  <c r="AS28" i="20"/>
  <c r="AS11" i="20"/>
  <c r="AS10" i="20"/>
  <c r="AS9" i="20"/>
  <c r="AS8" i="20"/>
  <c r="AS7" i="20"/>
  <c r="AS5" i="20"/>
  <c r="AT3" i="20"/>
  <c r="AT15" i="20" l="1"/>
  <c r="AT16" i="20"/>
  <c r="AT31" i="20"/>
  <c r="AT37" i="20"/>
  <c r="AT46" i="20"/>
  <c r="AT45" i="20"/>
  <c r="AT44" i="20"/>
  <c r="AT39" i="20"/>
  <c r="AT38" i="20"/>
  <c r="AT36" i="20"/>
  <c r="AT35" i="20"/>
  <c r="AT34" i="20"/>
  <c r="AT32" i="20"/>
  <c r="AT30" i="20"/>
  <c r="AT27" i="20"/>
  <c r="AT26" i="20"/>
  <c r="AT25" i="20"/>
  <c r="AT24" i="20"/>
  <c r="AT19" i="20"/>
  <c r="AT18" i="20"/>
  <c r="AT17" i="20"/>
  <c r="AT29" i="20"/>
  <c r="AT28" i="20"/>
  <c r="AU3" i="20"/>
  <c r="AT14" i="20"/>
  <c r="AT13" i="20"/>
  <c r="AT10" i="20"/>
  <c r="AT8" i="20"/>
  <c r="AT11" i="20"/>
  <c r="AT5" i="20"/>
  <c r="AT7" i="20"/>
  <c r="AT9" i="20"/>
  <c r="AU15" i="20" l="1"/>
  <c r="AU16" i="20"/>
  <c r="AU31" i="20"/>
  <c r="AU37" i="20"/>
  <c r="AU32" i="20"/>
  <c r="AU46" i="20"/>
  <c r="AU45" i="20"/>
  <c r="AU44" i="20"/>
  <c r="AU35" i="20"/>
  <c r="AU30" i="20"/>
  <c r="AU27" i="20"/>
  <c r="AU26" i="20"/>
  <c r="AU25" i="20"/>
  <c r="AU24" i="20"/>
  <c r="AU19" i="20"/>
  <c r="AU18" i="20"/>
  <c r="AU17" i="20"/>
  <c r="AU36" i="20"/>
  <c r="AU39" i="20"/>
  <c r="AU29" i="20"/>
  <c r="AU38" i="20"/>
  <c r="AU34" i="20"/>
  <c r="AU28" i="20"/>
  <c r="AV3" i="20"/>
  <c r="AU11" i="20"/>
  <c r="AU10" i="20"/>
  <c r="AU9" i="20"/>
  <c r="AU8" i="20"/>
  <c r="AU7" i="20"/>
  <c r="AU5" i="20"/>
  <c r="AU13" i="20"/>
  <c r="AU14" i="20"/>
  <c r="AV15" i="20" l="1"/>
  <c r="AV16" i="20"/>
  <c r="AV31" i="20"/>
  <c r="AV37" i="20"/>
  <c r="AV46" i="20"/>
  <c r="AV45" i="20"/>
  <c r="AV44" i="20"/>
  <c r="AV39" i="20"/>
  <c r="AV38" i="20"/>
  <c r="AV36" i="20"/>
  <c r="AV35" i="20"/>
  <c r="AV34" i="20"/>
  <c r="AV32" i="20"/>
  <c r="AV30" i="20"/>
  <c r="AV27" i="20"/>
  <c r="AV26" i="20"/>
  <c r="AV25" i="20"/>
  <c r="AV24" i="20"/>
  <c r="AV19" i="20"/>
  <c r="AV18" i="20"/>
  <c r="AV17" i="20"/>
  <c r="AV29" i="20"/>
  <c r="AV28" i="20"/>
  <c r="AW3" i="20"/>
  <c r="AV11" i="20"/>
  <c r="AV10" i="20"/>
  <c r="AV9" i="20"/>
  <c r="AV8" i="20"/>
  <c r="AV7" i="20"/>
  <c r="AV5" i="20"/>
  <c r="AV14" i="20"/>
  <c r="AV13" i="20"/>
  <c r="AW15" i="20" l="1"/>
  <c r="AW16" i="20"/>
  <c r="AW31" i="20"/>
  <c r="AW37" i="20"/>
  <c r="AW46" i="20"/>
  <c r="AW45" i="20"/>
  <c r="AW44" i="20"/>
  <c r="AW39" i="20"/>
  <c r="AW35" i="20"/>
  <c r="AW36" i="20"/>
  <c r="AW29" i="20"/>
  <c r="AW28" i="20"/>
  <c r="AW38" i="20"/>
  <c r="AW34" i="20"/>
  <c r="AW32" i="20"/>
  <c r="AW24" i="20"/>
  <c r="AW25" i="20"/>
  <c r="AW17" i="20"/>
  <c r="AW11" i="20"/>
  <c r="AW10" i="20"/>
  <c r="AW9" i="20"/>
  <c r="AW8" i="20"/>
  <c r="AW7" i="20"/>
  <c r="AW5" i="20"/>
  <c r="AW14" i="20"/>
  <c r="AW13" i="20"/>
  <c r="AW26" i="20"/>
  <c r="AW18" i="20"/>
  <c r="AW30" i="20"/>
  <c r="AW27" i="20"/>
  <c r="AW19" i="20"/>
  <c r="AX3" i="20"/>
  <c r="AX15" i="20" l="1"/>
  <c r="AX16" i="20"/>
  <c r="AX31" i="20"/>
  <c r="AX37" i="20"/>
  <c r="AX32" i="20"/>
  <c r="AX30" i="20"/>
  <c r="AX29" i="20"/>
  <c r="AX28" i="20"/>
  <c r="AX46" i="20"/>
  <c r="AX45" i="20"/>
  <c r="AX44" i="20"/>
  <c r="AX39" i="20"/>
  <c r="AX38" i="20"/>
  <c r="AX36" i="20"/>
  <c r="AX34" i="20"/>
  <c r="AX24" i="20"/>
  <c r="AY3" i="20"/>
  <c r="AX35" i="20"/>
  <c r="AX25" i="20"/>
  <c r="AX17" i="20"/>
  <c r="AX14" i="20"/>
  <c r="AX13" i="20"/>
  <c r="AX26" i="20"/>
  <c r="AX18" i="20"/>
  <c r="AX8" i="20"/>
  <c r="AX27" i="20"/>
  <c r="AX9" i="20"/>
  <c r="AX11" i="20"/>
  <c r="AX19" i="20"/>
  <c r="AX5" i="20"/>
  <c r="AX10" i="20"/>
  <c r="AX7" i="20"/>
  <c r="AY15" i="20" l="1"/>
  <c r="AY16" i="20"/>
  <c r="AY31" i="20"/>
  <c r="AY37" i="20"/>
  <c r="AY46" i="20"/>
  <c r="AY45" i="20"/>
  <c r="AY44" i="20"/>
  <c r="AY39" i="20"/>
  <c r="AY38" i="20"/>
  <c r="AY36" i="20"/>
  <c r="AY35" i="20"/>
  <c r="AY34" i="20"/>
  <c r="AY29" i="20"/>
  <c r="AY28" i="20"/>
  <c r="AY27" i="20"/>
  <c r="AY26" i="20"/>
  <c r="AY25" i="20"/>
  <c r="AY24" i="20"/>
  <c r="AY19" i="20"/>
  <c r="AY18" i="20"/>
  <c r="AY17" i="20"/>
  <c r="AY32" i="20"/>
  <c r="AY11" i="20"/>
  <c r="AY10" i="20"/>
  <c r="AY9" i="20"/>
  <c r="AY8" i="20"/>
  <c r="AY7" i="20"/>
  <c r="AY5" i="20"/>
  <c r="AY14" i="20"/>
  <c r="AY13" i="20"/>
  <c r="AY2" i="20"/>
  <c r="AY30" i="20"/>
  <c r="AZ3" i="20"/>
  <c r="AZ15" i="20" l="1"/>
  <c r="AZ16" i="20"/>
  <c r="AZ31" i="20"/>
  <c r="AZ37" i="20"/>
  <c r="AZ32" i="20"/>
  <c r="AZ30" i="20"/>
  <c r="AZ29" i="20"/>
  <c r="AZ28" i="20"/>
  <c r="AZ46" i="20"/>
  <c r="AZ36" i="20"/>
  <c r="AZ39" i="20"/>
  <c r="AZ34" i="20"/>
  <c r="AZ38" i="20"/>
  <c r="AZ27" i="20"/>
  <c r="AZ26" i="20"/>
  <c r="AZ25" i="20"/>
  <c r="AZ24" i="20"/>
  <c r="AZ19" i="20"/>
  <c r="AZ18" i="20"/>
  <c r="AZ17" i="20"/>
  <c r="AZ44" i="20"/>
  <c r="AZ35" i="20"/>
  <c r="AZ45" i="20"/>
  <c r="AZ14" i="20"/>
  <c r="AZ13" i="20"/>
  <c r="BA3" i="20"/>
  <c r="AZ8" i="20"/>
  <c r="AZ11" i="20"/>
  <c r="AZ5" i="20"/>
  <c r="AZ9" i="20"/>
  <c r="AZ7" i="20"/>
  <c r="AZ10" i="20"/>
  <c r="BA15" i="20" l="1"/>
  <c r="BA16" i="20"/>
  <c r="BA31" i="20"/>
  <c r="BA37" i="20"/>
  <c r="BA32" i="20"/>
  <c r="BA46" i="20"/>
  <c r="BA45" i="20"/>
  <c r="BA44" i="20"/>
  <c r="BA39" i="20"/>
  <c r="BA38" i="20"/>
  <c r="BA36" i="20"/>
  <c r="BA35" i="20"/>
  <c r="BA34" i="20"/>
  <c r="BA28" i="20"/>
  <c r="BA27" i="20"/>
  <c r="BA26" i="20"/>
  <c r="BA25" i="20"/>
  <c r="BA24" i="20"/>
  <c r="BA19" i="20"/>
  <c r="BA18" i="20"/>
  <c r="BA17" i="20"/>
  <c r="BA30" i="20"/>
  <c r="BA14" i="20"/>
  <c r="BA29" i="20"/>
  <c r="BA11" i="20"/>
  <c r="BA10" i="20"/>
  <c r="BA9" i="20"/>
  <c r="BA8" i="20"/>
  <c r="BA7" i="20"/>
  <c r="BA5" i="20"/>
  <c r="BA13" i="20"/>
  <c r="BB3" i="20"/>
  <c r="BB15" i="20" l="1"/>
  <c r="BB16" i="20"/>
  <c r="BB31" i="20"/>
  <c r="BB37" i="20"/>
  <c r="BB46" i="20"/>
  <c r="BB45" i="20"/>
  <c r="BB44" i="20"/>
  <c r="BB39" i="20"/>
  <c r="BB38" i="20"/>
  <c r="BB36" i="20"/>
  <c r="BB35" i="20"/>
  <c r="BB34" i="20"/>
  <c r="BB28" i="20"/>
  <c r="BB27" i="20"/>
  <c r="BB26" i="20"/>
  <c r="BB25" i="20"/>
  <c r="BB24" i="20"/>
  <c r="BB19" i="20"/>
  <c r="BB18" i="20"/>
  <c r="BB17" i="20"/>
  <c r="BB30" i="20"/>
  <c r="BB32" i="20"/>
  <c r="BB29" i="20"/>
  <c r="BC3" i="20"/>
  <c r="BB14" i="20"/>
  <c r="BB13" i="20"/>
  <c r="BB11" i="20"/>
  <c r="BB5" i="20"/>
  <c r="BB9" i="20"/>
  <c r="BB8" i="20"/>
  <c r="BB7" i="20"/>
  <c r="BB10" i="20"/>
  <c r="BC15" i="20" l="1"/>
  <c r="BC16" i="20"/>
  <c r="BC31" i="20"/>
  <c r="BC37" i="20"/>
  <c r="BC32" i="20"/>
  <c r="BC46" i="20"/>
  <c r="BC45" i="20"/>
  <c r="BC44" i="20"/>
  <c r="BC39" i="20"/>
  <c r="BC34" i="20"/>
  <c r="BC27" i="20"/>
  <c r="BC26" i="20"/>
  <c r="BC25" i="20"/>
  <c r="BC24" i="20"/>
  <c r="BC19" i="20"/>
  <c r="BC18" i="20"/>
  <c r="BC17" i="20"/>
  <c r="BC38" i="20"/>
  <c r="BC30" i="20"/>
  <c r="BC35" i="20"/>
  <c r="BC29" i="20"/>
  <c r="BC28" i="20"/>
  <c r="BD3" i="20"/>
  <c r="BC11" i="20"/>
  <c r="BC10" i="20"/>
  <c r="BC9" i="20"/>
  <c r="BC8" i="20"/>
  <c r="BC7" i="20"/>
  <c r="BC5" i="20"/>
  <c r="BC36" i="20"/>
  <c r="BC13" i="20"/>
  <c r="BC14" i="20"/>
  <c r="BD15" i="20" l="1"/>
  <c r="BD16" i="20"/>
  <c r="BD31" i="20"/>
  <c r="BD37" i="20"/>
  <c r="BD46" i="20"/>
  <c r="BD45" i="20"/>
  <c r="BD44" i="20"/>
  <c r="BD39" i="20"/>
  <c r="BD38" i="20"/>
  <c r="BD36" i="20"/>
  <c r="BD35" i="20"/>
  <c r="BD34" i="20"/>
  <c r="BD27" i="20"/>
  <c r="BD26" i="20"/>
  <c r="BD25" i="20"/>
  <c r="BD24" i="20"/>
  <c r="BD19" i="20"/>
  <c r="BD18" i="20"/>
  <c r="BD17" i="20"/>
  <c r="BD30" i="20"/>
  <c r="BD32" i="20"/>
  <c r="BD29" i="20"/>
  <c r="BD28" i="20"/>
  <c r="BE3" i="20"/>
  <c r="BD11" i="20"/>
  <c r="BD10" i="20"/>
  <c r="BD9" i="20"/>
  <c r="BD8" i="20"/>
  <c r="BD7" i="20"/>
  <c r="BD5" i="20"/>
  <c r="BD14" i="20"/>
  <c r="BD13" i="20"/>
  <c r="BE15" i="20" l="1"/>
  <c r="BE16" i="20"/>
  <c r="BE31" i="20"/>
  <c r="BE37" i="20"/>
  <c r="BE46" i="20"/>
  <c r="BE45" i="20"/>
  <c r="BE44" i="20"/>
  <c r="BE39" i="20"/>
  <c r="BE34" i="20"/>
  <c r="BE38" i="20"/>
  <c r="BE30" i="20"/>
  <c r="BE32" i="20"/>
  <c r="BE29" i="20"/>
  <c r="BE35" i="20"/>
  <c r="BE28" i="20"/>
  <c r="BE36" i="20"/>
  <c r="BE25" i="20"/>
  <c r="BE17" i="20"/>
  <c r="BE26" i="20"/>
  <c r="BE18" i="20"/>
  <c r="BE11" i="20"/>
  <c r="BE10" i="20"/>
  <c r="BE9" i="20"/>
  <c r="BE8" i="20"/>
  <c r="BE7" i="20"/>
  <c r="BE5" i="20"/>
  <c r="BE14" i="20"/>
  <c r="BE13" i="20"/>
  <c r="BE27" i="20"/>
  <c r="BE19" i="20"/>
  <c r="BE24" i="20"/>
  <c r="BF3" i="20"/>
  <c r="BF15" i="20" l="1"/>
  <c r="BF16" i="20"/>
  <c r="BF31" i="20"/>
  <c r="BF37" i="20"/>
  <c r="BF32" i="20"/>
  <c r="BF30" i="20"/>
  <c r="BF29" i="20"/>
  <c r="BF28" i="20"/>
  <c r="BF27" i="20"/>
  <c r="BF46" i="20"/>
  <c r="BF45" i="20"/>
  <c r="BF44" i="20"/>
  <c r="BF39" i="20"/>
  <c r="BF38" i="20"/>
  <c r="BF36" i="20"/>
  <c r="BF35" i="20"/>
  <c r="BF25" i="20"/>
  <c r="BF17" i="20"/>
  <c r="BG3" i="20"/>
  <c r="BF26" i="20"/>
  <c r="BF18" i="20"/>
  <c r="BF14" i="20"/>
  <c r="BF13" i="20"/>
  <c r="BF19" i="20"/>
  <c r="BF2" i="20"/>
  <c r="BF34" i="20"/>
  <c r="BF5" i="20"/>
  <c r="BF24" i="20"/>
  <c r="BF9" i="20"/>
  <c r="BF11" i="20"/>
  <c r="BF7" i="20"/>
  <c r="BF10" i="20"/>
  <c r="BF8" i="20"/>
  <c r="BG15" i="20" l="1"/>
  <c r="BG16" i="20"/>
  <c r="BG31" i="20"/>
  <c r="BG37" i="20"/>
  <c r="BG46" i="20"/>
  <c r="BG45" i="20"/>
  <c r="BG44" i="20"/>
  <c r="BG39" i="20"/>
  <c r="BG38" i="20"/>
  <c r="BG36" i="20"/>
  <c r="BG35" i="20"/>
  <c r="BG34" i="20"/>
  <c r="BG30" i="20"/>
  <c r="BG32" i="20"/>
  <c r="BG29" i="20"/>
  <c r="BG28" i="20"/>
  <c r="BG26" i="20"/>
  <c r="BG25" i="20"/>
  <c r="BG24" i="20"/>
  <c r="BG19" i="20"/>
  <c r="BG18" i="20"/>
  <c r="BG17" i="20"/>
  <c r="BG14" i="20"/>
  <c r="BG11" i="20"/>
  <c r="BG10" i="20"/>
  <c r="BG9" i="20"/>
  <c r="BG8" i="20"/>
  <c r="BG7" i="20"/>
  <c r="BG5" i="20"/>
  <c r="BG13" i="20"/>
  <c r="BG27" i="20"/>
  <c r="BH3" i="20"/>
  <c r="BH15" i="20" l="1"/>
  <c r="BH16" i="20"/>
  <c r="BH31" i="20"/>
  <c r="BH37" i="20"/>
  <c r="BH32" i="20"/>
  <c r="BH30" i="20"/>
  <c r="BH29" i="20"/>
  <c r="BH28" i="20"/>
  <c r="BH27" i="20"/>
  <c r="BH46" i="20"/>
  <c r="BH39" i="20"/>
  <c r="BH38" i="20"/>
  <c r="BH35" i="20"/>
  <c r="BH26" i="20"/>
  <c r="BH25" i="20"/>
  <c r="BH24" i="20"/>
  <c r="BH19" i="20"/>
  <c r="BH18" i="20"/>
  <c r="BH17" i="20"/>
  <c r="BH44" i="20"/>
  <c r="BH36" i="20"/>
  <c r="BH45" i="20"/>
  <c r="BH34" i="20"/>
  <c r="BH13" i="20"/>
  <c r="BH14" i="20"/>
  <c r="BI3" i="20"/>
  <c r="BH9" i="20"/>
  <c r="BH7" i="20"/>
  <c r="BH10" i="20"/>
  <c r="BH5" i="20"/>
  <c r="BH8" i="20"/>
  <c r="BH11" i="20"/>
  <c r="BI15" i="20" l="1"/>
  <c r="BI16" i="20"/>
  <c r="BI31" i="20"/>
  <c r="BI37" i="20"/>
  <c r="BI32" i="20"/>
  <c r="BI46" i="20"/>
  <c r="BI45" i="20"/>
  <c r="BI44" i="20"/>
  <c r="BI39" i="20"/>
  <c r="BI38" i="20"/>
  <c r="BI36" i="20"/>
  <c r="BI35" i="20"/>
  <c r="BI34" i="20"/>
  <c r="BI29" i="20"/>
  <c r="BI28" i="20"/>
  <c r="BI26" i="20"/>
  <c r="BI25" i="20"/>
  <c r="BI24" i="20"/>
  <c r="BI19" i="20"/>
  <c r="BI18" i="20"/>
  <c r="BI17" i="20"/>
  <c r="BI14" i="20"/>
  <c r="BI27" i="20"/>
  <c r="BI13" i="20"/>
  <c r="BI30" i="20"/>
  <c r="BI11" i="20"/>
  <c r="BI10" i="20"/>
  <c r="BI9" i="20"/>
  <c r="BI8" i="20"/>
  <c r="BI7" i="20"/>
  <c r="BI5" i="20"/>
  <c r="BJ3" i="20"/>
  <c r="BJ15" i="20" l="1"/>
  <c r="BJ16" i="20"/>
  <c r="BJ31" i="20"/>
  <c r="BJ37" i="20"/>
  <c r="BJ46" i="20"/>
  <c r="BJ45" i="20"/>
  <c r="BJ44" i="20"/>
  <c r="BJ39" i="20"/>
  <c r="BJ38" i="20"/>
  <c r="BJ36" i="20"/>
  <c r="BJ35" i="20"/>
  <c r="BJ34" i="20"/>
  <c r="BJ29" i="20"/>
  <c r="BJ32" i="20"/>
  <c r="BJ28" i="20"/>
  <c r="BJ26" i="20"/>
  <c r="BJ25" i="20"/>
  <c r="BJ24" i="20"/>
  <c r="BJ19" i="20"/>
  <c r="BJ18" i="20"/>
  <c r="BJ17" i="20"/>
  <c r="BJ27" i="20"/>
  <c r="BJ14" i="20"/>
  <c r="BJ30" i="20"/>
  <c r="BK3" i="20"/>
  <c r="BJ13" i="20"/>
  <c r="BJ7" i="20"/>
  <c r="BJ10" i="20"/>
  <c r="BJ5" i="20"/>
  <c r="BJ8" i="20"/>
  <c r="BJ11" i="20"/>
  <c r="BJ9" i="20"/>
  <c r="BK15" i="20" l="1"/>
  <c r="BK16" i="20"/>
  <c r="BK31" i="20"/>
  <c r="BK37" i="20"/>
  <c r="BK32" i="20"/>
  <c r="BK30" i="20"/>
  <c r="BK46" i="20"/>
  <c r="BK45" i="20"/>
  <c r="BK44" i="20"/>
  <c r="BK35" i="20"/>
  <c r="BK28" i="20"/>
  <c r="BK26" i="20"/>
  <c r="BK25" i="20"/>
  <c r="BK24" i="20"/>
  <c r="BK19" i="20"/>
  <c r="BK18" i="20"/>
  <c r="BK17" i="20"/>
  <c r="BK27" i="20"/>
  <c r="BK36" i="20"/>
  <c r="BK34" i="20"/>
  <c r="BK14" i="20"/>
  <c r="BK39" i="20"/>
  <c r="BK38" i="20"/>
  <c r="BL3" i="20"/>
  <c r="BK11" i="20"/>
  <c r="BK10" i="20"/>
  <c r="BK9" i="20"/>
  <c r="BK8" i="20"/>
  <c r="BK7" i="20"/>
  <c r="BK5" i="20"/>
  <c r="BK29" i="20"/>
  <c r="BK13" i="20"/>
  <c r="BL15" i="20" l="1"/>
  <c r="BL16" i="20"/>
  <c r="BL31" i="20"/>
  <c r="BL37" i="20"/>
  <c r="BL46" i="20"/>
  <c r="BL45" i="20"/>
  <c r="BL44" i="20"/>
  <c r="BL39" i="20"/>
  <c r="BL38" i="20"/>
  <c r="BL36" i="20"/>
  <c r="BL35" i="20"/>
  <c r="BL34" i="20"/>
  <c r="BL32" i="20"/>
  <c r="BL28" i="20"/>
  <c r="BL26" i="20"/>
  <c r="BL25" i="20"/>
  <c r="BL24" i="20"/>
  <c r="BL19" i="20"/>
  <c r="BL18" i="20"/>
  <c r="BL17" i="20"/>
  <c r="BL27" i="20"/>
  <c r="BL30" i="20"/>
  <c r="BL11" i="20"/>
  <c r="BL10" i="20"/>
  <c r="BL9" i="20"/>
  <c r="BL8" i="20"/>
  <c r="BL7" i="20"/>
  <c r="BL5" i="20"/>
  <c r="BL13" i="20"/>
  <c r="BL14" i="20"/>
  <c r="BL2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2" authorId="0" shapeId="0" xr:uid="{E2C234AB-B787-451A-A4E8-C94B9B7B71A4}">
      <text>
        <r>
          <rPr>
            <b/>
            <sz val="12"/>
            <color indexed="81"/>
            <rFont val="Tahoma"/>
            <family val="2"/>
          </rPr>
          <t>Author:</t>
        </r>
        <r>
          <rPr>
            <sz val="12"/>
            <color indexed="81"/>
            <rFont val="Tahoma"/>
            <family val="2"/>
          </rPr>
          <t xml:space="preserve">
24 Due 3/16
32 Due 5/4
44 Due 7/27
28 Due 8/31
32 Due 11/2
28 Due 12/21
24 Due 1/25
12 Due 2/27</t>
        </r>
      </text>
    </comment>
  </commentList>
</comments>
</file>

<file path=xl/sharedStrings.xml><?xml version="1.0" encoding="utf-8"?>
<sst xmlns="http://schemas.openxmlformats.org/spreadsheetml/2006/main" count="636" uniqueCount="300">
  <si>
    <t>Category</t>
  </si>
  <si>
    <t>Goal</t>
  </si>
  <si>
    <t>Milestone</t>
  </si>
  <si>
    <t>Progress</t>
  </si>
  <si>
    <t>Start</t>
  </si>
  <si>
    <t>Low Risk</t>
  </si>
  <si>
    <t>On Track</t>
  </si>
  <si>
    <t>Legend:</t>
  </si>
  <si>
    <t>Unassigned</t>
  </si>
  <si>
    <t>To add more data, Insert new rows ABOVE this one</t>
  </si>
  <si>
    <t>Milestone description</t>
  </si>
  <si>
    <t>Assigned to</t>
  </si>
  <si>
    <t>Days</t>
  </si>
  <si>
    <t>On track</t>
  </si>
  <si>
    <t>Low risk</t>
  </si>
  <si>
    <t>Med risk</t>
  </si>
  <si>
    <t>High risk</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</si>
  <si>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</si>
  <si>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</si>
  <si>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</si>
  <si>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Testing</t>
  </si>
  <si>
    <t>Project start date:</t>
  </si>
  <si>
    <t>Scrolling increment:</t>
  </si>
  <si>
    <t>Pre-Fab</t>
  </si>
  <si>
    <t>Shell Cut</t>
  </si>
  <si>
    <t>Shell Rolled</t>
  </si>
  <si>
    <t>Fabrication</t>
  </si>
  <si>
    <t>Baffle Cut</t>
  </si>
  <si>
    <t>Skirt Rolled</t>
  </si>
  <si>
    <t>Vertiv 124-25 through 147-25</t>
  </si>
  <si>
    <t>Nozzles Installed</t>
  </si>
  <si>
    <t>Baffle Installed</t>
  </si>
  <si>
    <t>Top Welded</t>
  </si>
  <si>
    <t>Cleaning &amp; Shipping</t>
  </si>
  <si>
    <t>Finishing</t>
  </si>
  <si>
    <t>Vertiv 125-25 through 157-25</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</si>
  <si>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</si>
  <si>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</si>
  <si>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</si>
  <si>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</si>
  <si>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</si>
  <si>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</si>
  <si>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</si>
  <si>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</si>
  <si>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</si>
  <si>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</si>
  <si>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</si>
  <si>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</si>
  <si>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</si>
  <si>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</si>
  <si>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</si>
  <si>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</si>
  <si>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</si>
  <si>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</si>
  <si>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</si>
  <si>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</si>
  <si>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</si>
  <si>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</si>
  <si>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</si>
  <si>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25-147</t>
  </si>
  <si>
    <t>25-148</t>
  </si>
  <si>
    <t>25-149</t>
  </si>
  <si>
    <t>25-150</t>
  </si>
  <si>
    <t>25-151</t>
  </si>
  <si>
    <t>25-152</t>
  </si>
  <si>
    <t>25-153</t>
  </si>
  <si>
    <t>25-154</t>
  </si>
  <si>
    <t>25-155</t>
  </si>
  <si>
    <t>25-156</t>
  </si>
  <si>
    <t>25-157</t>
  </si>
  <si>
    <t>25-158</t>
  </si>
  <si>
    <t>25-159</t>
  </si>
  <si>
    <t>25-160</t>
  </si>
  <si>
    <t>25-161</t>
  </si>
  <si>
    <t>25-162</t>
  </si>
  <si>
    <t>25-163</t>
  </si>
  <si>
    <t>25-164</t>
  </si>
  <si>
    <t>25-165</t>
  </si>
  <si>
    <t>25-166</t>
  </si>
  <si>
    <t>25-167</t>
  </si>
  <si>
    <t>25-168</t>
  </si>
  <si>
    <t>25-169</t>
  </si>
  <si>
    <t>25-170</t>
  </si>
  <si>
    <t>25-171</t>
  </si>
  <si>
    <t>25-172</t>
  </si>
  <si>
    <t>25-173</t>
  </si>
  <si>
    <t>25-174</t>
  </si>
  <si>
    <t>25-175</t>
  </si>
  <si>
    <t>25-176</t>
  </si>
  <si>
    <t>25-177</t>
  </si>
  <si>
    <t>25-178</t>
  </si>
  <si>
    <t>25-179</t>
  </si>
  <si>
    <t>25-180</t>
  </si>
  <si>
    <t>25-181</t>
  </si>
  <si>
    <t>25-182</t>
  </si>
  <si>
    <t>25-183</t>
  </si>
  <si>
    <t>25-184</t>
  </si>
  <si>
    <t>25-185</t>
  </si>
  <si>
    <t>25-186</t>
  </si>
  <si>
    <t>25-187</t>
  </si>
  <si>
    <t>25-188</t>
  </si>
  <si>
    <t>25-189</t>
  </si>
  <si>
    <t>25-190</t>
  </si>
  <si>
    <t>25-191</t>
  </si>
  <si>
    <t>25-192</t>
  </si>
  <si>
    <t>25-193</t>
  </si>
  <si>
    <t>25-194</t>
  </si>
  <si>
    <t>25-195</t>
  </si>
  <si>
    <t>25-196</t>
  </si>
  <si>
    <t>25-197</t>
  </si>
  <si>
    <t>25-198</t>
  </si>
  <si>
    <t>25-199</t>
  </si>
  <si>
    <t>25-200</t>
  </si>
  <si>
    <t>25-201</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</si>
  <si>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</si>
  <si>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</si>
  <si>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</si>
  <si>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</si>
  <si>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</si>
  <si>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</si>
  <si>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</si>
  <si>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</si>
  <si>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</si>
  <si>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</si>
  <si>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</si>
  <si>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</si>
  <si>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</si>
  <si>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</si>
  <si>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</si>
  <si>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</si>
  <si>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</si>
  <si>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</si>
  <si>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</si>
  <si>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</si>
  <si>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</si>
  <si>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</si>
  <si>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25-224</t>
  </si>
  <si>
    <t>25-225</t>
  </si>
  <si>
    <t>25-226</t>
  </si>
  <si>
    <t>25-227</t>
  </si>
  <si>
    <t>25-228</t>
  </si>
  <si>
    <t>25-229</t>
  </si>
  <si>
    <t>25-230</t>
  </si>
  <si>
    <t>25-231</t>
  </si>
  <si>
    <t>25-232</t>
  </si>
  <si>
    <t>25-233</t>
  </si>
  <si>
    <t>25-234</t>
  </si>
  <si>
    <t>25-235</t>
  </si>
  <si>
    <t>25-236</t>
  </si>
  <si>
    <t>25-237</t>
  </si>
  <si>
    <t>25-238</t>
  </si>
  <si>
    <t>25-239</t>
  </si>
  <si>
    <t>25-240</t>
  </si>
  <si>
    <t>25-241</t>
  </si>
  <si>
    <t>25-242</t>
  </si>
  <si>
    <t>25-243</t>
  </si>
  <si>
    <t>25-244</t>
  </si>
  <si>
    <t>Vertiv Count</t>
  </si>
  <si>
    <t>Complete</t>
  </si>
  <si>
    <t>In Process</t>
  </si>
  <si>
    <t>@ Risk</t>
  </si>
  <si>
    <t>Late</t>
  </si>
  <si>
    <t>To Start</t>
  </si>
  <si>
    <t>Skirt Cut</t>
  </si>
  <si>
    <t>Nozzle Made</t>
  </si>
  <si>
    <t>Backing Bar Cut</t>
  </si>
  <si>
    <t>Weld Bottom Head to Shell</t>
  </si>
  <si>
    <t>Install Nozzles</t>
  </si>
  <si>
    <t>Flange Rcvd</t>
  </si>
  <si>
    <t>Head Rcvd (2)</t>
  </si>
  <si>
    <t>Install Baffle</t>
  </si>
  <si>
    <t>Test</t>
  </si>
  <si>
    <t>Arrange Truck</t>
  </si>
  <si>
    <t>Temp Sensor</t>
  </si>
  <si>
    <t>SHIP</t>
  </si>
  <si>
    <t>Exp Tank</t>
  </si>
  <si>
    <t>Weld Skirt</t>
  </si>
  <si>
    <t>Weld Shell Seam</t>
  </si>
  <si>
    <t>25-245</t>
  </si>
  <si>
    <t>25-246</t>
  </si>
  <si>
    <t>25-247</t>
  </si>
  <si>
    <t>25-248</t>
  </si>
  <si>
    <t>25-249</t>
  </si>
  <si>
    <t>25-250</t>
  </si>
  <si>
    <t>25-251</t>
  </si>
  <si>
    <t>25-252</t>
  </si>
  <si>
    <t>25-253</t>
  </si>
  <si>
    <t>25-254</t>
  </si>
  <si>
    <t>25-255</t>
  </si>
  <si>
    <t>25-256</t>
  </si>
  <si>
    <t>25-257</t>
  </si>
  <si>
    <t>25-258</t>
  </si>
  <si>
    <t>25-259</t>
  </si>
  <si>
    <t>25-260</t>
  </si>
  <si>
    <t>25-261</t>
  </si>
  <si>
    <t>25-262</t>
  </si>
  <si>
    <t>25-263</t>
  </si>
  <si>
    <t>25-264</t>
  </si>
  <si>
    <t>25-265</t>
  </si>
  <si>
    <t>25-266</t>
  </si>
  <si>
    <t>25-267</t>
  </si>
  <si>
    <t>25-268</t>
  </si>
  <si>
    <t>25-269</t>
  </si>
  <si>
    <t>25-270</t>
  </si>
  <si>
    <t>25-271</t>
  </si>
  <si>
    <t>25-272</t>
  </si>
  <si>
    <t>25-273</t>
  </si>
  <si>
    <t>25-274</t>
  </si>
  <si>
    <t>25-275</t>
  </si>
  <si>
    <t>25-276</t>
  </si>
  <si>
    <t>25-277</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</si>
  <si>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</si>
  <si>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</si>
  <si>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</si>
  <si>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</si>
  <si>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</si>
  <si>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</si>
  <si>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</si>
  <si>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</si>
  <si>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</si>
  <si>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</si>
  <si>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</si>
  <si>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</si>
  <si>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</si>
  <si>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</si>
  <si>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</si>
  <si>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</si>
  <si>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</si>
  <si>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</si>
  <si>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</si>
  <si>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</si>
  <si>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25-298</t>
  </si>
  <si>
    <t>25-299</t>
  </si>
  <si>
    <t>25-300</t>
  </si>
  <si>
    <t>25-301</t>
  </si>
  <si>
    <t>25-302</t>
  </si>
  <si>
    <t>25-303</t>
  </si>
  <si>
    <t>25-304</t>
  </si>
  <si>
    <t>25-305</t>
  </si>
  <si>
    <t>25-306</t>
  </si>
  <si>
    <t>25-307</t>
  </si>
  <si>
    <t>25-308</t>
  </si>
  <si>
    <t>25-309</t>
  </si>
  <si>
    <t>25-310</t>
  </si>
  <si>
    <t>25-311</t>
  </si>
  <si>
    <t>25-312</t>
  </si>
  <si>
    <t>25-313</t>
  </si>
  <si>
    <t>25-314</t>
  </si>
  <si>
    <t>25-315</t>
  </si>
  <si>
    <t>25-316</t>
  </si>
  <si>
    <t>25-317</t>
  </si>
  <si>
    <t>25-318</t>
  </si>
  <si>
    <t>25-319</t>
  </si>
  <si>
    <t>25-320</t>
  </si>
  <si>
    <t>25-321</t>
  </si>
  <si>
    <t>25-322</t>
  </si>
  <si>
    <t>25-323</t>
  </si>
  <si>
    <t>25-324</t>
  </si>
  <si>
    <t>25-325</t>
  </si>
  <si>
    <t>25-326</t>
  </si>
  <si>
    <t>25-327</t>
  </si>
  <si>
    <t>25-328</t>
  </si>
  <si>
    <t>25-329</t>
  </si>
  <si>
    <t>25-330</t>
  </si>
  <si>
    <t>25-331</t>
  </si>
  <si>
    <t>25-332</t>
  </si>
  <si>
    <t>25-333</t>
  </si>
  <si>
    <t>25-334</t>
  </si>
  <si>
    <t>25-335</t>
  </si>
  <si>
    <t>25-336</t>
  </si>
  <si>
    <t>25-337</t>
  </si>
  <si>
    <t>25-338</t>
  </si>
  <si>
    <t>25-339</t>
  </si>
  <si>
    <t>25-340</t>
  </si>
  <si>
    <t>25-341</t>
  </si>
  <si>
    <t>25-342</t>
  </si>
  <si>
    <t>25-343</t>
  </si>
  <si>
    <t>25-344</t>
  </si>
  <si>
    <t>25-345</t>
  </si>
  <si>
    <t>25-346</t>
  </si>
  <si>
    <t>25-347</t>
  </si>
  <si>
    <t>Vertiv</t>
  </si>
  <si>
    <t xml:space="preserve">Cleaning </t>
  </si>
  <si>
    <t>Receive Temp Sensors</t>
  </si>
  <si>
    <t>Purchasing</t>
  </si>
  <si>
    <t>Receive Expansion Tanks</t>
  </si>
  <si>
    <t>SHIPMENT TRUCKS ARRANGED</t>
  </si>
  <si>
    <t>Scheduling</t>
  </si>
  <si>
    <t>Shell Welded</t>
  </si>
  <si>
    <t>Skirt &amp; Backing Bar Cut</t>
  </si>
  <si>
    <t>Bottom Welded with backing</t>
  </si>
  <si>
    <t xml:space="preserve">Bottom Welded to shell </t>
  </si>
  <si>
    <t>Skirt Welded</t>
  </si>
  <si>
    <t>Flange and Pipe Welded (Nozzle)</t>
  </si>
  <si>
    <t>Int Clean</t>
  </si>
  <si>
    <t>Weld Backing to Head</t>
  </si>
  <si>
    <t>Ship Date</t>
  </si>
  <si>
    <t>Final Clean &amp; Prep</t>
  </si>
  <si>
    <t>High Risk</t>
  </si>
  <si>
    <t>Med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</si>
</sst>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2"/>
      <name val="Calibri"/>
      <family val="2"/>
      <scheme val="maj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4"/>
      <color theme="8" tint="-0.499984740745262"/>
      <name val="Calibri"/>
      <family val="2"/>
      <scheme val="minor"/>
    </font>
    <font>
      <sz val="8"/>
      <name val="Calibri"/>
      <family val="2"/>
      <scheme val="minor"/>
    </font>
    <font>
      <b/>
      <sz val="12"/>
      <color theme="8" tint="-0.499984740745262"/>
      <name val="Calibri"/>
      <family val="2"/>
      <scheme val="minor"/>
    </font>
    <font>
      <sz val="12"/>
      <color indexed="81"/>
      <name val="Tahoma"/>
      <family val="2"/>
    </font>
    <font>
      <b/>
      <sz val="12"/>
      <color indexed="81"/>
      <name val="Tahoma"/>
      <family val="2"/>
    </font>
  </fonts>
  <fills count="14">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2" tint="-0.14999847407452621"/>
        <bgColor indexed="64"/>
      </patternFill>
    </fill>
    <fill>
      <patternFill patternType="solid">
        <fgColor theme="7"/>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medium">
        <color indexed="64"/>
      </bottom>
      <diagonal/>
    </border>
    <border>
      <left/>
      <right/>
      <top style="medium">
        <color indexed="64"/>
      </top>
      <bottom/>
      <diagonal/>
    </border>
    <border>
      <left/>
      <right style="thin">
        <color theme="0" tint="-0.14999847407452621"/>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medium">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8" fillId="3" borderId="0" applyNumberFormat="0" applyBorder="0" applyAlignment="0" applyProtection="0"/>
    <xf numFmtId="0" fontId="8" fillId="13" borderId="0" applyNumberFormat="0" applyBorder="0" applyAlignment="0" applyProtection="0"/>
  </cellStyleXfs>
  <cellXfs count="9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1" fillId="0" borderId="0" xfId="0" applyFont="1"/>
    <xf numFmtId="0" fontId="7" fillId="0" borderId="0" xfId="0" applyFont="1"/>
    <xf numFmtId="0" fontId="1" fillId="0" borderId="0" xfId="0" applyFont="1" applyAlignment="1">
      <alignment vertical="top"/>
    </xf>
    <xf numFmtId="0" fontId="8" fillId="0" borderId="0" xfId="3"/>
    <xf numFmtId="0" fontId="8"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3"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18" fillId="0" borderId="0" xfId="6" applyFont="1" applyFill="1" applyAlignment="1">
      <alignment horizontal="left" vertical="center" indent="2"/>
    </xf>
    <xf numFmtId="0" fontId="14"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9" fillId="0" borderId="3" xfId="0" applyFont="1" applyBorder="1" applyAlignment="1">
      <alignment horizontal="center" vertical="center" wrapText="1"/>
    </xf>
    <xf numFmtId="0" fontId="12" fillId="0" borderId="10" xfId="0" applyFont="1" applyBorder="1"/>
    <xf numFmtId="0" fontId="18" fillId="0" borderId="10" xfId="0" applyFont="1" applyBorder="1" applyAlignment="1">
      <alignment vertical="center"/>
    </xf>
    <xf numFmtId="0" fontId="19" fillId="0" borderId="10" xfId="0" applyFont="1" applyBorder="1" applyAlignment="1">
      <alignment vertical="center"/>
    </xf>
    <xf numFmtId="0" fontId="15" fillId="0" borderId="10" xfId="0" applyFont="1" applyBorder="1" applyAlignment="1">
      <alignment vertical="center"/>
    </xf>
    <xf numFmtId="164" fontId="1" fillId="11" borderId="8" xfId="0" applyNumberFormat="1" applyFont="1" applyFill="1" applyBorder="1" applyAlignment="1">
      <alignment horizontal="center" vertical="center"/>
    </xf>
    <xf numFmtId="164" fontId="1" fillId="11" borderId="5" xfId="0" applyNumberFormat="1" applyFont="1" applyFill="1" applyBorder="1" applyAlignment="1">
      <alignment horizontal="center" vertical="center"/>
    </xf>
    <xf numFmtId="164" fontId="1" fillId="11" borderId="9" xfId="0" applyNumberFormat="1" applyFont="1" applyFill="1" applyBorder="1" applyAlignment="1">
      <alignment horizontal="center" vertical="center"/>
    </xf>
    <xf numFmtId="164" fontId="1" fillId="11" borderId="2" xfId="0" applyNumberFormat="1" applyFont="1" applyFill="1" applyBorder="1" applyAlignment="1">
      <alignment horizontal="center" vertical="center"/>
    </xf>
    <xf numFmtId="164" fontId="1" fillId="11" borderId="0" xfId="0" applyNumberFormat="1" applyFont="1" applyFill="1" applyAlignment="1">
      <alignment horizontal="center" vertical="center"/>
    </xf>
    <xf numFmtId="164" fontId="1" fillId="11" borderId="11" xfId="0" applyNumberFormat="1" applyFont="1" applyFill="1" applyBorder="1" applyAlignment="1">
      <alignment horizontal="center" vertical="center"/>
    </xf>
    <xf numFmtId="164" fontId="1" fillId="11" borderId="12" xfId="0" applyNumberFormat="1" applyFont="1" applyFill="1" applyBorder="1" applyAlignment="1">
      <alignment horizontal="center" vertical="center"/>
    </xf>
    <xf numFmtId="164" fontId="1" fillId="11" borderId="3" xfId="0" applyNumberFormat="1" applyFont="1" applyFill="1" applyBorder="1" applyAlignment="1">
      <alignment horizontal="center" vertical="center"/>
    </xf>
    <xf numFmtId="0" fontId="1" fillId="11" borderId="1" xfId="0" applyFont="1" applyFill="1" applyBorder="1" applyAlignment="1">
      <alignment horizontal="center" vertical="center" shrinkToFit="1"/>
    </xf>
    <xf numFmtId="0" fontId="20" fillId="0" borderId="0" xfId="6" applyFont="1" applyFill="1" applyAlignment="1">
      <alignment vertical="center"/>
    </xf>
    <xf numFmtId="0" fontId="7" fillId="2" borderId="0" xfId="0" applyFont="1" applyFill="1"/>
    <xf numFmtId="0" fontId="21" fillId="2" borderId="0" xfId="0" applyFont="1" applyFill="1"/>
    <xf numFmtId="0" fontId="17"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7" fillId="10" borderId="0" xfId="0" applyFont="1" applyFill="1"/>
    <xf numFmtId="0" fontId="16" fillId="9" borderId="0" xfId="0" applyFont="1" applyFill="1" applyAlignment="1">
      <alignment horizontal="left" vertical="center" indent="1"/>
    </xf>
    <xf numFmtId="0" fontId="16" fillId="9" borderId="0" xfId="0" applyFont="1" applyFill="1" applyAlignment="1">
      <alignment horizontal="center" vertical="center" wrapText="1"/>
    </xf>
    <xf numFmtId="0" fontId="3" fillId="0" borderId="0" xfId="0" applyFont="1" applyAlignment="1">
      <alignment horizontal="left" vertical="center" wrapText="1" indent="1"/>
    </xf>
    <xf numFmtId="0" fontId="16" fillId="10" borderId="0" xfId="0" applyFont="1" applyFill="1" applyAlignment="1">
      <alignment horizontal="left" vertical="center" indent="1"/>
    </xf>
    <xf numFmtId="0" fontId="16" fillId="10" borderId="0" xfId="0" applyFont="1" applyFill="1" applyAlignment="1">
      <alignment horizontal="center" vertical="center" wrapText="1"/>
    </xf>
    <xf numFmtId="0" fontId="23" fillId="0" borderId="0" xfId="0" applyFont="1" applyAlignment="1">
      <alignment horizontal="left" vertical="center" wrapText="1"/>
    </xf>
    <xf numFmtId="0" fontId="0" fillId="0" borderId="0" xfId="0" applyAlignment="1">
      <alignment horizontal="left" vertical="center" wrapText="1" indent="1"/>
    </xf>
    <xf numFmtId="0" fontId="11" fillId="6" borderId="0" xfId="0" applyFont="1" applyFill="1" applyAlignment="1">
      <alignment horizontal="center" vertical="center"/>
    </xf>
    <xf numFmtId="0" fontId="11" fillId="5" borderId="0" xfId="11" applyFont="1" applyFill="1" applyAlignment="1">
      <alignment horizontal="center" vertical="center"/>
    </xf>
    <xf numFmtId="0" fontId="10" fillId="7" borderId="0" xfId="0" applyFont="1" applyFill="1" applyAlignment="1">
      <alignment horizontal="center" vertical="center"/>
    </xf>
    <xf numFmtId="0" fontId="0" fillId="0" borderId="0" xfId="0" applyAlignment="1">
      <alignment horizontal="left" wrapText="1" indent="3"/>
    </xf>
    <xf numFmtId="0" fontId="3" fillId="0" borderId="0" xfId="0" applyFont="1" applyAlignment="1">
      <alignment horizontal="left" wrapText="1" indent="3"/>
    </xf>
    <xf numFmtId="0" fontId="0" fillId="12" borderId="4" xfId="0" applyFill="1" applyBorder="1" applyAlignment="1">
      <alignment horizontal="center" vertical="center"/>
    </xf>
    <xf numFmtId="0" fontId="8" fillId="0" borderId="13" xfId="3" applyBorder="1"/>
    <xf numFmtId="0" fontId="3" fillId="0" borderId="13" xfId="0" applyFont="1" applyBorder="1" applyAlignment="1">
      <alignment horizontal="left" vertical="center" wrapText="1" indent="2"/>
    </xf>
    <xf numFmtId="0" fontId="3" fillId="0" borderId="13" xfId="0" applyFont="1" applyBorder="1" applyAlignment="1">
      <alignment horizontal="center" vertical="center"/>
    </xf>
    <xf numFmtId="9" fontId="13" fillId="0" borderId="13" xfId="2" applyFont="1" applyFill="1" applyBorder="1">
      <alignment horizontal="center" vertical="center"/>
    </xf>
    <xf numFmtId="0" fontId="3" fillId="0" borderId="14" xfId="0" applyFont="1" applyBorder="1" applyAlignment="1">
      <alignment horizontal="left" vertical="center" wrapText="1" indent="2"/>
    </xf>
    <xf numFmtId="0" fontId="3" fillId="0" borderId="15" xfId="0" applyFont="1" applyBorder="1" applyAlignment="1">
      <alignment horizontal="center" vertical="center"/>
    </xf>
    <xf numFmtId="0" fontId="25" fillId="0" borderId="0" xfId="0" applyFont="1" applyAlignment="1">
      <alignment horizontal="left" vertical="center" wrapText="1"/>
    </xf>
    <xf numFmtId="14" fontId="0" fillId="0" borderId="0" xfId="0" applyNumberFormat="1" applyAlignment="1">
      <alignment vertical="center"/>
    </xf>
    <xf numFmtId="0" fontId="3" fillId="0" borderId="16" xfId="0" applyFont="1" applyBorder="1" applyAlignment="1">
      <alignment horizontal="left" vertical="center" indent="2"/>
    </xf>
    <xf numFmtId="0" fontId="0" fillId="0" borderId="17" xfId="0" applyBorder="1"/>
    <xf numFmtId="0" fontId="11" fillId="6" borderId="0" xfId="0" applyFont="1" applyFill="1" applyAlignment="1">
      <alignment horizontal="center" vertical="center"/>
    </xf>
    <xf numFmtId="0" fontId="11" fillId="5" borderId="0" xfId="11" applyFont="1" applyFill="1" applyAlignment="1">
      <alignment horizontal="center" vertical="center"/>
    </xf>
    <xf numFmtId="0" fontId="10" fillId="7" borderId="0" xfId="0" applyFont="1" applyFill="1" applyAlignment="1">
      <alignment horizontal="center" vertical="center"/>
    </xf>
    <xf numFmtId="0" fontId="11" fillId="8" borderId="0" xfId="0" quotePrefix="1" applyFont="1" applyFill="1" applyAlignment="1">
      <alignment horizontal="center" vertical="center"/>
    </xf>
    <xf numFmtId="0" fontId="11" fillId="8" borderId="0" xfId="0" applyFont="1" applyFill="1" applyAlignment="1">
      <alignment horizontal="center" vertical="center"/>
    </xf>
    <xf numFmtId="0" fontId="10" fillId="4" borderId="0" xfId="0" applyFont="1" applyFill="1" applyAlignment="1">
      <alignment horizontal="center" vertical="center"/>
    </xf>
    <xf numFmtId="0" fontId="22" fillId="10" borderId="0" xfId="6" applyFont="1" applyFill="1" applyAlignment="1">
      <alignment horizontal="left" vertical="center"/>
    </xf>
    <xf numFmtId="0" fontId="14" fillId="2" borderId="0" xfId="6" applyFont="1" applyFill="1" applyAlignment="1">
      <alignment horizontal="left" vertical="center" wrapText="1"/>
    </xf>
    <xf numFmtId="0" fontId="8" fillId="6" borderId="4" xfId="12" applyFill="1" applyBorder="1" applyAlignment="1">
      <alignment horizontal="center" vertical="center"/>
    </xf>
    <xf numFmtId="14" fontId="0" fillId="0" borderId="13" xfId="0" applyNumberFormat="1" applyBorder="1" applyAlignment="1">
      <alignment vertical="center"/>
    </xf>
    <xf numFmtId="0" fontId="0" fillId="0" borderId="18" xfId="0" applyBorder="1" applyAlignment="1">
      <alignment horizontal="center" vertical="center"/>
    </xf>
    <xf numFmtId="0" fontId="11" fillId="5" borderId="13" xfId="11" applyFont="1" applyFill="1" applyBorder="1" applyAlignment="1">
      <alignment horizontal="center" vertical="center"/>
    </xf>
    <xf numFmtId="0" fontId="0" fillId="0" borderId="19" xfId="0" applyBorder="1" applyAlignment="1">
      <alignment horizontal="center" vertical="center"/>
    </xf>
    <xf numFmtId="0" fontId="11" fillId="6" borderId="15" xfId="0" applyFont="1" applyFill="1" applyBorder="1" applyAlignment="1">
      <alignment horizontal="center" vertical="center"/>
    </xf>
    <xf numFmtId="0" fontId="10" fillId="7" borderId="13" xfId="0" applyFont="1" applyFill="1" applyBorder="1" applyAlignment="1">
      <alignment horizontal="center" vertical="center"/>
    </xf>
    <xf numFmtId="0" fontId="0" fillId="12" borderId="18" xfId="0" applyFill="1" applyBorder="1" applyAlignment="1">
      <alignment horizontal="center" vertical="center"/>
    </xf>
    <xf numFmtId="0" fontId="8" fillId="3" borderId="0" xfId="11" applyAlignment="1">
      <alignment horizontal="center" vertical="center"/>
    </xf>
    <xf numFmtId="0" fontId="8" fillId="3" borderId="13" xfId="11" applyBorder="1" applyAlignment="1">
      <alignment horizontal="center" vertical="center"/>
    </xf>
  </cellXfs>
  <cellStyles count="13">
    <cellStyle name="Accent3" xfId="11" builtinId="37"/>
    <cellStyle name="Accent4" xfId="12" builtinId="41"/>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6">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5"/>
      <tableStyleElement type="headerRow" dxfId="74"/>
      <tableStyleElement type="firstRowStripe" dxfId="73"/>
      <tableStyleElement type="secondRowStripe" dxfId="72"/>
    </tableStyle>
    <tableStyle name="ToDoList"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REF!" horiz="1" max="365" page="2" val="0"/>
</file>

<file path=xl/ctrlProps/ctrlProp2.xml><?xml version="1.0" encoding="utf-8"?>
<formControlPr xmlns="http://schemas.microsoft.com/office/spreadsheetml/2009/9/main" objectType="Scroll" dx="39" fmlaLink="$C$3" horiz="1" max="365" page="2" val="28"/>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19050</xdr:colOff>
          <xdr:row>1</xdr:row>
          <xdr:rowOff>990600</xdr:rowOff>
        </xdr:from>
        <xdr:to>
          <xdr:col>29</xdr:col>
          <xdr:colOff>266700</xdr:colOff>
          <xdr:row>2</xdr:row>
          <xdr:rowOff>0</xdr:rowOff>
        </xdr:to>
        <xdr:sp macro="" textlink="">
          <xdr:nvSpPr>
            <xdr:cNvPr id="17412" name="Scroll Bar 4" descr="Scroll bar to scroll through the Ghantt project timeline." hidden="1">
              <a:extLst>
                <a:ext uri="{63B3BB69-23CF-44E3-9099-C40C66FF867C}">
                  <a14:compatExt spid="_x0000_s17412"/>
                </a:ext>
                <a:ext uri="{FF2B5EF4-FFF2-40B4-BE49-F238E27FC236}">
                  <a16:creationId xmlns:a16="http://schemas.microsoft.com/office/drawing/2014/main" id="{00000000-0008-0000-0100-000004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3</xdr:row>
          <xdr:rowOff>57150</xdr:rowOff>
        </xdr:from>
        <xdr:to>
          <xdr:col>63</xdr:col>
          <xdr:colOff>228600</xdr:colOff>
          <xdr:row>3</xdr:row>
          <xdr:rowOff>238125</xdr:rowOff>
        </xdr:to>
        <xdr:sp macro="" textlink="">
          <xdr:nvSpPr>
            <xdr:cNvPr id="21505" name="Scroll Bar 1" descr="Scroll bar to scroll through the Ghantt project timeline." hidden="1">
              <a:extLst>
                <a:ext uri="{63B3BB69-23CF-44E3-9099-C40C66FF867C}">
                  <a14:compatExt spid="_x0000_s21505"/>
                </a:ext>
                <a:ext uri="{FF2B5EF4-FFF2-40B4-BE49-F238E27FC236}">
                  <a16:creationId xmlns:a16="http://schemas.microsoft.com/office/drawing/2014/main" id="{00000000-0008-0000-02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2:E410" totalsRowShown="0" headerRowDxfId="62">
  <autoFilter ref="B2:E410" xr:uid="{29E5A880-80D5-4B65-B5FB-8FB3913D3D27}">
    <filterColumn colId="0" hiddenButton="1"/>
    <filterColumn colId="1" hiddenButton="1"/>
    <filterColumn colId="2" hiddenButton="1"/>
    <filterColumn colId="3" hiddenButton="1"/>
  </autoFilter>
  <tableColumns count="4">
    <tableColumn id="1" xr3:uid="{0971B905-713A-4980-8BBC-DF959C2E61F9}" name="Milestone description" dataDxfId="61"/>
    <tableColumn id="2" xr3:uid="{4492A0B8-068F-4002-9E8D-E1F5FED367F0}" name="Category" dataDxfId="60"/>
    <tableColumn id="3" xr3:uid="{CAEE2714-FCDF-4E51-AD64-FEA42357EF70}" name="Ship Date" dataDxfId="59"/>
    <tableColumn id="4" xr3:uid="{47C54592-75B0-4C70-BBF8-0F40483670E9}" name="Progress"/>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15CE2-1C33-44FE-9F3F-2134DB38D49C}" name="Milestones4352" displayName="Milestones4352" ref="B5:G45" totalsRowShown="0" headerRowDxfId="58" dataDxfId="57">
  <autoFilter ref="B5:G45"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7804C7-2C05-4AA0-833F-065DB65052D6}" name="Milestone description" dataDxfId="56"/>
    <tableColumn id="2" xr3:uid="{86EAC0DF-1331-4505-9D26-78598538FBCF}" name="Category" dataDxfId="55"/>
    <tableColumn id="3" xr3:uid="{721B3E29-1373-4AAB-82AD-55BD16E9FC1A}" name="Assigned to" dataDxfId="54"/>
    <tableColumn id="4" xr3:uid="{E4C76C45-FD25-49C3-A625-CE92C74798BD}" name="Progress" dataDxfId="53"/>
    <tableColumn id="5" xr3:uid="{81296DA8-4D15-4DA7-8797-750E42D2AA14}" name="Start" dataDxfId="52" dataCellStyle="Date"/>
    <tableColumn id="6" xr3:uid="{95A82773-9C75-4B92-962D-16C379D8E0E0}" name="Days" dataDxfId="51"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2.75" x14ac:dyDescent="0.2"/>
  <cols>
    <col min="1" max="1" width="4.7109375" style="6" customWidth="1"/>
    <col min="2" max="2" width="2.7109375" style="6" customWidth="1"/>
    <col min="3" max="5" width="40.7109375" style="4" customWidth="1"/>
    <col min="6" max="6" width="2.7109375" style="4" customWidth="1"/>
    <col min="7" max="16384" width="9.140625" style="4"/>
  </cols>
  <sheetData>
    <row r="1" spans="1:13" s="5" customFormat="1" ht="28.5" x14ac:dyDescent="0.4">
      <c r="D1" s="47"/>
    </row>
    <row r="2" spans="1:13" ht="50.1" customHeight="1" x14ac:dyDescent="0.4">
      <c r="A2" s="5"/>
      <c r="B2" s="53"/>
      <c r="C2" s="83" t="s">
        <v>17</v>
      </c>
      <c r="D2" s="83"/>
      <c r="E2" s="83"/>
      <c r="F2" s="53"/>
      <c r="G2" s="5"/>
      <c r="H2" s="5"/>
      <c r="I2" s="5"/>
      <c r="J2" s="5"/>
      <c r="K2" s="5"/>
      <c r="L2" s="5"/>
      <c r="M2" s="5"/>
    </row>
    <row r="3" spans="1:13" ht="14.45" customHeight="1" x14ac:dyDescent="0.4">
      <c r="A3" s="5"/>
      <c r="B3" s="48"/>
      <c r="C3" s="49"/>
      <c r="D3" s="50"/>
      <c r="E3" s="48"/>
      <c r="F3" s="48"/>
      <c r="G3" s="5"/>
      <c r="H3" s="5"/>
      <c r="I3" s="5"/>
      <c r="J3" s="5"/>
      <c r="K3" s="5"/>
      <c r="L3" s="5"/>
      <c r="M3" s="5"/>
    </row>
    <row r="4" spans="1:13" s="6" customFormat="1" ht="67.150000000000006" customHeight="1" x14ac:dyDescent="0.4">
      <c r="A4" s="5"/>
      <c r="B4" s="48"/>
      <c r="C4" s="84" t="s">
        <v>18</v>
      </c>
      <c r="D4" s="84"/>
      <c r="E4" s="84"/>
      <c r="F4" s="48"/>
      <c r="G4" s="5"/>
      <c r="H4" s="5"/>
      <c r="I4" s="5"/>
      <c r="J4" s="5"/>
      <c r="K4" s="5"/>
      <c r="L4" s="5"/>
      <c r="M4" s="5"/>
    </row>
    <row r="5" spans="1:13" s="6" customFormat="1" ht="67.150000000000006" customHeight="1" x14ac:dyDescent="0.4">
      <c r="A5" s="5"/>
      <c r="B5" s="48"/>
      <c r="C5" s="84" t="s">
        <v>19</v>
      </c>
      <c r="D5" s="84"/>
      <c r="E5" s="84"/>
      <c r="F5" s="48"/>
      <c r="G5" s="5"/>
      <c r="H5" s="5"/>
      <c r="I5" s="5"/>
      <c r="J5" s="5"/>
      <c r="K5" s="5"/>
      <c r="L5" s="5"/>
      <c r="M5" s="5"/>
    </row>
    <row r="6" spans="1:13" ht="15" x14ac:dyDescent="0.25">
      <c r="A6" s="4"/>
      <c r="B6" s="51"/>
      <c r="C6" s="51"/>
      <c r="D6" s="52"/>
      <c r="E6" s="51"/>
      <c r="F6" s="51"/>
    </row>
    <row r="7" spans="1:13" ht="50.1" customHeight="1" x14ac:dyDescent="0.2">
      <c r="A7" s="4"/>
      <c r="B7" s="4"/>
    </row>
    <row r="8" spans="1:13" ht="14.45" customHeight="1" x14ac:dyDescent="0.2">
      <c r="A8" s="4"/>
      <c r="B8" s="4"/>
    </row>
    <row r="9" spans="1:13" ht="90" customHeight="1" x14ac:dyDescent="0.2">
      <c r="C9" s="6"/>
      <c r="D9" s="6"/>
      <c r="E9" s="6"/>
      <c r="F9" s="6"/>
      <c r="G9" s="6"/>
      <c r="H9" s="6"/>
    </row>
    <row r="10" spans="1:13" ht="14.45" customHeight="1" x14ac:dyDescent="0.2">
      <c r="A10" s="4"/>
      <c r="B10" s="4"/>
    </row>
    <row r="11" spans="1:13" x14ac:dyDescent="0.2">
      <c r="A11" s="4"/>
      <c r="B11" s="4"/>
      <c r="D11" s="6"/>
    </row>
    <row r="12" spans="1:13" x14ac:dyDescent="0.2">
      <c r="A12" s="4"/>
      <c r="B12" s="4"/>
      <c r="D12" s="6"/>
    </row>
    <row r="13" spans="1:13" x14ac:dyDescent="0.2">
      <c r="A13" s="4"/>
      <c r="B13" s="4"/>
      <c r="D13" s="6"/>
    </row>
    <row r="14" spans="1:13" x14ac:dyDescent="0.2">
      <c r="A14" s="4"/>
      <c r="B14" s="4"/>
      <c r="D14" s="6"/>
    </row>
    <row r="15" spans="1:13" x14ac:dyDescent="0.2">
      <c r="A15" s="4"/>
      <c r="B15" s="4"/>
      <c r="D15" s="6"/>
    </row>
    <row r="16" spans="1:13" x14ac:dyDescent="0.2">
      <c r="A16" s="4"/>
      <c r="B16" s="4"/>
      <c r="D16" s="6"/>
    </row>
    <row r="17" spans="1:4" x14ac:dyDescent="0.2">
      <c r="A17" s="4"/>
      <c r="B17" s="4"/>
      <c r="D17" s="6"/>
    </row>
    <row r="18" spans="1:4" x14ac:dyDescent="0.2">
      <c r="A18" s="4"/>
      <c r="B18" s="4"/>
      <c r="D18" s="6"/>
    </row>
    <row r="19" spans="1:4" x14ac:dyDescent="0.2">
      <c r="A19" s="4"/>
      <c r="B19" s="4"/>
      <c r="D19" s="6"/>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AC415"/>
  <sheetViews>
    <sheetView showGridLines="0" tabSelected="1" showRuler="0" zoomScale="80" zoomScaleNormal="80" zoomScalePageLayoutView="70" workbookViewId="0">
      <pane xSplit="5" ySplit="3" topLeftCell="I15" activePane="bottomRight" state="frozen"/>
      <selection pane="topRight" activeCell="G1" sqref="G1"/>
      <selection pane="bottomLeft" activeCell="A8" sqref="A8"/>
      <selection pane="bottomRight" activeCell="X25" sqref="X25"/>
    </sheetView>
  </sheetViews>
  <sheetFormatPr defaultColWidth="8.85546875" defaultRowHeight="30" customHeight="1" x14ac:dyDescent="0.25"/>
  <cols>
    <col min="1" max="1" width="1.42578125" style="7" customWidth="1"/>
    <col min="2" max="2" width="30.7109375" customWidth="1"/>
    <col min="3" max="3" width="13.28515625" bestFit="1" customWidth="1"/>
    <col min="4" max="4" width="13.28515625" customWidth="1"/>
    <col min="5" max="5" width="15.7109375" customWidth="1"/>
    <col min="6" max="6" width="0.85546875" customWidth="1"/>
    <col min="7" max="29" width="11.28515625" customWidth="1"/>
  </cols>
  <sheetData>
    <row r="1" spans="1:29" ht="30" customHeight="1" x14ac:dyDescent="0.25">
      <c r="A1" s="8"/>
      <c r="B1" s="22" t="s">
        <v>157</v>
      </c>
      <c r="C1" s="23"/>
      <c r="D1" s="23"/>
      <c r="E1" s="27" t="s">
        <v>7</v>
      </c>
      <c r="F1" s="25"/>
      <c r="G1" s="78" t="s">
        <v>158</v>
      </c>
      <c r="H1" s="78"/>
      <c r="I1" s="78"/>
      <c r="J1" s="78"/>
      <c r="L1" s="79" t="s">
        <v>159</v>
      </c>
      <c r="M1" s="79"/>
      <c r="N1" s="79"/>
      <c r="O1" s="79"/>
      <c r="R1" s="80" t="s">
        <v>160</v>
      </c>
      <c r="S1" s="80"/>
      <c r="T1" s="81"/>
      <c r="U1" s="81"/>
      <c r="V1" s="81"/>
      <c r="X1" s="77" t="s">
        <v>161</v>
      </c>
      <c r="Y1" s="77"/>
      <c r="Z1" s="77"/>
      <c r="AB1" s="82" t="s">
        <v>162</v>
      </c>
      <c r="AC1" s="82"/>
    </row>
    <row r="2" spans="1:29" ht="93" customHeight="1" x14ac:dyDescent="0.25">
      <c r="A2" s="8"/>
      <c r="B2" s="57" t="s">
        <v>10</v>
      </c>
      <c r="C2" s="58" t="s">
        <v>0</v>
      </c>
      <c r="D2" s="58" t="s">
        <v>296</v>
      </c>
      <c r="E2" s="58" t="s">
        <v>3</v>
      </c>
      <c r="F2" s="32"/>
      <c r="G2" s="21" t="s">
        <v>24</v>
      </c>
      <c r="H2" s="21" t="s">
        <v>169</v>
      </c>
      <c r="I2" s="21" t="s">
        <v>25</v>
      </c>
      <c r="J2" s="21" t="s">
        <v>168</v>
      </c>
      <c r="K2" s="21" t="s">
        <v>164</v>
      </c>
      <c r="L2" s="21" t="s">
        <v>27</v>
      </c>
      <c r="M2" s="21" t="s">
        <v>163</v>
      </c>
      <c r="N2" s="21" t="s">
        <v>28</v>
      </c>
      <c r="O2" s="21" t="s">
        <v>165</v>
      </c>
      <c r="P2" s="21" t="s">
        <v>295</v>
      </c>
      <c r="Q2" s="21" t="s">
        <v>177</v>
      </c>
      <c r="R2" s="21" t="s">
        <v>166</v>
      </c>
      <c r="S2" s="21" t="s">
        <v>176</v>
      </c>
      <c r="T2" s="21" t="s">
        <v>167</v>
      </c>
      <c r="U2" s="21" t="s">
        <v>170</v>
      </c>
      <c r="V2" s="21" t="s">
        <v>294</v>
      </c>
      <c r="W2" s="21" t="s">
        <v>32</v>
      </c>
      <c r="X2" s="21" t="s">
        <v>171</v>
      </c>
      <c r="Y2" s="21" t="s">
        <v>297</v>
      </c>
      <c r="Z2" s="21" t="s">
        <v>172</v>
      </c>
      <c r="AA2" s="21" t="s">
        <v>173</v>
      </c>
      <c r="AB2" s="21" t="s">
        <v>175</v>
      </c>
      <c r="AC2" s="21" t="s">
        <v>174</v>
      </c>
    </row>
    <row r="3" spans="1:29" ht="30" hidden="1" customHeight="1" x14ac:dyDescent="0.25">
      <c r="B3" s="21" t="s">
        <v>36</v>
      </c>
      <c r="C3" s="17" t="s">
        <v>159</v>
      </c>
      <c r="D3" s="17"/>
      <c r="E3" s="18">
        <v>0.8</v>
      </c>
      <c r="G3" s="15"/>
      <c r="H3" s="15"/>
      <c r="I3" s="15"/>
      <c r="J3" s="15"/>
      <c r="K3" s="15"/>
      <c r="L3" s="15"/>
      <c r="M3" s="15"/>
      <c r="N3" s="15"/>
      <c r="O3" s="15"/>
      <c r="P3" s="15"/>
      <c r="Q3" s="15"/>
      <c r="R3" s="15"/>
      <c r="S3" s="15"/>
      <c r="T3" s="15"/>
      <c r="U3" s="15"/>
      <c r="V3" s="15"/>
      <c r="W3" s="15"/>
      <c r="X3" s="15"/>
      <c r="Y3" s="15"/>
      <c r="Z3" s="15"/>
      <c r="AA3" s="15"/>
      <c r="AB3" s="15"/>
      <c r="AC3" s="15"/>
    </row>
    <row r="4" spans="1:29" s="1" customFormat="1" ht="40.15" customHeight="1" x14ac:dyDescent="0.25">
      <c r="A4" s="8"/>
      <c r="B4" s="21" t="s">
        <v>37</v>
      </c>
      <c r="C4" s="17" t="s">
        <v>6</v>
      </c>
      <c r="D4" s="74">
        <v>46097</v>
      </c>
      <c r="E4" s="18">
        <f>COUNT(G4:AC4)/23</f>
        <v>0.91304347826086951</v>
      </c>
      <c r="F4" s="17"/>
      <c r="G4" s="62">
        <v>1</v>
      </c>
      <c r="H4" s="62">
        <v>1</v>
      </c>
      <c r="I4" s="62">
        <v>1</v>
      </c>
      <c r="J4" s="62">
        <v>1</v>
      </c>
      <c r="K4" s="62">
        <v>1</v>
      </c>
      <c r="L4" s="62">
        <v>1</v>
      </c>
      <c r="M4" s="62">
        <v>1</v>
      </c>
      <c r="N4" s="62">
        <v>1</v>
      </c>
      <c r="O4" s="62">
        <v>1</v>
      </c>
      <c r="P4" s="62">
        <v>1</v>
      </c>
      <c r="Q4" s="62">
        <v>1</v>
      </c>
      <c r="R4" s="62">
        <v>1</v>
      </c>
      <c r="S4" s="62">
        <v>1</v>
      </c>
      <c r="T4" s="62">
        <v>1</v>
      </c>
      <c r="U4" s="62">
        <v>1</v>
      </c>
      <c r="V4" s="62">
        <v>1</v>
      </c>
      <c r="W4" s="62">
        <v>1</v>
      </c>
      <c r="X4" s="62">
        <v>1</v>
      </c>
      <c r="Y4" s="62">
        <v>1</v>
      </c>
      <c r="Z4" s="14">
        <v>1</v>
      </c>
      <c r="AA4" s="93">
        <v>1</v>
      </c>
      <c r="AB4" s="61"/>
      <c r="AC4" s="14"/>
    </row>
    <row r="5" spans="1:29" s="1" customFormat="1" ht="40.15" customHeight="1" x14ac:dyDescent="0.25">
      <c r="A5" s="8"/>
      <c r="B5" s="21" t="s">
        <v>38</v>
      </c>
      <c r="C5" s="17" t="s">
        <v>6</v>
      </c>
      <c r="D5" s="74">
        <v>46097</v>
      </c>
      <c r="E5" s="18">
        <f>COUNT(G5:AC5)/23</f>
        <v>0.91304347826086951</v>
      </c>
      <c r="F5" s="17"/>
      <c r="G5" s="62">
        <v>1</v>
      </c>
      <c r="H5" s="62">
        <v>1</v>
      </c>
      <c r="I5" s="62">
        <v>1</v>
      </c>
      <c r="J5" s="62">
        <v>1</v>
      </c>
      <c r="K5" s="62">
        <v>1</v>
      </c>
      <c r="L5" s="62">
        <v>1</v>
      </c>
      <c r="M5" s="62">
        <v>1</v>
      </c>
      <c r="N5" s="62">
        <v>1</v>
      </c>
      <c r="O5" s="62">
        <v>1</v>
      </c>
      <c r="P5" s="62">
        <v>1</v>
      </c>
      <c r="Q5" s="62">
        <v>1</v>
      </c>
      <c r="R5" s="62">
        <v>1</v>
      </c>
      <c r="S5" s="62">
        <v>1</v>
      </c>
      <c r="T5" s="62">
        <v>1</v>
      </c>
      <c r="U5" s="62">
        <v>1</v>
      </c>
      <c r="V5" s="62">
        <v>1</v>
      </c>
      <c r="W5" s="62">
        <v>1</v>
      </c>
      <c r="X5" s="62">
        <v>1</v>
      </c>
      <c r="Y5" s="62">
        <v>1</v>
      </c>
      <c r="Z5" s="14">
        <v>1</v>
      </c>
      <c r="AA5" s="93">
        <v>1</v>
      </c>
      <c r="AB5" s="61"/>
      <c r="AC5" s="14"/>
    </row>
    <row r="6" spans="1:29" s="1" customFormat="1" ht="40.15" customHeight="1" x14ac:dyDescent="0.25">
      <c r="A6" s="7"/>
      <c r="B6" s="21" t="s">
        <v>39</v>
      </c>
      <c r="C6" s="17" t="s">
        <v>6</v>
      </c>
      <c r="D6" s="74">
        <v>46097</v>
      </c>
      <c r="E6" s="18">
        <f t="shared" ref="E6:E27" si="0">COUNT(G6:AC6)/23</f>
        <v>0.91304347826086951</v>
      </c>
      <c r="F6" s="17"/>
      <c r="G6" s="62">
        <v>1</v>
      </c>
      <c r="H6" s="62">
        <v>1</v>
      </c>
      <c r="I6" s="62">
        <v>1</v>
      </c>
      <c r="J6" s="62">
        <v>1</v>
      </c>
      <c r="K6" s="62">
        <v>1</v>
      </c>
      <c r="L6" s="62">
        <v>1</v>
      </c>
      <c r="M6" s="62">
        <v>1</v>
      </c>
      <c r="N6" s="62">
        <v>1</v>
      </c>
      <c r="O6" s="62">
        <v>1</v>
      </c>
      <c r="P6" s="62">
        <v>1</v>
      </c>
      <c r="Q6" s="62">
        <v>1</v>
      </c>
      <c r="R6" s="62">
        <v>1</v>
      </c>
      <c r="S6" s="62">
        <v>1</v>
      </c>
      <c r="T6" s="62">
        <v>1</v>
      </c>
      <c r="U6" s="62">
        <v>1</v>
      </c>
      <c r="V6" s="62">
        <v>1</v>
      </c>
      <c r="W6" s="62">
        <v>1</v>
      </c>
      <c r="X6" s="62">
        <v>1</v>
      </c>
      <c r="Y6" s="62">
        <v>1</v>
      </c>
      <c r="Z6" s="14">
        <v>1</v>
      </c>
      <c r="AA6" s="93">
        <v>1</v>
      </c>
      <c r="AB6" s="61"/>
      <c r="AC6" s="14"/>
    </row>
    <row r="7" spans="1:29" s="1" customFormat="1" ht="40.15" customHeight="1" x14ac:dyDescent="0.25">
      <c r="A7" s="7"/>
      <c r="B7" s="21" t="s">
        <v>40</v>
      </c>
      <c r="C7" s="17" t="s">
        <v>6</v>
      </c>
      <c r="D7" s="74">
        <v>46097</v>
      </c>
      <c r="E7" s="18">
        <f t="shared" si="0"/>
        <v>1</v>
      </c>
      <c r="F7" s="17"/>
      <c r="G7" s="62">
        <v>1</v>
      </c>
      <c r="H7" s="62">
        <v>1</v>
      </c>
      <c r="I7" s="62">
        <v>1</v>
      </c>
      <c r="J7" s="62">
        <v>1</v>
      </c>
      <c r="K7" s="62">
        <v>1</v>
      </c>
      <c r="L7" s="62">
        <v>1</v>
      </c>
      <c r="M7" s="62">
        <v>1</v>
      </c>
      <c r="N7" s="62">
        <v>1</v>
      </c>
      <c r="O7" s="62">
        <v>1</v>
      </c>
      <c r="P7" s="62">
        <v>1</v>
      </c>
      <c r="Q7" s="62">
        <v>1</v>
      </c>
      <c r="R7" s="62">
        <v>1</v>
      </c>
      <c r="S7" s="62">
        <v>1</v>
      </c>
      <c r="T7" s="62">
        <v>1</v>
      </c>
      <c r="U7" s="62">
        <v>1</v>
      </c>
      <c r="V7" s="62">
        <v>1</v>
      </c>
      <c r="W7" s="62">
        <v>1</v>
      </c>
      <c r="X7" s="62">
        <v>1</v>
      </c>
      <c r="Y7" s="62">
        <v>1</v>
      </c>
      <c r="Z7" s="14">
        <v>1</v>
      </c>
      <c r="AA7" s="93">
        <v>1</v>
      </c>
      <c r="AB7" s="93">
        <v>1</v>
      </c>
      <c r="AC7" s="14">
        <v>1</v>
      </c>
    </row>
    <row r="8" spans="1:29" s="1" customFormat="1" ht="40.15" customHeight="1" x14ac:dyDescent="0.25">
      <c r="A8" s="7"/>
      <c r="B8" s="21" t="s">
        <v>41</v>
      </c>
      <c r="C8" s="17" t="s">
        <v>6</v>
      </c>
      <c r="D8" s="74">
        <v>46097</v>
      </c>
      <c r="E8" s="18">
        <f t="shared" si="0"/>
        <v>0.91304347826086951</v>
      </c>
      <c r="F8" s="17"/>
      <c r="G8" s="62">
        <v>1</v>
      </c>
      <c r="H8" s="62">
        <v>1</v>
      </c>
      <c r="I8" s="62">
        <v>1</v>
      </c>
      <c r="J8" s="62">
        <v>1</v>
      </c>
      <c r="K8" s="62">
        <v>1</v>
      </c>
      <c r="L8" s="62">
        <v>1</v>
      </c>
      <c r="M8" s="62">
        <v>1</v>
      </c>
      <c r="N8" s="62">
        <v>1</v>
      </c>
      <c r="O8" s="62">
        <v>1</v>
      </c>
      <c r="P8" s="62">
        <v>1</v>
      </c>
      <c r="Q8" s="62">
        <v>1</v>
      </c>
      <c r="R8" s="62">
        <v>1</v>
      </c>
      <c r="S8" s="62">
        <v>1</v>
      </c>
      <c r="T8" s="62">
        <v>1</v>
      </c>
      <c r="U8" s="62">
        <v>1</v>
      </c>
      <c r="V8" s="62">
        <v>1</v>
      </c>
      <c r="W8" s="62">
        <v>1</v>
      </c>
      <c r="X8" s="62">
        <v>1</v>
      </c>
      <c r="Y8" s="62">
        <v>1</v>
      </c>
      <c r="Z8" s="14">
        <v>1</v>
      </c>
      <c r="AA8" s="93">
        <v>1</v>
      </c>
      <c r="AB8" s="61"/>
      <c r="AC8" s="14"/>
    </row>
    <row r="9" spans="1:29" s="1" customFormat="1" ht="40.15" customHeight="1" x14ac:dyDescent="0.25">
      <c r="A9" s="8"/>
      <c r="B9" s="21" t="s">
        <v>42</v>
      </c>
      <c r="C9" s="17" t="s">
        <v>6</v>
      </c>
      <c r="D9" s="74">
        <v>46097</v>
      </c>
      <c r="E9" s="18">
        <f t="shared" si="0"/>
        <v>0.91304347826086951</v>
      </c>
      <c r="F9" s="17"/>
      <c r="G9" s="62">
        <v>1</v>
      </c>
      <c r="H9" s="62">
        <v>1</v>
      </c>
      <c r="I9" s="62">
        <v>1</v>
      </c>
      <c r="J9" s="62">
        <v>1</v>
      </c>
      <c r="K9" s="62">
        <v>1</v>
      </c>
      <c r="L9" s="62">
        <v>1</v>
      </c>
      <c r="M9" s="62">
        <v>1</v>
      </c>
      <c r="N9" s="62">
        <v>1</v>
      </c>
      <c r="O9" s="62">
        <v>1</v>
      </c>
      <c r="P9" s="62">
        <v>1</v>
      </c>
      <c r="Q9" s="62">
        <v>1</v>
      </c>
      <c r="R9" s="62">
        <v>1</v>
      </c>
      <c r="S9" s="62">
        <v>1</v>
      </c>
      <c r="T9" s="62">
        <v>1</v>
      </c>
      <c r="U9" s="62">
        <v>1</v>
      </c>
      <c r="V9" s="62">
        <v>1</v>
      </c>
      <c r="W9" s="62">
        <v>1</v>
      </c>
      <c r="X9" s="62">
        <v>1</v>
      </c>
      <c r="Y9" s="62">
        <v>1</v>
      </c>
      <c r="Z9" s="14">
        <v>1</v>
      </c>
      <c r="AA9" s="93">
        <v>1</v>
      </c>
      <c r="AB9" s="61"/>
      <c r="AC9" s="14"/>
    </row>
    <row r="10" spans="1:29" s="1" customFormat="1" ht="40.15" customHeight="1" x14ac:dyDescent="0.25">
      <c r="A10" s="8"/>
      <c r="B10" s="21" t="s">
        <v>43</v>
      </c>
      <c r="C10" s="17" t="s">
        <v>6</v>
      </c>
      <c r="D10" s="74">
        <v>46097</v>
      </c>
      <c r="E10" s="18">
        <f t="shared" si="0"/>
        <v>0.91304347826086951</v>
      </c>
      <c r="F10" s="17"/>
      <c r="G10" s="62">
        <v>1</v>
      </c>
      <c r="H10" s="62">
        <v>1</v>
      </c>
      <c r="I10" s="62">
        <v>1</v>
      </c>
      <c r="J10" s="62">
        <v>1</v>
      </c>
      <c r="K10" s="62">
        <v>1</v>
      </c>
      <c r="L10" s="62">
        <v>1</v>
      </c>
      <c r="M10" s="62">
        <v>1</v>
      </c>
      <c r="N10" s="62">
        <v>1</v>
      </c>
      <c r="O10" s="62">
        <v>1</v>
      </c>
      <c r="P10" s="62">
        <v>1</v>
      </c>
      <c r="Q10" s="62">
        <v>1</v>
      </c>
      <c r="R10" s="62">
        <v>1</v>
      </c>
      <c r="S10" s="62">
        <v>1</v>
      </c>
      <c r="T10" s="62">
        <v>1</v>
      </c>
      <c r="U10" s="62">
        <v>1</v>
      </c>
      <c r="V10" s="62">
        <v>1</v>
      </c>
      <c r="W10" s="62">
        <v>1</v>
      </c>
      <c r="X10" s="62">
        <v>1</v>
      </c>
      <c r="Y10" s="62">
        <v>1</v>
      </c>
      <c r="Z10" s="14">
        <v>1</v>
      </c>
      <c r="AA10" s="93">
        <v>1</v>
      </c>
      <c r="AB10" s="61"/>
      <c r="AC10" s="14"/>
    </row>
    <row r="11" spans="1:29" s="1" customFormat="1" ht="40.15" customHeight="1" x14ac:dyDescent="0.25">
      <c r="A11" s="7"/>
      <c r="B11" s="21" t="s">
        <v>44</v>
      </c>
      <c r="C11" s="17" t="s">
        <v>6</v>
      </c>
      <c r="D11" s="74">
        <v>46097</v>
      </c>
      <c r="E11" s="18">
        <f t="shared" si="0"/>
        <v>1</v>
      </c>
      <c r="F11" s="17"/>
      <c r="G11" s="62">
        <v>1</v>
      </c>
      <c r="H11" s="62">
        <v>1</v>
      </c>
      <c r="I11" s="62">
        <v>1</v>
      </c>
      <c r="J11" s="62">
        <v>1</v>
      </c>
      <c r="K11" s="62">
        <v>1</v>
      </c>
      <c r="L11" s="62">
        <v>1</v>
      </c>
      <c r="M11" s="62">
        <v>1</v>
      </c>
      <c r="N11" s="62">
        <v>1</v>
      </c>
      <c r="O11" s="62">
        <v>1</v>
      </c>
      <c r="P11" s="62">
        <v>1</v>
      </c>
      <c r="Q11" s="62">
        <v>1</v>
      </c>
      <c r="R11" s="62">
        <v>1</v>
      </c>
      <c r="S11" s="62">
        <v>1</v>
      </c>
      <c r="T11" s="62">
        <v>1</v>
      </c>
      <c r="U11" s="62">
        <v>1</v>
      </c>
      <c r="V11" s="62">
        <v>1</v>
      </c>
      <c r="W11" s="62">
        <v>1</v>
      </c>
      <c r="X11" s="62">
        <v>1</v>
      </c>
      <c r="Y11" s="62">
        <v>1</v>
      </c>
      <c r="Z11" s="14">
        <v>1</v>
      </c>
      <c r="AA11" s="93">
        <v>1</v>
      </c>
      <c r="AB11" s="93">
        <v>1</v>
      </c>
      <c r="AC11" s="14">
        <v>1</v>
      </c>
    </row>
    <row r="12" spans="1:29" s="1" customFormat="1" ht="40.15" customHeight="1" x14ac:dyDescent="0.25">
      <c r="A12" s="7"/>
      <c r="B12" s="21" t="s">
        <v>45</v>
      </c>
      <c r="C12" s="17" t="s">
        <v>6</v>
      </c>
      <c r="D12" s="74">
        <v>46100</v>
      </c>
      <c r="E12" s="18">
        <f t="shared" si="0"/>
        <v>1</v>
      </c>
      <c r="F12" s="17"/>
      <c r="G12" s="62">
        <v>1</v>
      </c>
      <c r="H12" s="62">
        <v>1</v>
      </c>
      <c r="I12" s="62">
        <v>1</v>
      </c>
      <c r="J12" s="62">
        <v>1</v>
      </c>
      <c r="K12" s="62">
        <v>1</v>
      </c>
      <c r="L12" s="62">
        <v>1</v>
      </c>
      <c r="M12" s="62">
        <v>1</v>
      </c>
      <c r="N12" s="62">
        <v>1</v>
      </c>
      <c r="O12" s="62">
        <v>1</v>
      </c>
      <c r="P12" s="62">
        <v>1</v>
      </c>
      <c r="Q12" s="62">
        <v>1</v>
      </c>
      <c r="R12" s="62">
        <v>1</v>
      </c>
      <c r="S12" s="62">
        <v>1</v>
      </c>
      <c r="T12" s="62">
        <v>1</v>
      </c>
      <c r="U12" s="62">
        <v>1</v>
      </c>
      <c r="V12" s="62">
        <v>1</v>
      </c>
      <c r="W12" s="62">
        <v>1</v>
      </c>
      <c r="X12" s="62">
        <v>1</v>
      </c>
      <c r="Y12" s="62">
        <v>1</v>
      </c>
      <c r="Z12" s="14">
        <v>1</v>
      </c>
      <c r="AA12" s="93">
        <v>1</v>
      </c>
      <c r="AB12" s="93">
        <v>1</v>
      </c>
      <c r="AC12" s="14">
        <v>1</v>
      </c>
    </row>
    <row r="13" spans="1:29" s="1" customFormat="1" ht="40.15" customHeight="1" x14ac:dyDescent="0.25">
      <c r="A13" s="7"/>
      <c r="B13" s="21" t="s">
        <v>46</v>
      </c>
      <c r="C13" s="17" t="s">
        <v>6</v>
      </c>
      <c r="D13" s="74">
        <v>46100</v>
      </c>
      <c r="E13" s="18">
        <f t="shared" si="0"/>
        <v>0.91304347826086951</v>
      </c>
      <c r="F13" s="17"/>
      <c r="G13" s="62">
        <v>1</v>
      </c>
      <c r="H13" s="62">
        <v>1</v>
      </c>
      <c r="I13" s="62">
        <v>1</v>
      </c>
      <c r="J13" s="62">
        <v>1</v>
      </c>
      <c r="K13" s="62">
        <v>1</v>
      </c>
      <c r="L13" s="62">
        <v>1</v>
      </c>
      <c r="M13" s="62">
        <v>1</v>
      </c>
      <c r="N13" s="62">
        <v>1</v>
      </c>
      <c r="O13" s="62">
        <v>1</v>
      </c>
      <c r="P13" s="62">
        <v>1</v>
      </c>
      <c r="Q13" s="62">
        <v>1</v>
      </c>
      <c r="R13" s="62">
        <v>1</v>
      </c>
      <c r="S13" s="62">
        <v>1</v>
      </c>
      <c r="T13" s="62">
        <v>1</v>
      </c>
      <c r="U13" s="62">
        <v>1</v>
      </c>
      <c r="V13" s="62">
        <v>1</v>
      </c>
      <c r="W13" s="62">
        <v>1</v>
      </c>
      <c r="X13" s="62">
        <v>1</v>
      </c>
      <c r="Y13" s="62">
        <v>1</v>
      </c>
      <c r="Z13" s="14">
        <v>1</v>
      </c>
      <c r="AA13" s="93">
        <v>1</v>
      </c>
      <c r="AB13" s="61"/>
      <c r="AC13" s="14"/>
    </row>
    <row r="14" spans="1:29" s="1" customFormat="1" ht="40.15" customHeight="1" x14ac:dyDescent="0.25">
      <c r="A14" s="7"/>
      <c r="B14" s="21" t="s">
        <v>47</v>
      </c>
      <c r="C14" s="17" t="s">
        <v>6</v>
      </c>
      <c r="D14" s="74">
        <v>46100</v>
      </c>
      <c r="E14" s="18">
        <f t="shared" si="0"/>
        <v>0.91304347826086951</v>
      </c>
      <c r="F14" s="17"/>
      <c r="G14" s="62">
        <v>1</v>
      </c>
      <c r="H14" s="62">
        <v>1</v>
      </c>
      <c r="I14" s="62">
        <v>1</v>
      </c>
      <c r="J14" s="62">
        <v>1</v>
      </c>
      <c r="K14" s="62">
        <v>1</v>
      </c>
      <c r="L14" s="62">
        <v>1</v>
      </c>
      <c r="M14" s="62">
        <v>1</v>
      </c>
      <c r="N14" s="62">
        <v>1</v>
      </c>
      <c r="O14" s="62">
        <v>1</v>
      </c>
      <c r="P14" s="62">
        <v>1</v>
      </c>
      <c r="Q14" s="62">
        <v>1</v>
      </c>
      <c r="R14" s="62">
        <v>1</v>
      </c>
      <c r="S14" s="62">
        <v>1</v>
      </c>
      <c r="T14" s="62">
        <v>1</v>
      </c>
      <c r="U14" s="62">
        <v>1</v>
      </c>
      <c r="V14" s="62">
        <v>1</v>
      </c>
      <c r="W14" s="62">
        <v>1</v>
      </c>
      <c r="X14" s="62">
        <v>1</v>
      </c>
      <c r="Y14" s="62">
        <v>1</v>
      </c>
      <c r="Z14" s="14">
        <v>1</v>
      </c>
      <c r="AA14" s="93">
        <v>1</v>
      </c>
      <c r="AB14" s="61"/>
      <c r="AC14" s="14"/>
    </row>
    <row r="15" spans="1:29" s="1" customFormat="1" ht="40.15" customHeight="1" x14ac:dyDescent="0.25">
      <c r="A15" s="7"/>
      <c r="B15" s="21" t="s">
        <v>48</v>
      </c>
      <c r="C15" s="17" t="s">
        <v>6</v>
      </c>
      <c r="D15" s="74">
        <v>46100</v>
      </c>
      <c r="E15" s="18">
        <f t="shared" si="0"/>
        <v>0.91304347826086951</v>
      </c>
      <c r="F15" s="17"/>
      <c r="G15" s="62">
        <v>1</v>
      </c>
      <c r="H15" s="62">
        <v>1</v>
      </c>
      <c r="I15" s="62">
        <v>1</v>
      </c>
      <c r="J15" s="62">
        <v>1</v>
      </c>
      <c r="K15" s="62">
        <v>1</v>
      </c>
      <c r="L15" s="62">
        <v>1</v>
      </c>
      <c r="M15" s="62">
        <v>1</v>
      </c>
      <c r="N15" s="62">
        <v>1</v>
      </c>
      <c r="O15" s="62">
        <v>1</v>
      </c>
      <c r="P15" s="62">
        <v>1</v>
      </c>
      <c r="Q15" s="62">
        <v>1</v>
      </c>
      <c r="R15" s="62">
        <v>1</v>
      </c>
      <c r="S15" s="62">
        <v>1</v>
      </c>
      <c r="T15" s="62">
        <v>1</v>
      </c>
      <c r="U15" s="62">
        <v>1</v>
      </c>
      <c r="V15" s="62">
        <v>1</v>
      </c>
      <c r="W15" s="62">
        <v>1</v>
      </c>
      <c r="X15" s="62">
        <v>1</v>
      </c>
      <c r="Y15" s="62">
        <v>1</v>
      </c>
      <c r="Z15" s="14">
        <v>1</v>
      </c>
      <c r="AA15" s="93">
        <v>1</v>
      </c>
      <c r="AB15" s="61"/>
      <c r="AC15" s="14"/>
    </row>
    <row r="16" spans="1:29" s="1" customFormat="1" ht="40.15" customHeight="1" x14ac:dyDescent="0.25">
      <c r="A16" s="7"/>
      <c r="B16" s="21" t="s">
        <v>49</v>
      </c>
      <c r="C16" s="17" t="s">
        <v>6</v>
      </c>
      <c r="D16" s="74">
        <v>46100</v>
      </c>
      <c r="E16" s="18">
        <f t="shared" si="0"/>
        <v>1</v>
      </c>
      <c r="F16" s="17"/>
      <c r="G16" s="62">
        <v>1</v>
      </c>
      <c r="H16" s="62">
        <v>1</v>
      </c>
      <c r="I16" s="62">
        <v>1</v>
      </c>
      <c r="J16" s="62">
        <v>1</v>
      </c>
      <c r="K16" s="62">
        <v>1</v>
      </c>
      <c r="L16" s="62">
        <v>1</v>
      </c>
      <c r="M16" s="62">
        <v>1</v>
      </c>
      <c r="N16" s="62">
        <v>1</v>
      </c>
      <c r="O16" s="62">
        <v>1</v>
      </c>
      <c r="P16" s="62">
        <v>1</v>
      </c>
      <c r="Q16" s="62">
        <v>1</v>
      </c>
      <c r="R16" s="62">
        <v>1</v>
      </c>
      <c r="S16" s="62">
        <v>1</v>
      </c>
      <c r="T16" s="62">
        <v>1</v>
      </c>
      <c r="U16" s="62">
        <v>1</v>
      </c>
      <c r="V16" s="62">
        <v>1</v>
      </c>
      <c r="W16" s="62">
        <v>1</v>
      </c>
      <c r="X16" s="62">
        <v>1</v>
      </c>
      <c r="Y16" s="62">
        <v>1</v>
      </c>
      <c r="Z16" s="14">
        <v>1</v>
      </c>
      <c r="AA16" s="93">
        <v>1</v>
      </c>
      <c r="AB16" s="93">
        <v>1</v>
      </c>
      <c r="AC16" s="14">
        <v>1</v>
      </c>
    </row>
    <row r="17" spans="1:29" s="1" customFormat="1" ht="40.15" customHeight="1" x14ac:dyDescent="0.25">
      <c r="A17" s="7"/>
      <c r="B17" s="21" t="s">
        <v>50</v>
      </c>
      <c r="C17" s="17" t="s">
        <v>6</v>
      </c>
      <c r="D17" s="74">
        <v>46100</v>
      </c>
      <c r="E17" s="18">
        <f t="shared" si="0"/>
        <v>0.82608695652173914</v>
      </c>
      <c r="F17" s="17"/>
      <c r="G17" s="62">
        <v>1</v>
      </c>
      <c r="H17" s="62">
        <v>1</v>
      </c>
      <c r="I17" s="62">
        <v>1</v>
      </c>
      <c r="J17" s="62">
        <v>1</v>
      </c>
      <c r="K17" s="62">
        <v>1</v>
      </c>
      <c r="L17" s="62">
        <v>1</v>
      </c>
      <c r="M17" s="62">
        <v>1</v>
      </c>
      <c r="N17" s="62">
        <v>1</v>
      </c>
      <c r="O17" s="62">
        <v>1</v>
      </c>
      <c r="P17" s="62">
        <v>1</v>
      </c>
      <c r="Q17" s="62">
        <v>1</v>
      </c>
      <c r="R17" s="62">
        <v>1</v>
      </c>
      <c r="S17" s="62">
        <v>1</v>
      </c>
      <c r="T17" s="62">
        <v>1</v>
      </c>
      <c r="U17" s="62">
        <v>1</v>
      </c>
      <c r="V17" s="62">
        <v>1</v>
      </c>
      <c r="W17" s="62">
        <v>1</v>
      </c>
      <c r="X17" s="14"/>
      <c r="Y17" s="14"/>
      <c r="Z17" s="14">
        <v>1</v>
      </c>
      <c r="AA17" s="93">
        <v>1</v>
      </c>
      <c r="AB17" s="61"/>
      <c r="AC17" s="14"/>
    </row>
    <row r="18" spans="1:29" s="1" customFormat="1" ht="40.15" customHeight="1" x14ac:dyDescent="0.25">
      <c r="A18" s="7"/>
      <c r="B18" s="21" t="s">
        <v>51</v>
      </c>
      <c r="C18" s="17" t="s">
        <v>6</v>
      </c>
      <c r="D18" s="74">
        <v>46100</v>
      </c>
      <c r="E18" s="18">
        <f t="shared" si="0"/>
        <v>0.82608695652173914</v>
      </c>
      <c r="F18" s="17"/>
      <c r="G18" s="62">
        <v>1</v>
      </c>
      <c r="H18" s="62">
        <v>1</v>
      </c>
      <c r="I18" s="62">
        <v>1</v>
      </c>
      <c r="J18" s="62">
        <v>1</v>
      </c>
      <c r="K18" s="62">
        <v>1</v>
      </c>
      <c r="L18" s="62">
        <v>1</v>
      </c>
      <c r="M18" s="62">
        <v>1</v>
      </c>
      <c r="N18" s="62">
        <v>1</v>
      </c>
      <c r="O18" s="62">
        <v>1</v>
      </c>
      <c r="P18" s="62">
        <v>1</v>
      </c>
      <c r="Q18" s="62">
        <v>1</v>
      </c>
      <c r="R18" s="62">
        <v>1</v>
      </c>
      <c r="S18" s="62">
        <v>1</v>
      </c>
      <c r="T18" s="62">
        <v>1</v>
      </c>
      <c r="U18" s="62">
        <v>1</v>
      </c>
      <c r="V18" s="62">
        <v>1</v>
      </c>
      <c r="W18" s="62">
        <v>1</v>
      </c>
      <c r="X18" s="14"/>
      <c r="Y18" s="14"/>
      <c r="Z18" s="14">
        <v>1</v>
      </c>
      <c r="AA18" s="93">
        <v>1</v>
      </c>
      <c r="AB18" s="61"/>
      <c r="AC18" s="14"/>
    </row>
    <row r="19" spans="1:29" s="1" customFormat="1" ht="40.15" customHeight="1" x14ac:dyDescent="0.25">
      <c r="A19" s="7"/>
      <c r="B19" s="21" t="s">
        <v>52</v>
      </c>
      <c r="C19" s="17" t="s">
        <v>6</v>
      </c>
      <c r="D19" s="74">
        <v>46100</v>
      </c>
      <c r="E19" s="18">
        <f t="shared" si="0"/>
        <v>1</v>
      </c>
      <c r="F19" s="17"/>
      <c r="G19" s="62">
        <v>1</v>
      </c>
      <c r="H19" s="62">
        <v>1</v>
      </c>
      <c r="I19" s="62">
        <v>1</v>
      </c>
      <c r="J19" s="62">
        <v>1</v>
      </c>
      <c r="K19" s="62">
        <v>1</v>
      </c>
      <c r="L19" s="62">
        <v>1</v>
      </c>
      <c r="M19" s="62">
        <v>1</v>
      </c>
      <c r="N19" s="62">
        <v>1</v>
      </c>
      <c r="O19" s="62">
        <v>1</v>
      </c>
      <c r="P19" s="62">
        <v>1</v>
      </c>
      <c r="Q19" s="62">
        <v>1</v>
      </c>
      <c r="R19" s="62">
        <v>1</v>
      </c>
      <c r="S19" s="62">
        <v>1</v>
      </c>
      <c r="T19" s="62">
        <v>1</v>
      </c>
      <c r="U19" s="62">
        <v>1</v>
      </c>
      <c r="V19" s="62">
        <v>1</v>
      </c>
      <c r="W19" s="62">
        <v>1</v>
      </c>
      <c r="X19" s="62">
        <v>1</v>
      </c>
      <c r="Y19" s="62">
        <v>1</v>
      </c>
      <c r="Z19" s="14">
        <v>1</v>
      </c>
      <c r="AA19" s="93">
        <v>1</v>
      </c>
      <c r="AB19" s="93">
        <v>1</v>
      </c>
      <c r="AC19" s="14">
        <v>1</v>
      </c>
    </row>
    <row r="20" spans="1:29" s="1" customFormat="1" ht="40.15" customHeight="1" x14ac:dyDescent="0.25">
      <c r="A20" s="7"/>
      <c r="B20" s="21" t="s">
        <v>53</v>
      </c>
      <c r="C20" s="17" t="s">
        <v>6</v>
      </c>
      <c r="D20" s="74">
        <v>46100</v>
      </c>
      <c r="E20" s="18">
        <f t="shared" si="0"/>
        <v>0.82608695652173914</v>
      </c>
      <c r="F20" s="17"/>
      <c r="G20" s="62">
        <v>1</v>
      </c>
      <c r="H20" s="62">
        <v>1</v>
      </c>
      <c r="I20" s="62">
        <v>1</v>
      </c>
      <c r="J20" s="62">
        <v>1</v>
      </c>
      <c r="K20" s="62">
        <v>1</v>
      </c>
      <c r="L20" s="62">
        <v>1</v>
      </c>
      <c r="M20" s="62">
        <v>1</v>
      </c>
      <c r="N20" s="62">
        <v>1</v>
      </c>
      <c r="O20" s="62">
        <v>1</v>
      </c>
      <c r="P20" s="62">
        <v>1</v>
      </c>
      <c r="Q20" s="62">
        <v>1</v>
      </c>
      <c r="R20" s="62">
        <v>1</v>
      </c>
      <c r="S20" s="62">
        <v>1</v>
      </c>
      <c r="T20" s="62">
        <v>1</v>
      </c>
      <c r="U20" s="62">
        <v>1</v>
      </c>
      <c r="V20" s="62">
        <v>1</v>
      </c>
      <c r="W20" s="62">
        <v>1</v>
      </c>
      <c r="X20" s="14"/>
      <c r="Y20" s="14"/>
      <c r="Z20" s="14">
        <v>1</v>
      </c>
      <c r="AA20" s="93">
        <v>1</v>
      </c>
      <c r="AB20" s="61"/>
      <c r="AC20" s="14"/>
    </row>
    <row r="21" spans="1:29" s="1" customFormat="1" ht="40.15" customHeight="1" x14ac:dyDescent="0.25">
      <c r="A21" s="7"/>
      <c r="B21" s="21" t="s">
        <v>54</v>
      </c>
      <c r="C21" s="17" t="s">
        <v>6</v>
      </c>
      <c r="D21" s="74">
        <v>46100</v>
      </c>
      <c r="E21" s="18">
        <f t="shared" si="0"/>
        <v>1</v>
      </c>
      <c r="F21" s="17"/>
      <c r="G21" s="62">
        <v>1</v>
      </c>
      <c r="H21" s="62">
        <v>1</v>
      </c>
      <c r="I21" s="62">
        <v>1</v>
      </c>
      <c r="J21" s="62">
        <v>1</v>
      </c>
      <c r="K21" s="62">
        <v>1</v>
      </c>
      <c r="L21" s="62">
        <v>1</v>
      </c>
      <c r="M21" s="62">
        <v>1</v>
      </c>
      <c r="N21" s="62">
        <v>1</v>
      </c>
      <c r="O21" s="62">
        <v>1</v>
      </c>
      <c r="P21" s="62">
        <v>1</v>
      </c>
      <c r="Q21" s="62">
        <v>1</v>
      </c>
      <c r="R21" s="62">
        <v>1</v>
      </c>
      <c r="S21" s="62">
        <v>1</v>
      </c>
      <c r="T21" s="62">
        <v>1</v>
      </c>
      <c r="U21" s="62">
        <v>1</v>
      </c>
      <c r="V21" s="62">
        <v>1</v>
      </c>
      <c r="W21" s="62">
        <v>1</v>
      </c>
      <c r="X21" s="62">
        <v>1</v>
      </c>
      <c r="Y21" s="62">
        <v>1</v>
      </c>
      <c r="Z21" s="14">
        <v>1</v>
      </c>
      <c r="AA21" s="93">
        <v>1</v>
      </c>
      <c r="AB21" s="93">
        <v>1</v>
      </c>
      <c r="AC21" s="14">
        <v>1</v>
      </c>
    </row>
    <row r="22" spans="1:29" s="1" customFormat="1" ht="40.15" customHeight="1" x14ac:dyDescent="0.25">
      <c r="A22" s="7"/>
      <c r="B22" s="21" t="s">
        <v>55</v>
      </c>
      <c r="C22" s="17" t="s">
        <v>6</v>
      </c>
      <c r="D22" s="74">
        <v>46100</v>
      </c>
      <c r="E22" s="18">
        <f t="shared" si="0"/>
        <v>1</v>
      </c>
      <c r="F22" s="17"/>
      <c r="G22" s="62">
        <v>1</v>
      </c>
      <c r="H22" s="62">
        <v>1</v>
      </c>
      <c r="I22" s="62">
        <v>1</v>
      </c>
      <c r="J22" s="62">
        <v>1</v>
      </c>
      <c r="K22" s="62">
        <v>1</v>
      </c>
      <c r="L22" s="62">
        <v>1</v>
      </c>
      <c r="M22" s="62">
        <v>1</v>
      </c>
      <c r="N22" s="62">
        <v>1</v>
      </c>
      <c r="O22" s="62">
        <v>1</v>
      </c>
      <c r="P22" s="62">
        <v>1</v>
      </c>
      <c r="Q22" s="62">
        <v>1</v>
      </c>
      <c r="R22" s="62">
        <v>1</v>
      </c>
      <c r="S22" s="62">
        <v>1</v>
      </c>
      <c r="T22" s="62">
        <v>1</v>
      </c>
      <c r="U22" s="62">
        <v>1</v>
      </c>
      <c r="V22" s="62">
        <v>1</v>
      </c>
      <c r="W22" s="62">
        <v>1</v>
      </c>
      <c r="X22" s="62">
        <v>1</v>
      </c>
      <c r="Y22" s="62">
        <v>1</v>
      </c>
      <c r="Z22" s="14">
        <v>1</v>
      </c>
      <c r="AA22" s="93">
        <v>1</v>
      </c>
      <c r="AB22" s="93">
        <v>1</v>
      </c>
      <c r="AC22" s="14">
        <v>1</v>
      </c>
    </row>
    <row r="23" spans="1:29" s="1" customFormat="1" ht="40.15" customHeight="1" x14ac:dyDescent="0.25">
      <c r="A23" s="7"/>
      <c r="B23" s="21" t="s">
        <v>56</v>
      </c>
      <c r="C23" s="17" t="s">
        <v>6</v>
      </c>
      <c r="D23" s="74">
        <v>46100</v>
      </c>
      <c r="E23" s="18">
        <f t="shared" si="0"/>
        <v>0.82608695652173914</v>
      </c>
      <c r="F23" s="17"/>
      <c r="G23" s="62">
        <v>1</v>
      </c>
      <c r="H23" s="62">
        <v>1</v>
      </c>
      <c r="I23" s="62">
        <v>1</v>
      </c>
      <c r="J23" s="62">
        <v>1</v>
      </c>
      <c r="K23" s="62">
        <v>1</v>
      </c>
      <c r="L23" s="62">
        <v>1</v>
      </c>
      <c r="M23" s="62">
        <v>1</v>
      </c>
      <c r="N23" s="62">
        <v>1</v>
      </c>
      <c r="O23" s="62">
        <v>1</v>
      </c>
      <c r="P23" s="62">
        <v>1</v>
      </c>
      <c r="Q23" s="62">
        <v>1</v>
      </c>
      <c r="R23" s="62">
        <v>1</v>
      </c>
      <c r="S23" s="62">
        <v>1</v>
      </c>
      <c r="T23" s="62">
        <v>1</v>
      </c>
      <c r="U23" s="62">
        <v>1</v>
      </c>
      <c r="V23" s="62">
        <v>1</v>
      </c>
      <c r="W23" s="62">
        <v>1</v>
      </c>
      <c r="X23" s="14"/>
      <c r="Y23" s="14"/>
      <c r="Z23" s="14">
        <v>1</v>
      </c>
      <c r="AA23" s="93">
        <v>1</v>
      </c>
      <c r="AB23" s="61"/>
      <c r="AC23" s="14"/>
    </row>
    <row r="24" spans="1:29" s="1" customFormat="1" ht="40.15" customHeight="1" x14ac:dyDescent="0.25">
      <c r="A24" s="7"/>
      <c r="B24" s="21" t="s">
        <v>57</v>
      </c>
      <c r="C24" s="17" t="s">
        <v>6</v>
      </c>
      <c r="D24" s="74">
        <v>46100</v>
      </c>
      <c r="E24" s="18">
        <f t="shared" si="0"/>
        <v>0.82608695652173914</v>
      </c>
      <c r="F24" s="17"/>
      <c r="G24" s="62">
        <v>1</v>
      </c>
      <c r="H24" s="62">
        <v>1</v>
      </c>
      <c r="I24" s="62">
        <v>1</v>
      </c>
      <c r="J24" s="62">
        <v>1</v>
      </c>
      <c r="K24" s="62">
        <v>1</v>
      </c>
      <c r="L24" s="62">
        <v>1</v>
      </c>
      <c r="M24" s="62">
        <v>1</v>
      </c>
      <c r="N24" s="62">
        <v>1</v>
      </c>
      <c r="O24" s="62">
        <v>1</v>
      </c>
      <c r="P24" s="62">
        <v>1</v>
      </c>
      <c r="Q24" s="62">
        <v>1</v>
      </c>
      <c r="R24" s="62">
        <v>1</v>
      </c>
      <c r="S24" s="62">
        <v>1</v>
      </c>
      <c r="T24" s="62">
        <v>1</v>
      </c>
      <c r="U24" s="62">
        <v>1</v>
      </c>
      <c r="V24" s="62">
        <v>1</v>
      </c>
      <c r="W24" s="62">
        <v>1</v>
      </c>
      <c r="X24" s="14"/>
      <c r="Y24" s="14"/>
      <c r="Z24" s="14">
        <v>1</v>
      </c>
      <c r="AA24" s="93">
        <v>1</v>
      </c>
      <c r="AB24" s="61"/>
      <c r="AC24" s="14"/>
    </row>
    <row r="25" spans="1:29" s="1" customFormat="1" ht="40.15" customHeight="1" x14ac:dyDescent="0.25">
      <c r="A25" s="7"/>
      <c r="B25" s="21" t="s">
        <v>58</v>
      </c>
      <c r="C25" s="17" t="s">
        <v>6</v>
      </c>
      <c r="D25" s="74">
        <v>46100</v>
      </c>
      <c r="E25" s="18">
        <f t="shared" si="0"/>
        <v>0.86956521739130432</v>
      </c>
      <c r="F25" s="17"/>
      <c r="G25" s="62">
        <v>1</v>
      </c>
      <c r="H25" s="62">
        <v>1</v>
      </c>
      <c r="I25" s="62">
        <v>1</v>
      </c>
      <c r="J25" s="62">
        <v>1</v>
      </c>
      <c r="K25" s="62">
        <v>1</v>
      </c>
      <c r="L25" s="62">
        <v>1</v>
      </c>
      <c r="M25" s="62">
        <v>1</v>
      </c>
      <c r="N25" s="62">
        <v>1</v>
      </c>
      <c r="O25" s="62">
        <v>1</v>
      </c>
      <c r="P25" s="62">
        <v>1</v>
      </c>
      <c r="Q25" s="62">
        <v>1</v>
      </c>
      <c r="R25" s="62">
        <v>1</v>
      </c>
      <c r="S25" s="62">
        <v>1</v>
      </c>
      <c r="T25" s="62">
        <v>1</v>
      </c>
      <c r="U25" s="62">
        <v>1</v>
      </c>
      <c r="V25" s="62">
        <v>1</v>
      </c>
      <c r="W25" s="62">
        <v>1</v>
      </c>
      <c r="X25" s="14"/>
      <c r="Y25" s="14"/>
      <c r="Z25" s="14">
        <v>1</v>
      </c>
      <c r="AA25" s="93">
        <v>1</v>
      </c>
      <c r="AB25" s="61"/>
      <c r="AC25" s="14">
        <v>1</v>
      </c>
    </row>
    <row r="26" spans="1:29" s="1" customFormat="1" ht="40.15" customHeight="1" thickBot="1" x14ac:dyDescent="0.3">
      <c r="A26" s="67"/>
      <c r="B26" s="68" t="s">
        <v>59</v>
      </c>
      <c r="C26" s="69" t="s">
        <v>6</v>
      </c>
      <c r="D26" s="86">
        <v>46100</v>
      </c>
      <c r="E26" s="70">
        <f t="shared" si="0"/>
        <v>0.82608695652173914</v>
      </c>
      <c r="F26" s="69"/>
      <c r="G26" s="88">
        <v>1</v>
      </c>
      <c r="H26" s="88">
        <v>1</v>
      </c>
      <c r="I26" s="88">
        <v>1</v>
      </c>
      <c r="J26" s="88">
        <v>1</v>
      </c>
      <c r="K26" s="88">
        <v>1</v>
      </c>
      <c r="L26" s="88">
        <v>1</v>
      </c>
      <c r="M26" s="88">
        <v>1</v>
      </c>
      <c r="N26" s="88">
        <v>1</v>
      </c>
      <c r="O26" s="88">
        <v>1</v>
      </c>
      <c r="P26" s="88">
        <v>1</v>
      </c>
      <c r="Q26" s="88">
        <v>1</v>
      </c>
      <c r="R26" s="88">
        <v>1</v>
      </c>
      <c r="S26" s="88">
        <v>1</v>
      </c>
      <c r="T26" s="88">
        <v>1</v>
      </c>
      <c r="U26" s="88">
        <v>1</v>
      </c>
      <c r="V26" s="88">
        <v>1</v>
      </c>
      <c r="W26" s="88">
        <v>1</v>
      </c>
      <c r="X26" s="89"/>
      <c r="Y26" s="89"/>
      <c r="Z26" s="89">
        <v>1</v>
      </c>
      <c r="AA26" s="94">
        <v>1</v>
      </c>
      <c r="AB26" s="90"/>
      <c r="AC26" s="14"/>
    </row>
    <row r="27" spans="1:29" s="1" customFormat="1" ht="40.15" customHeight="1" x14ac:dyDescent="0.25">
      <c r="A27" s="7"/>
      <c r="B27" s="71" t="s">
        <v>60</v>
      </c>
      <c r="C27" s="17" t="s">
        <v>5</v>
      </c>
      <c r="D27" s="74">
        <v>46146</v>
      </c>
      <c r="E27" s="18">
        <f t="shared" si="0"/>
        <v>0.56521739130434778</v>
      </c>
      <c r="F27" s="17"/>
      <c r="G27" s="62">
        <v>1</v>
      </c>
      <c r="H27" s="62">
        <v>1</v>
      </c>
      <c r="I27" s="62">
        <v>1</v>
      </c>
      <c r="J27" s="62">
        <v>1</v>
      </c>
      <c r="K27" s="62">
        <v>1</v>
      </c>
      <c r="L27" s="62">
        <v>1</v>
      </c>
      <c r="M27" s="62">
        <v>1</v>
      </c>
      <c r="N27" s="62">
        <v>1</v>
      </c>
      <c r="O27" s="62">
        <v>1</v>
      </c>
      <c r="P27" s="62">
        <v>1</v>
      </c>
      <c r="Q27" s="62">
        <v>1</v>
      </c>
      <c r="R27" s="62">
        <v>1</v>
      </c>
      <c r="S27" s="62">
        <v>1</v>
      </c>
      <c r="T27" s="14"/>
      <c r="U27" s="14"/>
      <c r="V27" s="14"/>
      <c r="W27" s="87"/>
      <c r="X27" s="87"/>
      <c r="Y27" s="87"/>
      <c r="Z27" s="87"/>
      <c r="AA27" s="87"/>
      <c r="AB27" s="63"/>
      <c r="AC27" s="14"/>
    </row>
    <row r="28" spans="1:29" s="1" customFormat="1" ht="40.15" customHeight="1" x14ac:dyDescent="0.25">
      <c r="A28" s="7"/>
      <c r="B28" s="21" t="s">
        <v>61</v>
      </c>
      <c r="C28" s="17" t="s">
        <v>5</v>
      </c>
      <c r="D28" s="74">
        <v>46146</v>
      </c>
      <c r="E28" s="18">
        <f t="shared" ref="E28" si="1">COUNT(G28:AC28)/23</f>
        <v>0.56521739130434778</v>
      </c>
      <c r="F28" s="17"/>
      <c r="G28" s="62">
        <v>1</v>
      </c>
      <c r="H28" s="62">
        <v>1</v>
      </c>
      <c r="I28" s="62">
        <v>1</v>
      </c>
      <c r="J28" s="62">
        <v>1</v>
      </c>
      <c r="K28" s="62">
        <v>1</v>
      </c>
      <c r="L28" s="62">
        <v>1</v>
      </c>
      <c r="M28" s="62">
        <v>1</v>
      </c>
      <c r="N28" s="62">
        <v>1</v>
      </c>
      <c r="O28" s="62">
        <v>1</v>
      </c>
      <c r="P28" s="62">
        <v>1</v>
      </c>
      <c r="Q28" s="62">
        <v>1</v>
      </c>
      <c r="R28" s="62">
        <v>1</v>
      </c>
      <c r="S28" s="62">
        <v>1</v>
      </c>
      <c r="T28" s="14"/>
      <c r="U28" s="14"/>
      <c r="V28" s="14"/>
      <c r="W28" s="14"/>
      <c r="X28" s="14"/>
      <c r="Y28" s="14"/>
      <c r="Z28" s="14"/>
      <c r="AA28" s="14"/>
      <c r="AB28" s="63"/>
      <c r="AC28" s="14"/>
    </row>
    <row r="29" spans="1:29" s="1" customFormat="1" ht="40.15" customHeight="1" x14ac:dyDescent="0.25">
      <c r="A29" s="7"/>
      <c r="B29" s="21" t="s">
        <v>62</v>
      </c>
      <c r="C29" s="17" t="s">
        <v>5</v>
      </c>
      <c r="D29" s="74">
        <v>46146</v>
      </c>
      <c r="E29" s="18">
        <f t="shared" ref="E29:E92" si="2">COUNT(G29:AC29)/23</f>
        <v>0.56521739130434778</v>
      </c>
      <c r="F29" s="17"/>
      <c r="G29" s="62">
        <v>1</v>
      </c>
      <c r="H29" s="62">
        <v>1</v>
      </c>
      <c r="I29" s="62">
        <v>1</v>
      </c>
      <c r="J29" s="62">
        <v>1</v>
      </c>
      <c r="K29" s="62">
        <v>1</v>
      </c>
      <c r="L29" s="62">
        <v>1</v>
      </c>
      <c r="M29" s="62">
        <v>1</v>
      </c>
      <c r="N29" s="62">
        <v>1</v>
      </c>
      <c r="O29" s="62">
        <v>1</v>
      </c>
      <c r="P29" s="62">
        <v>1</v>
      </c>
      <c r="Q29" s="62">
        <v>1</v>
      </c>
      <c r="R29" s="62">
        <v>1</v>
      </c>
      <c r="S29" s="62">
        <v>1</v>
      </c>
      <c r="T29" s="14"/>
      <c r="U29" s="14"/>
      <c r="V29" s="14"/>
      <c r="W29" s="14"/>
      <c r="X29" s="14"/>
      <c r="Y29" s="14"/>
      <c r="Z29" s="14"/>
      <c r="AA29" s="14"/>
      <c r="AB29" s="63"/>
      <c r="AC29" s="14"/>
    </row>
    <row r="30" spans="1:29" s="1" customFormat="1" ht="40.15" customHeight="1" x14ac:dyDescent="0.25">
      <c r="A30" s="7"/>
      <c r="B30" s="21" t="s">
        <v>63</v>
      </c>
      <c r="C30" s="17" t="s">
        <v>5</v>
      </c>
      <c r="D30" s="74">
        <v>46146</v>
      </c>
      <c r="E30" s="18">
        <f t="shared" si="2"/>
        <v>0.56521739130434778</v>
      </c>
      <c r="F30" s="17"/>
      <c r="G30" s="62">
        <v>1</v>
      </c>
      <c r="H30" s="62">
        <v>1</v>
      </c>
      <c r="I30" s="62">
        <v>1</v>
      </c>
      <c r="J30" s="62">
        <v>1</v>
      </c>
      <c r="K30" s="62">
        <v>1</v>
      </c>
      <c r="L30" s="62">
        <v>1</v>
      </c>
      <c r="M30" s="62">
        <v>1</v>
      </c>
      <c r="N30" s="62">
        <v>1</v>
      </c>
      <c r="O30" s="62">
        <v>1</v>
      </c>
      <c r="P30" s="62">
        <v>1</v>
      </c>
      <c r="Q30" s="62">
        <v>1</v>
      </c>
      <c r="R30" s="62">
        <v>1</v>
      </c>
      <c r="S30" s="62">
        <v>1</v>
      </c>
      <c r="T30" s="14"/>
      <c r="U30" s="14"/>
      <c r="V30" s="14"/>
      <c r="W30" s="14"/>
      <c r="X30" s="14"/>
      <c r="Y30" s="14"/>
      <c r="Z30" s="14"/>
      <c r="AA30" s="14"/>
      <c r="AB30" s="63"/>
      <c r="AC30" s="14"/>
    </row>
    <row r="31" spans="1:29" s="1" customFormat="1" ht="40.15" customHeight="1" x14ac:dyDescent="0.25">
      <c r="A31" s="7"/>
      <c r="B31" s="21" t="s">
        <v>64</v>
      </c>
      <c r="C31" s="17" t="s">
        <v>5</v>
      </c>
      <c r="D31" s="74">
        <v>46146</v>
      </c>
      <c r="E31" s="18">
        <f t="shared" si="2"/>
        <v>0.56521739130434778</v>
      </c>
      <c r="F31" s="17"/>
      <c r="G31" s="62">
        <v>1</v>
      </c>
      <c r="H31" s="62">
        <v>1</v>
      </c>
      <c r="I31" s="62">
        <v>1</v>
      </c>
      <c r="J31" s="62">
        <v>1</v>
      </c>
      <c r="K31" s="62">
        <v>1</v>
      </c>
      <c r="L31" s="62">
        <v>1</v>
      </c>
      <c r="M31" s="62">
        <v>1</v>
      </c>
      <c r="N31" s="62">
        <v>1</v>
      </c>
      <c r="O31" s="62">
        <v>1</v>
      </c>
      <c r="P31" s="62">
        <v>1</v>
      </c>
      <c r="Q31" s="62">
        <v>1</v>
      </c>
      <c r="R31" s="62">
        <v>1</v>
      </c>
      <c r="S31" s="62">
        <v>1</v>
      </c>
      <c r="T31" s="14"/>
      <c r="U31" s="14"/>
      <c r="V31" s="14"/>
      <c r="W31" s="14"/>
      <c r="X31" s="14"/>
      <c r="Y31" s="14"/>
      <c r="Z31" s="14"/>
      <c r="AA31" s="14"/>
      <c r="AB31" s="63"/>
      <c r="AC31" s="14"/>
    </row>
    <row r="32" spans="1:29" s="1" customFormat="1" ht="40.15" customHeight="1" x14ac:dyDescent="0.25">
      <c r="A32" s="7"/>
      <c r="B32" s="21" t="s">
        <v>65</v>
      </c>
      <c r="C32" s="17" t="s">
        <v>5</v>
      </c>
      <c r="D32" s="74">
        <v>46146</v>
      </c>
      <c r="E32" s="18">
        <f t="shared" si="2"/>
        <v>0.47826086956521741</v>
      </c>
      <c r="F32" s="17"/>
      <c r="G32" s="62">
        <v>1</v>
      </c>
      <c r="H32" s="62">
        <v>1</v>
      </c>
      <c r="I32" s="62">
        <v>1</v>
      </c>
      <c r="J32" s="62">
        <v>1</v>
      </c>
      <c r="K32" s="62">
        <v>1</v>
      </c>
      <c r="L32" s="62">
        <v>1</v>
      </c>
      <c r="M32" s="62">
        <v>1</v>
      </c>
      <c r="N32" s="62">
        <v>1</v>
      </c>
      <c r="O32" s="62">
        <v>1</v>
      </c>
      <c r="P32" s="62">
        <v>1</v>
      </c>
      <c r="Q32" s="14"/>
      <c r="R32" s="14"/>
      <c r="S32" s="62">
        <v>1</v>
      </c>
      <c r="T32" s="14"/>
      <c r="U32" s="14"/>
      <c r="V32" s="14"/>
      <c r="W32" s="14"/>
      <c r="X32" s="14"/>
      <c r="Y32" s="14"/>
      <c r="Z32" s="14"/>
      <c r="AA32" s="14"/>
      <c r="AB32" s="63"/>
      <c r="AC32" s="14"/>
    </row>
    <row r="33" spans="1:29" s="1" customFormat="1" ht="40.15" customHeight="1" x14ac:dyDescent="0.25">
      <c r="A33" s="7"/>
      <c r="B33" s="21" t="s">
        <v>66</v>
      </c>
      <c r="C33" s="17" t="s">
        <v>5</v>
      </c>
      <c r="D33" s="74">
        <v>46146</v>
      </c>
      <c r="E33" s="18">
        <f t="shared" si="2"/>
        <v>0.43478260869565216</v>
      </c>
      <c r="F33" s="17"/>
      <c r="G33" s="62">
        <v>1</v>
      </c>
      <c r="H33" s="62">
        <v>1</v>
      </c>
      <c r="I33" s="62">
        <v>1</v>
      </c>
      <c r="J33" s="62">
        <v>1</v>
      </c>
      <c r="K33" s="62">
        <v>1</v>
      </c>
      <c r="L33" s="62">
        <v>1</v>
      </c>
      <c r="M33" s="62">
        <v>1</v>
      </c>
      <c r="N33" s="62">
        <v>1</v>
      </c>
      <c r="O33" s="62">
        <v>1</v>
      </c>
      <c r="P33" s="14"/>
      <c r="Q33" s="14"/>
      <c r="R33" s="14"/>
      <c r="S33" s="62">
        <v>1</v>
      </c>
      <c r="T33" s="14"/>
      <c r="U33" s="14"/>
      <c r="V33" s="14"/>
      <c r="W33" s="14"/>
      <c r="X33" s="14"/>
      <c r="Y33" s="14"/>
      <c r="Z33" s="14"/>
      <c r="AA33" s="14"/>
      <c r="AB33" s="63"/>
      <c r="AC33" s="14"/>
    </row>
    <row r="34" spans="1:29" s="1" customFormat="1" ht="40.15" customHeight="1" x14ac:dyDescent="0.25">
      <c r="A34" s="7"/>
      <c r="B34" s="21" t="s">
        <v>67</v>
      </c>
      <c r="C34" s="17" t="s">
        <v>5</v>
      </c>
      <c r="D34" s="74">
        <v>46146</v>
      </c>
      <c r="E34" s="18">
        <f t="shared" si="2"/>
        <v>0.39130434782608697</v>
      </c>
      <c r="F34" s="17"/>
      <c r="G34" s="62">
        <v>1</v>
      </c>
      <c r="H34" s="62">
        <v>1</v>
      </c>
      <c r="I34" s="62">
        <v>1</v>
      </c>
      <c r="J34" s="62">
        <v>1</v>
      </c>
      <c r="K34" s="62">
        <v>1</v>
      </c>
      <c r="L34" s="62">
        <v>1</v>
      </c>
      <c r="M34" s="62">
        <v>1</v>
      </c>
      <c r="N34" s="62">
        <v>1</v>
      </c>
      <c r="O34" s="62">
        <v>1</v>
      </c>
      <c r="P34" s="14"/>
      <c r="Q34" s="14"/>
      <c r="R34" s="14"/>
      <c r="S34" s="14"/>
      <c r="T34" s="14"/>
      <c r="U34" s="14"/>
      <c r="V34" s="14"/>
      <c r="W34" s="14"/>
      <c r="X34" s="14"/>
      <c r="Y34" s="14"/>
      <c r="Z34" s="14"/>
      <c r="AA34" s="14"/>
      <c r="AB34" s="63"/>
      <c r="AC34" s="14"/>
    </row>
    <row r="35" spans="1:29" s="1" customFormat="1" ht="40.15" customHeight="1" x14ac:dyDescent="0.25">
      <c r="A35" s="7"/>
      <c r="B35" s="21" t="s">
        <v>68</v>
      </c>
      <c r="C35" s="17" t="s">
        <v>5</v>
      </c>
      <c r="D35" s="74">
        <v>46146</v>
      </c>
      <c r="E35" s="18">
        <f t="shared" si="2"/>
        <v>0.34782608695652173</v>
      </c>
      <c r="F35" s="17"/>
      <c r="G35" s="62">
        <v>1</v>
      </c>
      <c r="H35" s="62">
        <v>1</v>
      </c>
      <c r="I35" s="62">
        <v>1</v>
      </c>
      <c r="J35" s="62">
        <v>1</v>
      </c>
      <c r="K35" s="62">
        <v>1</v>
      </c>
      <c r="L35" s="14"/>
      <c r="M35" s="62">
        <v>1</v>
      </c>
      <c r="N35" s="62">
        <v>1</v>
      </c>
      <c r="O35" s="62">
        <v>1</v>
      </c>
      <c r="P35" s="14"/>
      <c r="Q35" s="14"/>
      <c r="R35" s="14"/>
      <c r="S35" s="14"/>
      <c r="T35" s="14"/>
      <c r="U35" s="14"/>
      <c r="V35" s="14"/>
      <c r="W35" s="14"/>
      <c r="X35" s="14"/>
      <c r="Y35" s="14"/>
      <c r="Z35" s="14"/>
      <c r="AA35" s="14"/>
      <c r="AB35" s="63"/>
      <c r="AC35" s="14"/>
    </row>
    <row r="36" spans="1:29" s="1" customFormat="1" ht="40.15" customHeight="1" x14ac:dyDescent="0.25">
      <c r="A36" s="7"/>
      <c r="B36" s="21" t="s">
        <v>69</v>
      </c>
      <c r="C36" s="17" t="s">
        <v>5</v>
      </c>
      <c r="D36" s="74">
        <v>46146</v>
      </c>
      <c r="E36" s="18">
        <f t="shared" si="2"/>
        <v>0.34782608695652173</v>
      </c>
      <c r="F36" s="17"/>
      <c r="G36" s="62">
        <v>1</v>
      </c>
      <c r="H36" s="62">
        <v>1</v>
      </c>
      <c r="I36" s="62">
        <v>1</v>
      </c>
      <c r="J36" s="62">
        <v>1</v>
      </c>
      <c r="K36" s="62">
        <v>1</v>
      </c>
      <c r="L36" s="14"/>
      <c r="M36" s="62">
        <v>1</v>
      </c>
      <c r="N36" s="62">
        <v>1</v>
      </c>
      <c r="O36" s="62">
        <v>1</v>
      </c>
      <c r="P36" s="14"/>
      <c r="Q36" s="14"/>
      <c r="R36" s="14"/>
      <c r="S36" s="14"/>
      <c r="T36" s="14"/>
      <c r="U36" s="14"/>
      <c r="V36" s="14"/>
      <c r="W36" s="14"/>
      <c r="X36" s="14"/>
      <c r="Y36" s="14"/>
      <c r="Z36" s="14"/>
      <c r="AA36" s="14"/>
      <c r="AB36" s="63"/>
      <c r="AC36" s="14"/>
    </row>
    <row r="37" spans="1:29" s="1" customFormat="1" ht="40.15" customHeight="1" x14ac:dyDescent="0.25">
      <c r="A37" s="7"/>
      <c r="B37" s="21" t="s">
        <v>70</v>
      </c>
      <c r="C37" s="17" t="s">
        <v>5</v>
      </c>
      <c r="D37" s="74">
        <v>46146</v>
      </c>
      <c r="E37" s="18">
        <f t="shared" si="2"/>
        <v>0.30434782608695654</v>
      </c>
      <c r="F37" s="17"/>
      <c r="G37" s="14"/>
      <c r="H37" s="62">
        <v>1</v>
      </c>
      <c r="I37" s="62">
        <v>1</v>
      </c>
      <c r="J37" s="62">
        <v>1</v>
      </c>
      <c r="K37" s="62">
        <v>1</v>
      </c>
      <c r="L37" s="14"/>
      <c r="M37" s="62">
        <v>1</v>
      </c>
      <c r="N37" s="62">
        <v>1</v>
      </c>
      <c r="O37" s="62">
        <v>1</v>
      </c>
      <c r="P37" s="14"/>
      <c r="Q37" s="14"/>
      <c r="R37" s="14"/>
      <c r="S37" s="14"/>
      <c r="T37" s="14"/>
      <c r="U37" s="14"/>
      <c r="V37" s="14"/>
      <c r="W37" s="14"/>
      <c r="X37" s="14"/>
      <c r="Y37" s="14"/>
      <c r="Z37" s="14"/>
      <c r="AA37" s="14"/>
      <c r="AB37" s="63"/>
      <c r="AC37" s="14"/>
    </row>
    <row r="38" spans="1:29" s="1" customFormat="1" ht="40.15" customHeight="1" x14ac:dyDescent="0.25">
      <c r="A38" s="7"/>
      <c r="B38" s="21" t="s">
        <v>71</v>
      </c>
      <c r="C38" s="17" t="s">
        <v>5</v>
      </c>
      <c r="D38" s="74">
        <v>46146</v>
      </c>
      <c r="E38" s="18">
        <f t="shared" si="2"/>
        <v>0.30434782608695654</v>
      </c>
      <c r="F38" s="17"/>
      <c r="G38" s="14"/>
      <c r="H38" s="62">
        <v>1</v>
      </c>
      <c r="I38" s="62">
        <v>1</v>
      </c>
      <c r="J38" s="62">
        <v>1</v>
      </c>
      <c r="K38" s="62">
        <v>1</v>
      </c>
      <c r="L38" s="14"/>
      <c r="M38" s="62">
        <v>1</v>
      </c>
      <c r="N38" s="62">
        <v>1</v>
      </c>
      <c r="O38" s="62">
        <v>1</v>
      </c>
      <c r="P38" s="14"/>
      <c r="Q38" s="14"/>
      <c r="R38" s="14"/>
      <c r="S38" s="14"/>
      <c r="T38" s="14"/>
      <c r="U38" s="14"/>
      <c r="V38" s="14"/>
      <c r="W38" s="14"/>
      <c r="X38" s="14"/>
      <c r="Y38" s="14"/>
      <c r="Z38" s="14"/>
      <c r="AA38" s="14"/>
      <c r="AB38" s="63"/>
      <c r="AC38" s="14"/>
    </row>
    <row r="39" spans="1:29" s="1" customFormat="1" ht="40.15" customHeight="1" x14ac:dyDescent="0.25">
      <c r="A39" s="7"/>
      <c r="B39" s="21" t="s">
        <v>72</v>
      </c>
      <c r="C39" s="17" t="s">
        <v>5</v>
      </c>
      <c r="D39" s="74">
        <v>46146</v>
      </c>
      <c r="E39" s="18">
        <f t="shared" si="2"/>
        <v>0.2608695652173913</v>
      </c>
      <c r="F39" s="17"/>
      <c r="G39" s="14"/>
      <c r="H39" s="14"/>
      <c r="I39" s="62">
        <v>1</v>
      </c>
      <c r="J39" s="62">
        <v>1</v>
      </c>
      <c r="K39" s="62">
        <v>1</v>
      </c>
      <c r="L39" s="14"/>
      <c r="M39" s="62">
        <v>1</v>
      </c>
      <c r="N39" s="62">
        <v>1</v>
      </c>
      <c r="O39" s="62">
        <v>1</v>
      </c>
      <c r="P39" s="14"/>
      <c r="Q39" s="14"/>
      <c r="R39" s="14"/>
      <c r="S39" s="14"/>
      <c r="T39" s="14"/>
      <c r="U39" s="14"/>
      <c r="V39" s="14"/>
      <c r="W39" s="14"/>
      <c r="X39" s="14"/>
      <c r="Y39" s="14"/>
      <c r="Z39" s="14"/>
      <c r="AA39" s="14"/>
      <c r="AB39" s="63"/>
      <c r="AC39" s="14"/>
    </row>
    <row r="40" spans="1:29" s="1" customFormat="1" ht="40.15" customHeight="1" x14ac:dyDescent="0.25">
      <c r="A40" s="7"/>
      <c r="B40" s="21" t="s">
        <v>73</v>
      </c>
      <c r="C40" s="17" t="s">
        <v>5</v>
      </c>
      <c r="D40" s="74">
        <v>46146</v>
      </c>
      <c r="E40" s="18">
        <f t="shared" si="2"/>
        <v>0.2608695652173913</v>
      </c>
      <c r="F40" s="17"/>
      <c r="G40" s="14"/>
      <c r="H40" s="14"/>
      <c r="I40" s="62">
        <v>1</v>
      </c>
      <c r="J40" s="62">
        <v>1</v>
      </c>
      <c r="K40" s="62">
        <v>1</v>
      </c>
      <c r="L40" s="14"/>
      <c r="M40" s="62">
        <v>1</v>
      </c>
      <c r="N40" s="62">
        <v>1</v>
      </c>
      <c r="O40" s="62">
        <v>1</v>
      </c>
      <c r="P40" s="14"/>
      <c r="Q40" s="14"/>
      <c r="R40" s="14"/>
      <c r="S40" s="14"/>
      <c r="T40" s="14"/>
      <c r="U40" s="14"/>
      <c r="V40" s="14"/>
      <c r="W40" s="14"/>
      <c r="X40" s="14"/>
      <c r="Y40" s="14"/>
      <c r="Z40" s="14"/>
      <c r="AA40" s="14"/>
      <c r="AB40" s="63"/>
      <c r="AC40" s="14"/>
    </row>
    <row r="41" spans="1:29" s="1" customFormat="1" ht="40.15" customHeight="1" x14ac:dyDescent="0.25">
      <c r="A41" s="7"/>
      <c r="B41" s="21" t="s">
        <v>74</v>
      </c>
      <c r="C41" s="17" t="s">
        <v>5</v>
      </c>
      <c r="D41" s="74">
        <v>46146</v>
      </c>
      <c r="E41" s="18">
        <f t="shared" si="2"/>
        <v>0.2608695652173913</v>
      </c>
      <c r="F41" s="17"/>
      <c r="G41" s="14"/>
      <c r="H41" s="14"/>
      <c r="I41" s="62">
        <v>1</v>
      </c>
      <c r="J41" s="62">
        <v>1</v>
      </c>
      <c r="K41" s="62">
        <v>1</v>
      </c>
      <c r="L41" s="14"/>
      <c r="M41" s="62">
        <v>1</v>
      </c>
      <c r="N41" s="62">
        <v>1</v>
      </c>
      <c r="O41" s="62">
        <v>1</v>
      </c>
      <c r="P41" s="14"/>
      <c r="Q41" s="14"/>
      <c r="R41" s="14"/>
      <c r="S41" s="14"/>
      <c r="T41" s="14"/>
      <c r="U41" s="14"/>
      <c r="V41" s="14"/>
      <c r="W41" s="14"/>
      <c r="X41" s="14"/>
      <c r="Y41" s="14"/>
      <c r="Z41" s="14"/>
      <c r="AA41" s="14"/>
      <c r="AB41" s="63"/>
      <c r="AC41" s="14"/>
    </row>
    <row r="42" spans="1:29" s="1" customFormat="1" ht="40.15" customHeight="1" x14ac:dyDescent="0.25">
      <c r="A42" s="7"/>
      <c r="B42" s="21" t="s">
        <v>75</v>
      </c>
      <c r="C42" s="17" t="s">
        <v>5</v>
      </c>
      <c r="D42" s="74">
        <v>46146</v>
      </c>
      <c r="E42" s="18">
        <f t="shared" si="2"/>
        <v>0.2608695652173913</v>
      </c>
      <c r="F42" s="17"/>
      <c r="G42" s="14"/>
      <c r="H42" s="14"/>
      <c r="I42" s="62">
        <v>1</v>
      </c>
      <c r="J42" s="62">
        <v>1</v>
      </c>
      <c r="K42" s="62">
        <v>1</v>
      </c>
      <c r="L42" s="14"/>
      <c r="M42" s="62">
        <v>1</v>
      </c>
      <c r="N42" s="62">
        <v>1</v>
      </c>
      <c r="O42" s="62">
        <v>1</v>
      </c>
      <c r="P42" s="14"/>
      <c r="Q42" s="14"/>
      <c r="R42" s="14"/>
      <c r="S42" s="14"/>
      <c r="T42" s="14"/>
      <c r="U42" s="14"/>
      <c r="V42" s="14"/>
      <c r="W42" s="14"/>
      <c r="X42" s="14"/>
      <c r="Y42" s="14"/>
      <c r="Z42" s="14"/>
      <c r="AA42" s="14"/>
      <c r="AB42" s="63"/>
      <c r="AC42" s="14"/>
    </row>
    <row r="43" spans="1:29" s="1" customFormat="1" ht="40.15" customHeight="1" x14ac:dyDescent="0.25">
      <c r="A43" s="7"/>
      <c r="B43" s="21" t="s">
        <v>76</v>
      </c>
      <c r="C43" s="17" t="s">
        <v>5</v>
      </c>
      <c r="D43" s="74">
        <v>46146</v>
      </c>
      <c r="E43" s="18">
        <f t="shared" si="2"/>
        <v>0.21739130434782608</v>
      </c>
      <c r="F43" s="17"/>
      <c r="G43" s="14"/>
      <c r="H43" s="14"/>
      <c r="I43" s="62">
        <v>1</v>
      </c>
      <c r="J43" s="62">
        <v>1</v>
      </c>
      <c r="K43" s="62">
        <v>1</v>
      </c>
      <c r="L43" s="14"/>
      <c r="M43" s="62">
        <v>1</v>
      </c>
      <c r="N43" s="14"/>
      <c r="O43" s="62">
        <v>1</v>
      </c>
      <c r="P43" s="14"/>
      <c r="Q43" s="14"/>
      <c r="R43" s="14"/>
      <c r="S43" s="14"/>
      <c r="T43" s="14"/>
      <c r="U43" s="14"/>
      <c r="V43" s="14"/>
      <c r="W43" s="14"/>
      <c r="X43" s="14"/>
      <c r="Y43" s="14"/>
      <c r="Z43" s="14"/>
      <c r="AA43" s="14"/>
      <c r="AB43" s="63"/>
      <c r="AC43" s="14"/>
    </row>
    <row r="44" spans="1:29" s="1" customFormat="1" ht="40.15" customHeight="1" x14ac:dyDescent="0.25">
      <c r="A44" s="7"/>
      <c r="B44" s="21" t="s">
        <v>77</v>
      </c>
      <c r="C44" s="17" t="s">
        <v>5</v>
      </c>
      <c r="D44" s="74">
        <v>46146</v>
      </c>
      <c r="E44" s="18">
        <f t="shared" si="2"/>
        <v>0.21739130434782608</v>
      </c>
      <c r="F44" s="17"/>
      <c r="G44" s="14"/>
      <c r="H44" s="14"/>
      <c r="I44" s="62">
        <v>1</v>
      </c>
      <c r="J44" s="62">
        <v>1</v>
      </c>
      <c r="K44" s="62">
        <v>1</v>
      </c>
      <c r="L44" s="14"/>
      <c r="M44" s="62">
        <v>1</v>
      </c>
      <c r="N44" s="14"/>
      <c r="O44" s="62">
        <v>1</v>
      </c>
      <c r="P44" s="14"/>
      <c r="Q44" s="14"/>
      <c r="R44" s="14"/>
      <c r="S44" s="14"/>
      <c r="T44" s="14"/>
      <c r="U44" s="14"/>
      <c r="V44" s="14"/>
      <c r="W44" s="14"/>
      <c r="X44" s="14"/>
      <c r="Y44" s="14"/>
      <c r="Z44" s="14"/>
      <c r="AA44" s="14"/>
      <c r="AB44" s="63"/>
      <c r="AC44" s="14"/>
    </row>
    <row r="45" spans="1:29" s="1" customFormat="1" ht="40.15" customHeight="1" x14ac:dyDescent="0.25">
      <c r="A45" s="7"/>
      <c r="B45" s="21" t="s">
        <v>78</v>
      </c>
      <c r="C45" s="17" t="s">
        <v>5</v>
      </c>
      <c r="D45" s="74">
        <v>46146</v>
      </c>
      <c r="E45" s="18">
        <f t="shared" si="2"/>
        <v>0.17391304347826086</v>
      </c>
      <c r="F45" s="17"/>
      <c r="G45" s="14"/>
      <c r="H45" s="14"/>
      <c r="I45" s="14"/>
      <c r="J45" s="62">
        <v>1</v>
      </c>
      <c r="K45" s="62">
        <v>1</v>
      </c>
      <c r="L45" s="14"/>
      <c r="M45" s="62">
        <v>1</v>
      </c>
      <c r="N45" s="14"/>
      <c r="O45" s="62">
        <v>1</v>
      </c>
      <c r="P45" s="14"/>
      <c r="Q45" s="14"/>
      <c r="R45" s="14"/>
      <c r="S45" s="14"/>
      <c r="T45" s="14"/>
      <c r="U45" s="14"/>
      <c r="V45" s="14"/>
      <c r="W45" s="14"/>
      <c r="X45" s="14"/>
      <c r="Y45" s="14"/>
      <c r="Z45" s="14"/>
      <c r="AA45" s="14"/>
      <c r="AB45" s="63"/>
      <c r="AC45" s="14"/>
    </row>
    <row r="46" spans="1:29" s="1" customFormat="1" ht="40.15" customHeight="1" x14ac:dyDescent="0.25">
      <c r="A46" s="7"/>
      <c r="B46" s="21" t="s">
        <v>79</v>
      </c>
      <c r="C46" s="17" t="s">
        <v>5</v>
      </c>
      <c r="D46" s="74">
        <v>46146</v>
      </c>
      <c r="E46" s="18">
        <f t="shared" si="2"/>
        <v>0.17391304347826086</v>
      </c>
      <c r="F46" s="17"/>
      <c r="G46" s="14"/>
      <c r="H46" s="14"/>
      <c r="I46" s="14"/>
      <c r="J46" s="62">
        <v>1</v>
      </c>
      <c r="K46" s="62">
        <v>1</v>
      </c>
      <c r="L46" s="14"/>
      <c r="M46" s="62">
        <v>1</v>
      </c>
      <c r="N46" s="14"/>
      <c r="O46" s="62">
        <v>1</v>
      </c>
      <c r="P46" s="14"/>
      <c r="Q46" s="14"/>
      <c r="R46" s="14"/>
      <c r="S46" s="14"/>
      <c r="T46" s="14"/>
      <c r="U46" s="14"/>
      <c r="V46" s="14"/>
      <c r="W46" s="14"/>
      <c r="X46" s="14"/>
      <c r="Y46" s="14"/>
      <c r="Z46" s="14"/>
      <c r="AA46" s="14"/>
      <c r="AB46" s="63"/>
      <c r="AC46" s="14"/>
    </row>
    <row r="47" spans="1:29" s="1" customFormat="1" ht="40.15" customHeight="1" x14ac:dyDescent="0.25">
      <c r="A47" s="7"/>
      <c r="B47" s="21" t="s">
        <v>80</v>
      </c>
      <c r="C47" s="17" t="s">
        <v>5</v>
      </c>
      <c r="D47" s="74">
        <v>46146</v>
      </c>
      <c r="E47" s="18">
        <f t="shared" si="2"/>
        <v>0.17391304347826086</v>
      </c>
      <c r="F47" s="17"/>
      <c r="G47" s="14"/>
      <c r="H47" s="14"/>
      <c r="I47" s="14"/>
      <c r="J47" s="62">
        <v>1</v>
      </c>
      <c r="K47" s="62">
        <v>1</v>
      </c>
      <c r="L47" s="14"/>
      <c r="M47" s="62">
        <v>1</v>
      </c>
      <c r="N47" s="14"/>
      <c r="O47" s="62">
        <v>1</v>
      </c>
      <c r="P47" s="14"/>
      <c r="Q47" s="14"/>
      <c r="R47" s="14"/>
      <c r="S47" s="14"/>
      <c r="T47" s="14"/>
      <c r="U47" s="14"/>
      <c r="V47" s="14"/>
      <c r="W47" s="14"/>
      <c r="X47" s="14"/>
      <c r="Y47" s="14"/>
      <c r="Z47" s="14"/>
      <c r="AA47" s="14"/>
      <c r="AB47" s="63"/>
      <c r="AC47" s="14"/>
    </row>
    <row r="48" spans="1:29" s="1" customFormat="1" ht="40.15" customHeight="1" x14ac:dyDescent="0.25">
      <c r="A48" s="7"/>
      <c r="B48" s="21" t="s">
        <v>81</v>
      </c>
      <c r="C48" s="17" t="s">
        <v>5</v>
      </c>
      <c r="D48" s="74">
        <v>46146</v>
      </c>
      <c r="E48" s="18">
        <f t="shared" si="2"/>
        <v>0.17391304347826086</v>
      </c>
      <c r="F48" s="17"/>
      <c r="G48" s="14"/>
      <c r="H48" s="14"/>
      <c r="I48" s="14"/>
      <c r="J48" s="62">
        <v>1</v>
      </c>
      <c r="K48" s="62">
        <v>1</v>
      </c>
      <c r="L48" s="14"/>
      <c r="M48" s="62">
        <v>1</v>
      </c>
      <c r="N48" s="14"/>
      <c r="O48" s="62">
        <v>1</v>
      </c>
      <c r="P48" s="14"/>
      <c r="Q48" s="14"/>
      <c r="R48" s="14"/>
      <c r="S48" s="14"/>
      <c r="T48" s="14"/>
      <c r="U48" s="14"/>
      <c r="V48" s="14"/>
      <c r="W48" s="14"/>
      <c r="X48" s="14"/>
      <c r="Y48" s="14"/>
      <c r="Z48" s="14"/>
      <c r="AA48" s="14"/>
      <c r="AB48" s="63"/>
      <c r="AC48" s="14"/>
    </row>
    <row r="49" spans="1:29" s="1" customFormat="1" ht="40.15" customHeight="1" x14ac:dyDescent="0.25">
      <c r="A49" s="7"/>
      <c r="B49" s="21" t="s">
        <v>82</v>
      </c>
      <c r="C49" s="17" t="s">
        <v>5</v>
      </c>
      <c r="D49" s="74">
        <v>46146</v>
      </c>
      <c r="E49" s="18">
        <f t="shared" si="2"/>
        <v>0.17391304347826086</v>
      </c>
      <c r="F49" s="17"/>
      <c r="G49" s="14"/>
      <c r="H49" s="14"/>
      <c r="I49" s="14"/>
      <c r="J49" s="62">
        <v>1</v>
      </c>
      <c r="K49" s="62">
        <v>1</v>
      </c>
      <c r="L49" s="14"/>
      <c r="M49" s="62">
        <v>1</v>
      </c>
      <c r="N49" s="14"/>
      <c r="O49" s="62">
        <v>1</v>
      </c>
      <c r="P49" s="14"/>
      <c r="Q49" s="14"/>
      <c r="R49" s="14"/>
      <c r="S49" s="14"/>
      <c r="T49" s="14"/>
      <c r="U49" s="14"/>
      <c r="V49" s="14"/>
      <c r="W49" s="14"/>
      <c r="X49" s="14"/>
      <c r="Y49" s="14"/>
      <c r="Z49" s="14"/>
      <c r="AA49" s="14"/>
      <c r="AB49" s="63"/>
      <c r="AC49" s="14"/>
    </row>
    <row r="50" spans="1:29" s="1" customFormat="1" ht="40.15" customHeight="1" x14ac:dyDescent="0.25">
      <c r="A50" s="7"/>
      <c r="B50" s="21" t="s">
        <v>83</v>
      </c>
      <c r="C50" s="17" t="s">
        <v>5</v>
      </c>
      <c r="D50" s="74">
        <v>46146</v>
      </c>
      <c r="E50" s="18">
        <f t="shared" si="2"/>
        <v>0.17391304347826086</v>
      </c>
      <c r="F50" s="17"/>
      <c r="G50" s="14"/>
      <c r="H50" s="14"/>
      <c r="I50" s="14"/>
      <c r="J50" s="62">
        <v>1</v>
      </c>
      <c r="K50" s="62">
        <v>1</v>
      </c>
      <c r="L50" s="14"/>
      <c r="M50" s="62">
        <v>1</v>
      </c>
      <c r="N50" s="14"/>
      <c r="O50" s="62">
        <v>1</v>
      </c>
      <c r="P50" s="14"/>
      <c r="Q50" s="14"/>
      <c r="R50" s="14"/>
      <c r="S50" s="14"/>
      <c r="T50" s="14"/>
      <c r="U50" s="14"/>
      <c r="V50" s="14"/>
      <c r="W50" s="14"/>
      <c r="X50" s="14"/>
      <c r="Y50" s="14"/>
      <c r="Z50" s="14"/>
      <c r="AA50" s="14"/>
      <c r="AB50" s="63"/>
      <c r="AC50" s="14"/>
    </row>
    <row r="51" spans="1:29" s="1" customFormat="1" ht="40.15" customHeight="1" x14ac:dyDescent="0.25">
      <c r="A51" s="7"/>
      <c r="B51" s="21" t="s">
        <v>84</v>
      </c>
      <c r="C51" s="17" t="s">
        <v>5</v>
      </c>
      <c r="D51" s="74">
        <v>46146</v>
      </c>
      <c r="E51" s="18">
        <f t="shared" si="2"/>
        <v>0.17391304347826086</v>
      </c>
      <c r="F51" s="17"/>
      <c r="G51" s="14"/>
      <c r="H51" s="14"/>
      <c r="I51" s="14"/>
      <c r="J51" s="62">
        <v>1</v>
      </c>
      <c r="K51" s="62">
        <v>1</v>
      </c>
      <c r="L51" s="14"/>
      <c r="M51" s="62">
        <v>1</v>
      </c>
      <c r="N51" s="14"/>
      <c r="O51" s="62">
        <v>1</v>
      </c>
      <c r="P51" s="14"/>
      <c r="Q51" s="14"/>
      <c r="R51" s="14"/>
      <c r="S51" s="14"/>
      <c r="T51" s="14"/>
      <c r="U51" s="14"/>
      <c r="V51" s="14"/>
      <c r="W51" s="14"/>
      <c r="X51" s="14"/>
      <c r="Y51" s="14"/>
      <c r="Z51" s="14"/>
      <c r="AA51" s="14"/>
      <c r="AB51" s="63"/>
      <c r="AC51" s="14"/>
    </row>
    <row r="52" spans="1:29" s="1" customFormat="1" ht="40.15" customHeight="1" x14ac:dyDescent="0.25">
      <c r="A52" s="7"/>
      <c r="B52" s="21" t="s">
        <v>85</v>
      </c>
      <c r="C52" s="17" t="s">
        <v>5</v>
      </c>
      <c r="D52" s="74">
        <v>46146</v>
      </c>
      <c r="E52" s="18">
        <f t="shared" si="2"/>
        <v>0.17391304347826086</v>
      </c>
      <c r="F52" s="17"/>
      <c r="G52" s="14"/>
      <c r="H52" s="14"/>
      <c r="I52" s="14"/>
      <c r="J52" s="62">
        <v>1</v>
      </c>
      <c r="K52" s="62">
        <v>1</v>
      </c>
      <c r="L52" s="14"/>
      <c r="M52" s="62">
        <v>1</v>
      </c>
      <c r="N52" s="14"/>
      <c r="O52" s="62">
        <v>1</v>
      </c>
      <c r="P52" s="14"/>
      <c r="Q52" s="14"/>
      <c r="R52" s="14"/>
      <c r="S52" s="14"/>
      <c r="T52" s="14"/>
      <c r="U52" s="14"/>
      <c r="V52" s="14"/>
      <c r="W52" s="14"/>
      <c r="X52" s="14"/>
      <c r="Y52" s="14"/>
      <c r="Z52" s="14"/>
      <c r="AA52" s="14"/>
      <c r="AB52" s="63"/>
      <c r="AC52" s="14"/>
    </row>
    <row r="53" spans="1:29" s="1" customFormat="1" ht="40.15" customHeight="1" x14ac:dyDescent="0.25">
      <c r="A53" s="7"/>
      <c r="B53" s="21" t="s">
        <v>86</v>
      </c>
      <c r="C53" s="17" t="s">
        <v>5</v>
      </c>
      <c r="D53" s="74">
        <v>46146</v>
      </c>
      <c r="E53" s="18">
        <f t="shared" si="2"/>
        <v>0.17391304347826086</v>
      </c>
      <c r="F53" s="17"/>
      <c r="G53" s="14"/>
      <c r="H53" s="14"/>
      <c r="I53" s="14"/>
      <c r="J53" s="62">
        <v>1</v>
      </c>
      <c r="K53" s="62">
        <v>1</v>
      </c>
      <c r="L53" s="14"/>
      <c r="M53" s="62">
        <v>1</v>
      </c>
      <c r="N53" s="14"/>
      <c r="O53" s="62">
        <v>1</v>
      </c>
      <c r="P53" s="14"/>
      <c r="Q53" s="14"/>
      <c r="R53" s="14"/>
      <c r="S53" s="14"/>
      <c r="T53" s="14"/>
      <c r="U53" s="14"/>
      <c r="V53" s="14"/>
      <c r="W53" s="14"/>
      <c r="X53" s="14"/>
      <c r="Y53" s="14"/>
      <c r="Z53" s="14"/>
      <c r="AA53" s="14"/>
      <c r="AB53" s="63"/>
      <c r="AC53" s="14"/>
    </row>
    <row r="54" spans="1:29" s="1" customFormat="1" ht="40.15" customHeight="1" x14ac:dyDescent="0.25">
      <c r="A54" s="7"/>
      <c r="B54" s="21" t="s">
        <v>87</v>
      </c>
      <c r="C54" s="17" t="s">
        <v>5</v>
      </c>
      <c r="D54" s="74">
        <v>46146</v>
      </c>
      <c r="E54" s="18">
        <f t="shared" si="2"/>
        <v>0.17391304347826086</v>
      </c>
      <c r="F54" s="17"/>
      <c r="G54" s="14"/>
      <c r="H54" s="14"/>
      <c r="I54" s="14"/>
      <c r="J54" s="62">
        <v>1</v>
      </c>
      <c r="K54" s="62">
        <v>1</v>
      </c>
      <c r="L54" s="14"/>
      <c r="M54" s="62">
        <v>1</v>
      </c>
      <c r="N54" s="14"/>
      <c r="O54" s="62">
        <v>1</v>
      </c>
      <c r="P54" s="14"/>
      <c r="Q54" s="14"/>
      <c r="R54" s="14"/>
      <c r="S54" s="14"/>
      <c r="T54" s="14"/>
      <c r="U54" s="14"/>
      <c r="V54" s="14"/>
      <c r="W54" s="14"/>
      <c r="X54" s="14"/>
      <c r="Y54" s="14"/>
      <c r="Z54" s="14"/>
      <c r="AA54" s="14"/>
      <c r="AB54" s="63"/>
      <c r="AC54" s="14"/>
    </row>
    <row r="55" spans="1:29" s="1" customFormat="1" ht="40.15" customHeight="1" x14ac:dyDescent="0.25">
      <c r="A55" s="7"/>
      <c r="B55" s="21" t="s">
        <v>88</v>
      </c>
      <c r="C55" s="17" t="s">
        <v>5</v>
      </c>
      <c r="D55" s="74">
        <v>46146</v>
      </c>
      <c r="E55" s="18">
        <f t="shared" si="2"/>
        <v>0.17391304347826086</v>
      </c>
      <c r="F55" s="17"/>
      <c r="G55" s="14"/>
      <c r="H55" s="14"/>
      <c r="I55" s="14"/>
      <c r="J55" s="62">
        <v>1</v>
      </c>
      <c r="K55" s="62">
        <v>1</v>
      </c>
      <c r="L55" s="14"/>
      <c r="M55" s="62">
        <v>1</v>
      </c>
      <c r="N55" s="14"/>
      <c r="O55" s="62">
        <v>1</v>
      </c>
      <c r="P55" s="14"/>
      <c r="Q55" s="14"/>
      <c r="R55" s="14"/>
      <c r="S55" s="14"/>
      <c r="T55" s="14"/>
      <c r="U55" s="14"/>
      <c r="V55" s="14"/>
      <c r="W55" s="14"/>
      <c r="X55" s="14"/>
      <c r="Y55" s="14"/>
      <c r="Z55" s="14"/>
      <c r="AA55" s="14"/>
      <c r="AB55" s="63"/>
      <c r="AC55" s="14"/>
    </row>
    <row r="56" spans="1:29" s="1" customFormat="1" ht="40.15" customHeight="1" x14ac:dyDescent="0.25">
      <c r="A56" s="7"/>
      <c r="B56" s="21" t="s">
        <v>89</v>
      </c>
      <c r="C56" s="17" t="s">
        <v>5</v>
      </c>
      <c r="D56" s="74">
        <v>46146</v>
      </c>
      <c r="E56" s="18">
        <f t="shared" si="2"/>
        <v>0.17391304347826086</v>
      </c>
      <c r="F56" s="17"/>
      <c r="G56" s="14"/>
      <c r="H56" s="14"/>
      <c r="I56" s="14"/>
      <c r="J56" s="62">
        <v>1</v>
      </c>
      <c r="K56" s="62">
        <v>1</v>
      </c>
      <c r="L56" s="14"/>
      <c r="M56" s="62">
        <v>1</v>
      </c>
      <c r="N56" s="14"/>
      <c r="O56" s="62">
        <v>1</v>
      </c>
      <c r="P56" s="14"/>
      <c r="Q56" s="14"/>
      <c r="R56" s="14"/>
      <c r="S56" s="14"/>
      <c r="T56" s="14"/>
      <c r="U56" s="14"/>
      <c r="V56" s="14"/>
      <c r="W56" s="14"/>
      <c r="X56" s="14"/>
      <c r="Y56" s="14"/>
      <c r="Z56" s="14"/>
      <c r="AA56" s="14"/>
      <c r="AB56" s="63"/>
      <c r="AC56" s="14"/>
    </row>
    <row r="57" spans="1:29" s="1" customFormat="1" ht="40.15" customHeight="1" x14ac:dyDescent="0.25">
      <c r="A57" s="7"/>
      <c r="B57" s="21" t="s">
        <v>90</v>
      </c>
      <c r="C57" s="17" t="s">
        <v>5</v>
      </c>
      <c r="D57" s="74">
        <v>46146</v>
      </c>
      <c r="E57" s="18">
        <f t="shared" si="2"/>
        <v>0.17391304347826086</v>
      </c>
      <c r="F57" s="17"/>
      <c r="G57" s="14"/>
      <c r="H57" s="14"/>
      <c r="I57" s="14"/>
      <c r="J57" s="62">
        <v>1</v>
      </c>
      <c r="K57" s="62">
        <v>1</v>
      </c>
      <c r="L57" s="14"/>
      <c r="M57" s="62">
        <v>1</v>
      </c>
      <c r="N57" s="14"/>
      <c r="O57" s="62">
        <v>1</v>
      </c>
      <c r="P57" s="14"/>
      <c r="Q57" s="14"/>
      <c r="R57" s="14"/>
      <c r="S57" s="14"/>
      <c r="T57" s="14"/>
      <c r="U57" s="14"/>
      <c r="V57" s="14"/>
      <c r="W57" s="14"/>
      <c r="X57" s="14"/>
      <c r="Y57" s="14"/>
      <c r="Z57" s="14"/>
      <c r="AA57" s="14"/>
      <c r="AB57" s="63"/>
      <c r="AC57" s="14"/>
    </row>
    <row r="58" spans="1:29" s="1" customFormat="1" ht="40.15" customHeight="1" thickBot="1" x14ac:dyDescent="0.3">
      <c r="A58" s="67"/>
      <c r="B58" s="68" t="s">
        <v>91</v>
      </c>
      <c r="C58" s="69" t="s">
        <v>5</v>
      </c>
      <c r="D58" s="86">
        <v>46146</v>
      </c>
      <c r="E58" s="70">
        <f t="shared" si="2"/>
        <v>0.17391304347826086</v>
      </c>
      <c r="F58" s="72"/>
      <c r="G58" s="89"/>
      <c r="H58" s="89"/>
      <c r="I58" s="89"/>
      <c r="J58" s="88">
        <v>1</v>
      </c>
      <c r="K58" s="88">
        <v>1</v>
      </c>
      <c r="L58" s="89"/>
      <c r="M58" s="88">
        <v>1</v>
      </c>
      <c r="N58" s="89"/>
      <c r="O58" s="88">
        <v>1</v>
      </c>
      <c r="P58" s="89"/>
      <c r="Q58" s="89"/>
      <c r="R58" s="89"/>
      <c r="S58" s="89"/>
      <c r="T58" s="89"/>
      <c r="U58" s="89"/>
      <c r="V58" s="89"/>
      <c r="W58" s="89"/>
      <c r="X58" s="89"/>
      <c r="Y58" s="89"/>
      <c r="Z58" s="89"/>
      <c r="AA58" s="89"/>
      <c r="AB58" s="91"/>
      <c r="AC58" s="89"/>
    </row>
    <row r="59" spans="1:29" s="1" customFormat="1" ht="40.15" customHeight="1" x14ac:dyDescent="0.25">
      <c r="A59" s="7"/>
      <c r="B59" s="21" t="s">
        <v>92</v>
      </c>
      <c r="C59" s="17" t="s">
        <v>5</v>
      </c>
      <c r="D59" s="74">
        <v>46230</v>
      </c>
      <c r="E59" s="18">
        <f t="shared" si="2"/>
        <v>0.17391304347826086</v>
      </c>
      <c r="F59" s="17"/>
      <c r="G59" s="87"/>
      <c r="H59" s="87"/>
      <c r="I59" s="87"/>
      <c r="J59" s="62">
        <v>1</v>
      </c>
      <c r="K59" s="62">
        <v>1</v>
      </c>
      <c r="L59" s="87"/>
      <c r="M59" s="62">
        <v>1</v>
      </c>
      <c r="N59" s="87"/>
      <c r="O59" s="62">
        <v>1</v>
      </c>
      <c r="P59" s="87"/>
      <c r="Q59" s="87"/>
      <c r="R59" s="87"/>
      <c r="S59" s="87"/>
      <c r="T59" s="87"/>
      <c r="U59" s="87"/>
      <c r="V59" s="87"/>
      <c r="W59" s="87"/>
      <c r="X59" s="87"/>
      <c r="Y59" s="87"/>
      <c r="Z59" s="87"/>
      <c r="AA59" s="87"/>
      <c r="AB59" s="87"/>
      <c r="AC59" s="87"/>
    </row>
    <row r="60" spans="1:29" s="1" customFormat="1" ht="40.15" customHeight="1" x14ac:dyDescent="0.25">
      <c r="A60" s="7"/>
      <c r="B60" s="21" t="s">
        <v>93</v>
      </c>
      <c r="C60" s="17" t="s">
        <v>5</v>
      </c>
      <c r="D60" s="74">
        <v>46230</v>
      </c>
      <c r="E60" s="18">
        <f t="shared" si="2"/>
        <v>0.17391304347826086</v>
      </c>
      <c r="F60" s="17"/>
      <c r="G60" s="14"/>
      <c r="H60" s="14"/>
      <c r="I60" s="14"/>
      <c r="J60" s="62">
        <v>1</v>
      </c>
      <c r="K60" s="62">
        <v>1</v>
      </c>
      <c r="L60" s="14"/>
      <c r="M60" s="62">
        <v>1</v>
      </c>
      <c r="N60" s="14"/>
      <c r="O60" s="62">
        <v>1</v>
      </c>
      <c r="P60" s="14"/>
      <c r="Q60" s="14"/>
      <c r="R60" s="14"/>
      <c r="S60" s="14"/>
      <c r="T60" s="14"/>
      <c r="U60" s="14"/>
      <c r="V60" s="14"/>
      <c r="W60" s="14"/>
      <c r="X60" s="14"/>
      <c r="Y60" s="14"/>
      <c r="Z60" s="14"/>
      <c r="AA60" s="14"/>
      <c r="AB60" s="14"/>
      <c r="AC60" s="14"/>
    </row>
    <row r="61" spans="1:29" s="1" customFormat="1" ht="40.15" customHeight="1" x14ac:dyDescent="0.25">
      <c r="A61" s="7"/>
      <c r="B61" s="21" t="s">
        <v>94</v>
      </c>
      <c r="C61" s="17" t="s">
        <v>5</v>
      </c>
      <c r="D61" s="74">
        <v>46230</v>
      </c>
      <c r="E61" s="18">
        <f t="shared" si="2"/>
        <v>0.17391304347826086</v>
      </c>
      <c r="F61" s="17"/>
      <c r="G61" s="14"/>
      <c r="H61" s="14"/>
      <c r="I61" s="14"/>
      <c r="J61" s="62">
        <v>1</v>
      </c>
      <c r="K61" s="62">
        <v>1</v>
      </c>
      <c r="L61" s="14"/>
      <c r="M61" s="62">
        <v>1</v>
      </c>
      <c r="N61" s="14"/>
      <c r="O61" s="62">
        <v>1</v>
      </c>
      <c r="P61" s="14"/>
      <c r="Q61" s="14"/>
      <c r="R61" s="14"/>
      <c r="S61" s="14"/>
      <c r="T61" s="14"/>
      <c r="U61" s="14"/>
      <c r="V61" s="14"/>
      <c r="W61" s="14"/>
      <c r="X61" s="14"/>
      <c r="Y61" s="14"/>
      <c r="Z61" s="14"/>
      <c r="AA61" s="14"/>
      <c r="AB61" s="14"/>
      <c r="AC61" s="14"/>
    </row>
    <row r="62" spans="1:29" s="1" customFormat="1" ht="40.15" customHeight="1" x14ac:dyDescent="0.25">
      <c r="A62" s="7"/>
      <c r="B62" s="21" t="s">
        <v>95</v>
      </c>
      <c r="C62" s="17" t="s">
        <v>5</v>
      </c>
      <c r="D62" s="74">
        <v>46230</v>
      </c>
      <c r="E62" s="18">
        <f t="shared" si="2"/>
        <v>0.17391304347826086</v>
      </c>
      <c r="F62" s="17"/>
      <c r="G62" s="14"/>
      <c r="H62" s="14"/>
      <c r="I62" s="14"/>
      <c r="J62" s="62">
        <v>1</v>
      </c>
      <c r="K62" s="62">
        <v>1</v>
      </c>
      <c r="L62" s="14"/>
      <c r="M62" s="62">
        <v>1</v>
      </c>
      <c r="N62" s="14"/>
      <c r="O62" s="62">
        <v>1</v>
      </c>
      <c r="P62" s="14"/>
      <c r="Q62" s="14"/>
      <c r="R62" s="14"/>
      <c r="S62" s="14"/>
      <c r="T62" s="14"/>
      <c r="U62" s="14"/>
      <c r="V62" s="14"/>
      <c r="W62" s="14"/>
      <c r="X62" s="14"/>
      <c r="Y62" s="14"/>
      <c r="Z62" s="14"/>
      <c r="AA62" s="14"/>
      <c r="AB62" s="14"/>
      <c r="AC62" s="14"/>
    </row>
    <row r="63" spans="1:29" s="1" customFormat="1" ht="40.15" customHeight="1" x14ac:dyDescent="0.25">
      <c r="A63" s="7"/>
      <c r="B63" s="21" t="s">
        <v>96</v>
      </c>
      <c r="C63" s="17" t="s">
        <v>5</v>
      </c>
      <c r="D63" s="74">
        <v>46230</v>
      </c>
      <c r="E63" s="18">
        <f t="shared" si="2"/>
        <v>0.17391304347826086</v>
      </c>
      <c r="F63" s="17"/>
      <c r="G63" s="14"/>
      <c r="H63" s="14"/>
      <c r="I63" s="14"/>
      <c r="J63" s="62">
        <v>1</v>
      </c>
      <c r="K63" s="62">
        <v>1</v>
      </c>
      <c r="L63" s="14"/>
      <c r="M63" s="62">
        <v>1</v>
      </c>
      <c r="N63" s="14"/>
      <c r="O63" s="62">
        <v>1</v>
      </c>
      <c r="P63" s="14"/>
      <c r="Q63" s="14"/>
      <c r="R63" s="14"/>
      <c r="S63" s="14"/>
      <c r="T63" s="14"/>
      <c r="U63" s="14"/>
      <c r="V63" s="14"/>
      <c r="W63" s="14"/>
      <c r="X63" s="14"/>
      <c r="Y63" s="14"/>
      <c r="Z63" s="14"/>
      <c r="AA63" s="14"/>
      <c r="AB63" s="14"/>
      <c r="AC63" s="14"/>
    </row>
    <row r="64" spans="1:29" s="1" customFormat="1" ht="40.15" customHeight="1" x14ac:dyDescent="0.25">
      <c r="A64" s="7"/>
      <c r="B64" s="21" t="s">
        <v>97</v>
      </c>
      <c r="C64" s="17" t="s">
        <v>5</v>
      </c>
      <c r="D64" s="74">
        <v>46230</v>
      </c>
      <c r="E64" s="18">
        <f t="shared" si="2"/>
        <v>0.17391304347826086</v>
      </c>
      <c r="F64" s="17"/>
      <c r="G64" s="14"/>
      <c r="H64" s="14"/>
      <c r="I64" s="14"/>
      <c r="J64" s="62">
        <v>1</v>
      </c>
      <c r="K64" s="62">
        <v>1</v>
      </c>
      <c r="L64" s="14"/>
      <c r="M64" s="62">
        <v>1</v>
      </c>
      <c r="N64" s="14"/>
      <c r="O64" s="62">
        <v>1</v>
      </c>
      <c r="P64" s="14"/>
      <c r="Q64" s="14"/>
      <c r="R64" s="14"/>
      <c r="S64" s="14"/>
      <c r="T64" s="14"/>
      <c r="U64" s="14"/>
      <c r="V64" s="14"/>
      <c r="W64" s="14"/>
      <c r="X64" s="14"/>
      <c r="Y64" s="14"/>
      <c r="Z64" s="14"/>
      <c r="AA64" s="14"/>
      <c r="AB64" s="14"/>
      <c r="AC64" s="14"/>
    </row>
    <row r="65" spans="1:29" s="1" customFormat="1" ht="40.15" customHeight="1" x14ac:dyDescent="0.25">
      <c r="A65" s="7"/>
      <c r="B65" s="21" t="s">
        <v>98</v>
      </c>
      <c r="C65" s="17" t="s">
        <v>5</v>
      </c>
      <c r="D65" s="74">
        <v>46230</v>
      </c>
      <c r="E65" s="18">
        <f t="shared" si="2"/>
        <v>0.17391304347826086</v>
      </c>
      <c r="F65" s="17"/>
      <c r="G65" s="14"/>
      <c r="H65" s="14"/>
      <c r="I65" s="14"/>
      <c r="J65" s="62">
        <v>1</v>
      </c>
      <c r="K65" s="62">
        <v>1</v>
      </c>
      <c r="L65" s="14"/>
      <c r="M65" s="62">
        <v>1</v>
      </c>
      <c r="N65" s="14"/>
      <c r="O65" s="62">
        <v>1</v>
      </c>
      <c r="P65" s="14"/>
      <c r="Q65" s="14"/>
      <c r="R65" s="14"/>
      <c r="S65" s="14"/>
      <c r="T65" s="14"/>
      <c r="U65" s="14"/>
      <c r="V65" s="14"/>
      <c r="W65" s="14"/>
      <c r="X65" s="14"/>
      <c r="Y65" s="14"/>
      <c r="Z65" s="14"/>
      <c r="AA65" s="14"/>
      <c r="AB65" s="14"/>
      <c r="AC65" s="14"/>
    </row>
    <row r="66" spans="1:29" s="1" customFormat="1" ht="40.15" customHeight="1" x14ac:dyDescent="0.25">
      <c r="A66" s="7"/>
      <c r="B66" s="21" t="s">
        <v>99</v>
      </c>
      <c r="C66" s="17" t="s">
        <v>5</v>
      </c>
      <c r="D66" s="74">
        <v>46230</v>
      </c>
      <c r="E66" s="18">
        <f t="shared" si="2"/>
        <v>0.17391304347826086</v>
      </c>
      <c r="F66" s="17"/>
      <c r="G66" s="14"/>
      <c r="H66" s="14"/>
      <c r="I66" s="14"/>
      <c r="J66" s="62">
        <v>1</v>
      </c>
      <c r="K66" s="62">
        <v>1</v>
      </c>
      <c r="L66" s="14"/>
      <c r="M66" s="62">
        <v>1</v>
      </c>
      <c r="N66" s="14"/>
      <c r="O66" s="62">
        <v>1</v>
      </c>
      <c r="P66" s="14"/>
      <c r="Q66" s="14"/>
      <c r="R66" s="14"/>
      <c r="S66" s="14"/>
      <c r="T66" s="14"/>
      <c r="U66" s="14"/>
      <c r="V66" s="14"/>
      <c r="W66" s="14"/>
      <c r="X66" s="14"/>
      <c r="Y66" s="14"/>
      <c r="Z66" s="14"/>
      <c r="AA66" s="14"/>
      <c r="AB66" s="14"/>
      <c r="AC66" s="14"/>
    </row>
    <row r="67" spans="1:29" s="1" customFormat="1" ht="40.15" customHeight="1" x14ac:dyDescent="0.25">
      <c r="A67" s="7"/>
      <c r="B67" s="21" t="s">
        <v>100</v>
      </c>
      <c r="C67" s="17" t="s">
        <v>5</v>
      </c>
      <c r="D67" s="74">
        <v>46230</v>
      </c>
      <c r="E67" s="18">
        <f t="shared" si="2"/>
        <v>0.17391304347826086</v>
      </c>
      <c r="F67" s="17"/>
      <c r="G67" s="14"/>
      <c r="H67" s="14"/>
      <c r="I67" s="14"/>
      <c r="J67" s="62">
        <v>1</v>
      </c>
      <c r="K67" s="62">
        <v>1</v>
      </c>
      <c r="L67" s="14"/>
      <c r="M67" s="62">
        <v>1</v>
      </c>
      <c r="N67" s="14"/>
      <c r="O67" s="62">
        <v>1</v>
      </c>
      <c r="P67" s="14"/>
      <c r="Q67" s="14"/>
      <c r="R67" s="14"/>
      <c r="S67" s="14"/>
      <c r="T67" s="14"/>
      <c r="U67" s="14"/>
      <c r="V67" s="14"/>
      <c r="W67" s="14"/>
      <c r="X67" s="14"/>
      <c r="Y67" s="14"/>
      <c r="Z67" s="14"/>
      <c r="AA67" s="14"/>
      <c r="AB67" s="14"/>
      <c r="AC67" s="14"/>
    </row>
    <row r="68" spans="1:29" s="1" customFormat="1" ht="40.15" customHeight="1" x14ac:dyDescent="0.25">
      <c r="A68" s="7"/>
      <c r="B68" s="21" t="s">
        <v>101</v>
      </c>
      <c r="C68" s="17" t="s">
        <v>5</v>
      </c>
      <c r="D68" s="74">
        <v>46230</v>
      </c>
      <c r="E68" s="18">
        <f t="shared" si="2"/>
        <v>0.13043478260869565</v>
      </c>
      <c r="F68" s="17"/>
      <c r="G68" s="14"/>
      <c r="H68" s="14"/>
      <c r="I68" s="14"/>
      <c r="J68" s="62">
        <v>1</v>
      </c>
      <c r="K68" s="62">
        <v>1</v>
      </c>
      <c r="L68" s="14"/>
      <c r="M68" s="62">
        <v>1</v>
      </c>
      <c r="N68" s="14"/>
      <c r="O68" s="14"/>
      <c r="P68" s="14"/>
      <c r="Q68" s="14"/>
      <c r="R68" s="14"/>
      <c r="S68" s="14"/>
      <c r="T68" s="14"/>
      <c r="U68" s="14"/>
      <c r="V68" s="14"/>
      <c r="W68" s="14"/>
      <c r="X68" s="14"/>
      <c r="Y68" s="14"/>
      <c r="Z68" s="14"/>
      <c r="AA68" s="14"/>
      <c r="AB68" s="14"/>
      <c r="AC68" s="14"/>
    </row>
    <row r="69" spans="1:29" s="1" customFormat="1" ht="40.15" customHeight="1" x14ac:dyDescent="0.25">
      <c r="A69" s="7"/>
      <c r="B69" s="21" t="s">
        <v>102</v>
      </c>
      <c r="C69" s="17" t="s">
        <v>5</v>
      </c>
      <c r="D69" s="74">
        <v>46230</v>
      </c>
      <c r="E69" s="18">
        <f t="shared" si="2"/>
        <v>0.13043478260869565</v>
      </c>
      <c r="F69" s="17"/>
      <c r="G69" s="14"/>
      <c r="H69" s="14"/>
      <c r="I69" s="14"/>
      <c r="J69" s="62">
        <v>1</v>
      </c>
      <c r="K69" s="62">
        <v>1</v>
      </c>
      <c r="L69" s="14"/>
      <c r="M69" s="62">
        <v>1</v>
      </c>
      <c r="N69" s="14"/>
      <c r="O69" s="14"/>
      <c r="P69" s="14"/>
      <c r="Q69" s="14"/>
      <c r="R69" s="14"/>
      <c r="S69" s="14"/>
      <c r="T69" s="14"/>
      <c r="U69" s="14"/>
      <c r="V69" s="14"/>
      <c r="W69" s="14"/>
      <c r="X69" s="14"/>
      <c r="Y69" s="14"/>
      <c r="Z69" s="14"/>
      <c r="AA69" s="14"/>
      <c r="AB69" s="14"/>
      <c r="AC69" s="14"/>
    </row>
    <row r="70" spans="1:29" s="1" customFormat="1" ht="40.15" customHeight="1" x14ac:dyDescent="0.25">
      <c r="A70" s="7"/>
      <c r="B70" s="21" t="s">
        <v>103</v>
      </c>
      <c r="C70" s="17" t="s">
        <v>5</v>
      </c>
      <c r="D70" s="74">
        <v>46230</v>
      </c>
      <c r="E70" s="18">
        <f t="shared" si="2"/>
        <v>0.13043478260869565</v>
      </c>
      <c r="F70" s="17"/>
      <c r="G70" s="14"/>
      <c r="H70" s="14"/>
      <c r="I70" s="14"/>
      <c r="J70" s="62">
        <v>1</v>
      </c>
      <c r="K70" s="62">
        <v>1</v>
      </c>
      <c r="L70" s="14"/>
      <c r="M70" s="62">
        <v>1</v>
      </c>
      <c r="N70" s="14"/>
      <c r="O70" s="14"/>
      <c r="P70" s="14"/>
      <c r="Q70" s="14"/>
      <c r="R70" s="14"/>
      <c r="S70" s="14"/>
      <c r="T70" s="14"/>
      <c r="U70" s="14"/>
      <c r="V70" s="14"/>
      <c r="W70" s="14"/>
      <c r="X70" s="14"/>
      <c r="Y70" s="14"/>
      <c r="Z70" s="14"/>
      <c r="AA70" s="14"/>
      <c r="AB70" s="14"/>
      <c r="AC70" s="14"/>
    </row>
    <row r="71" spans="1:29" s="1" customFormat="1" ht="40.15" customHeight="1" x14ac:dyDescent="0.25">
      <c r="A71" s="7"/>
      <c r="B71" s="21" t="s">
        <v>104</v>
      </c>
      <c r="C71" s="17" t="s">
        <v>5</v>
      </c>
      <c r="D71" s="74">
        <v>46230</v>
      </c>
      <c r="E71" s="18">
        <f t="shared" si="2"/>
        <v>0.13043478260869565</v>
      </c>
      <c r="F71" s="17"/>
      <c r="G71" s="14"/>
      <c r="H71" s="14"/>
      <c r="I71" s="14"/>
      <c r="J71" s="62">
        <v>1</v>
      </c>
      <c r="K71" s="62">
        <v>1</v>
      </c>
      <c r="L71" s="14"/>
      <c r="M71" s="62">
        <v>1</v>
      </c>
      <c r="N71" s="14"/>
      <c r="O71" s="14"/>
      <c r="P71" s="14"/>
      <c r="Q71" s="14"/>
      <c r="R71" s="14"/>
      <c r="S71" s="14"/>
      <c r="T71" s="14"/>
      <c r="U71" s="14"/>
      <c r="V71" s="14"/>
      <c r="W71" s="14"/>
      <c r="X71" s="14"/>
      <c r="Y71" s="14"/>
      <c r="Z71" s="14"/>
      <c r="AA71" s="14"/>
      <c r="AB71" s="14"/>
      <c r="AC71" s="14"/>
    </row>
    <row r="72" spans="1:29" s="1" customFormat="1" ht="40.15" customHeight="1" x14ac:dyDescent="0.25">
      <c r="A72" s="7"/>
      <c r="B72" s="21" t="s">
        <v>105</v>
      </c>
      <c r="C72" s="17" t="s">
        <v>5</v>
      </c>
      <c r="D72" s="74">
        <v>46230</v>
      </c>
      <c r="E72" s="18">
        <f t="shared" si="2"/>
        <v>0.13043478260869565</v>
      </c>
      <c r="F72" s="17"/>
      <c r="G72" s="14"/>
      <c r="H72" s="14"/>
      <c r="I72" s="14"/>
      <c r="J72" s="62">
        <v>1</v>
      </c>
      <c r="K72" s="62">
        <v>1</v>
      </c>
      <c r="L72" s="14"/>
      <c r="M72" s="62">
        <v>1</v>
      </c>
      <c r="N72" s="14"/>
      <c r="O72" s="14"/>
      <c r="P72" s="14"/>
      <c r="Q72" s="14"/>
      <c r="R72" s="14"/>
      <c r="S72" s="14"/>
      <c r="T72" s="14"/>
      <c r="U72" s="14"/>
      <c r="V72" s="14"/>
      <c r="W72" s="14"/>
      <c r="X72" s="14"/>
      <c r="Y72" s="14"/>
      <c r="Z72" s="14"/>
      <c r="AA72" s="14"/>
      <c r="AB72" s="14"/>
      <c r="AC72" s="14"/>
    </row>
    <row r="73" spans="1:29" s="1" customFormat="1" ht="40.15" customHeight="1" x14ac:dyDescent="0.25">
      <c r="A73" s="7"/>
      <c r="B73" s="21" t="s">
        <v>106</v>
      </c>
      <c r="C73" s="17" t="s">
        <v>5</v>
      </c>
      <c r="D73" s="74">
        <v>46230</v>
      </c>
      <c r="E73" s="18">
        <f t="shared" si="2"/>
        <v>0.13043478260869565</v>
      </c>
      <c r="F73" s="17"/>
      <c r="G73" s="14"/>
      <c r="H73" s="14"/>
      <c r="I73" s="14"/>
      <c r="J73" s="62">
        <v>1</v>
      </c>
      <c r="K73" s="62">
        <v>1</v>
      </c>
      <c r="L73" s="14"/>
      <c r="M73" s="62">
        <v>1</v>
      </c>
      <c r="N73" s="14"/>
      <c r="O73" s="14"/>
      <c r="P73" s="14"/>
      <c r="Q73" s="14"/>
      <c r="R73" s="14"/>
      <c r="S73" s="14"/>
      <c r="T73" s="14"/>
      <c r="U73" s="14"/>
      <c r="V73" s="14"/>
      <c r="W73" s="14"/>
      <c r="X73" s="14"/>
      <c r="Y73" s="14"/>
      <c r="Z73" s="14"/>
      <c r="AA73" s="14"/>
      <c r="AB73" s="14"/>
      <c r="AC73" s="14"/>
    </row>
    <row r="74" spans="1:29" s="1" customFormat="1" ht="40.15" customHeight="1" x14ac:dyDescent="0.25">
      <c r="A74" s="7"/>
      <c r="B74" s="21" t="s">
        <v>107</v>
      </c>
      <c r="C74" s="17" t="s">
        <v>5</v>
      </c>
      <c r="D74" s="74">
        <v>46230</v>
      </c>
      <c r="E74" s="18">
        <f t="shared" si="2"/>
        <v>0.13043478260869565</v>
      </c>
      <c r="F74" s="17"/>
      <c r="G74" s="14"/>
      <c r="H74" s="14"/>
      <c r="I74" s="14"/>
      <c r="J74" s="62">
        <v>1</v>
      </c>
      <c r="K74" s="62">
        <v>1</v>
      </c>
      <c r="L74" s="14"/>
      <c r="M74" s="62">
        <v>1</v>
      </c>
      <c r="N74" s="14"/>
      <c r="O74" s="14"/>
      <c r="P74" s="14"/>
      <c r="Q74" s="14"/>
      <c r="R74" s="14"/>
      <c r="S74" s="14"/>
      <c r="T74" s="14"/>
      <c r="U74" s="14"/>
      <c r="V74" s="14"/>
      <c r="W74" s="14"/>
      <c r="X74" s="14"/>
      <c r="Y74" s="14"/>
      <c r="Z74" s="14"/>
      <c r="AA74" s="14"/>
      <c r="AB74" s="14"/>
      <c r="AC74" s="14"/>
    </row>
    <row r="75" spans="1:29" s="1" customFormat="1" ht="40.15" customHeight="1" x14ac:dyDescent="0.25">
      <c r="A75" s="7"/>
      <c r="B75" s="21" t="s">
        <v>108</v>
      </c>
      <c r="C75" s="17" t="s">
        <v>5</v>
      </c>
      <c r="D75" s="74">
        <v>46230</v>
      </c>
      <c r="E75" s="18">
        <f t="shared" si="2"/>
        <v>0.13043478260869565</v>
      </c>
      <c r="F75" s="17"/>
      <c r="G75" s="14"/>
      <c r="H75" s="14"/>
      <c r="I75" s="14"/>
      <c r="J75" s="62">
        <v>1</v>
      </c>
      <c r="K75" s="62">
        <v>1</v>
      </c>
      <c r="L75" s="14"/>
      <c r="M75" s="62">
        <v>1</v>
      </c>
      <c r="N75" s="14"/>
      <c r="O75" s="14"/>
      <c r="P75" s="14"/>
      <c r="Q75" s="14"/>
      <c r="R75" s="14"/>
      <c r="S75" s="14"/>
      <c r="T75" s="14"/>
      <c r="U75" s="14"/>
      <c r="V75" s="14"/>
      <c r="W75" s="14"/>
      <c r="X75" s="14"/>
      <c r="Y75" s="14"/>
      <c r="Z75" s="14"/>
      <c r="AA75" s="14"/>
      <c r="AB75" s="14"/>
      <c r="AC75" s="14"/>
    </row>
    <row r="76" spans="1:29" s="1" customFormat="1" ht="40.15" customHeight="1" x14ac:dyDescent="0.25">
      <c r="A76" s="7"/>
      <c r="B76" s="21" t="s">
        <v>109</v>
      </c>
      <c r="C76" s="17" t="s">
        <v>5</v>
      </c>
      <c r="D76" s="74">
        <v>46230</v>
      </c>
      <c r="E76" s="18">
        <f t="shared" si="2"/>
        <v>0.13043478260869565</v>
      </c>
      <c r="F76" s="17"/>
      <c r="G76" s="14"/>
      <c r="H76" s="14"/>
      <c r="I76" s="14"/>
      <c r="J76" s="62">
        <v>1</v>
      </c>
      <c r="K76" s="62">
        <v>1</v>
      </c>
      <c r="L76" s="14"/>
      <c r="M76" s="62">
        <v>1</v>
      </c>
      <c r="N76" s="14"/>
      <c r="O76" s="14"/>
      <c r="P76" s="14"/>
      <c r="Q76" s="14"/>
      <c r="R76" s="14"/>
      <c r="S76" s="14"/>
      <c r="T76" s="14"/>
      <c r="U76" s="14"/>
      <c r="V76" s="14"/>
      <c r="W76" s="14"/>
      <c r="X76" s="14"/>
      <c r="Y76" s="14"/>
      <c r="Z76" s="14"/>
      <c r="AA76" s="14"/>
      <c r="AB76" s="14"/>
      <c r="AC76" s="14"/>
    </row>
    <row r="77" spans="1:29" s="1" customFormat="1" ht="40.15" customHeight="1" x14ac:dyDescent="0.25">
      <c r="A77" s="7"/>
      <c r="B77" s="21" t="s">
        <v>110</v>
      </c>
      <c r="C77" s="17" t="s">
        <v>5</v>
      </c>
      <c r="D77" s="74">
        <v>46230</v>
      </c>
      <c r="E77" s="18">
        <f t="shared" si="2"/>
        <v>0.13043478260869565</v>
      </c>
      <c r="F77" s="17"/>
      <c r="G77" s="14"/>
      <c r="H77" s="14"/>
      <c r="I77" s="14"/>
      <c r="J77" s="62">
        <v>1</v>
      </c>
      <c r="K77" s="62">
        <v>1</v>
      </c>
      <c r="L77" s="14"/>
      <c r="M77" s="62">
        <v>1</v>
      </c>
      <c r="N77" s="14"/>
      <c r="O77" s="14"/>
      <c r="P77" s="14"/>
      <c r="Q77" s="14"/>
      <c r="R77" s="14"/>
      <c r="S77" s="14"/>
      <c r="T77" s="14"/>
      <c r="U77" s="14"/>
      <c r="V77" s="14"/>
      <c r="W77" s="14"/>
      <c r="X77" s="14"/>
      <c r="Y77" s="14"/>
      <c r="Z77" s="14"/>
      <c r="AA77" s="14"/>
      <c r="AB77" s="14"/>
      <c r="AC77" s="14"/>
    </row>
    <row r="78" spans="1:29" s="1" customFormat="1" ht="40.15" customHeight="1" x14ac:dyDescent="0.25">
      <c r="A78" s="7"/>
      <c r="B78" s="21" t="s">
        <v>111</v>
      </c>
      <c r="C78" s="17" t="s">
        <v>5</v>
      </c>
      <c r="D78" s="74">
        <v>46230</v>
      </c>
      <c r="E78" s="18">
        <f t="shared" si="2"/>
        <v>0.13043478260869565</v>
      </c>
      <c r="F78" s="17"/>
      <c r="G78" s="14"/>
      <c r="H78" s="14"/>
      <c r="I78" s="14"/>
      <c r="J78" s="62">
        <v>1</v>
      </c>
      <c r="K78" s="62">
        <v>1</v>
      </c>
      <c r="L78" s="14"/>
      <c r="M78" s="62">
        <v>1</v>
      </c>
      <c r="N78" s="14"/>
      <c r="O78" s="14"/>
      <c r="P78" s="14"/>
      <c r="Q78" s="14"/>
      <c r="R78" s="14"/>
      <c r="S78" s="14"/>
      <c r="T78" s="14"/>
      <c r="U78" s="14"/>
      <c r="V78" s="14"/>
      <c r="W78" s="14"/>
      <c r="X78" s="14"/>
      <c r="Y78" s="14"/>
      <c r="Z78" s="14"/>
      <c r="AA78" s="14"/>
      <c r="AB78" s="14"/>
      <c r="AC78" s="14"/>
    </row>
    <row r="79" spans="1:29" s="1" customFormat="1" ht="40.15" customHeight="1" x14ac:dyDescent="0.25">
      <c r="A79" s="7"/>
      <c r="B79" s="21" t="s">
        <v>112</v>
      </c>
      <c r="C79" s="17" t="s">
        <v>5</v>
      </c>
      <c r="D79" s="74">
        <v>46230</v>
      </c>
      <c r="E79" s="18">
        <f t="shared" si="2"/>
        <v>0.13043478260869565</v>
      </c>
      <c r="F79" s="17"/>
      <c r="G79" s="14"/>
      <c r="H79" s="14"/>
      <c r="I79" s="14"/>
      <c r="J79" s="62">
        <v>1</v>
      </c>
      <c r="K79" s="62">
        <v>1</v>
      </c>
      <c r="L79" s="14"/>
      <c r="M79" s="62">
        <v>1</v>
      </c>
      <c r="N79" s="14"/>
      <c r="O79" s="14"/>
      <c r="P79" s="14"/>
      <c r="Q79" s="14"/>
      <c r="R79" s="14"/>
      <c r="S79" s="14"/>
      <c r="T79" s="14"/>
      <c r="U79" s="14"/>
      <c r="V79" s="14"/>
      <c r="W79" s="14"/>
      <c r="X79" s="14"/>
      <c r="Y79" s="14"/>
      <c r="Z79" s="14"/>
      <c r="AA79" s="14"/>
      <c r="AB79" s="14"/>
      <c r="AC79" s="14"/>
    </row>
    <row r="80" spans="1:29" s="1" customFormat="1" ht="40.15" customHeight="1" x14ac:dyDescent="0.25">
      <c r="A80" s="7"/>
      <c r="B80" s="21" t="s">
        <v>113</v>
      </c>
      <c r="C80" s="17" t="s">
        <v>5</v>
      </c>
      <c r="D80" s="74">
        <v>46230</v>
      </c>
      <c r="E80" s="18">
        <f t="shared" si="2"/>
        <v>0.13043478260869565</v>
      </c>
      <c r="F80" s="17"/>
      <c r="G80" s="14"/>
      <c r="H80" s="14"/>
      <c r="I80" s="14"/>
      <c r="J80" s="62">
        <v>1</v>
      </c>
      <c r="K80" s="62">
        <v>1</v>
      </c>
      <c r="L80" s="14"/>
      <c r="M80" s="62">
        <v>1</v>
      </c>
      <c r="N80" s="14"/>
      <c r="O80" s="14"/>
      <c r="P80" s="14"/>
      <c r="Q80" s="14"/>
      <c r="R80" s="14"/>
      <c r="S80" s="14"/>
      <c r="T80" s="14"/>
      <c r="U80" s="14"/>
      <c r="V80" s="14"/>
      <c r="W80" s="14"/>
      <c r="X80" s="14"/>
      <c r="Y80" s="14"/>
      <c r="Z80" s="14"/>
      <c r="AA80" s="14"/>
      <c r="AB80" s="14"/>
      <c r="AC80" s="14"/>
    </row>
    <row r="81" spans="1:29" s="1" customFormat="1" ht="40.15" customHeight="1" x14ac:dyDescent="0.25">
      <c r="A81" s="7"/>
      <c r="B81" s="21" t="s">
        <v>114</v>
      </c>
      <c r="C81" s="17" t="s">
        <v>5</v>
      </c>
      <c r="D81" s="74">
        <v>46230</v>
      </c>
      <c r="E81" s="18">
        <f t="shared" si="2"/>
        <v>0.13043478260869565</v>
      </c>
      <c r="F81" s="17"/>
      <c r="G81" s="14"/>
      <c r="H81" s="14"/>
      <c r="I81" s="14"/>
      <c r="J81" s="62">
        <v>1</v>
      </c>
      <c r="K81" s="62">
        <v>1</v>
      </c>
      <c r="L81" s="14"/>
      <c r="M81" s="62">
        <v>1</v>
      </c>
      <c r="N81" s="14"/>
      <c r="O81" s="14"/>
      <c r="P81" s="14"/>
      <c r="Q81" s="14"/>
      <c r="R81" s="14"/>
      <c r="S81" s="14"/>
      <c r="T81" s="14"/>
      <c r="U81" s="14"/>
      <c r="V81" s="14"/>
      <c r="W81" s="14"/>
      <c r="X81" s="14"/>
      <c r="Y81" s="14"/>
      <c r="Z81" s="14"/>
      <c r="AA81" s="14"/>
      <c r="AB81" s="14"/>
      <c r="AC81" s="14"/>
    </row>
    <row r="82" spans="1:29" s="1" customFormat="1" ht="40.15" customHeight="1" x14ac:dyDescent="0.25">
      <c r="A82" s="7"/>
      <c r="B82" s="21" t="s">
        <v>115</v>
      </c>
      <c r="C82" s="17" t="s">
        <v>5</v>
      </c>
      <c r="D82" s="74">
        <v>46230</v>
      </c>
      <c r="E82" s="18">
        <f t="shared" si="2"/>
        <v>0.13043478260869565</v>
      </c>
      <c r="F82" s="17"/>
      <c r="G82" s="14"/>
      <c r="H82" s="14"/>
      <c r="I82" s="14"/>
      <c r="J82" s="62">
        <v>1</v>
      </c>
      <c r="K82" s="62">
        <v>1</v>
      </c>
      <c r="L82" s="14"/>
      <c r="M82" s="62">
        <v>1</v>
      </c>
      <c r="N82" s="14"/>
      <c r="O82" s="14"/>
      <c r="P82" s="14"/>
      <c r="Q82" s="14"/>
      <c r="R82" s="14"/>
      <c r="S82" s="14"/>
      <c r="T82" s="14"/>
      <c r="U82" s="14"/>
      <c r="V82" s="14"/>
      <c r="W82" s="14"/>
      <c r="X82" s="14"/>
      <c r="Y82" s="14"/>
      <c r="Z82" s="14"/>
      <c r="AA82" s="14"/>
      <c r="AB82" s="14"/>
      <c r="AC82" s="14"/>
    </row>
    <row r="83" spans="1:29" s="1" customFormat="1" ht="40.15" customHeight="1" x14ac:dyDescent="0.25">
      <c r="A83" s="7"/>
      <c r="B83" s="21" t="s">
        <v>116</v>
      </c>
      <c r="C83" s="17" t="s">
        <v>5</v>
      </c>
      <c r="D83" s="74">
        <v>46230</v>
      </c>
      <c r="E83" s="18">
        <f t="shared" si="2"/>
        <v>0.13043478260869565</v>
      </c>
      <c r="F83" s="17"/>
      <c r="G83" s="14"/>
      <c r="H83" s="14"/>
      <c r="I83" s="14"/>
      <c r="J83" s="62">
        <v>1</v>
      </c>
      <c r="K83" s="62">
        <v>1</v>
      </c>
      <c r="L83" s="14"/>
      <c r="M83" s="62">
        <v>1</v>
      </c>
      <c r="N83" s="14"/>
      <c r="O83" s="14"/>
      <c r="P83" s="14"/>
      <c r="Q83" s="14"/>
      <c r="R83" s="14"/>
      <c r="S83" s="14"/>
      <c r="T83" s="14"/>
      <c r="U83" s="14"/>
      <c r="V83" s="14"/>
      <c r="W83" s="14"/>
      <c r="X83" s="14"/>
      <c r="Y83" s="14"/>
      <c r="Z83" s="14"/>
      <c r="AA83" s="14"/>
      <c r="AB83" s="14"/>
      <c r="AC83" s="14"/>
    </row>
    <row r="84" spans="1:29" s="1" customFormat="1" ht="40.15" customHeight="1" x14ac:dyDescent="0.25">
      <c r="A84" s="7"/>
      <c r="B84" s="21" t="s">
        <v>117</v>
      </c>
      <c r="C84" s="17" t="s">
        <v>5</v>
      </c>
      <c r="D84" s="74">
        <v>46230</v>
      </c>
      <c r="E84" s="18">
        <f t="shared" si="2"/>
        <v>0.13043478260869565</v>
      </c>
      <c r="F84" s="17"/>
      <c r="G84" s="14"/>
      <c r="H84" s="14"/>
      <c r="I84" s="14"/>
      <c r="J84" s="62">
        <v>1</v>
      </c>
      <c r="K84" s="62">
        <v>1</v>
      </c>
      <c r="L84" s="14"/>
      <c r="M84" s="62">
        <v>1</v>
      </c>
      <c r="N84" s="14"/>
      <c r="O84" s="14"/>
      <c r="P84" s="14"/>
      <c r="Q84" s="14"/>
      <c r="R84" s="14"/>
      <c r="S84" s="14"/>
      <c r="T84" s="14"/>
      <c r="U84" s="14"/>
      <c r="V84" s="14"/>
      <c r="W84" s="14"/>
      <c r="X84" s="14"/>
      <c r="Y84" s="14"/>
      <c r="Z84" s="14"/>
      <c r="AA84" s="14"/>
      <c r="AB84" s="14"/>
      <c r="AC84" s="14"/>
    </row>
    <row r="85" spans="1:29" s="1" customFormat="1" ht="40.15" customHeight="1" x14ac:dyDescent="0.25">
      <c r="A85" s="7"/>
      <c r="B85" s="21" t="s">
        <v>118</v>
      </c>
      <c r="C85" s="17" t="s">
        <v>5</v>
      </c>
      <c r="D85" s="74">
        <v>46230</v>
      </c>
      <c r="E85" s="18">
        <f t="shared" si="2"/>
        <v>0.13043478260869565</v>
      </c>
      <c r="F85" s="17"/>
      <c r="G85" s="14"/>
      <c r="H85" s="14"/>
      <c r="I85" s="14"/>
      <c r="J85" s="62">
        <v>1</v>
      </c>
      <c r="K85" s="62">
        <v>1</v>
      </c>
      <c r="L85" s="14"/>
      <c r="M85" s="62">
        <v>1</v>
      </c>
      <c r="N85" s="14"/>
      <c r="O85" s="14"/>
      <c r="P85" s="14"/>
      <c r="Q85" s="14"/>
      <c r="R85" s="14"/>
      <c r="S85" s="14"/>
      <c r="T85" s="14"/>
      <c r="U85" s="14"/>
      <c r="V85" s="14"/>
      <c r="W85" s="14"/>
      <c r="X85" s="14"/>
      <c r="Y85" s="14"/>
      <c r="Z85" s="14"/>
      <c r="AA85" s="14"/>
      <c r="AB85" s="14"/>
      <c r="AC85" s="14"/>
    </row>
    <row r="86" spans="1:29" s="1" customFormat="1" ht="40.15" customHeight="1" x14ac:dyDescent="0.25">
      <c r="A86" s="7"/>
      <c r="B86" s="21" t="s">
        <v>119</v>
      </c>
      <c r="C86" s="17" t="s">
        <v>5</v>
      </c>
      <c r="D86" s="74">
        <v>46230</v>
      </c>
      <c r="E86" s="18">
        <f t="shared" si="2"/>
        <v>0.13043478260869565</v>
      </c>
      <c r="F86" s="17"/>
      <c r="G86" s="14"/>
      <c r="H86" s="14"/>
      <c r="I86" s="14"/>
      <c r="J86" s="62">
        <v>1</v>
      </c>
      <c r="K86" s="62">
        <v>1</v>
      </c>
      <c r="L86" s="14"/>
      <c r="M86" s="62">
        <v>1</v>
      </c>
      <c r="N86" s="14"/>
      <c r="O86" s="14"/>
      <c r="P86" s="14"/>
      <c r="Q86" s="14"/>
      <c r="R86" s="14"/>
      <c r="S86" s="14"/>
      <c r="T86" s="14"/>
      <c r="U86" s="14"/>
      <c r="V86" s="14"/>
      <c r="W86" s="14"/>
      <c r="X86" s="14"/>
      <c r="Y86" s="14"/>
      <c r="Z86" s="14"/>
      <c r="AA86" s="14"/>
      <c r="AB86" s="14"/>
      <c r="AC86" s="14"/>
    </row>
    <row r="87" spans="1:29" s="1" customFormat="1" ht="40.15" customHeight="1" x14ac:dyDescent="0.25">
      <c r="A87" s="7"/>
      <c r="B87" s="21" t="s">
        <v>120</v>
      </c>
      <c r="C87" s="17" t="s">
        <v>5</v>
      </c>
      <c r="D87" s="74">
        <v>46230</v>
      </c>
      <c r="E87" s="18">
        <f t="shared" si="2"/>
        <v>0.13043478260869565</v>
      </c>
      <c r="F87" s="17"/>
      <c r="G87" s="14"/>
      <c r="H87" s="14"/>
      <c r="I87" s="14"/>
      <c r="J87" s="62">
        <v>1</v>
      </c>
      <c r="K87" s="62">
        <v>1</v>
      </c>
      <c r="L87" s="14"/>
      <c r="M87" s="62">
        <v>1</v>
      </c>
      <c r="N87" s="14"/>
      <c r="O87" s="14"/>
      <c r="P87" s="14"/>
      <c r="Q87" s="14"/>
      <c r="R87" s="14"/>
      <c r="S87" s="14"/>
      <c r="T87" s="14"/>
      <c r="U87" s="14"/>
      <c r="V87" s="14"/>
      <c r="W87" s="14"/>
      <c r="X87" s="14"/>
      <c r="Y87" s="14"/>
      <c r="Z87" s="14"/>
      <c r="AA87" s="14"/>
      <c r="AB87" s="14"/>
      <c r="AC87" s="14"/>
    </row>
    <row r="88" spans="1:29" s="1" customFormat="1" ht="40.15" customHeight="1" x14ac:dyDescent="0.25">
      <c r="A88" s="7"/>
      <c r="B88" s="21" t="s">
        <v>121</v>
      </c>
      <c r="C88" s="17" t="s">
        <v>5</v>
      </c>
      <c r="D88" s="74">
        <v>46230</v>
      </c>
      <c r="E88" s="18">
        <f t="shared" si="2"/>
        <v>0.13043478260869565</v>
      </c>
      <c r="F88" s="17"/>
      <c r="G88" s="14"/>
      <c r="H88" s="14"/>
      <c r="I88" s="14"/>
      <c r="J88" s="62">
        <v>1</v>
      </c>
      <c r="K88" s="62">
        <v>1</v>
      </c>
      <c r="L88" s="14"/>
      <c r="M88" s="62">
        <v>1</v>
      </c>
      <c r="N88" s="14"/>
      <c r="O88" s="14"/>
      <c r="P88" s="14"/>
      <c r="Q88" s="14"/>
      <c r="R88" s="14"/>
      <c r="S88" s="14"/>
      <c r="T88" s="14"/>
      <c r="U88" s="14"/>
      <c r="V88" s="14"/>
      <c r="W88" s="14"/>
      <c r="X88" s="14"/>
      <c r="Y88" s="14"/>
      <c r="Z88" s="14"/>
      <c r="AA88" s="14"/>
      <c r="AB88" s="14"/>
      <c r="AC88" s="14"/>
    </row>
    <row r="89" spans="1:29" s="1" customFormat="1" ht="40.15" customHeight="1" x14ac:dyDescent="0.25">
      <c r="A89" s="7"/>
      <c r="B89" s="21" t="s">
        <v>122</v>
      </c>
      <c r="C89" s="17" t="s">
        <v>5</v>
      </c>
      <c r="D89" s="74">
        <v>46230</v>
      </c>
      <c r="E89" s="18">
        <f t="shared" si="2"/>
        <v>0.13043478260869565</v>
      </c>
      <c r="F89" s="17"/>
      <c r="G89" s="14"/>
      <c r="H89" s="14"/>
      <c r="I89" s="14"/>
      <c r="J89" s="62">
        <v>1</v>
      </c>
      <c r="K89" s="62">
        <v>1</v>
      </c>
      <c r="L89" s="14"/>
      <c r="M89" s="62">
        <v>1</v>
      </c>
      <c r="N89" s="14"/>
      <c r="O89" s="14"/>
      <c r="P89" s="14"/>
      <c r="Q89" s="14"/>
      <c r="R89" s="14"/>
      <c r="S89" s="14"/>
      <c r="T89" s="14"/>
      <c r="U89" s="14"/>
      <c r="V89" s="14"/>
      <c r="W89" s="14"/>
      <c r="X89" s="14"/>
      <c r="Y89" s="14"/>
      <c r="Z89" s="14"/>
      <c r="AA89" s="14"/>
      <c r="AB89" s="14"/>
      <c r="AC89" s="14"/>
    </row>
    <row r="90" spans="1:29" s="1" customFormat="1" ht="40.15" customHeight="1" x14ac:dyDescent="0.25">
      <c r="A90" s="7"/>
      <c r="B90" s="21" t="s">
        <v>123</v>
      </c>
      <c r="C90" s="17" t="s">
        <v>5</v>
      </c>
      <c r="D90" s="74">
        <v>46230</v>
      </c>
      <c r="E90" s="18">
        <f t="shared" si="2"/>
        <v>0.13043478260869565</v>
      </c>
      <c r="F90" s="17"/>
      <c r="G90" s="14"/>
      <c r="H90" s="14"/>
      <c r="I90" s="14"/>
      <c r="J90" s="62">
        <v>1</v>
      </c>
      <c r="K90" s="62">
        <v>1</v>
      </c>
      <c r="L90" s="14"/>
      <c r="M90" s="62">
        <v>1</v>
      </c>
      <c r="N90" s="14"/>
      <c r="O90" s="14"/>
      <c r="P90" s="14"/>
      <c r="Q90" s="14"/>
      <c r="R90" s="14"/>
      <c r="S90" s="14"/>
      <c r="T90" s="14"/>
      <c r="U90" s="14"/>
      <c r="V90" s="14"/>
      <c r="W90" s="14"/>
      <c r="X90" s="14"/>
      <c r="Y90" s="14"/>
      <c r="Z90" s="14"/>
      <c r="AA90" s="14"/>
      <c r="AB90" s="14"/>
      <c r="AC90" s="14"/>
    </row>
    <row r="91" spans="1:29" s="1" customFormat="1" ht="40.15" customHeight="1" x14ac:dyDescent="0.25">
      <c r="A91" s="7"/>
      <c r="B91" s="21" t="s">
        <v>124</v>
      </c>
      <c r="C91" s="17" t="s">
        <v>5</v>
      </c>
      <c r="D91" s="74">
        <v>46230</v>
      </c>
      <c r="E91" s="18">
        <f t="shared" si="2"/>
        <v>0.13043478260869565</v>
      </c>
      <c r="F91" s="17"/>
      <c r="G91" s="14"/>
      <c r="H91" s="14"/>
      <c r="I91" s="14"/>
      <c r="J91" s="62">
        <v>1</v>
      </c>
      <c r="K91" s="62">
        <v>1</v>
      </c>
      <c r="L91" s="14"/>
      <c r="M91" s="62">
        <v>1</v>
      </c>
      <c r="N91" s="14"/>
      <c r="O91" s="14"/>
      <c r="P91" s="14"/>
      <c r="Q91" s="14"/>
      <c r="R91" s="14"/>
      <c r="S91" s="14"/>
      <c r="T91" s="14"/>
      <c r="U91" s="14"/>
      <c r="V91" s="14"/>
      <c r="W91" s="14"/>
      <c r="X91" s="14"/>
      <c r="Y91" s="14"/>
      <c r="Z91" s="14"/>
      <c r="AA91" s="14"/>
      <c r="AB91" s="14"/>
      <c r="AC91" s="14"/>
    </row>
    <row r="92" spans="1:29" s="1" customFormat="1" ht="40.15" customHeight="1" x14ac:dyDescent="0.25">
      <c r="A92" s="7"/>
      <c r="B92" s="21" t="s">
        <v>125</v>
      </c>
      <c r="C92" s="17" t="s">
        <v>5</v>
      </c>
      <c r="D92" s="74">
        <v>46230</v>
      </c>
      <c r="E92" s="18">
        <f t="shared" si="2"/>
        <v>0.13043478260869565</v>
      </c>
      <c r="F92" s="17"/>
      <c r="G92" s="14"/>
      <c r="H92" s="14"/>
      <c r="I92" s="14"/>
      <c r="J92" s="62">
        <v>1</v>
      </c>
      <c r="K92" s="62">
        <v>1</v>
      </c>
      <c r="L92" s="14"/>
      <c r="M92" s="62">
        <v>1</v>
      </c>
      <c r="N92" s="14"/>
      <c r="O92" s="14"/>
      <c r="P92" s="14"/>
      <c r="Q92" s="14"/>
      <c r="R92" s="14"/>
      <c r="S92" s="14"/>
      <c r="T92" s="14"/>
      <c r="U92" s="14"/>
      <c r="V92" s="14"/>
      <c r="W92" s="14"/>
      <c r="X92" s="14"/>
      <c r="Y92" s="14"/>
      <c r="Z92" s="14"/>
      <c r="AA92" s="14"/>
      <c r="AB92" s="14"/>
      <c r="AC92" s="14"/>
    </row>
    <row r="93" spans="1:29" s="1" customFormat="1" ht="40.15" customHeight="1" x14ac:dyDescent="0.25">
      <c r="A93" s="7"/>
      <c r="B93" s="21" t="s">
        <v>126</v>
      </c>
      <c r="C93" s="17" t="s">
        <v>5</v>
      </c>
      <c r="D93" s="74">
        <v>46230</v>
      </c>
      <c r="E93" s="18">
        <f t="shared" ref="E93:E156" si="3">COUNT(G93:AC93)/23</f>
        <v>0.13043478260869565</v>
      </c>
      <c r="F93" s="17"/>
      <c r="G93" s="14"/>
      <c r="H93" s="14"/>
      <c r="I93" s="14"/>
      <c r="J93" s="62">
        <v>1</v>
      </c>
      <c r="K93" s="62">
        <v>1</v>
      </c>
      <c r="L93" s="14"/>
      <c r="M93" s="62">
        <v>1</v>
      </c>
      <c r="N93" s="14"/>
      <c r="O93" s="14"/>
      <c r="P93" s="14"/>
      <c r="Q93" s="14"/>
      <c r="R93" s="14"/>
      <c r="S93" s="14"/>
      <c r="T93" s="14"/>
      <c r="U93" s="14"/>
      <c r="V93" s="14"/>
      <c r="W93" s="14"/>
      <c r="X93" s="14"/>
      <c r="Y93" s="14"/>
      <c r="Z93" s="14"/>
      <c r="AA93" s="14"/>
      <c r="AB93" s="14"/>
      <c r="AC93" s="14"/>
    </row>
    <row r="94" spans="1:29" s="1" customFormat="1" ht="40.15" customHeight="1" x14ac:dyDescent="0.25">
      <c r="A94" s="7"/>
      <c r="B94" s="21" t="s">
        <v>127</v>
      </c>
      <c r="C94" s="17" t="s">
        <v>5</v>
      </c>
      <c r="D94" s="74">
        <v>46230</v>
      </c>
      <c r="E94" s="18">
        <f t="shared" si="3"/>
        <v>0.13043478260869565</v>
      </c>
      <c r="F94" s="17"/>
      <c r="G94" s="14"/>
      <c r="H94" s="14"/>
      <c r="I94" s="14"/>
      <c r="J94" s="62">
        <v>1</v>
      </c>
      <c r="K94" s="62">
        <v>1</v>
      </c>
      <c r="L94" s="14"/>
      <c r="M94" s="62">
        <v>1</v>
      </c>
      <c r="N94" s="14"/>
      <c r="O94" s="14"/>
      <c r="P94" s="14"/>
      <c r="Q94" s="14"/>
      <c r="R94" s="14"/>
      <c r="S94" s="14"/>
      <c r="T94" s="14"/>
      <c r="U94" s="14"/>
      <c r="V94" s="14"/>
      <c r="W94" s="14"/>
      <c r="X94" s="14"/>
      <c r="Y94" s="14"/>
      <c r="Z94" s="14"/>
      <c r="AA94" s="14"/>
      <c r="AB94" s="14"/>
      <c r="AC94" s="14"/>
    </row>
    <row r="95" spans="1:29" s="1" customFormat="1" ht="40.15" customHeight="1" x14ac:dyDescent="0.25">
      <c r="A95" s="7"/>
      <c r="B95" s="21" t="s">
        <v>128</v>
      </c>
      <c r="C95" s="17" t="s">
        <v>5</v>
      </c>
      <c r="D95" s="74">
        <v>46230</v>
      </c>
      <c r="E95" s="18">
        <f t="shared" si="3"/>
        <v>0.13043478260869565</v>
      </c>
      <c r="F95" s="17"/>
      <c r="G95" s="14"/>
      <c r="H95" s="14"/>
      <c r="I95" s="14"/>
      <c r="J95" s="62">
        <v>1</v>
      </c>
      <c r="K95" s="62">
        <v>1</v>
      </c>
      <c r="L95" s="14"/>
      <c r="M95" s="62">
        <v>1</v>
      </c>
      <c r="N95" s="14"/>
      <c r="O95" s="14"/>
      <c r="P95" s="14"/>
      <c r="Q95" s="14"/>
      <c r="R95" s="14"/>
      <c r="S95" s="14"/>
      <c r="T95" s="14"/>
      <c r="U95" s="14"/>
      <c r="V95" s="14"/>
      <c r="W95" s="14"/>
      <c r="X95" s="14"/>
      <c r="Y95" s="14"/>
      <c r="Z95" s="14"/>
      <c r="AA95" s="14"/>
      <c r="AB95" s="14"/>
      <c r="AC95" s="14"/>
    </row>
    <row r="96" spans="1:29" s="1" customFormat="1" ht="40.15" customHeight="1" x14ac:dyDescent="0.25">
      <c r="A96" s="7"/>
      <c r="B96" s="21" t="s">
        <v>129</v>
      </c>
      <c r="C96" s="17" t="s">
        <v>5</v>
      </c>
      <c r="D96" s="74">
        <v>46230</v>
      </c>
      <c r="E96" s="18">
        <f t="shared" si="3"/>
        <v>0.13043478260869565</v>
      </c>
      <c r="F96" s="17"/>
      <c r="G96" s="14"/>
      <c r="H96" s="14"/>
      <c r="I96" s="14"/>
      <c r="J96" s="62">
        <v>1</v>
      </c>
      <c r="K96" s="62">
        <v>1</v>
      </c>
      <c r="L96" s="14"/>
      <c r="M96" s="62">
        <v>1</v>
      </c>
      <c r="N96" s="14"/>
      <c r="O96" s="14"/>
      <c r="P96" s="14"/>
      <c r="Q96" s="14"/>
      <c r="R96" s="14"/>
      <c r="S96" s="14"/>
      <c r="T96" s="14"/>
      <c r="U96" s="14"/>
      <c r="V96" s="14"/>
      <c r="W96" s="14"/>
      <c r="X96" s="14"/>
      <c r="Y96" s="14"/>
      <c r="Z96" s="14"/>
      <c r="AA96" s="14"/>
      <c r="AB96" s="14"/>
      <c r="AC96" s="14"/>
    </row>
    <row r="97" spans="1:29" s="1" customFormat="1" ht="40.15" customHeight="1" x14ac:dyDescent="0.25">
      <c r="A97" s="7"/>
      <c r="B97" s="21" t="s">
        <v>130</v>
      </c>
      <c r="C97" s="17" t="s">
        <v>5</v>
      </c>
      <c r="D97" s="74">
        <v>46230</v>
      </c>
      <c r="E97" s="18">
        <f t="shared" si="3"/>
        <v>0.13043478260869565</v>
      </c>
      <c r="F97" s="17"/>
      <c r="G97" s="14"/>
      <c r="H97" s="14"/>
      <c r="I97" s="14"/>
      <c r="J97" s="62">
        <v>1</v>
      </c>
      <c r="K97" s="62">
        <v>1</v>
      </c>
      <c r="L97" s="14"/>
      <c r="M97" s="62">
        <v>1</v>
      </c>
      <c r="N97" s="14"/>
      <c r="O97" s="14"/>
      <c r="P97" s="14"/>
      <c r="Q97" s="14"/>
      <c r="R97" s="14"/>
      <c r="S97" s="14"/>
      <c r="T97" s="14"/>
      <c r="U97" s="14"/>
      <c r="V97" s="14"/>
      <c r="W97" s="14"/>
      <c r="X97" s="14"/>
      <c r="Y97" s="14"/>
      <c r="Z97" s="14"/>
      <c r="AA97" s="14"/>
      <c r="AB97" s="14"/>
      <c r="AC97" s="14"/>
    </row>
    <row r="98" spans="1:29" s="1" customFormat="1" ht="40.15" customHeight="1" x14ac:dyDescent="0.25">
      <c r="A98" s="7"/>
      <c r="B98" s="21" t="s">
        <v>131</v>
      </c>
      <c r="C98" s="17" t="s">
        <v>5</v>
      </c>
      <c r="D98" s="74">
        <v>46230</v>
      </c>
      <c r="E98" s="18">
        <f t="shared" si="3"/>
        <v>0.13043478260869565</v>
      </c>
      <c r="F98" s="17"/>
      <c r="G98" s="14"/>
      <c r="H98" s="14"/>
      <c r="I98" s="14"/>
      <c r="J98" s="62">
        <v>1</v>
      </c>
      <c r="K98" s="62">
        <v>1</v>
      </c>
      <c r="L98" s="14"/>
      <c r="M98" s="62">
        <v>1</v>
      </c>
      <c r="N98" s="14"/>
      <c r="O98" s="14"/>
      <c r="P98" s="14"/>
      <c r="Q98" s="14"/>
      <c r="R98" s="14"/>
      <c r="S98" s="14"/>
      <c r="T98" s="14"/>
      <c r="U98" s="14"/>
      <c r="V98" s="14"/>
      <c r="W98" s="14"/>
      <c r="X98" s="14"/>
      <c r="Y98" s="14"/>
      <c r="Z98" s="14"/>
      <c r="AA98" s="14"/>
      <c r="AB98" s="14"/>
      <c r="AC98" s="14"/>
    </row>
    <row r="99" spans="1:29" s="1" customFormat="1" ht="40.15" customHeight="1" x14ac:dyDescent="0.25">
      <c r="A99" s="7"/>
      <c r="B99" s="21" t="s">
        <v>132</v>
      </c>
      <c r="C99" s="17" t="s">
        <v>5</v>
      </c>
      <c r="D99" s="74">
        <v>46230</v>
      </c>
      <c r="E99" s="18">
        <f t="shared" si="3"/>
        <v>0.13043478260869565</v>
      </c>
      <c r="F99" s="17"/>
      <c r="G99" s="14"/>
      <c r="H99" s="14"/>
      <c r="I99" s="14"/>
      <c r="J99" s="62">
        <v>1</v>
      </c>
      <c r="K99" s="62">
        <v>1</v>
      </c>
      <c r="L99" s="14"/>
      <c r="M99" s="62">
        <v>1</v>
      </c>
      <c r="N99" s="14"/>
      <c r="O99" s="14"/>
      <c r="P99" s="14"/>
      <c r="Q99" s="14"/>
      <c r="R99" s="14"/>
      <c r="S99" s="14"/>
      <c r="T99" s="14"/>
      <c r="U99" s="14"/>
      <c r="V99" s="14"/>
      <c r="W99" s="14"/>
      <c r="X99" s="14"/>
      <c r="Y99" s="14"/>
      <c r="Z99" s="14"/>
      <c r="AA99" s="14"/>
      <c r="AB99" s="14"/>
      <c r="AC99" s="14"/>
    </row>
    <row r="100" spans="1:29" s="1" customFormat="1" ht="40.15" customHeight="1" x14ac:dyDescent="0.25">
      <c r="A100" s="7"/>
      <c r="B100" s="21" t="s">
        <v>133</v>
      </c>
      <c r="C100" s="17" t="s">
        <v>5</v>
      </c>
      <c r="D100" s="74">
        <v>46230</v>
      </c>
      <c r="E100" s="18">
        <f t="shared" si="3"/>
        <v>0.13043478260869565</v>
      </c>
      <c r="F100" s="17"/>
      <c r="G100" s="14"/>
      <c r="H100" s="14"/>
      <c r="I100" s="14"/>
      <c r="J100" s="62">
        <v>1</v>
      </c>
      <c r="K100" s="62">
        <v>1</v>
      </c>
      <c r="L100" s="14"/>
      <c r="M100" s="62">
        <v>1</v>
      </c>
      <c r="N100" s="14"/>
      <c r="O100" s="14"/>
      <c r="P100" s="14"/>
      <c r="Q100" s="14"/>
      <c r="R100" s="14"/>
      <c r="S100" s="14"/>
      <c r="T100" s="14"/>
      <c r="U100" s="14"/>
      <c r="V100" s="14"/>
      <c r="W100" s="14"/>
      <c r="X100" s="14"/>
      <c r="Y100" s="14"/>
      <c r="Z100" s="14"/>
      <c r="AA100" s="14"/>
      <c r="AB100" s="14"/>
      <c r="AC100" s="14"/>
    </row>
    <row r="101" spans="1:29" s="1" customFormat="1" ht="40.15" customHeight="1" x14ac:dyDescent="0.25">
      <c r="A101" s="7"/>
      <c r="B101" s="21" t="s">
        <v>134</v>
      </c>
      <c r="C101" s="17" t="s">
        <v>5</v>
      </c>
      <c r="D101" s="74">
        <v>46230</v>
      </c>
      <c r="E101" s="18">
        <f t="shared" si="3"/>
        <v>0.13043478260869565</v>
      </c>
      <c r="F101" s="17"/>
      <c r="G101" s="14"/>
      <c r="H101" s="14"/>
      <c r="I101" s="14"/>
      <c r="J101" s="62">
        <v>1</v>
      </c>
      <c r="K101" s="62">
        <v>1</v>
      </c>
      <c r="L101" s="14"/>
      <c r="M101" s="62">
        <v>1</v>
      </c>
      <c r="N101" s="14"/>
      <c r="O101" s="14"/>
      <c r="P101" s="14"/>
      <c r="Q101" s="14"/>
      <c r="R101" s="14"/>
      <c r="S101" s="14"/>
      <c r="T101" s="14"/>
      <c r="U101" s="14"/>
      <c r="V101" s="14"/>
      <c r="W101" s="14"/>
      <c r="X101" s="14"/>
      <c r="Y101" s="14"/>
      <c r="Z101" s="14"/>
      <c r="AA101" s="14"/>
      <c r="AB101" s="14"/>
      <c r="AC101" s="14"/>
    </row>
    <row r="102" spans="1:29" s="1" customFormat="1" ht="40.15" customHeight="1" thickBot="1" x14ac:dyDescent="0.3">
      <c r="A102" s="67"/>
      <c r="B102" s="68" t="s">
        <v>135</v>
      </c>
      <c r="C102" s="69" t="s">
        <v>5</v>
      </c>
      <c r="D102" s="86">
        <v>46230</v>
      </c>
      <c r="E102" s="70">
        <f t="shared" si="3"/>
        <v>0.13043478260869565</v>
      </c>
      <c r="F102" s="72"/>
      <c r="G102" s="89"/>
      <c r="H102" s="89"/>
      <c r="I102" s="89"/>
      <c r="J102" s="88">
        <v>1</v>
      </c>
      <c r="K102" s="88">
        <v>1</v>
      </c>
      <c r="L102" s="89"/>
      <c r="M102" s="88">
        <v>1</v>
      </c>
      <c r="N102" s="89"/>
      <c r="O102" s="89"/>
      <c r="P102" s="89"/>
      <c r="Q102" s="89"/>
      <c r="R102" s="89"/>
      <c r="S102" s="89"/>
      <c r="T102" s="89"/>
      <c r="U102" s="89"/>
      <c r="V102" s="89"/>
      <c r="W102" s="89"/>
      <c r="X102" s="89"/>
      <c r="Y102" s="89"/>
      <c r="Z102" s="89"/>
      <c r="AA102" s="89"/>
      <c r="AB102" s="89"/>
      <c r="AC102" s="89"/>
    </row>
    <row r="103" spans="1:29" s="1" customFormat="1" ht="40.15" customHeight="1" x14ac:dyDescent="0.25">
      <c r="A103" s="7"/>
      <c r="B103" s="21" t="s">
        <v>136</v>
      </c>
      <c r="C103" s="17" t="s">
        <v>5</v>
      </c>
      <c r="D103" s="74">
        <v>46265</v>
      </c>
      <c r="E103" s="18">
        <f t="shared" si="3"/>
        <v>0.13043478260869565</v>
      </c>
      <c r="F103" s="17"/>
      <c r="G103" s="87"/>
      <c r="H103" s="87"/>
      <c r="I103" s="87"/>
      <c r="J103" s="62">
        <v>1</v>
      </c>
      <c r="K103" s="62">
        <v>1</v>
      </c>
      <c r="L103" s="87"/>
      <c r="M103" s="62">
        <v>1</v>
      </c>
      <c r="N103" s="87"/>
      <c r="O103" s="87"/>
      <c r="P103" s="87"/>
      <c r="Q103" s="87"/>
      <c r="R103" s="87"/>
      <c r="S103" s="87"/>
      <c r="T103" s="87"/>
      <c r="U103" s="87"/>
      <c r="V103" s="87"/>
      <c r="W103" s="87"/>
      <c r="X103" s="87"/>
      <c r="Y103" s="87"/>
      <c r="Z103" s="87"/>
      <c r="AA103" s="87"/>
      <c r="AB103" s="87"/>
      <c r="AC103" s="87"/>
    </row>
    <row r="104" spans="1:29" s="1" customFormat="1" ht="40.15" customHeight="1" x14ac:dyDescent="0.25">
      <c r="A104" s="7"/>
      <c r="B104" s="21" t="s">
        <v>137</v>
      </c>
      <c r="C104" s="17" t="s">
        <v>5</v>
      </c>
      <c r="D104" s="74">
        <v>46265</v>
      </c>
      <c r="E104" s="18">
        <f t="shared" si="3"/>
        <v>0.13043478260869565</v>
      </c>
      <c r="F104" s="17"/>
      <c r="G104" s="14"/>
      <c r="H104" s="14"/>
      <c r="I104" s="14"/>
      <c r="J104" s="62">
        <v>1</v>
      </c>
      <c r="K104" s="62">
        <v>1</v>
      </c>
      <c r="L104" s="14"/>
      <c r="M104" s="62">
        <v>1</v>
      </c>
      <c r="N104" s="14"/>
      <c r="O104" s="14"/>
      <c r="P104" s="14"/>
      <c r="Q104" s="14"/>
      <c r="R104" s="14"/>
      <c r="S104" s="14"/>
      <c r="T104" s="14"/>
      <c r="U104" s="14"/>
      <c r="V104" s="14"/>
      <c r="W104" s="14"/>
      <c r="X104" s="14"/>
      <c r="Y104" s="14"/>
      <c r="Z104" s="14"/>
      <c r="AA104" s="14"/>
      <c r="AB104" s="14"/>
      <c r="AC104" s="14"/>
    </row>
    <row r="105" spans="1:29" s="1" customFormat="1" ht="40.15" customHeight="1" x14ac:dyDescent="0.25">
      <c r="A105" s="7"/>
      <c r="B105" s="21" t="s">
        <v>138</v>
      </c>
      <c r="C105" s="17" t="s">
        <v>5</v>
      </c>
      <c r="D105" s="74">
        <v>46265</v>
      </c>
      <c r="E105" s="18">
        <f t="shared" si="3"/>
        <v>0.13043478260869565</v>
      </c>
      <c r="F105" s="17"/>
      <c r="G105" s="14"/>
      <c r="H105" s="14"/>
      <c r="I105" s="14"/>
      <c r="J105" s="62">
        <v>1</v>
      </c>
      <c r="K105" s="62">
        <v>1</v>
      </c>
      <c r="L105" s="14"/>
      <c r="M105" s="62">
        <v>1</v>
      </c>
      <c r="N105" s="14"/>
      <c r="O105" s="14"/>
      <c r="P105" s="14"/>
      <c r="Q105" s="14"/>
      <c r="R105" s="14"/>
      <c r="S105" s="14"/>
      <c r="T105" s="14"/>
      <c r="U105" s="14"/>
      <c r="V105" s="14"/>
      <c r="W105" s="14"/>
      <c r="X105" s="14"/>
      <c r="Y105" s="14"/>
      <c r="Z105" s="14"/>
      <c r="AA105" s="14"/>
      <c r="AB105" s="14"/>
      <c r="AC105" s="14"/>
    </row>
    <row r="106" spans="1:29" s="1" customFormat="1" ht="40.15" customHeight="1" x14ac:dyDescent="0.25">
      <c r="A106" s="7"/>
      <c r="B106" s="21" t="s">
        <v>139</v>
      </c>
      <c r="C106" s="17" t="s">
        <v>5</v>
      </c>
      <c r="D106" s="74">
        <v>46265</v>
      </c>
      <c r="E106" s="18">
        <f t="shared" si="3"/>
        <v>0.13043478260869565</v>
      </c>
      <c r="F106" s="17"/>
      <c r="G106" s="14"/>
      <c r="H106" s="14"/>
      <c r="I106" s="14"/>
      <c r="J106" s="62">
        <v>1</v>
      </c>
      <c r="K106" s="62">
        <v>1</v>
      </c>
      <c r="L106" s="14"/>
      <c r="M106" s="62">
        <v>1</v>
      </c>
      <c r="N106" s="14"/>
      <c r="O106" s="14"/>
      <c r="P106" s="14"/>
      <c r="Q106" s="14"/>
      <c r="R106" s="14"/>
      <c r="S106" s="14"/>
      <c r="T106" s="14"/>
      <c r="U106" s="14"/>
      <c r="V106" s="14"/>
      <c r="W106" s="14"/>
      <c r="X106" s="14"/>
      <c r="Y106" s="14"/>
      <c r="Z106" s="14"/>
      <c r="AA106" s="14"/>
      <c r="AB106" s="14"/>
      <c r="AC106" s="14"/>
    </row>
    <row r="107" spans="1:29" s="1" customFormat="1" ht="40.15" customHeight="1" x14ac:dyDescent="0.25">
      <c r="A107" s="7"/>
      <c r="B107" s="21" t="s">
        <v>140</v>
      </c>
      <c r="C107" s="17" t="s">
        <v>5</v>
      </c>
      <c r="D107" s="74">
        <v>46265</v>
      </c>
      <c r="E107" s="18">
        <f t="shared" si="3"/>
        <v>0.13043478260869565</v>
      </c>
      <c r="F107" s="17"/>
      <c r="G107" s="14"/>
      <c r="H107" s="14"/>
      <c r="I107" s="14"/>
      <c r="J107" s="62">
        <v>1</v>
      </c>
      <c r="K107" s="62">
        <v>1</v>
      </c>
      <c r="L107" s="14"/>
      <c r="M107" s="62">
        <v>1</v>
      </c>
      <c r="N107" s="14"/>
      <c r="O107" s="14"/>
      <c r="P107" s="14"/>
      <c r="Q107" s="14"/>
      <c r="R107" s="14"/>
      <c r="S107" s="14"/>
      <c r="T107" s="14"/>
      <c r="U107" s="14"/>
      <c r="V107" s="14"/>
      <c r="W107" s="14"/>
      <c r="X107" s="14"/>
      <c r="Y107" s="14"/>
      <c r="Z107" s="14"/>
      <c r="AA107" s="14"/>
      <c r="AB107" s="14"/>
      <c r="AC107" s="14"/>
    </row>
    <row r="108" spans="1:29" s="1" customFormat="1" ht="40.15" customHeight="1" x14ac:dyDescent="0.25">
      <c r="A108" s="7"/>
      <c r="B108" s="21" t="s">
        <v>141</v>
      </c>
      <c r="C108" s="17" t="s">
        <v>5</v>
      </c>
      <c r="D108" s="74">
        <v>46265</v>
      </c>
      <c r="E108" s="18">
        <f t="shared" si="3"/>
        <v>0.13043478260869565</v>
      </c>
      <c r="F108" s="17"/>
      <c r="G108" s="14"/>
      <c r="H108" s="14"/>
      <c r="I108" s="14"/>
      <c r="J108" s="62">
        <v>1</v>
      </c>
      <c r="K108" s="62">
        <v>1</v>
      </c>
      <c r="L108" s="14"/>
      <c r="M108" s="62">
        <v>1</v>
      </c>
      <c r="N108" s="14"/>
      <c r="O108" s="14"/>
      <c r="P108" s="14"/>
      <c r="Q108" s="14"/>
      <c r="R108" s="14"/>
      <c r="S108" s="14"/>
      <c r="T108" s="14"/>
      <c r="U108" s="14"/>
      <c r="V108" s="14"/>
      <c r="W108" s="14"/>
      <c r="X108" s="14"/>
      <c r="Y108" s="14"/>
      <c r="Z108" s="14"/>
      <c r="AA108" s="14"/>
      <c r="AB108" s="14"/>
      <c r="AC108" s="14"/>
    </row>
    <row r="109" spans="1:29" s="1" customFormat="1" ht="40.15" customHeight="1" x14ac:dyDescent="0.25">
      <c r="A109" s="7"/>
      <c r="B109" s="21" t="s">
        <v>142</v>
      </c>
      <c r="C109" s="17" t="s">
        <v>5</v>
      </c>
      <c r="D109" s="74">
        <v>46265</v>
      </c>
      <c r="E109" s="18">
        <f t="shared" si="3"/>
        <v>0.13043478260869565</v>
      </c>
      <c r="F109" s="17"/>
      <c r="G109" s="14"/>
      <c r="H109" s="14"/>
      <c r="I109" s="14"/>
      <c r="J109" s="62">
        <v>1</v>
      </c>
      <c r="K109" s="62">
        <v>1</v>
      </c>
      <c r="L109" s="14"/>
      <c r="M109" s="62">
        <v>1</v>
      </c>
      <c r="N109" s="14"/>
      <c r="O109" s="14"/>
      <c r="P109" s="14"/>
      <c r="Q109" s="14"/>
      <c r="R109" s="14"/>
      <c r="S109" s="14"/>
      <c r="T109" s="14"/>
      <c r="U109" s="14"/>
      <c r="V109" s="14"/>
      <c r="W109" s="14"/>
      <c r="X109" s="14"/>
      <c r="Y109" s="14"/>
      <c r="Z109" s="14"/>
      <c r="AA109" s="14"/>
      <c r="AB109" s="14"/>
      <c r="AC109" s="14"/>
    </row>
    <row r="110" spans="1:29" s="1" customFormat="1" ht="40.15" customHeight="1" x14ac:dyDescent="0.25">
      <c r="A110" s="7"/>
      <c r="B110" s="21" t="s">
        <v>143</v>
      </c>
      <c r="C110" s="17" t="s">
        <v>5</v>
      </c>
      <c r="D110" s="74">
        <v>46265</v>
      </c>
      <c r="E110" s="18">
        <f t="shared" si="3"/>
        <v>0.13043478260869565</v>
      </c>
      <c r="F110" s="17"/>
      <c r="G110" s="14"/>
      <c r="H110" s="14"/>
      <c r="I110" s="14"/>
      <c r="J110" s="62">
        <v>1</v>
      </c>
      <c r="K110" s="62">
        <v>1</v>
      </c>
      <c r="L110" s="14"/>
      <c r="M110" s="62">
        <v>1</v>
      </c>
      <c r="N110" s="14"/>
      <c r="O110" s="14"/>
      <c r="P110" s="14"/>
      <c r="Q110" s="14"/>
      <c r="R110" s="14"/>
      <c r="S110" s="14"/>
      <c r="T110" s="14"/>
      <c r="U110" s="14"/>
      <c r="V110" s="14"/>
      <c r="W110" s="14"/>
      <c r="X110" s="14"/>
      <c r="Y110" s="14"/>
      <c r="Z110" s="14"/>
      <c r="AA110" s="14"/>
      <c r="AB110" s="14"/>
      <c r="AC110" s="14"/>
    </row>
    <row r="111" spans="1:29" s="1" customFormat="1" ht="40.15" customHeight="1" x14ac:dyDescent="0.25">
      <c r="A111" s="7"/>
      <c r="B111" s="21" t="s">
        <v>144</v>
      </c>
      <c r="C111" s="17" t="s">
        <v>5</v>
      </c>
      <c r="D111" s="74">
        <v>46265</v>
      </c>
      <c r="E111" s="18">
        <f t="shared" si="3"/>
        <v>0.13043478260869565</v>
      </c>
      <c r="F111" s="17"/>
      <c r="G111" s="14"/>
      <c r="H111" s="14"/>
      <c r="I111" s="14"/>
      <c r="J111" s="62">
        <v>1</v>
      </c>
      <c r="K111" s="62">
        <v>1</v>
      </c>
      <c r="L111" s="14"/>
      <c r="M111" s="62">
        <v>1</v>
      </c>
      <c r="N111" s="14"/>
      <c r="O111" s="14"/>
      <c r="P111" s="14"/>
      <c r="Q111" s="14"/>
      <c r="R111" s="14"/>
      <c r="S111" s="14"/>
      <c r="T111" s="14"/>
      <c r="U111" s="14"/>
      <c r="V111" s="14"/>
      <c r="W111" s="14"/>
      <c r="X111" s="14"/>
      <c r="Y111" s="14"/>
      <c r="Z111" s="14"/>
      <c r="AA111" s="14"/>
      <c r="AB111" s="14"/>
      <c r="AC111" s="14"/>
    </row>
    <row r="112" spans="1:29" s="1" customFormat="1" ht="40.15" customHeight="1" x14ac:dyDescent="0.25">
      <c r="A112" s="7"/>
      <c r="B112" s="21" t="s">
        <v>145</v>
      </c>
      <c r="C112" s="17" t="s">
        <v>5</v>
      </c>
      <c r="D112" s="74">
        <v>46265</v>
      </c>
      <c r="E112" s="18">
        <f t="shared" si="3"/>
        <v>0.13043478260869565</v>
      </c>
      <c r="F112" s="17"/>
      <c r="G112" s="14"/>
      <c r="H112" s="14"/>
      <c r="I112" s="14"/>
      <c r="J112" s="62">
        <v>1</v>
      </c>
      <c r="K112" s="62">
        <v>1</v>
      </c>
      <c r="L112" s="14"/>
      <c r="M112" s="62">
        <v>1</v>
      </c>
      <c r="N112" s="14"/>
      <c r="O112" s="14"/>
      <c r="P112" s="14"/>
      <c r="Q112" s="14"/>
      <c r="R112" s="14"/>
      <c r="S112" s="14"/>
      <c r="T112" s="14"/>
      <c r="U112" s="14"/>
      <c r="V112" s="14"/>
      <c r="W112" s="14"/>
      <c r="X112" s="14"/>
      <c r="Y112" s="14"/>
      <c r="Z112" s="14"/>
      <c r="AA112" s="14"/>
      <c r="AB112" s="14"/>
      <c r="AC112" s="14"/>
    </row>
    <row r="113" spans="1:29" s="1" customFormat="1" ht="40.15" customHeight="1" x14ac:dyDescent="0.25">
      <c r="A113" s="7"/>
      <c r="B113" s="21" t="s">
        <v>146</v>
      </c>
      <c r="C113" s="17" t="s">
        <v>5</v>
      </c>
      <c r="D113" s="74">
        <v>46265</v>
      </c>
      <c r="E113" s="18">
        <f t="shared" si="3"/>
        <v>0.13043478260869565</v>
      </c>
      <c r="F113" s="17"/>
      <c r="G113" s="14"/>
      <c r="H113" s="14"/>
      <c r="I113" s="14"/>
      <c r="J113" s="62">
        <v>1</v>
      </c>
      <c r="K113" s="62">
        <v>1</v>
      </c>
      <c r="L113" s="14"/>
      <c r="M113" s="62">
        <v>1</v>
      </c>
      <c r="N113" s="14"/>
      <c r="O113" s="14"/>
      <c r="P113" s="14"/>
      <c r="Q113" s="14"/>
      <c r="R113" s="14"/>
      <c r="S113" s="14"/>
      <c r="T113" s="14"/>
      <c r="U113" s="14"/>
      <c r="V113" s="14"/>
      <c r="W113" s="14"/>
      <c r="X113" s="14"/>
      <c r="Y113" s="14"/>
      <c r="Z113" s="14"/>
      <c r="AA113" s="14"/>
      <c r="AB113" s="14"/>
      <c r="AC113" s="14"/>
    </row>
    <row r="114" spans="1:29" s="1" customFormat="1" ht="40.15" customHeight="1" x14ac:dyDescent="0.25">
      <c r="A114" s="7"/>
      <c r="B114" s="21" t="s">
        <v>147</v>
      </c>
      <c r="C114" s="17" t="s">
        <v>5</v>
      </c>
      <c r="D114" s="74">
        <v>46265</v>
      </c>
      <c r="E114" s="18">
        <f t="shared" si="3"/>
        <v>0.13043478260869565</v>
      </c>
      <c r="F114" s="17"/>
      <c r="G114" s="14"/>
      <c r="H114" s="14"/>
      <c r="I114" s="14"/>
      <c r="J114" s="62">
        <v>1</v>
      </c>
      <c r="K114" s="62">
        <v>1</v>
      </c>
      <c r="L114" s="14"/>
      <c r="M114" s="62">
        <v>1</v>
      </c>
      <c r="N114" s="14"/>
      <c r="O114" s="14"/>
      <c r="P114" s="14"/>
      <c r="Q114" s="14"/>
      <c r="R114" s="14"/>
      <c r="S114" s="14"/>
      <c r="T114" s="14"/>
      <c r="U114" s="14"/>
      <c r="V114" s="14"/>
      <c r="W114" s="14"/>
      <c r="X114" s="14"/>
      <c r="Y114" s="14"/>
      <c r="Z114" s="14"/>
      <c r="AA114" s="14"/>
      <c r="AB114" s="14"/>
      <c r="AC114" s="14"/>
    </row>
    <row r="115" spans="1:29" s="1" customFormat="1" ht="40.15" customHeight="1" x14ac:dyDescent="0.25">
      <c r="A115" s="7"/>
      <c r="B115" s="21" t="s">
        <v>148</v>
      </c>
      <c r="C115" s="17" t="s">
        <v>5</v>
      </c>
      <c r="D115" s="74">
        <v>46265</v>
      </c>
      <c r="E115" s="18">
        <f t="shared" si="3"/>
        <v>0.13043478260869565</v>
      </c>
      <c r="F115" s="17"/>
      <c r="G115" s="14"/>
      <c r="H115" s="14"/>
      <c r="I115" s="14"/>
      <c r="J115" s="62">
        <v>1</v>
      </c>
      <c r="K115" s="62">
        <v>1</v>
      </c>
      <c r="L115" s="14"/>
      <c r="M115" s="62">
        <v>1</v>
      </c>
      <c r="N115" s="14"/>
      <c r="O115" s="14"/>
      <c r="P115" s="14"/>
      <c r="Q115" s="14"/>
      <c r="R115" s="14"/>
      <c r="S115" s="14"/>
      <c r="T115" s="14"/>
      <c r="U115" s="14"/>
      <c r="V115" s="14"/>
      <c r="W115" s="14"/>
      <c r="X115" s="14"/>
      <c r="Y115" s="14"/>
      <c r="Z115" s="14"/>
      <c r="AA115" s="14"/>
      <c r="AB115" s="14"/>
      <c r="AC115" s="14"/>
    </row>
    <row r="116" spans="1:29" s="1" customFormat="1" ht="40.15" customHeight="1" x14ac:dyDescent="0.25">
      <c r="A116" s="7"/>
      <c r="B116" s="21" t="s">
        <v>149</v>
      </c>
      <c r="C116" s="17" t="s">
        <v>5</v>
      </c>
      <c r="D116" s="74">
        <v>46265</v>
      </c>
      <c r="E116" s="18">
        <f t="shared" si="3"/>
        <v>0.13043478260869565</v>
      </c>
      <c r="F116" s="17"/>
      <c r="G116" s="14"/>
      <c r="H116" s="14"/>
      <c r="I116" s="14"/>
      <c r="J116" s="62">
        <v>1</v>
      </c>
      <c r="K116" s="62">
        <v>1</v>
      </c>
      <c r="L116" s="14"/>
      <c r="M116" s="62">
        <v>1</v>
      </c>
      <c r="N116" s="14"/>
      <c r="O116" s="14"/>
      <c r="P116" s="14"/>
      <c r="Q116" s="14"/>
      <c r="R116" s="14"/>
      <c r="S116" s="14"/>
      <c r="T116" s="14"/>
      <c r="U116" s="14"/>
      <c r="V116" s="14"/>
      <c r="W116" s="14"/>
      <c r="X116" s="14"/>
      <c r="Y116" s="14"/>
      <c r="Z116" s="14"/>
      <c r="AA116" s="14"/>
      <c r="AB116" s="14"/>
      <c r="AC116" s="14"/>
    </row>
    <row r="117" spans="1:29" s="1" customFormat="1" ht="40.15" customHeight="1" x14ac:dyDescent="0.25">
      <c r="A117" s="7"/>
      <c r="B117" s="21" t="s">
        <v>150</v>
      </c>
      <c r="C117" s="17" t="s">
        <v>5</v>
      </c>
      <c r="D117" s="74">
        <v>46265</v>
      </c>
      <c r="E117" s="18">
        <f t="shared" si="3"/>
        <v>0.13043478260869565</v>
      </c>
      <c r="F117" s="17"/>
      <c r="G117" s="14"/>
      <c r="H117" s="14"/>
      <c r="I117" s="14"/>
      <c r="J117" s="62">
        <v>1</v>
      </c>
      <c r="K117" s="62">
        <v>1</v>
      </c>
      <c r="L117" s="14"/>
      <c r="M117" s="62">
        <v>1</v>
      </c>
      <c r="N117" s="14"/>
      <c r="O117" s="14"/>
      <c r="P117" s="14"/>
      <c r="Q117" s="14"/>
      <c r="R117" s="14"/>
      <c r="S117" s="14"/>
      <c r="T117" s="14"/>
      <c r="U117" s="14"/>
      <c r="V117" s="14"/>
      <c r="W117" s="14"/>
      <c r="X117" s="14"/>
      <c r="Y117" s="14"/>
      <c r="Z117" s="14"/>
      <c r="AA117" s="14"/>
      <c r="AB117" s="14"/>
      <c r="AC117" s="14"/>
    </row>
    <row r="118" spans="1:29" s="1" customFormat="1" ht="40.15" customHeight="1" x14ac:dyDescent="0.25">
      <c r="A118" s="7"/>
      <c r="B118" s="21" t="s">
        <v>151</v>
      </c>
      <c r="C118" s="17" t="s">
        <v>5</v>
      </c>
      <c r="D118" s="74">
        <v>46265</v>
      </c>
      <c r="E118" s="18">
        <f t="shared" si="3"/>
        <v>0.13043478260869565</v>
      </c>
      <c r="F118" s="17"/>
      <c r="G118" s="14"/>
      <c r="H118" s="14"/>
      <c r="I118" s="14"/>
      <c r="J118" s="62">
        <v>1</v>
      </c>
      <c r="K118" s="62">
        <v>1</v>
      </c>
      <c r="L118" s="14"/>
      <c r="M118" s="62">
        <v>1</v>
      </c>
      <c r="N118" s="14"/>
      <c r="O118" s="14"/>
      <c r="P118" s="14"/>
      <c r="Q118" s="14"/>
      <c r="R118" s="14"/>
      <c r="S118" s="14"/>
      <c r="T118" s="14"/>
      <c r="U118" s="14"/>
      <c r="V118" s="14"/>
      <c r="W118" s="14"/>
      <c r="X118" s="14"/>
      <c r="Y118" s="14"/>
      <c r="Z118" s="14"/>
      <c r="AA118" s="14"/>
      <c r="AB118" s="14"/>
      <c r="AC118" s="14"/>
    </row>
    <row r="119" spans="1:29" s="1" customFormat="1" ht="40.15" customHeight="1" x14ac:dyDescent="0.25">
      <c r="A119" s="7"/>
      <c r="B119" s="21" t="s">
        <v>152</v>
      </c>
      <c r="C119" s="17" t="s">
        <v>5</v>
      </c>
      <c r="D119" s="74">
        <v>46265</v>
      </c>
      <c r="E119" s="18">
        <f t="shared" si="3"/>
        <v>0.13043478260869565</v>
      </c>
      <c r="F119" s="17"/>
      <c r="G119" s="14"/>
      <c r="H119" s="14"/>
      <c r="I119" s="14"/>
      <c r="J119" s="62">
        <v>1</v>
      </c>
      <c r="K119" s="62">
        <v>1</v>
      </c>
      <c r="L119" s="14"/>
      <c r="M119" s="62">
        <v>1</v>
      </c>
      <c r="N119" s="14"/>
      <c r="O119" s="14"/>
      <c r="P119" s="14"/>
      <c r="Q119" s="14"/>
      <c r="R119" s="14"/>
      <c r="S119" s="14"/>
      <c r="T119" s="14"/>
      <c r="U119" s="14"/>
      <c r="V119" s="14"/>
      <c r="W119" s="14"/>
      <c r="X119" s="14"/>
      <c r="Y119" s="14"/>
      <c r="Z119" s="14"/>
      <c r="AA119" s="14"/>
      <c r="AB119" s="14"/>
      <c r="AC119" s="14"/>
    </row>
    <row r="120" spans="1:29" s="1" customFormat="1" ht="40.15" customHeight="1" x14ac:dyDescent="0.25">
      <c r="A120" s="7"/>
      <c r="B120" s="21" t="s">
        <v>153</v>
      </c>
      <c r="C120" s="17" t="s">
        <v>5</v>
      </c>
      <c r="D120" s="74">
        <v>46265</v>
      </c>
      <c r="E120" s="18">
        <f t="shared" si="3"/>
        <v>0.13043478260869565</v>
      </c>
      <c r="F120" s="17"/>
      <c r="G120" s="14"/>
      <c r="H120" s="14"/>
      <c r="I120" s="14"/>
      <c r="J120" s="62">
        <v>1</v>
      </c>
      <c r="K120" s="62">
        <v>1</v>
      </c>
      <c r="L120" s="14"/>
      <c r="M120" s="62">
        <v>1</v>
      </c>
      <c r="N120" s="14"/>
      <c r="O120" s="14"/>
      <c r="P120" s="14"/>
      <c r="Q120" s="14"/>
      <c r="R120" s="14"/>
      <c r="S120" s="14"/>
      <c r="T120" s="14"/>
      <c r="U120" s="14"/>
      <c r="V120" s="14"/>
      <c r="W120" s="14"/>
      <c r="X120" s="14"/>
      <c r="Y120" s="14"/>
      <c r="Z120" s="14"/>
      <c r="AA120" s="14"/>
      <c r="AB120" s="14"/>
      <c r="AC120" s="14"/>
    </row>
    <row r="121" spans="1:29" s="1" customFormat="1" ht="40.15" customHeight="1" x14ac:dyDescent="0.25">
      <c r="A121" s="7"/>
      <c r="B121" s="21" t="s">
        <v>154</v>
      </c>
      <c r="C121" s="17" t="s">
        <v>5</v>
      </c>
      <c r="D121" s="74">
        <v>46265</v>
      </c>
      <c r="E121" s="18">
        <f t="shared" si="3"/>
        <v>0.13043478260869565</v>
      </c>
      <c r="F121" s="17"/>
      <c r="G121" s="14"/>
      <c r="H121" s="14"/>
      <c r="I121" s="14"/>
      <c r="J121" s="62">
        <v>1</v>
      </c>
      <c r="K121" s="62">
        <v>1</v>
      </c>
      <c r="L121" s="14"/>
      <c r="M121" s="62">
        <v>1</v>
      </c>
      <c r="N121" s="14"/>
      <c r="O121" s="14"/>
      <c r="P121" s="14"/>
      <c r="Q121" s="14"/>
      <c r="R121" s="14"/>
      <c r="S121" s="14"/>
      <c r="T121" s="14"/>
      <c r="U121" s="14"/>
      <c r="V121" s="14"/>
      <c r="W121" s="14"/>
      <c r="X121" s="14"/>
      <c r="Y121" s="14"/>
      <c r="Z121" s="14"/>
      <c r="AA121" s="14"/>
      <c r="AB121" s="14"/>
      <c r="AC121" s="14"/>
    </row>
    <row r="122" spans="1:29" s="1" customFormat="1" ht="40.15" customHeight="1" x14ac:dyDescent="0.25">
      <c r="A122" s="7"/>
      <c r="B122" s="21" t="s">
        <v>155</v>
      </c>
      <c r="C122" s="17" t="s">
        <v>5</v>
      </c>
      <c r="D122" s="74">
        <v>46265</v>
      </c>
      <c r="E122" s="18">
        <f t="shared" si="3"/>
        <v>0.13043478260869565</v>
      </c>
      <c r="F122" s="17"/>
      <c r="G122" s="14"/>
      <c r="H122" s="14"/>
      <c r="I122" s="14"/>
      <c r="J122" s="62">
        <v>1</v>
      </c>
      <c r="K122" s="62">
        <v>1</v>
      </c>
      <c r="L122" s="14"/>
      <c r="M122" s="62">
        <v>1</v>
      </c>
      <c r="N122" s="14"/>
      <c r="O122" s="14"/>
      <c r="P122" s="14"/>
      <c r="Q122" s="14"/>
      <c r="R122" s="14"/>
      <c r="S122" s="14"/>
      <c r="T122" s="14"/>
      <c r="U122" s="14"/>
      <c r="V122" s="14"/>
      <c r="W122" s="14"/>
      <c r="X122" s="14"/>
      <c r="Y122" s="14"/>
      <c r="Z122" s="14"/>
      <c r="AA122" s="14"/>
      <c r="AB122" s="14"/>
      <c r="AC122" s="14"/>
    </row>
    <row r="123" spans="1:29" s="1" customFormat="1" ht="40.15" customHeight="1" x14ac:dyDescent="0.25">
      <c r="A123" s="7"/>
      <c r="B123" s="21" t="s">
        <v>156</v>
      </c>
      <c r="C123" s="17" t="s">
        <v>5</v>
      </c>
      <c r="D123" s="74">
        <v>46265</v>
      </c>
      <c r="E123" s="18">
        <f t="shared" si="3"/>
        <v>0.13043478260869565</v>
      </c>
      <c r="F123" s="17"/>
      <c r="G123" s="14"/>
      <c r="H123" s="14"/>
      <c r="I123" s="14"/>
      <c r="J123" s="62">
        <v>1</v>
      </c>
      <c r="K123" s="62">
        <v>1</v>
      </c>
      <c r="L123" s="14"/>
      <c r="M123" s="62">
        <v>1</v>
      </c>
      <c r="N123" s="14"/>
      <c r="O123" s="14"/>
      <c r="P123" s="14"/>
      <c r="Q123" s="14"/>
      <c r="R123" s="14"/>
      <c r="S123" s="14"/>
      <c r="T123" s="14"/>
      <c r="U123" s="14"/>
      <c r="V123" s="14"/>
      <c r="W123" s="14"/>
      <c r="X123" s="14"/>
      <c r="Y123" s="14"/>
      <c r="Z123" s="14"/>
      <c r="AA123" s="14"/>
      <c r="AB123" s="14"/>
      <c r="AC123" s="14"/>
    </row>
    <row r="124" spans="1:29" s="1" customFormat="1" ht="40.15" customHeight="1" x14ac:dyDescent="0.25">
      <c r="A124" s="7"/>
      <c r="B124" s="21" t="s">
        <v>178</v>
      </c>
      <c r="C124" s="17" t="s">
        <v>5</v>
      </c>
      <c r="D124" s="74">
        <v>46265</v>
      </c>
      <c r="E124" s="18">
        <f t="shared" si="3"/>
        <v>0.13043478260869565</v>
      </c>
      <c r="F124" s="17"/>
      <c r="G124" s="14"/>
      <c r="H124" s="14"/>
      <c r="I124" s="14"/>
      <c r="J124" s="62">
        <v>1</v>
      </c>
      <c r="K124" s="62">
        <v>1</v>
      </c>
      <c r="L124" s="14"/>
      <c r="M124" s="62">
        <v>1</v>
      </c>
      <c r="N124" s="14"/>
      <c r="O124" s="14"/>
      <c r="P124" s="14"/>
      <c r="Q124" s="14"/>
      <c r="R124" s="14"/>
      <c r="S124" s="14"/>
      <c r="T124" s="14"/>
      <c r="U124" s="14"/>
      <c r="V124" s="14"/>
      <c r="W124" s="14"/>
      <c r="X124" s="14"/>
      <c r="Y124" s="14"/>
      <c r="Z124" s="14"/>
      <c r="AA124" s="14"/>
      <c r="AB124" s="14"/>
      <c r="AC124" s="14"/>
    </row>
    <row r="125" spans="1:29" s="1" customFormat="1" ht="40.15" customHeight="1" x14ac:dyDescent="0.25">
      <c r="A125" s="7"/>
      <c r="B125" s="21" t="s">
        <v>179</v>
      </c>
      <c r="C125" s="17" t="s">
        <v>5</v>
      </c>
      <c r="D125" s="74">
        <v>46265</v>
      </c>
      <c r="E125" s="18">
        <f t="shared" si="3"/>
        <v>0.13043478260869565</v>
      </c>
      <c r="F125" s="17"/>
      <c r="G125" s="14"/>
      <c r="H125" s="14"/>
      <c r="I125" s="14"/>
      <c r="J125" s="62">
        <v>1</v>
      </c>
      <c r="K125" s="62">
        <v>1</v>
      </c>
      <c r="L125" s="14"/>
      <c r="M125" s="62">
        <v>1</v>
      </c>
      <c r="N125" s="14"/>
      <c r="O125" s="14"/>
      <c r="P125" s="14"/>
      <c r="Q125" s="14"/>
      <c r="R125" s="14"/>
      <c r="S125" s="14"/>
      <c r="T125" s="14"/>
      <c r="U125" s="14"/>
      <c r="V125" s="14"/>
      <c r="W125" s="14"/>
      <c r="X125" s="14"/>
      <c r="Y125" s="14"/>
      <c r="Z125" s="14"/>
      <c r="AA125" s="14"/>
      <c r="AB125" s="14"/>
      <c r="AC125" s="14"/>
    </row>
    <row r="126" spans="1:29" s="1" customFormat="1" ht="40.15" customHeight="1" x14ac:dyDescent="0.25">
      <c r="A126" s="7"/>
      <c r="B126" s="21" t="s">
        <v>180</v>
      </c>
      <c r="C126" s="17" t="s">
        <v>5</v>
      </c>
      <c r="D126" s="74">
        <v>46265</v>
      </c>
      <c r="E126" s="18">
        <f t="shared" si="3"/>
        <v>0.13043478260869565</v>
      </c>
      <c r="F126" s="17"/>
      <c r="G126" s="14"/>
      <c r="H126" s="14"/>
      <c r="I126" s="14"/>
      <c r="J126" s="62">
        <v>1</v>
      </c>
      <c r="K126" s="62">
        <v>1</v>
      </c>
      <c r="L126" s="14"/>
      <c r="M126" s="62">
        <v>1</v>
      </c>
      <c r="N126" s="14"/>
      <c r="O126" s="14"/>
      <c r="P126" s="14"/>
      <c r="Q126" s="14"/>
      <c r="R126" s="14"/>
      <c r="S126" s="14"/>
      <c r="T126" s="14"/>
      <c r="U126" s="14"/>
      <c r="V126" s="14"/>
      <c r="W126" s="14"/>
      <c r="X126" s="14"/>
      <c r="Y126" s="14"/>
      <c r="Z126" s="14"/>
      <c r="AA126" s="14"/>
      <c r="AB126" s="14"/>
      <c r="AC126" s="14"/>
    </row>
    <row r="127" spans="1:29" s="1" customFormat="1" ht="40.15" customHeight="1" x14ac:dyDescent="0.25">
      <c r="A127" s="7"/>
      <c r="B127" s="21" t="s">
        <v>181</v>
      </c>
      <c r="C127" s="17" t="s">
        <v>5</v>
      </c>
      <c r="D127" s="74">
        <v>46265</v>
      </c>
      <c r="E127" s="18">
        <f t="shared" si="3"/>
        <v>0.13043478260869565</v>
      </c>
      <c r="F127" s="17"/>
      <c r="G127" s="14"/>
      <c r="H127" s="14"/>
      <c r="I127" s="14"/>
      <c r="J127" s="62">
        <v>1</v>
      </c>
      <c r="K127" s="62">
        <v>1</v>
      </c>
      <c r="L127" s="14"/>
      <c r="M127" s="62">
        <v>1</v>
      </c>
      <c r="N127" s="14"/>
      <c r="O127" s="14"/>
      <c r="P127" s="14"/>
      <c r="Q127" s="14"/>
      <c r="R127" s="14"/>
      <c r="S127" s="14"/>
      <c r="T127" s="14"/>
      <c r="U127" s="14"/>
      <c r="V127" s="14"/>
      <c r="W127" s="14"/>
      <c r="X127" s="14"/>
      <c r="Y127" s="14"/>
      <c r="Z127" s="14"/>
      <c r="AA127" s="14"/>
      <c r="AB127" s="14"/>
      <c r="AC127" s="14"/>
    </row>
    <row r="128" spans="1:29" s="1" customFormat="1" ht="40.15" customHeight="1" x14ac:dyDescent="0.25">
      <c r="A128" s="7"/>
      <c r="B128" s="21" t="s">
        <v>182</v>
      </c>
      <c r="C128" s="17" t="s">
        <v>5</v>
      </c>
      <c r="D128" s="74">
        <v>46265</v>
      </c>
      <c r="E128" s="18">
        <f t="shared" si="3"/>
        <v>0.13043478260869565</v>
      </c>
      <c r="F128" s="17"/>
      <c r="G128" s="14"/>
      <c r="H128" s="14"/>
      <c r="I128" s="14"/>
      <c r="J128" s="62">
        <v>1</v>
      </c>
      <c r="K128" s="62">
        <v>1</v>
      </c>
      <c r="L128" s="14"/>
      <c r="M128" s="62">
        <v>1</v>
      </c>
      <c r="N128" s="14"/>
      <c r="O128" s="14"/>
      <c r="P128" s="14"/>
      <c r="Q128" s="14"/>
      <c r="R128" s="14"/>
      <c r="S128" s="14"/>
      <c r="T128" s="14"/>
      <c r="U128" s="14"/>
      <c r="V128" s="14"/>
      <c r="W128" s="14"/>
      <c r="X128" s="14"/>
      <c r="Y128" s="14"/>
      <c r="Z128" s="14"/>
      <c r="AA128" s="14"/>
      <c r="AB128" s="14"/>
      <c r="AC128" s="14"/>
    </row>
    <row r="129" spans="1:29" s="1" customFormat="1" ht="40.15" customHeight="1" x14ac:dyDescent="0.25">
      <c r="A129" s="7"/>
      <c r="B129" s="21" t="s">
        <v>183</v>
      </c>
      <c r="C129" s="17" t="s">
        <v>5</v>
      </c>
      <c r="D129" s="74">
        <v>46265</v>
      </c>
      <c r="E129" s="18">
        <f t="shared" si="3"/>
        <v>0.13043478260869565</v>
      </c>
      <c r="F129" s="17"/>
      <c r="G129" s="14"/>
      <c r="H129" s="14"/>
      <c r="I129" s="14"/>
      <c r="J129" s="62">
        <v>1</v>
      </c>
      <c r="K129" s="62">
        <v>1</v>
      </c>
      <c r="L129" s="14"/>
      <c r="M129" s="62">
        <v>1</v>
      </c>
      <c r="N129" s="14"/>
      <c r="O129" s="14"/>
      <c r="P129" s="14"/>
      <c r="Q129" s="14"/>
      <c r="R129" s="14"/>
      <c r="S129" s="14"/>
      <c r="T129" s="14"/>
      <c r="U129" s="14"/>
      <c r="V129" s="14"/>
      <c r="W129" s="14"/>
      <c r="X129" s="14"/>
      <c r="Y129" s="14"/>
      <c r="Z129" s="14"/>
      <c r="AA129" s="14"/>
      <c r="AB129" s="14"/>
      <c r="AC129" s="14"/>
    </row>
    <row r="130" spans="1:29" s="1" customFormat="1" ht="40.15" customHeight="1" thickBot="1" x14ac:dyDescent="0.3">
      <c r="A130" s="67"/>
      <c r="B130" s="68" t="s">
        <v>184</v>
      </c>
      <c r="C130" s="69" t="s">
        <v>5</v>
      </c>
      <c r="D130" s="86">
        <v>46265</v>
      </c>
      <c r="E130" s="70">
        <f t="shared" si="3"/>
        <v>0.13043478260869565</v>
      </c>
      <c r="F130" s="72"/>
      <c r="G130" s="89"/>
      <c r="H130" s="89"/>
      <c r="I130" s="89"/>
      <c r="J130" s="88">
        <v>1</v>
      </c>
      <c r="K130" s="88">
        <v>1</v>
      </c>
      <c r="L130" s="89"/>
      <c r="M130" s="88">
        <v>1</v>
      </c>
      <c r="N130" s="89"/>
      <c r="O130" s="89"/>
      <c r="P130" s="89"/>
      <c r="Q130" s="89"/>
      <c r="R130" s="89"/>
      <c r="S130" s="89"/>
      <c r="T130" s="89"/>
      <c r="U130" s="89"/>
      <c r="V130" s="89"/>
      <c r="W130" s="89"/>
      <c r="X130" s="89"/>
      <c r="Y130" s="89"/>
      <c r="Z130" s="89"/>
      <c r="AA130" s="89"/>
      <c r="AB130" s="89"/>
      <c r="AC130" s="89"/>
    </row>
    <row r="131" spans="1:29" s="1" customFormat="1" ht="40.15" customHeight="1" x14ac:dyDescent="0.25">
      <c r="A131" s="7"/>
      <c r="B131" s="21" t="s">
        <v>185</v>
      </c>
      <c r="C131" s="17" t="s">
        <v>5</v>
      </c>
      <c r="D131" s="74">
        <v>46328</v>
      </c>
      <c r="E131" s="18">
        <f t="shared" si="3"/>
        <v>0</v>
      </c>
      <c r="F131" s="17"/>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row>
    <row r="132" spans="1:29" s="1" customFormat="1" ht="40.15" customHeight="1" x14ac:dyDescent="0.25">
      <c r="A132" s="7"/>
      <c r="B132" s="21" t="s">
        <v>186</v>
      </c>
      <c r="C132" s="17" t="s">
        <v>5</v>
      </c>
      <c r="D132" s="74">
        <v>46328</v>
      </c>
      <c r="E132" s="18">
        <f t="shared" si="3"/>
        <v>0</v>
      </c>
      <c r="F132" s="17"/>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row>
    <row r="133" spans="1:29" s="1" customFormat="1" ht="40.15" customHeight="1" x14ac:dyDescent="0.25">
      <c r="A133" s="7"/>
      <c r="B133" s="21" t="s">
        <v>187</v>
      </c>
      <c r="C133" s="17" t="s">
        <v>5</v>
      </c>
      <c r="D133" s="74">
        <v>46328</v>
      </c>
      <c r="E133" s="18">
        <f t="shared" si="3"/>
        <v>0</v>
      </c>
      <c r="F133" s="17"/>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row>
    <row r="134" spans="1:29" s="1" customFormat="1" ht="40.15" customHeight="1" x14ac:dyDescent="0.25">
      <c r="A134" s="7"/>
      <c r="B134" s="21" t="s">
        <v>188</v>
      </c>
      <c r="C134" s="17" t="s">
        <v>5</v>
      </c>
      <c r="D134" s="74">
        <v>46328</v>
      </c>
      <c r="E134" s="18">
        <f t="shared" si="3"/>
        <v>0</v>
      </c>
      <c r="F134" s="17"/>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row>
    <row r="135" spans="1:29" s="1" customFormat="1" ht="40.15" customHeight="1" x14ac:dyDescent="0.25">
      <c r="A135" s="7"/>
      <c r="B135" s="21" t="s">
        <v>189</v>
      </c>
      <c r="C135" s="17" t="s">
        <v>5</v>
      </c>
      <c r="D135" s="74">
        <v>46328</v>
      </c>
      <c r="E135" s="18">
        <f t="shared" si="3"/>
        <v>0</v>
      </c>
      <c r="F135" s="17"/>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row>
    <row r="136" spans="1:29" s="1" customFormat="1" ht="40.15" customHeight="1" x14ac:dyDescent="0.25">
      <c r="A136" s="7"/>
      <c r="B136" s="21" t="s">
        <v>190</v>
      </c>
      <c r="C136" s="17" t="s">
        <v>5</v>
      </c>
      <c r="D136" s="74">
        <v>46328</v>
      </c>
      <c r="E136" s="18">
        <f t="shared" si="3"/>
        <v>0</v>
      </c>
      <c r="F136" s="17"/>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row>
    <row r="137" spans="1:29" s="1" customFormat="1" ht="40.15" customHeight="1" x14ac:dyDescent="0.25">
      <c r="A137" s="7"/>
      <c r="B137" s="21" t="s">
        <v>191</v>
      </c>
      <c r="C137" s="17" t="s">
        <v>5</v>
      </c>
      <c r="D137" s="74">
        <v>46328</v>
      </c>
      <c r="E137" s="18">
        <f t="shared" si="3"/>
        <v>0</v>
      </c>
      <c r="F137" s="17"/>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row>
    <row r="138" spans="1:29" s="1" customFormat="1" ht="40.15" customHeight="1" x14ac:dyDescent="0.25">
      <c r="A138" s="7"/>
      <c r="B138" s="21" t="s">
        <v>192</v>
      </c>
      <c r="C138" s="17" t="s">
        <v>5</v>
      </c>
      <c r="D138" s="74">
        <v>46328</v>
      </c>
      <c r="E138" s="18">
        <f t="shared" si="3"/>
        <v>0</v>
      </c>
      <c r="F138" s="17"/>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row>
    <row r="139" spans="1:29" s="1" customFormat="1" ht="40.15" customHeight="1" x14ac:dyDescent="0.25">
      <c r="A139" s="7"/>
      <c r="B139" s="21" t="s">
        <v>193</v>
      </c>
      <c r="C139" s="17" t="s">
        <v>5</v>
      </c>
      <c r="D139" s="74">
        <v>46328</v>
      </c>
      <c r="E139" s="18">
        <f t="shared" si="3"/>
        <v>0</v>
      </c>
      <c r="F139" s="17"/>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row>
    <row r="140" spans="1:29" s="1" customFormat="1" ht="40.15" customHeight="1" x14ac:dyDescent="0.25">
      <c r="A140" s="7"/>
      <c r="B140" s="21" t="s">
        <v>194</v>
      </c>
      <c r="C140" s="17" t="s">
        <v>5</v>
      </c>
      <c r="D140" s="74">
        <v>46328</v>
      </c>
      <c r="E140" s="18">
        <f t="shared" si="3"/>
        <v>0</v>
      </c>
      <c r="F140" s="17"/>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row>
    <row r="141" spans="1:29" s="1" customFormat="1" ht="40.15" customHeight="1" x14ac:dyDescent="0.25">
      <c r="A141" s="7"/>
      <c r="B141" s="21" t="s">
        <v>195</v>
      </c>
      <c r="C141" s="17" t="s">
        <v>5</v>
      </c>
      <c r="D141" s="74">
        <v>46328</v>
      </c>
      <c r="E141" s="18">
        <f t="shared" si="3"/>
        <v>0</v>
      </c>
      <c r="F141" s="17"/>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row>
    <row r="142" spans="1:29" s="1" customFormat="1" ht="40.15" customHeight="1" x14ac:dyDescent="0.25">
      <c r="A142" s="7"/>
      <c r="B142" s="21" t="s">
        <v>196</v>
      </c>
      <c r="C142" s="17" t="s">
        <v>5</v>
      </c>
      <c r="D142" s="74">
        <v>46328</v>
      </c>
      <c r="E142" s="18">
        <f t="shared" si="3"/>
        <v>0</v>
      </c>
      <c r="F142" s="17"/>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row>
    <row r="143" spans="1:29" s="1" customFormat="1" ht="40.15" customHeight="1" x14ac:dyDescent="0.25">
      <c r="A143" s="7"/>
      <c r="B143" s="21" t="s">
        <v>197</v>
      </c>
      <c r="C143" s="17" t="s">
        <v>5</v>
      </c>
      <c r="D143" s="74">
        <v>46328</v>
      </c>
      <c r="E143" s="18">
        <f t="shared" si="3"/>
        <v>0</v>
      </c>
      <c r="F143" s="17"/>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row>
    <row r="144" spans="1:29" s="1" customFormat="1" ht="40.15" customHeight="1" x14ac:dyDescent="0.25">
      <c r="A144" s="7"/>
      <c r="B144" s="21" t="s">
        <v>198</v>
      </c>
      <c r="C144" s="17" t="s">
        <v>5</v>
      </c>
      <c r="D144" s="74">
        <v>46328</v>
      </c>
      <c r="E144" s="18">
        <f t="shared" si="3"/>
        <v>0</v>
      </c>
      <c r="F144" s="17"/>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row>
    <row r="145" spans="1:29" s="1" customFormat="1" ht="40.15" customHeight="1" x14ac:dyDescent="0.25">
      <c r="A145" s="7"/>
      <c r="B145" s="21" t="s">
        <v>199</v>
      </c>
      <c r="C145" s="17" t="s">
        <v>5</v>
      </c>
      <c r="D145" s="74">
        <v>46328</v>
      </c>
      <c r="E145" s="18">
        <f t="shared" si="3"/>
        <v>0</v>
      </c>
      <c r="F145" s="17"/>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row>
    <row r="146" spans="1:29" s="1" customFormat="1" ht="40.15" customHeight="1" x14ac:dyDescent="0.25">
      <c r="A146" s="7"/>
      <c r="B146" s="21" t="s">
        <v>200</v>
      </c>
      <c r="C146" s="17" t="s">
        <v>5</v>
      </c>
      <c r="D146" s="74">
        <v>46328</v>
      </c>
      <c r="E146" s="18">
        <f t="shared" si="3"/>
        <v>0</v>
      </c>
      <c r="F146" s="17"/>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row>
    <row r="147" spans="1:29" s="1" customFormat="1" ht="40.15" customHeight="1" x14ac:dyDescent="0.25">
      <c r="A147" s="7"/>
      <c r="B147" s="21" t="s">
        <v>201</v>
      </c>
      <c r="C147" s="17" t="s">
        <v>5</v>
      </c>
      <c r="D147" s="74">
        <v>46328</v>
      </c>
      <c r="E147" s="18">
        <f t="shared" si="3"/>
        <v>0</v>
      </c>
      <c r="F147" s="17"/>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row>
    <row r="148" spans="1:29" s="1" customFormat="1" ht="40.15" customHeight="1" x14ac:dyDescent="0.25">
      <c r="A148" s="7"/>
      <c r="B148" s="21" t="s">
        <v>202</v>
      </c>
      <c r="C148" s="17" t="s">
        <v>5</v>
      </c>
      <c r="D148" s="74">
        <v>46328</v>
      </c>
      <c r="E148" s="18">
        <f t="shared" si="3"/>
        <v>0</v>
      </c>
      <c r="F148" s="17"/>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row>
    <row r="149" spans="1:29" s="1" customFormat="1" ht="40.15" customHeight="1" x14ac:dyDescent="0.25">
      <c r="A149" s="7"/>
      <c r="B149" s="21" t="s">
        <v>203</v>
      </c>
      <c r="C149" s="17" t="s">
        <v>5</v>
      </c>
      <c r="D149" s="74">
        <v>46328</v>
      </c>
      <c r="E149" s="18">
        <f t="shared" si="3"/>
        <v>0</v>
      </c>
      <c r="F149" s="17"/>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row>
    <row r="150" spans="1:29" s="1" customFormat="1" ht="40.15" customHeight="1" x14ac:dyDescent="0.25">
      <c r="A150" s="7"/>
      <c r="B150" s="21" t="s">
        <v>204</v>
      </c>
      <c r="C150" s="17" t="s">
        <v>5</v>
      </c>
      <c r="D150" s="74">
        <v>46328</v>
      </c>
      <c r="E150" s="18">
        <f t="shared" si="3"/>
        <v>0</v>
      </c>
      <c r="F150" s="17"/>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row>
    <row r="151" spans="1:29" s="1" customFormat="1" ht="40.15" customHeight="1" x14ac:dyDescent="0.25">
      <c r="A151" s="7"/>
      <c r="B151" s="21" t="s">
        <v>205</v>
      </c>
      <c r="C151" s="17" t="s">
        <v>5</v>
      </c>
      <c r="D151" s="74">
        <v>46328</v>
      </c>
      <c r="E151" s="18">
        <f t="shared" si="3"/>
        <v>0</v>
      </c>
      <c r="F151" s="17"/>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row>
    <row r="152" spans="1:29" s="1" customFormat="1" ht="40.15" customHeight="1" x14ac:dyDescent="0.25">
      <c r="A152" s="7"/>
      <c r="B152" s="21" t="s">
        <v>206</v>
      </c>
      <c r="C152" s="17" t="s">
        <v>5</v>
      </c>
      <c r="D152" s="74">
        <v>46328</v>
      </c>
      <c r="E152" s="18">
        <f t="shared" si="3"/>
        <v>0</v>
      </c>
      <c r="F152" s="17"/>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row>
    <row r="153" spans="1:29" s="1" customFormat="1" ht="40.15" customHeight="1" x14ac:dyDescent="0.25">
      <c r="A153" s="7"/>
      <c r="B153" s="21" t="s">
        <v>207</v>
      </c>
      <c r="C153" s="17" t="s">
        <v>5</v>
      </c>
      <c r="D153" s="74">
        <v>46328</v>
      </c>
      <c r="E153" s="18">
        <f t="shared" si="3"/>
        <v>0</v>
      </c>
      <c r="F153" s="17"/>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row>
    <row r="154" spans="1:29" s="1" customFormat="1" ht="40.15" customHeight="1" x14ac:dyDescent="0.25">
      <c r="A154" s="7"/>
      <c r="B154" s="21" t="s">
        <v>208</v>
      </c>
      <c r="C154" s="17" t="s">
        <v>5</v>
      </c>
      <c r="D154" s="74">
        <v>46328</v>
      </c>
      <c r="E154" s="18">
        <f t="shared" si="3"/>
        <v>0</v>
      </c>
      <c r="F154" s="17"/>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row>
    <row r="155" spans="1:29" s="1" customFormat="1" ht="40.15" customHeight="1" x14ac:dyDescent="0.25">
      <c r="A155" s="7"/>
      <c r="B155" s="21" t="s">
        <v>209</v>
      </c>
      <c r="C155" s="17" t="s">
        <v>5</v>
      </c>
      <c r="D155" s="74">
        <v>46328</v>
      </c>
      <c r="E155" s="18">
        <f t="shared" si="3"/>
        <v>0</v>
      </c>
      <c r="F155" s="17"/>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row>
    <row r="156" spans="1:29" s="1" customFormat="1" ht="40.15" customHeight="1" x14ac:dyDescent="0.25">
      <c r="A156" s="7"/>
      <c r="B156" s="21" t="s">
        <v>210</v>
      </c>
      <c r="C156" s="17" t="s">
        <v>5</v>
      </c>
      <c r="D156" s="74">
        <v>46328</v>
      </c>
      <c r="E156" s="18">
        <f t="shared" si="3"/>
        <v>0</v>
      </c>
      <c r="F156" s="17"/>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row>
    <row r="157" spans="1:29" s="1" customFormat="1" ht="40.15" customHeight="1" x14ac:dyDescent="0.25">
      <c r="A157" s="7"/>
      <c r="B157" s="21" t="s">
        <v>211</v>
      </c>
      <c r="C157" s="17" t="s">
        <v>5</v>
      </c>
      <c r="D157" s="74">
        <v>46328</v>
      </c>
      <c r="E157" s="18">
        <f t="shared" ref="E157:E220" si="4">COUNT(G157:AC157)/23</f>
        <v>0</v>
      </c>
      <c r="F157" s="17"/>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row>
    <row r="158" spans="1:29" s="1" customFormat="1" ht="40.15" customHeight="1" x14ac:dyDescent="0.25">
      <c r="A158" s="7"/>
      <c r="B158" s="21" t="s">
        <v>212</v>
      </c>
      <c r="C158" s="17" t="s">
        <v>5</v>
      </c>
      <c r="D158" s="74">
        <v>46328</v>
      </c>
      <c r="E158" s="18">
        <f t="shared" si="4"/>
        <v>0</v>
      </c>
      <c r="F158" s="17"/>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row>
    <row r="159" spans="1:29" s="1" customFormat="1" ht="40.15" customHeight="1" x14ac:dyDescent="0.25">
      <c r="A159" s="7"/>
      <c r="B159" s="21" t="s">
        <v>213</v>
      </c>
      <c r="C159" s="17" t="s">
        <v>5</v>
      </c>
      <c r="D159" s="74">
        <v>46328</v>
      </c>
      <c r="E159" s="18">
        <f t="shared" si="4"/>
        <v>0</v>
      </c>
      <c r="F159" s="17"/>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row>
    <row r="160" spans="1:29" s="1" customFormat="1" ht="40.15" customHeight="1" x14ac:dyDescent="0.25">
      <c r="A160" s="7"/>
      <c r="B160" s="21" t="s">
        <v>214</v>
      </c>
      <c r="C160" s="17" t="s">
        <v>5</v>
      </c>
      <c r="D160" s="74">
        <v>46328</v>
      </c>
      <c r="E160" s="18">
        <f t="shared" si="4"/>
        <v>0</v>
      </c>
      <c r="F160" s="17"/>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row>
    <row r="161" spans="1:29" s="1" customFormat="1" ht="40.15" customHeight="1" x14ac:dyDescent="0.25">
      <c r="A161" s="7"/>
      <c r="B161" s="21" t="s">
        <v>215</v>
      </c>
      <c r="C161" s="17" t="s">
        <v>5</v>
      </c>
      <c r="D161" s="74">
        <v>46328</v>
      </c>
      <c r="E161" s="18">
        <f t="shared" si="4"/>
        <v>0</v>
      </c>
      <c r="F161" s="17"/>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row>
    <row r="162" spans="1:29" s="1" customFormat="1" ht="40.15" customHeight="1" x14ac:dyDescent="0.25">
      <c r="A162" s="7"/>
      <c r="B162" s="21" t="s">
        <v>216</v>
      </c>
      <c r="C162" s="17" t="s">
        <v>5</v>
      </c>
      <c r="D162" s="74">
        <v>46328</v>
      </c>
      <c r="E162" s="18">
        <f t="shared" si="4"/>
        <v>0</v>
      </c>
      <c r="F162" s="17"/>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row>
    <row r="163" spans="1:29" s="1" customFormat="1" ht="40.15" customHeight="1" x14ac:dyDescent="0.25">
      <c r="A163" s="7"/>
      <c r="B163" s="21" t="s">
        <v>217</v>
      </c>
      <c r="C163" s="17" t="s">
        <v>5</v>
      </c>
      <c r="D163" s="74">
        <v>46377</v>
      </c>
      <c r="E163" s="18">
        <f t="shared" si="4"/>
        <v>0</v>
      </c>
      <c r="F163" s="17"/>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row>
    <row r="164" spans="1:29" s="1" customFormat="1" ht="40.15" customHeight="1" x14ac:dyDescent="0.25">
      <c r="A164" s="7"/>
      <c r="B164" s="21" t="s">
        <v>218</v>
      </c>
      <c r="C164" s="17" t="s">
        <v>5</v>
      </c>
      <c r="D164" s="74">
        <v>46377</v>
      </c>
      <c r="E164" s="18">
        <f t="shared" si="4"/>
        <v>0</v>
      </c>
      <c r="F164" s="17"/>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row>
    <row r="165" spans="1:29" s="1" customFormat="1" ht="40.15" customHeight="1" x14ac:dyDescent="0.25">
      <c r="A165" s="7"/>
      <c r="B165" s="21" t="s">
        <v>219</v>
      </c>
      <c r="C165" s="17" t="s">
        <v>5</v>
      </c>
      <c r="D165" s="74">
        <v>46377</v>
      </c>
      <c r="E165" s="18">
        <f t="shared" si="4"/>
        <v>0</v>
      </c>
      <c r="F165" s="17"/>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row>
    <row r="166" spans="1:29" s="1" customFormat="1" ht="40.15" customHeight="1" x14ac:dyDescent="0.25">
      <c r="A166" s="7"/>
      <c r="B166" s="21" t="s">
        <v>220</v>
      </c>
      <c r="C166" s="17" t="s">
        <v>5</v>
      </c>
      <c r="D166" s="74">
        <v>46377</v>
      </c>
      <c r="E166" s="18">
        <f t="shared" si="4"/>
        <v>0</v>
      </c>
      <c r="F166" s="17"/>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row>
    <row r="167" spans="1:29" s="1" customFormat="1" ht="40.15" customHeight="1" x14ac:dyDescent="0.25">
      <c r="A167" s="7"/>
      <c r="B167" s="21" t="s">
        <v>221</v>
      </c>
      <c r="C167" s="17" t="s">
        <v>5</v>
      </c>
      <c r="D167" s="74">
        <v>46377</v>
      </c>
      <c r="E167" s="18">
        <f t="shared" si="4"/>
        <v>0</v>
      </c>
      <c r="F167" s="17"/>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row>
    <row r="168" spans="1:29" s="1" customFormat="1" ht="40.15" customHeight="1" x14ac:dyDescent="0.25">
      <c r="A168" s="7"/>
      <c r="B168" s="21" t="s">
        <v>222</v>
      </c>
      <c r="C168" s="17" t="s">
        <v>5</v>
      </c>
      <c r="D168" s="74">
        <v>46377</v>
      </c>
      <c r="E168" s="18">
        <f t="shared" si="4"/>
        <v>0</v>
      </c>
      <c r="F168" s="17"/>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row>
    <row r="169" spans="1:29" s="1" customFormat="1" ht="40.15" customHeight="1" x14ac:dyDescent="0.25">
      <c r="A169" s="7"/>
      <c r="B169" s="21" t="s">
        <v>223</v>
      </c>
      <c r="C169" s="17" t="s">
        <v>5</v>
      </c>
      <c r="D169" s="74">
        <v>46377</v>
      </c>
      <c r="E169" s="18">
        <f t="shared" si="4"/>
        <v>0</v>
      </c>
      <c r="F169" s="17"/>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row>
    <row r="170" spans="1:29" s="1" customFormat="1" ht="40.15" customHeight="1" x14ac:dyDescent="0.25">
      <c r="A170" s="7"/>
      <c r="B170" s="21" t="s">
        <v>224</v>
      </c>
      <c r="C170" s="17" t="s">
        <v>5</v>
      </c>
      <c r="D170" s="74">
        <v>46377</v>
      </c>
      <c r="E170" s="18">
        <f t="shared" si="4"/>
        <v>0</v>
      </c>
      <c r="F170" s="17"/>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row>
    <row r="171" spans="1:29" s="1" customFormat="1" ht="40.15" customHeight="1" x14ac:dyDescent="0.25">
      <c r="A171" s="7"/>
      <c r="B171" s="21" t="s">
        <v>225</v>
      </c>
      <c r="C171" s="17" t="s">
        <v>5</v>
      </c>
      <c r="D171" s="74">
        <v>46377</v>
      </c>
      <c r="E171" s="18">
        <f t="shared" si="4"/>
        <v>0</v>
      </c>
      <c r="F171" s="17"/>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row>
    <row r="172" spans="1:29" s="1" customFormat="1" ht="40.15" customHeight="1" x14ac:dyDescent="0.25">
      <c r="A172" s="7"/>
      <c r="B172" s="21" t="s">
        <v>226</v>
      </c>
      <c r="C172" s="17" t="s">
        <v>5</v>
      </c>
      <c r="D172" s="74">
        <v>46377</v>
      </c>
      <c r="E172" s="18">
        <f t="shared" si="4"/>
        <v>0</v>
      </c>
      <c r="F172" s="17"/>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row>
    <row r="173" spans="1:29" s="1" customFormat="1" ht="40.15" customHeight="1" x14ac:dyDescent="0.25">
      <c r="A173" s="7"/>
      <c r="B173" s="21" t="s">
        <v>227</v>
      </c>
      <c r="C173" s="17" t="s">
        <v>5</v>
      </c>
      <c r="D173" s="74">
        <v>46377</v>
      </c>
      <c r="E173" s="18">
        <f t="shared" si="4"/>
        <v>0</v>
      </c>
      <c r="F173" s="17"/>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row>
    <row r="174" spans="1:29" s="1" customFormat="1" ht="40.15" customHeight="1" x14ac:dyDescent="0.25">
      <c r="A174" s="7"/>
      <c r="B174" s="21" t="s">
        <v>228</v>
      </c>
      <c r="C174" s="17" t="s">
        <v>5</v>
      </c>
      <c r="D174" s="74">
        <v>46377</v>
      </c>
      <c r="E174" s="18">
        <f t="shared" si="4"/>
        <v>0</v>
      </c>
      <c r="F174" s="17"/>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row>
    <row r="175" spans="1:29" s="1" customFormat="1" ht="40.15" customHeight="1" x14ac:dyDescent="0.25">
      <c r="A175" s="7"/>
      <c r="B175" s="21" t="s">
        <v>229</v>
      </c>
      <c r="C175" s="17" t="s">
        <v>5</v>
      </c>
      <c r="D175" s="74">
        <v>46377</v>
      </c>
      <c r="E175" s="18">
        <f t="shared" si="4"/>
        <v>0</v>
      </c>
      <c r="F175" s="17"/>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row>
    <row r="176" spans="1:29" s="1" customFormat="1" ht="40.15" customHeight="1" x14ac:dyDescent="0.25">
      <c r="A176" s="7"/>
      <c r="B176" s="21" t="s">
        <v>230</v>
      </c>
      <c r="C176" s="17" t="s">
        <v>5</v>
      </c>
      <c r="D176" s="74">
        <v>46377</v>
      </c>
      <c r="E176" s="18">
        <f t="shared" si="4"/>
        <v>0</v>
      </c>
      <c r="F176" s="17"/>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row>
    <row r="177" spans="1:29" s="1" customFormat="1" ht="40.15" customHeight="1" x14ac:dyDescent="0.25">
      <c r="A177" s="7"/>
      <c r="B177" s="21" t="s">
        <v>231</v>
      </c>
      <c r="C177" s="17" t="s">
        <v>5</v>
      </c>
      <c r="D177" s="74">
        <v>46377</v>
      </c>
      <c r="E177" s="18">
        <f t="shared" si="4"/>
        <v>0</v>
      </c>
      <c r="F177" s="17"/>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row>
    <row r="178" spans="1:29" s="1" customFormat="1" ht="40.15" customHeight="1" x14ac:dyDescent="0.25">
      <c r="A178" s="7"/>
      <c r="B178" s="21" t="s">
        <v>232</v>
      </c>
      <c r="C178" s="17" t="s">
        <v>5</v>
      </c>
      <c r="D178" s="74">
        <v>46377</v>
      </c>
      <c r="E178" s="18">
        <f t="shared" si="4"/>
        <v>0</v>
      </c>
      <c r="F178" s="17"/>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row>
    <row r="179" spans="1:29" s="1" customFormat="1" ht="40.15" customHeight="1" x14ac:dyDescent="0.25">
      <c r="A179" s="7"/>
      <c r="B179" s="21" t="s">
        <v>233</v>
      </c>
      <c r="C179" s="17" t="s">
        <v>5</v>
      </c>
      <c r="D179" s="74">
        <v>46377</v>
      </c>
      <c r="E179" s="18">
        <f t="shared" si="4"/>
        <v>0</v>
      </c>
      <c r="F179" s="17"/>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row>
    <row r="180" spans="1:29" s="1" customFormat="1" ht="40.15" customHeight="1" x14ac:dyDescent="0.25">
      <c r="A180" s="7"/>
      <c r="B180" s="21" t="s">
        <v>234</v>
      </c>
      <c r="C180" s="17" t="s">
        <v>5</v>
      </c>
      <c r="D180" s="74">
        <v>46377</v>
      </c>
      <c r="E180" s="18">
        <f t="shared" si="4"/>
        <v>0</v>
      </c>
      <c r="F180" s="17"/>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row>
    <row r="181" spans="1:29" s="1" customFormat="1" ht="40.15" customHeight="1" x14ac:dyDescent="0.25">
      <c r="A181" s="7"/>
      <c r="B181" s="21" t="s">
        <v>235</v>
      </c>
      <c r="C181" s="17" t="s">
        <v>5</v>
      </c>
      <c r="D181" s="74">
        <v>46377</v>
      </c>
      <c r="E181" s="18">
        <f t="shared" si="4"/>
        <v>0</v>
      </c>
      <c r="F181" s="17"/>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row>
    <row r="182" spans="1:29" s="1" customFormat="1" ht="40.15" customHeight="1" x14ac:dyDescent="0.25">
      <c r="A182" s="7"/>
      <c r="B182" s="21" t="s">
        <v>236</v>
      </c>
      <c r="C182" s="17" t="s">
        <v>5</v>
      </c>
      <c r="D182" s="74">
        <v>46377</v>
      </c>
      <c r="E182" s="18">
        <f t="shared" si="4"/>
        <v>0</v>
      </c>
      <c r="F182" s="17"/>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row>
    <row r="183" spans="1:29" s="1" customFormat="1" ht="40.15" customHeight="1" x14ac:dyDescent="0.25">
      <c r="A183" s="7"/>
      <c r="B183" s="21" t="s">
        <v>237</v>
      </c>
      <c r="C183" s="17" t="s">
        <v>5</v>
      </c>
      <c r="D183" s="74">
        <v>46377</v>
      </c>
      <c r="E183" s="18">
        <f t="shared" si="4"/>
        <v>0</v>
      </c>
      <c r="F183" s="17"/>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row>
    <row r="184" spans="1:29" s="1" customFormat="1" ht="40.15" customHeight="1" x14ac:dyDescent="0.25">
      <c r="A184" s="7"/>
      <c r="B184" s="21" t="s">
        <v>238</v>
      </c>
      <c r="C184" s="17" t="s">
        <v>5</v>
      </c>
      <c r="D184" s="74">
        <v>46377</v>
      </c>
      <c r="E184" s="18">
        <f t="shared" si="4"/>
        <v>0</v>
      </c>
      <c r="F184" s="17"/>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row>
    <row r="185" spans="1:29" s="1" customFormat="1" ht="40.15" customHeight="1" x14ac:dyDescent="0.25">
      <c r="A185" s="7"/>
      <c r="B185" s="21" t="s">
        <v>239</v>
      </c>
      <c r="C185" s="17" t="s">
        <v>5</v>
      </c>
      <c r="D185" s="74">
        <v>46377</v>
      </c>
      <c r="E185" s="18">
        <f t="shared" si="4"/>
        <v>0</v>
      </c>
      <c r="F185" s="17"/>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row>
    <row r="186" spans="1:29" s="1" customFormat="1" ht="40.15" customHeight="1" x14ac:dyDescent="0.25">
      <c r="A186" s="7"/>
      <c r="B186" s="21" t="s">
        <v>240</v>
      </c>
      <c r="C186" s="17" t="s">
        <v>5</v>
      </c>
      <c r="D186" s="74">
        <v>46377</v>
      </c>
      <c r="E186" s="18">
        <f t="shared" si="4"/>
        <v>0</v>
      </c>
      <c r="F186" s="17"/>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row>
    <row r="187" spans="1:29" s="1" customFormat="1" ht="40.15" customHeight="1" x14ac:dyDescent="0.25">
      <c r="A187" s="7"/>
      <c r="B187" s="21" t="s">
        <v>241</v>
      </c>
      <c r="C187" s="17" t="s">
        <v>5</v>
      </c>
      <c r="D187" s="74">
        <v>46377</v>
      </c>
      <c r="E187" s="18">
        <f t="shared" si="4"/>
        <v>0</v>
      </c>
      <c r="F187" s="17"/>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row>
    <row r="188" spans="1:29" s="1" customFormat="1" ht="40.15" customHeight="1" x14ac:dyDescent="0.25">
      <c r="A188" s="7"/>
      <c r="B188" s="21" t="s">
        <v>242</v>
      </c>
      <c r="C188" s="17" t="s">
        <v>5</v>
      </c>
      <c r="D188" s="74">
        <v>46377</v>
      </c>
      <c r="E188" s="18">
        <f t="shared" si="4"/>
        <v>0</v>
      </c>
      <c r="F188" s="17"/>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row>
    <row r="189" spans="1:29" s="1" customFormat="1" ht="40.15" customHeight="1" x14ac:dyDescent="0.25">
      <c r="A189" s="7"/>
      <c r="B189" s="21" t="s">
        <v>243</v>
      </c>
      <c r="C189" s="17" t="s">
        <v>5</v>
      </c>
      <c r="D189" s="74">
        <v>46377</v>
      </c>
      <c r="E189" s="18">
        <f t="shared" si="4"/>
        <v>0</v>
      </c>
      <c r="F189" s="17"/>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row>
    <row r="190" spans="1:29" s="1" customFormat="1" ht="40.15" customHeight="1" x14ac:dyDescent="0.25">
      <c r="A190" s="7"/>
      <c r="B190" s="21" t="s">
        <v>244</v>
      </c>
      <c r="C190" s="17" t="s">
        <v>5</v>
      </c>
      <c r="D190" s="74">
        <v>46377</v>
      </c>
      <c r="E190" s="18">
        <f t="shared" si="4"/>
        <v>0</v>
      </c>
      <c r="F190" s="17"/>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row>
    <row r="191" spans="1:29" s="1" customFormat="1" ht="40.15" customHeight="1" x14ac:dyDescent="0.25">
      <c r="A191" s="7"/>
      <c r="B191" s="21" t="s">
        <v>245</v>
      </c>
      <c r="C191" s="17" t="s">
        <v>5</v>
      </c>
      <c r="D191" s="74">
        <v>46412</v>
      </c>
      <c r="E191" s="18">
        <f t="shared" si="4"/>
        <v>0</v>
      </c>
      <c r="F191" s="17"/>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row>
    <row r="192" spans="1:29" s="1" customFormat="1" ht="40.15" customHeight="1" x14ac:dyDescent="0.25">
      <c r="A192" s="7"/>
      <c r="B192" s="21" t="s">
        <v>246</v>
      </c>
      <c r="C192" s="17" t="s">
        <v>5</v>
      </c>
      <c r="D192" s="74">
        <v>46412</v>
      </c>
      <c r="E192" s="18">
        <f t="shared" si="4"/>
        <v>0</v>
      </c>
      <c r="F192" s="17"/>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row>
    <row r="193" spans="1:29" s="1" customFormat="1" ht="40.15" customHeight="1" x14ac:dyDescent="0.25">
      <c r="A193" s="7"/>
      <c r="B193" s="21" t="s">
        <v>247</v>
      </c>
      <c r="C193" s="17" t="s">
        <v>5</v>
      </c>
      <c r="D193" s="74">
        <v>46412</v>
      </c>
      <c r="E193" s="18">
        <f t="shared" si="4"/>
        <v>0</v>
      </c>
      <c r="F193" s="17"/>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row>
    <row r="194" spans="1:29" s="1" customFormat="1" ht="40.15" customHeight="1" x14ac:dyDescent="0.25">
      <c r="A194" s="7"/>
      <c r="B194" s="21" t="s">
        <v>248</v>
      </c>
      <c r="C194" s="17" t="s">
        <v>5</v>
      </c>
      <c r="D194" s="74">
        <v>46412</v>
      </c>
      <c r="E194" s="18">
        <f t="shared" si="4"/>
        <v>0</v>
      </c>
      <c r="F194" s="17"/>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row>
    <row r="195" spans="1:29" s="1" customFormat="1" ht="40.15" customHeight="1" x14ac:dyDescent="0.25">
      <c r="A195" s="7"/>
      <c r="B195" s="21" t="s">
        <v>249</v>
      </c>
      <c r="C195" s="17" t="s">
        <v>5</v>
      </c>
      <c r="D195" s="74">
        <v>46412</v>
      </c>
      <c r="E195" s="18">
        <f t="shared" si="4"/>
        <v>0</v>
      </c>
      <c r="F195" s="17"/>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row>
    <row r="196" spans="1:29" s="1" customFormat="1" ht="40.15" customHeight="1" x14ac:dyDescent="0.25">
      <c r="A196" s="7"/>
      <c r="B196" s="21" t="s">
        <v>250</v>
      </c>
      <c r="C196" s="17" t="s">
        <v>5</v>
      </c>
      <c r="D196" s="74">
        <v>46412</v>
      </c>
      <c r="E196" s="18">
        <f t="shared" si="4"/>
        <v>0</v>
      </c>
      <c r="F196" s="17"/>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row>
    <row r="197" spans="1:29" s="1" customFormat="1" ht="40.15" customHeight="1" x14ac:dyDescent="0.25">
      <c r="A197" s="7"/>
      <c r="B197" s="21" t="s">
        <v>251</v>
      </c>
      <c r="C197" s="17" t="s">
        <v>5</v>
      </c>
      <c r="D197" s="74">
        <v>46412</v>
      </c>
      <c r="E197" s="18">
        <f t="shared" si="4"/>
        <v>0</v>
      </c>
      <c r="F197" s="17"/>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row>
    <row r="198" spans="1:29" s="1" customFormat="1" ht="40.15" customHeight="1" x14ac:dyDescent="0.25">
      <c r="A198" s="7"/>
      <c r="B198" s="21" t="s">
        <v>252</v>
      </c>
      <c r="C198" s="17" t="s">
        <v>5</v>
      </c>
      <c r="D198" s="74">
        <v>46412</v>
      </c>
      <c r="E198" s="18">
        <f t="shared" si="4"/>
        <v>0</v>
      </c>
      <c r="F198" s="17"/>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row>
    <row r="199" spans="1:29" s="1" customFormat="1" ht="40.15" customHeight="1" x14ac:dyDescent="0.25">
      <c r="A199" s="7"/>
      <c r="B199" s="21" t="s">
        <v>253</v>
      </c>
      <c r="C199" s="17" t="s">
        <v>5</v>
      </c>
      <c r="D199" s="74">
        <v>46412</v>
      </c>
      <c r="E199" s="18">
        <f t="shared" si="4"/>
        <v>0</v>
      </c>
      <c r="F199" s="17"/>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row>
    <row r="200" spans="1:29" s="1" customFormat="1" ht="40.15" customHeight="1" x14ac:dyDescent="0.25">
      <c r="A200" s="7"/>
      <c r="B200" s="21" t="s">
        <v>254</v>
      </c>
      <c r="C200" s="17" t="s">
        <v>5</v>
      </c>
      <c r="D200" s="74">
        <v>46412</v>
      </c>
      <c r="E200" s="18">
        <f t="shared" si="4"/>
        <v>0</v>
      </c>
      <c r="F200" s="17"/>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row>
    <row r="201" spans="1:29" s="1" customFormat="1" ht="40.15" customHeight="1" x14ac:dyDescent="0.25">
      <c r="A201" s="7"/>
      <c r="B201" s="21" t="s">
        <v>255</v>
      </c>
      <c r="C201" s="17" t="s">
        <v>5</v>
      </c>
      <c r="D201" s="74">
        <v>46412</v>
      </c>
      <c r="E201" s="18">
        <f t="shared" si="4"/>
        <v>0</v>
      </c>
      <c r="F201" s="17"/>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row>
    <row r="202" spans="1:29" s="1" customFormat="1" ht="40.15" customHeight="1" x14ac:dyDescent="0.25">
      <c r="A202" s="7"/>
      <c r="B202" s="21" t="s">
        <v>256</v>
      </c>
      <c r="C202" s="17" t="s">
        <v>5</v>
      </c>
      <c r="D202" s="74">
        <v>46412</v>
      </c>
      <c r="E202" s="18">
        <f t="shared" si="4"/>
        <v>0</v>
      </c>
      <c r="F202" s="17"/>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row>
    <row r="203" spans="1:29" s="1" customFormat="1" ht="40.15" customHeight="1" x14ac:dyDescent="0.25">
      <c r="A203" s="7"/>
      <c r="B203" s="21" t="s">
        <v>257</v>
      </c>
      <c r="C203" s="17" t="s">
        <v>5</v>
      </c>
      <c r="D203" s="74">
        <v>46412</v>
      </c>
      <c r="E203" s="18">
        <f t="shared" si="4"/>
        <v>0</v>
      </c>
      <c r="F203" s="17"/>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row>
    <row r="204" spans="1:29" s="1" customFormat="1" ht="40.15" customHeight="1" x14ac:dyDescent="0.25">
      <c r="A204" s="7"/>
      <c r="B204" s="21" t="s">
        <v>258</v>
      </c>
      <c r="C204" s="17" t="s">
        <v>5</v>
      </c>
      <c r="D204" s="74">
        <v>46412</v>
      </c>
      <c r="E204" s="18">
        <f t="shared" si="4"/>
        <v>0</v>
      </c>
      <c r="F204" s="17"/>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row>
    <row r="205" spans="1:29" s="1" customFormat="1" ht="40.15" customHeight="1" x14ac:dyDescent="0.25">
      <c r="A205" s="7"/>
      <c r="B205" s="21" t="s">
        <v>259</v>
      </c>
      <c r="C205" s="17" t="s">
        <v>5</v>
      </c>
      <c r="D205" s="74">
        <v>46412</v>
      </c>
      <c r="E205" s="18">
        <f t="shared" si="4"/>
        <v>0</v>
      </c>
      <c r="F205" s="17"/>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row>
    <row r="206" spans="1:29" s="1" customFormat="1" ht="40.15" customHeight="1" x14ac:dyDescent="0.25">
      <c r="A206" s="7"/>
      <c r="B206" s="21" t="s">
        <v>260</v>
      </c>
      <c r="C206" s="17" t="s">
        <v>5</v>
      </c>
      <c r="D206" s="74">
        <v>46412</v>
      </c>
      <c r="E206" s="18">
        <f t="shared" si="4"/>
        <v>0</v>
      </c>
      <c r="F206" s="17"/>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row>
    <row r="207" spans="1:29" s="1" customFormat="1" ht="40.15" customHeight="1" x14ac:dyDescent="0.25">
      <c r="A207" s="7"/>
      <c r="B207" s="21" t="s">
        <v>261</v>
      </c>
      <c r="C207" s="17" t="s">
        <v>5</v>
      </c>
      <c r="D207" s="74">
        <v>46412</v>
      </c>
      <c r="E207" s="18">
        <f t="shared" si="4"/>
        <v>0</v>
      </c>
      <c r="F207" s="17"/>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row>
    <row r="208" spans="1:29" s="1" customFormat="1" ht="40.15" customHeight="1" x14ac:dyDescent="0.25">
      <c r="A208" s="7"/>
      <c r="B208" s="21" t="s">
        <v>262</v>
      </c>
      <c r="C208" s="17" t="s">
        <v>5</v>
      </c>
      <c r="D208" s="74">
        <v>46412</v>
      </c>
      <c r="E208" s="18">
        <f t="shared" si="4"/>
        <v>0</v>
      </c>
      <c r="F208" s="17"/>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row>
    <row r="209" spans="1:29" s="1" customFormat="1" ht="40.15" customHeight="1" x14ac:dyDescent="0.25">
      <c r="A209" s="7"/>
      <c r="B209" s="21" t="s">
        <v>263</v>
      </c>
      <c r="C209" s="17" t="s">
        <v>5</v>
      </c>
      <c r="D209" s="74">
        <v>46412</v>
      </c>
      <c r="E209" s="18">
        <f t="shared" si="4"/>
        <v>0</v>
      </c>
      <c r="F209" s="17"/>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row>
    <row r="210" spans="1:29" s="1" customFormat="1" ht="40.15" customHeight="1" x14ac:dyDescent="0.25">
      <c r="A210" s="7"/>
      <c r="B210" s="21" t="s">
        <v>264</v>
      </c>
      <c r="C210" s="17" t="s">
        <v>5</v>
      </c>
      <c r="D210" s="74">
        <v>46412</v>
      </c>
      <c r="E210" s="18">
        <f t="shared" si="4"/>
        <v>0</v>
      </c>
      <c r="F210" s="17"/>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row>
    <row r="211" spans="1:29" s="1" customFormat="1" ht="40.15" customHeight="1" x14ac:dyDescent="0.25">
      <c r="A211" s="7"/>
      <c r="B211" s="21" t="s">
        <v>265</v>
      </c>
      <c r="C211" s="17" t="s">
        <v>5</v>
      </c>
      <c r="D211" s="74">
        <v>46412</v>
      </c>
      <c r="E211" s="18">
        <f t="shared" si="4"/>
        <v>0</v>
      </c>
      <c r="F211" s="17"/>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row>
    <row r="212" spans="1:29" s="1" customFormat="1" ht="40.15" customHeight="1" x14ac:dyDescent="0.25">
      <c r="A212" s="7"/>
      <c r="B212" s="21" t="s">
        <v>266</v>
      </c>
      <c r="C212" s="17" t="s">
        <v>5</v>
      </c>
      <c r="D212" s="74">
        <v>46412</v>
      </c>
      <c r="E212" s="18">
        <f t="shared" si="4"/>
        <v>0</v>
      </c>
      <c r="F212" s="17"/>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row>
    <row r="213" spans="1:29" s="1" customFormat="1" ht="40.15" customHeight="1" x14ac:dyDescent="0.25">
      <c r="A213" s="7"/>
      <c r="B213" s="21" t="s">
        <v>267</v>
      </c>
      <c r="C213" s="17" t="s">
        <v>5</v>
      </c>
      <c r="D213" s="74">
        <v>46412</v>
      </c>
      <c r="E213" s="18">
        <f t="shared" si="4"/>
        <v>0</v>
      </c>
      <c r="F213" s="17"/>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row>
    <row r="214" spans="1:29" s="1" customFormat="1" ht="40.15" customHeight="1" x14ac:dyDescent="0.25">
      <c r="A214" s="7"/>
      <c r="B214" s="21" t="s">
        <v>268</v>
      </c>
      <c r="C214" s="17" t="s">
        <v>5</v>
      </c>
      <c r="D214" s="74">
        <v>46412</v>
      </c>
      <c r="E214" s="18">
        <f t="shared" si="4"/>
        <v>0</v>
      </c>
      <c r="F214" s="17"/>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row>
    <row r="215" spans="1:29" s="1" customFormat="1" ht="40.15" customHeight="1" x14ac:dyDescent="0.25">
      <c r="A215" s="7"/>
      <c r="B215" s="21" t="s">
        <v>269</v>
      </c>
      <c r="C215" s="17" t="s">
        <v>5</v>
      </c>
      <c r="D215" s="74">
        <v>46426</v>
      </c>
      <c r="E215" s="18">
        <f t="shared" si="4"/>
        <v>0</v>
      </c>
      <c r="F215" s="17"/>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row>
    <row r="216" spans="1:29" s="1" customFormat="1" ht="40.15" customHeight="1" x14ac:dyDescent="0.25">
      <c r="A216" s="7"/>
      <c r="B216" s="21" t="s">
        <v>270</v>
      </c>
      <c r="C216" s="17" t="s">
        <v>5</v>
      </c>
      <c r="D216" s="74">
        <v>46426</v>
      </c>
      <c r="E216" s="18">
        <f t="shared" si="4"/>
        <v>0</v>
      </c>
      <c r="F216" s="17"/>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row>
    <row r="217" spans="1:29" s="1" customFormat="1" ht="40.15" customHeight="1" x14ac:dyDescent="0.25">
      <c r="A217" s="7"/>
      <c r="B217" s="21" t="s">
        <v>271</v>
      </c>
      <c r="C217" s="17" t="s">
        <v>5</v>
      </c>
      <c r="D217" s="74">
        <v>46426</v>
      </c>
      <c r="E217" s="18">
        <f t="shared" si="4"/>
        <v>0</v>
      </c>
      <c r="F217" s="17"/>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row>
    <row r="218" spans="1:29" s="1" customFormat="1" ht="40.15" customHeight="1" x14ac:dyDescent="0.25">
      <c r="A218" s="7"/>
      <c r="B218" s="21" t="s">
        <v>272</v>
      </c>
      <c r="C218" s="17" t="s">
        <v>5</v>
      </c>
      <c r="D218" s="74">
        <v>46426</v>
      </c>
      <c r="E218" s="18">
        <f t="shared" si="4"/>
        <v>0</v>
      </c>
      <c r="F218" s="17"/>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row>
    <row r="219" spans="1:29" s="1" customFormat="1" ht="40.15" customHeight="1" x14ac:dyDescent="0.25">
      <c r="A219" s="7"/>
      <c r="B219" s="21" t="s">
        <v>273</v>
      </c>
      <c r="C219" s="17" t="s">
        <v>5</v>
      </c>
      <c r="D219" s="74">
        <v>46426</v>
      </c>
      <c r="E219" s="18">
        <f t="shared" si="4"/>
        <v>0</v>
      </c>
      <c r="F219" s="17"/>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row>
    <row r="220" spans="1:29" s="1" customFormat="1" ht="40.15" customHeight="1" x14ac:dyDescent="0.25">
      <c r="A220" s="7"/>
      <c r="B220" s="21" t="s">
        <v>274</v>
      </c>
      <c r="C220" s="17" t="s">
        <v>5</v>
      </c>
      <c r="D220" s="74">
        <v>46426</v>
      </c>
      <c r="E220" s="18">
        <f t="shared" si="4"/>
        <v>0</v>
      </c>
      <c r="F220" s="17"/>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row>
    <row r="221" spans="1:29" s="1" customFormat="1" ht="40.15" customHeight="1" x14ac:dyDescent="0.25">
      <c r="A221" s="7"/>
      <c r="B221" s="21" t="s">
        <v>275</v>
      </c>
      <c r="C221" s="17" t="s">
        <v>5</v>
      </c>
      <c r="D221" s="74">
        <v>46426</v>
      </c>
      <c r="E221" s="18">
        <f t="shared" ref="E221:E226" si="5">COUNT(G221:AC221)/23</f>
        <v>0</v>
      </c>
      <c r="F221" s="17"/>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row>
    <row r="222" spans="1:29" s="1" customFormat="1" ht="40.15" customHeight="1" x14ac:dyDescent="0.25">
      <c r="A222" s="7"/>
      <c r="B222" s="21" t="s">
        <v>276</v>
      </c>
      <c r="C222" s="17" t="s">
        <v>5</v>
      </c>
      <c r="D222" s="74">
        <v>46426</v>
      </c>
      <c r="E222" s="18">
        <f t="shared" si="5"/>
        <v>0</v>
      </c>
      <c r="F222" s="17"/>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row>
    <row r="223" spans="1:29" s="1" customFormat="1" ht="40.15" customHeight="1" x14ac:dyDescent="0.25">
      <c r="A223" s="7"/>
      <c r="B223" s="21" t="s">
        <v>277</v>
      </c>
      <c r="C223" s="17" t="s">
        <v>5</v>
      </c>
      <c r="D223" s="74">
        <v>46426</v>
      </c>
      <c r="E223" s="18">
        <f t="shared" si="5"/>
        <v>0</v>
      </c>
      <c r="F223" s="17"/>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row>
    <row r="224" spans="1:29" s="1" customFormat="1" ht="40.15" customHeight="1" x14ac:dyDescent="0.25">
      <c r="A224" s="7"/>
      <c r="B224" s="21" t="s">
        <v>278</v>
      </c>
      <c r="C224" s="17" t="s">
        <v>5</v>
      </c>
      <c r="D224" s="74">
        <v>46426</v>
      </c>
      <c r="E224" s="18">
        <f t="shared" si="5"/>
        <v>0</v>
      </c>
      <c r="F224" s="17"/>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row>
    <row r="225" spans="1:29" s="1" customFormat="1" ht="40.15" customHeight="1" x14ac:dyDescent="0.25">
      <c r="A225" s="7"/>
      <c r="B225" s="21" t="s">
        <v>279</v>
      </c>
      <c r="C225" s="17" t="s">
        <v>5</v>
      </c>
      <c r="D225" s="74">
        <v>46426</v>
      </c>
      <c r="E225" s="18">
        <f t="shared" si="5"/>
        <v>0</v>
      </c>
      <c r="F225" s="17"/>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row>
    <row r="226" spans="1:29" s="1" customFormat="1" ht="40.15" customHeight="1" x14ac:dyDescent="0.25">
      <c r="A226" s="7"/>
      <c r="B226" s="21" t="s">
        <v>280</v>
      </c>
      <c r="C226" s="17" t="s">
        <v>5</v>
      </c>
      <c r="D226" s="74">
        <v>46426</v>
      </c>
      <c r="E226" s="18">
        <f t="shared" si="5"/>
        <v>0</v>
      </c>
      <c r="F226" s="17"/>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row>
    <row r="227" spans="1:29" s="1" customFormat="1" ht="40.15" customHeight="1" x14ac:dyDescent="0.25">
      <c r="A227" s="7"/>
      <c r="B227" s="65"/>
      <c r="C227" s="17"/>
      <c r="D227" s="17"/>
      <c r="E227" s="18"/>
      <c r="F227" s="17"/>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spans="1:29" s="1" customFormat="1" ht="40.15" customHeight="1" x14ac:dyDescent="0.25">
      <c r="A228" s="7"/>
      <c r="B228" s="65"/>
      <c r="C228" s="17"/>
      <c r="D228" s="17"/>
      <c r="E228" s="18"/>
      <c r="F228" s="17"/>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spans="1:29" s="1" customFormat="1" ht="40.15" customHeight="1" x14ac:dyDescent="0.25">
      <c r="A229" s="7"/>
      <c r="B229" s="65"/>
      <c r="C229" s="17"/>
      <c r="D229" s="17"/>
      <c r="E229" s="18"/>
      <c r="F229" s="17"/>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spans="1:29" s="1" customFormat="1" ht="40.15" customHeight="1" x14ac:dyDescent="0.25">
      <c r="A230" s="7"/>
      <c r="B230" s="65"/>
      <c r="C230" s="17"/>
      <c r="D230" s="17"/>
      <c r="E230" s="18"/>
      <c r="F230" s="17"/>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spans="1:29" s="1" customFormat="1" ht="40.15" customHeight="1" x14ac:dyDescent="0.25">
      <c r="A231" s="7"/>
      <c r="B231" s="65"/>
      <c r="C231" s="17"/>
      <c r="D231" s="17"/>
      <c r="E231" s="18"/>
      <c r="F231" s="17"/>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spans="1:29" s="1" customFormat="1" ht="40.15" customHeight="1" x14ac:dyDescent="0.25">
      <c r="A232" s="7"/>
      <c r="B232" s="65"/>
      <c r="C232" s="17"/>
      <c r="D232" s="17"/>
      <c r="E232" s="18"/>
      <c r="F232" s="17"/>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spans="1:29" s="1" customFormat="1" ht="40.15" customHeight="1" x14ac:dyDescent="0.25">
      <c r="A233" s="7"/>
      <c r="B233" s="65"/>
      <c r="C233" s="17"/>
      <c r="D233" s="17"/>
      <c r="E233" s="18"/>
      <c r="F233" s="17"/>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spans="1:29" s="1" customFormat="1" ht="40.15" customHeight="1" x14ac:dyDescent="0.25">
      <c r="A234" s="7"/>
      <c r="B234" s="65"/>
      <c r="C234" s="17"/>
      <c r="D234" s="17"/>
      <c r="E234" s="18"/>
      <c r="F234" s="17"/>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spans="1:29" s="1" customFormat="1" ht="40.15" customHeight="1" x14ac:dyDescent="0.25">
      <c r="A235" s="7"/>
      <c r="B235" s="65"/>
      <c r="C235" s="17"/>
      <c r="D235" s="17"/>
      <c r="E235" s="18"/>
      <c r="F235" s="17"/>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spans="1:29" s="1" customFormat="1" ht="40.15" customHeight="1" x14ac:dyDescent="0.25">
      <c r="A236" s="7"/>
      <c r="B236" s="65"/>
      <c r="C236" s="17"/>
      <c r="D236" s="17"/>
      <c r="E236" s="18"/>
      <c r="F236" s="17"/>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spans="1:29" s="1" customFormat="1" ht="40.15" customHeight="1" x14ac:dyDescent="0.25">
      <c r="A237" s="7"/>
      <c r="B237" s="65"/>
      <c r="C237" s="17"/>
      <c r="D237" s="17"/>
      <c r="E237" s="18"/>
      <c r="F237" s="17"/>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spans="1:29" s="1" customFormat="1" ht="40.15" customHeight="1" x14ac:dyDescent="0.25">
      <c r="A238" s="7"/>
      <c r="B238" s="65"/>
      <c r="C238" s="17"/>
      <c r="D238" s="17"/>
      <c r="E238" s="18"/>
      <c r="F238" s="17"/>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spans="1:29" s="1" customFormat="1" ht="40.15" customHeight="1" x14ac:dyDescent="0.25">
      <c r="A239" s="7"/>
      <c r="B239" s="65"/>
      <c r="C239" s="17"/>
      <c r="D239" s="17"/>
      <c r="E239" s="18"/>
      <c r="F239" s="17"/>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spans="1:29" s="1" customFormat="1" ht="40.15" customHeight="1" x14ac:dyDescent="0.25">
      <c r="A240" s="7"/>
      <c r="B240" s="65"/>
      <c r="C240" s="17"/>
      <c r="D240" s="17"/>
      <c r="E240" s="18"/>
      <c r="F240" s="17"/>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spans="1:29" s="1" customFormat="1" ht="40.15" customHeight="1" x14ac:dyDescent="0.25">
      <c r="A241" s="7"/>
      <c r="B241" s="65"/>
      <c r="C241" s="17"/>
      <c r="D241" s="17"/>
      <c r="E241" s="18"/>
      <c r="F241" s="17"/>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spans="1:29" s="1" customFormat="1" ht="40.15" customHeight="1" x14ac:dyDescent="0.25">
      <c r="A242" s="7"/>
      <c r="B242" s="65"/>
      <c r="C242" s="17"/>
      <c r="D242" s="17"/>
      <c r="E242" s="18"/>
      <c r="F242" s="17"/>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spans="1:29" s="1" customFormat="1" ht="40.15" customHeight="1" x14ac:dyDescent="0.25">
      <c r="A243" s="7"/>
      <c r="B243" s="65"/>
      <c r="C243" s="17"/>
      <c r="D243" s="17"/>
      <c r="E243" s="18"/>
      <c r="F243" s="17"/>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spans="1:29" s="1" customFormat="1" ht="40.15" customHeight="1" x14ac:dyDescent="0.25">
      <c r="A244" s="7"/>
      <c r="B244" s="65"/>
      <c r="C244" s="17"/>
      <c r="D244" s="17"/>
      <c r="E244" s="18"/>
      <c r="F244" s="17"/>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spans="1:29" s="1" customFormat="1" ht="40.15" customHeight="1" x14ac:dyDescent="0.25">
      <c r="A245" s="7"/>
      <c r="B245" s="65"/>
      <c r="C245" s="17"/>
      <c r="D245" s="17"/>
      <c r="E245" s="18"/>
      <c r="F245" s="17"/>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spans="1:29" s="1" customFormat="1" ht="40.15" customHeight="1" x14ac:dyDescent="0.25">
      <c r="A246" s="7"/>
      <c r="B246" s="65"/>
      <c r="C246" s="17"/>
      <c r="D246" s="17"/>
      <c r="E246" s="18"/>
      <c r="F246" s="17"/>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spans="1:29" s="1" customFormat="1" ht="40.15" customHeight="1" x14ac:dyDescent="0.25">
      <c r="A247" s="7"/>
      <c r="B247" s="65"/>
      <c r="C247" s="17"/>
      <c r="D247" s="17"/>
      <c r="E247" s="18"/>
      <c r="F247" s="17"/>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spans="1:29" s="1" customFormat="1" ht="40.15" customHeight="1" x14ac:dyDescent="0.25">
      <c r="A248" s="7"/>
      <c r="B248" s="65"/>
      <c r="C248" s="17"/>
      <c r="D248" s="17"/>
      <c r="E248" s="18"/>
      <c r="F248" s="17"/>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spans="1:29" s="1" customFormat="1" ht="40.15" customHeight="1" x14ac:dyDescent="0.25">
      <c r="A249" s="7"/>
      <c r="B249" s="65"/>
      <c r="C249" s="17"/>
      <c r="D249" s="17"/>
      <c r="E249" s="18"/>
      <c r="F249" s="17"/>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spans="1:29" s="1" customFormat="1" ht="40.15" customHeight="1" x14ac:dyDescent="0.25">
      <c r="A250" s="7"/>
      <c r="B250" s="65"/>
      <c r="C250" s="17"/>
      <c r="D250" s="17"/>
      <c r="E250" s="18"/>
      <c r="F250" s="17"/>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spans="1:29" s="1" customFormat="1" ht="40.15" customHeight="1" x14ac:dyDescent="0.25">
      <c r="A251" s="7"/>
      <c r="B251" s="65"/>
      <c r="C251" s="17"/>
      <c r="D251" s="17"/>
      <c r="E251" s="18"/>
      <c r="F251" s="17"/>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spans="1:29" s="1" customFormat="1" ht="40.15" customHeight="1" x14ac:dyDescent="0.25">
      <c r="A252" s="7"/>
      <c r="B252" s="65"/>
      <c r="C252" s="17"/>
      <c r="D252" s="17"/>
      <c r="E252" s="18"/>
      <c r="F252" s="17"/>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spans="1:29" s="1" customFormat="1" ht="40.15" customHeight="1" x14ac:dyDescent="0.25">
      <c r="A253" s="7"/>
      <c r="B253" s="65"/>
      <c r="C253" s="17"/>
      <c r="D253" s="17"/>
      <c r="E253" s="18"/>
      <c r="F253" s="17"/>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spans="1:29" s="1" customFormat="1" ht="40.15" customHeight="1" x14ac:dyDescent="0.25">
      <c r="A254" s="7"/>
      <c r="B254" s="65"/>
      <c r="C254" s="17"/>
      <c r="D254" s="17"/>
      <c r="E254" s="18"/>
      <c r="F254" s="17"/>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spans="1:29" s="1" customFormat="1" ht="40.15" customHeight="1" x14ac:dyDescent="0.25">
      <c r="A255" s="7"/>
      <c r="B255" s="65"/>
      <c r="C255" s="17"/>
      <c r="D255" s="17"/>
      <c r="E255" s="18"/>
      <c r="F255" s="17"/>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spans="1:29" s="1" customFormat="1" ht="40.15" customHeight="1" x14ac:dyDescent="0.25">
      <c r="A256" s="7"/>
      <c r="B256" s="65"/>
      <c r="C256" s="17"/>
      <c r="D256" s="17"/>
      <c r="E256" s="18"/>
      <c r="F256" s="17"/>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spans="1:29" s="1" customFormat="1" ht="40.15" customHeight="1" x14ac:dyDescent="0.25">
      <c r="A257" s="7"/>
      <c r="B257" s="65"/>
      <c r="C257" s="17"/>
      <c r="D257" s="17"/>
      <c r="E257" s="18"/>
      <c r="F257" s="17"/>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spans="1:29" s="1" customFormat="1" ht="40.15" customHeight="1" x14ac:dyDescent="0.25">
      <c r="A258" s="7"/>
      <c r="B258" s="65"/>
      <c r="C258" s="17"/>
      <c r="D258" s="17"/>
      <c r="E258" s="18"/>
      <c r="F258" s="17"/>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spans="1:29" s="1" customFormat="1" ht="40.15" customHeight="1" x14ac:dyDescent="0.25">
      <c r="A259" s="7"/>
      <c r="B259" s="65"/>
      <c r="C259" s="17"/>
      <c r="D259" s="17"/>
      <c r="E259" s="18"/>
      <c r="F259" s="17"/>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spans="1:29" s="1" customFormat="1" ht="40.15" customHeight="1" x14ac:dyDescent="0.25">
      <c r="A260" s="7"/>
      <c r="B260" s="65"/>
      <c r="C260" s="17"/>
      <c r="D260" s="17"/>
      <c r="E260" s="18"/>
      <c r="F260" s="17"/>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spans="1:29" s="1" customFormat="1" ht="40.15" customHeight="1" x14ac:dyDescent="0.25">
      <c r="A261" s="7"/>
      <c r="B261" s="65"/>
      <c r="C261" s="17"/>
      <c r="D261" s="17"/>
      <c r="E261" s="18"/>
      <c r="F261" s="17"/>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spans="1:29" s="1" customFormat="1" ht="40.15" customHeight="1" x14ac:dyDescent="0.25">
      <c r="A262" s="7"/>
      <c r="B262" s="65"/>
      <c r="C262" s="17"/>
      <c r="D262" s="17"/>
      <c r="E262" s="18"/>
      <c r="F262" s="17"/>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spans="1:29" s="1" customFormat="1" ht="40.15" customHeight="1" x14ac:dyDescent="0.25">
      <c r="A263" s="7"/>
      <c r="B263" s="65"/>
      <c r="C263" s="17"/>
      <c r="D263" s="17"/>
      <c r="E263" s="18"/>
      <c r="F263" s="17"/>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spans="1:29" s="1" customFormat="1" ht="40.15" customHeight="1" x14ac:dyDescent="0.25">
      <c r="A264" s="7"/>
      <c r="B264" s="65"/>
      <c r="C264" s="17"/>
      <c r="D264" s="17"/>
      <c r="E264" s="18"/>
      <c r="F264" s="17"/>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spans="1:29" s="1" customFormat="1" ht="40.15" customHeight="1" x14ac:dyDescent="0.25">
      <c r="A265" s="7"/>
      <c r="B265" s="65"/>
      <c r="C265" s="17"/>
      <c r="D265" s="17"/>
      <c r="E265" s="18"/>
      <c r="F265" s="17"/>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spans="1:29" s="1" customFormat="1" ht="40.15" customHeight="1" x14ac:dyDescent="0.25">
      <c r="A266" s="7"/>
      <c r="B266" s="65"/>
      <c r="C266" s="17"/>
      <c r="D266" s="17"/>
      <c r="E266" s="18"/>
      <c r="F266" s="17"/>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spans="1:29" s="1" customFormat="1" ht="40.15" customHeight="1" x14ac:dyDescent="0.25">
      <c r="A267" s="7"/>
      <c r="B267" s="65"/>
      <c r="C267" s="17"/>
      <c r="D267" s="17"/>
      <c r="E267" s="18"/>
      <c r="F267" s="17"/>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s="1" customFormat="1" ht="40.15" customHeight="1" x14ac:dyDescent="0.25">
      <c r="A268" s="7"/>
      <c r="B268" s="65"/>
      <c r="C268" s="17"/>
      <c r="D268" s="17"/>
      <c r="E268" s="18"/>
      <c r="F268" s="17"/>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s="1" customFormat="1" ht="40.15" customHeight="1" x14ac:dyDescent="0.25">
      <c r="A269" s="7"/>
      <c r="B269" s="65"/>
      <c r="C269" s="17"/>
      <c r="D269" s="17"/>
      <c r="E269" s="18"/>
      <c r="F269" s="17"/>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s="1" customFormat="1" ht="40.15" customHeight="1" x14ac:dyDescent="0.25">
      <c r="A270" s="7"/>
      <c r="B270" s="65"/>
      <c r="C270" s="17"/>
      <c r="D270" s="17"/>
      <c r="E270" s="18"/>
      <c r="F270" s="17"/>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s="1" customFormat="1" ht="40.15" customHeight="1" x14ac:dyDescent="0.25">
      <c r="A271" s="7"/>
      <c r="B271" s="65"/>
      <c r="C271" s="17"/>
      <c r="D271" s="17"/>
      <c r="E271" s="18"/>
      <c r="F271" s="17"/>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s="1" customFormat="1" ht="40.15" customHeight="1" x14ac:dyDescent="0.25">
      <c r="A272" s="7"/>
      <c r="B272" s="65"/>
      <c r="C272" s="17"/>
      <c r="D272" s="17"/>
      <c r="E272" s="18"/>
      <c r="F272" s="17"/>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s="1" customFormat="1" ht="40.15" customHeight="1" x14ac:dyDescent="0.25">
      <c r="A273" s="7"/>
      <c r="B273" s="65"/>
      <c r="C273" s="17"/>
      <c r="D273" s="17"/>
      <c r="E273" s="18"/>
      <c r="F273" s="17"/>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s="1" customFormat="1" ht="40.15" customHeight="1" x14ac:dyDescent="0.25">
      <c r="A274" s="7"/>
      <c r="B274" s="65"/>
      <c r="C274" s="17"/>
      <c r="D274" s="17"/>
      <c r="E274" s="18"/>
      <c r="F274" s="17"/>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s="1" customFormat="1" ht="40.15" customHeight="1" x14ac:dyDescent="0.25">
      <c r="A275" s="7"/>
      <c r="B275" s="65"/>
      <c r="C275" s="17"/>
      <c r="D275" s="17"/>
      <c r="E275" s="18"/>
      <c r="F275" s="17"/>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s="1" customFormat="1" ht="40.15" customHeight="1" x14ac:dyDescent="0.25">
      <c r="A276" s="7"/>
      <c r="B276" s="65"/>
      <c r="C276" s="17"/>
      <c r="D276" s="17"/>
      <c r="E276" s="18"/>
      <c r="F276" s="17"/>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s="1" customFormat="1" ht="40.15" customHeight="1" x14ac:dyDescent="0.25">
      <c r="A277" s="7"/>
      <c r="B277" s="65"/>
      <c r="C277" s="17"/>
      <c r="D277" s="17"/>
      <c r="E277" s="18"/>
      <c r="F277" s="17"/>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s="1" customFormat="1" ht="40.15" customHeight="1" x14ac:dyDescent="0.25">
      <c r="A278" s="7"/>
      <c r="B278" s="65"/>
      <c r="C278" s="17"/>
      <c r="D278" s="17"/>
      <c r="E278" s="18"/>
      <c r="F278" s="17"/>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s="1" customFormat="1" ht="40.15" customHeight="1" x14ac:dyDescent="0.25">
      <c r="A279" s="7"/>
      <c r="B279" s="65"/>
      <c r="C279" s="17"/>
      <c r="D279" s="17"/>
      <c r="E279" s="18"/>
      <c r="F279" s="17"/>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s="1" customFormat="1" ht="40.15" customHeight="1" x14ac:dyDescent="0.25">
      <c r="A280" s="7"/>
      <c r="B280" s="65"/>
      <c r="C280" s="17"/>
      <c r="D280" s="17"/>
      <c r="E280" s="18"/>
      <c r="F280" s="17"/>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s="1" customFormat="1" ht="40.15" customHeight="1" x14ac:dyDescent="0.25">
      <c r="A281" s="7"/>
      <c r="B281" s="65"/>
      <c r="C281" s="17"/>
      <c r="D281" s="17"/>
      <c r="E281" s="18"/>
      <c r="F281" s="17"/>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s="1" customFormat="1" ht="40.15" customHeight="1" x14ac:dyDescent="0.25">
      <c r="A282" s="7"/>
      <c r="B282" s="65"/>
      <c r="C282" s="17"/>
      <c r="D282" s="17"/>
      <c r="E282" s="18"/>
      <c r="F282" s="17"/>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s="1" customFormat="1" ht="40.15" customHeight="1" x14ac:dyDescent="0.25">
      <c r="A283" s="7"/>
      <c r="B283" s="65"/>
      <c r="C283" s="17"/>
      <c r="D283" s="17"/>
      <c r="E283" s="18"/>
      <c r="F283" s="17"/>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s="1" customFormat="1" ht="40.15" customHeight="1" x14ac:dyDescent="0.25">
      <c r="A284" s="7"/>
      <c r="B284" s="65"/>
      <c r="C284" s="17"/>
      <c r="D284" s="17"/>
      <c r="E284" s="18"/>
      <c r="F284" s="17"/>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s="1" customFormat="1" ht="40.15" customHeight="1" x14ac:dyDescent="0.25">
      <c r="A285" s="7"/>
      <c r="B285" s="65"/>
      <c r="C285" s="17"/>
      <c r="D285" s="17"/>
      <c r="E285" s="18"/>
      <c r="F285" s="17"/>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s="1" customFormat="1" ht="40.15" customHeight="1" x14ac:dyDescent="0.25">
      <c r="A286" s="7"/>
      <c r="B286" s="65"/>
      <c r="C286" s="17"/>
      <c r="D286" s="17"/>
      <c r="E286" s="18"/>
      <c r="F286" s="17"/>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s="1" customFormat="1" ht="40.15" customHeight="1" x14ac:dyDescent="0.25">
      <c r="A287" s="7"/>
      <c r="B287" s="65"/>
      <c r="C287" s="17"/>
      <c r="D287" s="17"/>
      <c r="E287" s="18"/>
      <c r="F287" s="17"/>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s="1" customFormat="1" ht="40.15" customHeight="1" x14ac:dyDescent="0.25">
      <c r="A288" s="7"/>
      <c r="B288" s="65"/>
      <c r="C288" s="17"/>
      <c r="D288" s="17"/>
      <c r="E288" s="18"/>
      <c r="F288" s="17"/>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s="1" customFormat="1" ht="40.15" customHeight="1" x14ac:dyDescent="0.25">
      <c r="A289" s="7"/>
      <c r="B289" s="65"/>
      <c r="C289" s="17"/>
      <c r="D289" s="17"/>
      <c r="E289" s="18"/>
      <c r="F289" s="17"/>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s="1" customFormat="1" ht="40.15" customHeight="1" x14ac:dyDescent="0.25">
      <c r="A290" s="7"/>
      <c r="B290" s="65"/>
      <c r="C290" s="17"/>
      <c r="D290" s="17"/>
      <c r="E290" s="18"/>
      <c r="F290" s="17"/>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s="1" customFormat="1" ht="40.15" customHeight="1" x14ac:dyDescent="0.25">
      <c r="A291" s="7"/>
      <c r="B291" s="65"/>
      <c r="C291" s="17"/>
      <c r="D291" s="17"/>
      <c r="E291" s="18"/>
      <c r="F291" s="17"/>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s="1" customFormat="1" ht="40.15" customHeight="1" x14ac:dyDescent="0.25">
      <c r="A292" s="7"/>
      <c r="B292" s="65"/>
      <c r="C292" s="17"/>
      <c r="D292" s="17"/>
      <c r="E292" s="18"/>
      <c r="F292" s="17"/>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s="1" customFormat="1" ht="40.15" customHeight="1" x14ac:dyDescent="0.25">
      <c r="A293" s="7"/>
      <c r="B293" s="65"/>
      <c r="C293" s="17"/>
      <c r="D293" s="17"/>
      <c r="E293" s="18"/>
      <c r="F293" s="17"/>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s="1" customFormat="1" ht="40.15" customHeight="1" x14ac:dyDescent="0.25">
      <c r="A294" s="7"/>
      <c r="B294" s="65"/>
      <c r="C294" s="17"/>
      <c r="D294" s="17"/>
      <c r="E294" s="18"/>
      <c r="F294" s="17"/>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s="1" customFormat="1" ht="40.15" customHeight="1" x14ac:dyDescent="0.25">
      <c r="A295" s="7"/>
      <c r="B295" s="65"/>
      <c r="C295" s="17"/>
      <c r="D295" s="17"/>
      <c r="E295" s="18"/>
      <c r="F295" s="17"/>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s="1" customFormat="1" ht="40.15" customHeight="1" x14ac:dyDescent="0.25">
      <c r="A296" s="7"/>
      <c r="B296" s="65"/>
      <c r="C296" s="17"/>
      <c r="D296" s="17"/>
      <c r="E296" s="18"/>
      <c r="F296" s="17"/>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s="1" customFormat="1" ht="40.15" customHeight="1" x14ac:dyDescent="0.25">
      <c r="A297" s="7"/>
      <c r="B297" s="65"/>
      <c r="C297" s="17"/>
      <c r="D297" s="17"/>
      <c r="E297" s="18"/>
      <c r="F297" s="17"/>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s="1" customFormat="1" ht="40.15" customHeight="1" x14ac:dyDescent="0.25">
      <c r="A298" s="7"/>
      <c r="B298" s="65"/>
      <c r="C298" s="17"/>
      <c r="D298" s="17"/>
      <c r="E298" s="18"/>
      <c r="F298" s="17"/>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s="1" customFormat="1" ht="40.15" customHeight="1" x14ac:dyDescent="0.25">
      <c r="A299" s="7"/>
      <c r="B299" s="65"/>
      <c r="C299" s="17"/>
      <c r="D299" s="17"/>
      <c r="E299" s="18"/>
      <c r="F299" s="17"/>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s="1" customFormat="1" ht="40.15" customHeight="1" x14ac:dyDescent="0.25">
      <c r="A300" s="7"/>
      <c r="B300" s="65"/>
      <c r="C300" s="17"/>
      <c r="D300" s="17"/>
      <c r="E300" s="18"/>
      <c r="F300" s="17"/>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s="1" customFormat="1" ht="40.15" customHeight="1" x14ac:dyDescent="0.25">
      <c r="A301" s="7"/>
      <c r="B301" s="65"/>
      <c r="C301" s="17"/>
      <c r="D301" s="17"/>
      <c r="E301" s="18"/>
      <c r="F301" s="17"/>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s="1" customFormat="1" ht="40.15" customHeight="1" x14ac:dyDescent="0.25">
      <c r="A302" s="7"/>
      <c r="B302" s="65"/>
      <c r="C302" s="17"/>
      <c r="D302" s="17"/>
      <c r="E302" s="18"/>
      <c r="F302" s="17"/>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s="1" customFormat="1" ht="40.15" customHeight="1" x14ac:dyDescent="0.25">
      <c r="A303" s="7"/>
      <c r="B303" s="65"/>
      <c r="C303" s="17"/>
      <c r="D303" s="17"/>
      <c r="E303" s="18"/>
      <c r="F303" s="17"/>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s="1" customFormat="1" ht="40.15" customHeight="1" x14ac:dyDescent="0.25">
      <c r="A304" s="7"/>
      <c r="B304" s="65"/>
      <c r="C304" s="17"/>
      <c r="D304" s="17"/>
      <c r="E304" s="18"/>
      <c r="F304" s="17"/>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s="1" customFormat="1" ht="40.15" customHeight="1" x14ac:dyDescent="0.25">
      <c r="A305" s="7"/>
      <c r="B305" s="65"/>
      <c r="C305" s="17"/>
      <c r="D305" s="17"/>
      <c r="E305" s="18"/>
      <c r="F305" s="17"/>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s="1" customFormat="1" ht="40.15" customHeight="1" x14ac:dyDescent="0.25">
      <c r="A306" s="7"/>
      <c r="B306" s="65"/>
      <c r="C306" s="17"/>
      <c r="D306" s="17"/>
      <c r="E306" s="18"/>
      <c r="F306" s="17"/>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s="1" customFormat="1" ht="40.15" customHeight="1" x14ac:dyDescent="0.25">
      <c r="A307" s="7"/>
      <c r="B307" s="65"/>
      <c r="C307" s="17"/>
      <c r="D307" s="17"/>
      <c r="E307" s="18"/>
      <c r="F307" s="17"/>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s="1" customFormat="1" ht="40.15" customHeight="1" x14ac:dyDescent="0.25">
      <c r="A308" s="7"/>
      <c r="B308" s="65"/>
      <c r="C308" s="17"/>
      <c r="D308" s="17"/>
      <c r="E308" s="18"/>
      <c r="F308" s="17"/>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s="1" customFormat="1" ht="40.15" customHeight="1" x14ac:dyDescent="0.25">
      <c r="A309" s="7"/>
      <c r="B309" s="65"/>
      <c r="C309" s="17"/>
      <c r="D309" s="17"/>
      <c r="E309" s="18"/>
      <c r="F309" s="17"/>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s="1" customFormat="1" ht="40.15" customHeight="1" x14ac:dyDescent="0.25">
      <c r="A310" s="7"/>
      <c r="B310" s="65"/>
      <c r="C310" s="17"/>
      <c r="D310" s="17"/>
      <c r="E310" s="18"/>
      <c r="F310" s="17"/>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s="1" customFormat="1" ht="40.15" customHeight="1" x14ac:dyDescent="0.25">
      <c r="A311" s="7"/>
      <c r="B311" s="65"/>
      <c r="C311" s="17"/>
      <c r="D311" s="17"/>
      <c r="E311" s="18"/>
      <c r="F311" s="17"/>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s="1" customFormat="1" ht="40.15" customHeight="1" x14ac:dyDescent="0.25">
      <c r="A312" s="7"/>
      <c r="B312" s="65"/>
      <c r="C312" s="17"/>
      <c r="D312" s="17"/>
      <c r="E312" s="18"/>
      <c r="F312" s="17"/>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s="1" customFormat="1" ht="40.15" customHeight="1" x14ac:dyDescent="0.25">
      <c r="A313" s="7"/>
      <c r="B313" s="65"/>
      <c r="C313" s="17"/>
      <c r="D313" s="17"/>
      <c r="E313" s="18"/>
      <c r="F313" s="17"/>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s="1" customFormat="1" ht="40.15" customHeight="1" x14ac:dyDescent="0.25">
      <c r="A314" s="7"/>
      <c r="B314" s="65"/>
      <c r="C314" s="17"/>
      <c r="D314" s="17"/>
      <c r="E314" s="18"/>
      <c r="F314" s="17"/>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s="1" customFormat="1" ht="40.15" customHeight="1" x14ac:dyDescent="0.25">
      <c r="A315" s="7"/>
      <c r="B315" s="65"/>
      <c r="C315" s="17"/>
      <c r="D315" s="17"/>
      <c r="E315" s="18"/>
      <c r="F315" s="17"/>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s="1" customFormat="1" ht="40.15" customHeight="1" x14ac:dyDescent="0.25">
      <c r="A316" s="7"/>
      <c r="B316" s="65"/>
      <c r="C316" s="17"/>
      <c r="D316" s="17"/>
      <c r="E316" s="18"/>
      <c r="F316" s="17"/>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s="1" customFormat="1" ht="40.15" customHeight="1" x14ac:dyDescent="0.25">
      <c r="A317" s="7"/>
      <c r="B317" s="65"/>
      <c r="C317" s="17"/>
      <c r="D317" s="17"/>
      <c r="E317" s="18"/>
      <c r="F317" s="17"/>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s="1" customFormat="1" ht="40.15" customHeight="1" x14ac:dyDescent="0.25">
      <c r="A318" s="7"/>
      <c r="B318" s="65"/>
      <c r="C318" s="17"/>
      <c r="D318" s="17"/>
      <c r="E318" s="18"/>
      <c r="F318" s="17"/>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s="1" customFormat="1" ht="40.15" customHeight="1" x14ac:dyDescent="0.25">
      <c r="A319" s="7"/>
      <c r="B319" s="65"/>
      <c r="C319" s="17"/>
      <c r="D319" s="17"/>
      <c r="E319" s="18"/>
      <c r="F319" s="17"/>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s="1" customFormat="1" ht="40.15" customHeight="1" x14ac:dyDescent="0.25">
      <c r="A320" s="7"/>
      <c r="B320" s="65"/>
      <c r="C320" s="17"/>
      <c r="D320" s="17"/>
      <c r="E320" s="18"/>
      <c r="F320" s="17"/>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s="1" customFormat="1" ht="40.15" customHeight="1" x14ac:dyDescent="0.25">
      <c r="A321" s="7"/>
      <c r="B321" s="65"/>
      <c r="C321" s="17"/>
      <c r="D321" s="17"/>
      <c r="E321" s="18"/>
      <c r="F321" s="17"/>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s="1" customFormat="1" ht="40.15" customHeight="1" x14ac:dyDescent="0.25">
      <c r="A322" s="7"/>
      <c r="B322" s="65"/>
      <c r="C322" s="17"/>
      <c r="D322" s="17"/>
      <c r="E322" s="18"/>
      <c r="F322" s="17"/>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s="1" customFormat="1" ht="40.15" customHeight="1" x14ac:dyDescent="0.25">
      <c r="A323" s="7"/>
      <c r="B323" s="65"/>
      <c r="C323" s="17"/>
      <c r="D323" s="17"/>
      <c r="E323" s="18"/>
      <c r="F323" s="17"/>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s="1" customFormat="1" ht="40.15" customHeight="1" x14ac:dyDescent="0.25">
      <c r="A324" s="7"/>
      <c r="B324" s="65"/>
      <c r="C324" s="17"/>
      <c r="D324" s="17"/>
      <c r="E324" s="18"/>
      <c r="F324" s="17"/>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s="1" customFormat="1" ht="40.15" customHeight="1" x14ac:dyDescent="0.25">
      <c r="A325" s="7"/>
      <c r="B325" s="65"/>
      <c r="C325" s="17"/>
      <c r="D325" s="17"/>
      <c r="E325" s="18"/>
      <c r="F325" s="17"/>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s="1" customFormat="1" ht="40.15" customHeight="1" x14ac:dyDescent="0.25">
      <c r="A326" s="7"/>
      <c r="B326" s="65"/>
      <c r="C326" s="17"/>
      <c r="D326" s="17"/>
      <c r="E326" s="18"/>
      <c r="F326" s="17"/>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s="1" customFormat="1" ht="40.15" customHeight="1" x14ac:dyDescent="0.25">
      <c r="A327" s="7"/>
      <c r="B327" s="65"/>
      <c r="C327" s="17"/>
      <c r="D327" s="17"/>
      <c r="E327" s="18"/>
      <c r="F327" s="17"/>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s="1" customFormat="1" ht="40.15" customHeight="1" x14ac:dyDescent="0.25">
      <c r="A328" s="7"/>
      <c r="B328" s="65"/>
      <c r="C328" s="17"/>
      <c r="D328" s="17"/>
      <c r="E328" s="18"/>
      <c r="F328" s="17"/>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s="1" customFormat="1" ht="40.15" customHeight="1" x14ac:dyDescent="0.25">
      <c r="A329" s="7"/>
      <c r="B329" s="65"/>
      <c r="C329" s="17"/>
      <c r="D329" s="17"/>
      <c r="E329" s="18"/>
      <c r="F329" s="17"/>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s="1" customFormat="1" ht="40.15" customHeight="1" x14ac:dyDescent="0.25">
      <c r="A330" s="7"/>
      <c r="B330" s="65"/>
      <c r="C330" s="17"/>
      <c r="D330" s="17"/>
      <c r="E330" s="18"/>
      <c r="F330" s="17"/>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s="1" customFormat="1" ht="40.15" customHeight="1" x14ac:dyDescent="0.25">
      <c r="A331" s="7"/>
      <c r="B331" s="65"/>
      <c r="C331" s="17"/>
      <c r="D331" s="17"/>
      <c r="E331" s="18"/>
      <c r="F331" s="17"/>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s="1" customFormat="1" ht="40.15" customHeight="1" x14ac:dyDescent="0.25">
      <c r="A332" s="7"/>
      <c r="B332" s="65"/>
      <c r="C332" s="17"/>
      <c r="D332" s="17"/>
      <c r="E332" s="18"/>
      <c r="F332" s="17"/>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s="1" customFormat="1" ht="40.15" customHeight="1" x14ac:dyDescent="0.25">
      <c r="A333" s="7"/>
      <c r="B333" s="65"/>
      <c r="C333" s="17"/>
      <c r="D333" s="17"/>
      <c r="E333" s="18"/>
      <c r="F333" s="17"/>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s="1" customFormat="1" ht="40.15" customHeight="1" x14ac:dyDescent="0.25">
      <c r="A334" s="7"/>
      <c r="B334" s="65"/>
      <c r="C334" s="17"/>
      <c r="D334" s="17"/>
      <c r="E334" s="18"/>
      <c r="F334" s="17"/>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s="1" customFormat="1" ht="40.15" customHeight="1" x14ac:dyDescent="0.25">
      <c r="A335" s="7"/>
      <c r="B335" s="65"/>
      <c r="C335" s="17"/>
      <c r="D335" s="17"/>
      <c r="E335" s="18"/>
      <c r="F335" s="17"/>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s="1" customFormat="1" ht="40.15" customHeight="1" x14ac:dyDescent="0.25">
      <c r="A336" s="7"/>
      <c r="B336" s="65"/>
      <c r="C336" s="17"/>
      <c r="D336" s="17"/>
      <c r="E336" s="18"/>
      <c r="F336" s="17"/>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s="1" customFormat="1" ht="40.15" customHeight="1" x14ac:dyDescent="0.25">
      <c r="A337" s="7"/>
      <c r="B337" s="65"/>
      <c r="C337" s="17"/>
      <c r="D337" s="17"/>
      <c r="E337" s="18"/>
      <c r="F337" s="17"/>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s="1" customFormat="1" ht="40.15" customHeight="1" x14ac:dyDescent="0.25">
      <c r="A338" s="7"/>
      <c r="B338" s="65"/>
      <c r="C338" s="17"/>
      <c r="D338" s="17"/>
      <c r="E338" s="18"/>
      <c r="F338" s="17"/>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s="1" customFormat="1" ht="40.15" customHeight="1" x14ac:dyDescent="0.25">
      <c r="A339" s="7"/>
      <c r="B339" s="65"/>
      <c r="C339" s="17"/>
      <c r="D339" s="17"/>
      <c r="E339" s="18"/>
      <c r="F339" s="17"/>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s="1" customFormat="1" ht="40.15" customHeight="1" x14ac:dyDescent="0.25">
      <c r="A340" s="7"/>
      <c r="B340" s="65"/>
      <c r="C340" s="17"/>
      <c r="D340" s="17"/>
      <c r="E340" s="18"/>
      <c r="F340" s="17"/>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s="1" customFormat="1" ht="40.15" customHeight="1" x14ac:dyDescent="0.25">
      <c r="A341" s="7"/>
      <c r="B341" s="65"/>
      <c r="C341" s="17"/>
      <c r="D341" s="17"/>
      <c r="E341" s="18"/>
      <c r="F341" s="17"/>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s="1" customFormat="1" ht="40.15" customHeight="1" x14ac:dyDescent="0.25">
      <c r="A342" s="7"/>
      <c r="B342" s="65"/>
      <c r="C342" s="17"/>
      <c r="D342" s="17"/>
      <c r="E342" s="18"/>
      <c r="F342" s="17"/>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s="1" customFormat="1" ht="40.15" customHeight="1" x14ac:dyDescent="0.25">
      <c r="A343" s="7"/>
      <c r="B343" s="65"/>
      <c r="C343" s="17"/>
      <c r="D343" s="17"/>
      <c r="E343" s="18"/>
      <c r="F343" s="17"/>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s="1" customFormat="1" ht="40.15" customHeight="1" x14ac:dyDescent="0.25">
      <c r="A344" s="7"/>
      <c r="B344" s="65"/>
      <c r="C344" s="17"/>
      <c r="D344" s="17"/>
      <c r="E344" s="18"/>
      <c r="F344" s="17"/>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s="1" customFormat="1" ht="40.15" customHeight="1" x14ac:dyDescent="0.25">
      <c r="A345" s="7"/>
      <c r="B345" s="65"/>
      <c r="C345" s="17"/>
      <c r="D345" s="17"/>
      <c r="E345" s="18"/>
      <c r="F345" s="17"/>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s="1" customFormat="1" ht="40.15" customHeight="1" x14ac:dyDescent="0.25">
      <c r="A346" s="7"/>
      <c r="B346" s="65"/>
      <c r="C346" s="17"/>
      <c r="D346" s="17"/>
      <c r="E346" s="18"/>
      <c r="F346" s="17"/>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s="1" customFormat="1" ht="40.15" customHeight="1" x14ac:dyDescent="0.25">
      <c r="A347" s="7"/>
      <c r="B347" s="65"/>
      <c r="C347" s="17"/>
      <c r="D347" s="17"/>
      <c r="E347" s="18"/>
      <c r="F347" s="17"/>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s="1" customFormat="1" ht="40.15" customHeight="1" x14ac:dyDescent="0.25">
      <c r="A348" s="7"/>
      <c r="B348" s="65"/>
      <c r="C348" s="17"/>
      <c r="D348" s="17"/>
      <c r="E348" s="18"/>
      <c r="F348" s="17"/>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s="1" customFormat="1" ht="40.15" customHeight="1" x14ac:dyDescent="0.25">
      <c r="A349" s="7"/>
      <c r="B349" s="65"/>
      <c r="C349" s="17"/>
      <c r="D349" s="17"/>
      <c r="E349" s="18"/>
      <c r="F349" s="17"/>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s="1" customFormat="1" ht="40.15" customHeight="1" x14ac:dyDescent="0.25">
      <c r="A350" s="7"/>
      <c r="B350" s="65"/>
      <c r="C350" s="17"/>
      <c r="D350" s="17"/>
      <c r="E350" s="18"/>
      <c r="F350" s="17"/>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s="1" customFormat="1" ht="40.15" customHeight="1" x14ac:dyDescent="0.25">
      <c r="A351" s="7"/>
      <c r="B351" s="65"/>
      <c r="C351" s="17"/>
      <c r="D351" s="17"/>
      <c r="E351" s="18"/>
      <c r="F351" s="17"/>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s="1" customFormat="1" ht="40.15" customHeight="1" x14ac:dyDescent="0.25">
      <c r="A352" s="7"/>
      <c r="B352" s="65"/>
      <c r="C352" s="17"/>
      <c r="D352" s="17"/>
      <c r="E352" s="18"/>
      <c r="F352" s="17"/>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s="1" customFormat="1" ht="40.15" customHeight="1" x14ac:dyDescent="0.25">
      <c r="A353" s="7"/>
      <c r="B353" s="65"/>
      <c r="C353" s="17"/>
      <c r="D353" s="17"/>
      <c r="E353" s="18"/>
      <c r="F353" s="17"/>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s="1" customFormat="1" ht="40.15" customHeight="1" x14ac:dyDescent="0.25">
      <c r="A354" s="7"/>
      <c r="B354" s="65"/>
      <c r="C354" s="17"/>
      <c r="D354" s="17"/>
      <c r="E354" s="18"/>
      <c r="F354" s="17"/>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s="1" customFormat="1" ht="40.15" customHeight="1" x14ac:dyDescent="0.25">
      <c r="A355" s="7"/>
      <c r="B355" s="65"/>
      <c r="C355" s="17"/>
      <c r="D355" s="17"/>
      <c r="E355" s="18"/>
      <c r="F355" s="17"/>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s="1" customFormat="1" ht="40.15" customHeight="1" x14ac:dyDescent="0.25">
      <c r="A356" s="7"/>
      <c r="B356" s="65"/>
      <c r="C356" s="17"/>
      <c r="D356" s="17"/>
      <c r="E356" s="18"/>
      <c r="F356" s="17"/>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s="1" customFormat="1" ht="40.15" customHeight="1" x14ac:dyDescent="0.25">
      <c r="A357" s="7"/>
      <c r="B357" s="65"/>
      <c r="C357" s="17"/>
      <c r="D357" s="17"/>
      <c r="E357" s="18"/>
      <c r="F357" s="17"/>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s="1" customFormat="1" ht="40.15" customHeight="1" x14ac:dyDescent="0.25">
      <c r="A358" s="7"/>
      <c r="B358" s="65"/>
      <c r="C358" s="17"/>
      <c r="D358" s="17"/>
      <c r="E358" s="18"/>
      <c r="F358" s="17"/>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s="1" customFormat="1" ht="40.15" customHeight="1" x14ac:dyDescent="0.25">
      <c r="A359" s="7"/>
      <c r="B359" s="65"/>
      <c r="C359" s="17"/>
      <c r="D359" s="17"/>
      <c r="E359" s="18"/>
      <c r="F359" s="17"/>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s="1" customFormat="1" ht="40.15" customHeight="1" x14ac:dyDescent="0.25">
      <c r="A360" s="7"/>
      <c r="B360" s="65"/>
      <c r="C360" s="17"/>
      <c r="D360" s="17"/>
      <c r="E360" s="18"/>
      <c r="F360" s="17"/>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s="1" customFormat="1" ht="40.15" customHeight="1" x14ac:dyDescent="0.25">
      <c r="A361" s="7"/>
      <c r="B361" s="65"/>
      <c r="C361" s="17"/>
      <c r="D361" s="17"/>
      <c r="E361" s="18"/>
      <c r="F361" s="17"/>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s="1" customFormat="1" ht="40.15" customHeight="1" x14ac:dyDescent="0.25">
      <c r="A362" s="7"/>
      <c r="B362" s="65"/>
      <c r="C362" s="17"/>
      <c r="D362" s="17"/>
      <c r="E362" s="18"/>
      <c r="F362" s="17"/>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s="1" customFormat="1" ht="40.15" customHeight="1" x14ac:dyDescent="0.25">
      <c r="A363" s="7"/>
      <c r="B363" s="65"/>
      <c r="C363" s="17"/>
      <c r="D363" s="17"/>
      <c r="E363" s="18"/>
      <c r="F363" s="17"/>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s="1" customFormat="1" ht="40.15" customHeight="1" x14ac:dyDescent="0.25">
      <c r="A364" s="7"/>
      <c r="B364" s="65"/>
      <c r="C364" s="17"/>
      <c r="D364" s="17"/>
      <c r="E364" s="18"/>
      <c r="F364" s="17"/>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s="1" customFormat="1" ht="40.15" customHeight="1" x14ac:dyDescent="0.25">
      <c r="A365" s="7"/>
      <c r="B365" s="65"/>
      <c r="C365" s="17"/>
      <c r="D365" s="17"/>
      <c r="E365" s="18"/>
      <c r="F365" s="17"/>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s="1" customFormat="1" ht="40.15" customHeight="1" x14ac:dyDescent="0.25">
      <c r="A366" s="7"/>
      <c r="B366" s="65"/>
      <c r="C366" s="17"/>
      <c r="D366" s="17"/>
      <c r="E366" s="18"/>
      <c r="F366" s="17"/>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s="1" customFormat="1" ht="40.15" customHeight="1" x14ac:dyDescent="0.25">
      <c r="A367" s="7"/>
      <c r="B367" s="65"/>
      <c r="C367" s="17"/>
      <c r="D367" s="17"/>
      <c r="E367" s="18"/>
      <c r="F367" s="17"/>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s="1" customFormat="1" ht="40.15" customHeight="1" x14ac:dyDescent="0.25">
      <c r="A368" s="7"/>
      <c r="B368" s="65"/>
      <c r="C368" s="17"/>
      <c r="D368" s="17"/>
      <c r="E368" s="18"/>
      <c r="F368" s="17"/>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s="1" customFormat="1" ht="40.15" customHeight="1" x14ac:dyDescent="0.25">
      <c r="A369" s="7"/>
      <c r="B369" s="65"/>
      <c r="C369" s="17"/>
      <c r="D369" s="17"/>
      <c r="E369" s="18"/>
      <c r="F369" s="17"/>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s="1" customFormat="1" ht="40.15" customHeight="1" x14ac:dyDescent="0.25">
      <c r="A370" s="7"/>
      <c r="B370" s="65"/>
      <c r="C370" s="17"/>
      <c r="D370" s="17"/>
      <c r="E370" s="18"/>
      <c r="F370" s="17"/>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s="1" customFormat="1" ht="40.15" customHeight="1" x14ac:dyDescent="0.25">
      <c r="A371" s="7"/>
      <c r="B371" s="65"/>
      <c r="C371" s="17"/>
      <c r="D371" s="17"/>
      <c r="E371" s="18"/>
      <c r="F371" s="17"/>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s="1" customFormat="1" ht="40.15" customHeight="1" x14ac:dyDescent="0.25">
      <c r="A372" s="7"/>
      <c r="B372" s="65"/>
      <c r="C372" s="17"/>
      <c r="D372" s="17"/>
      <c r="E372" s="18"/>
      <c r="F372" s="17"/>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s="1" customFormat="1" ht="40.15" customHeight="1" x14ac:dyDescent="0.25">
      <c r="A373" s="7"/>
      <c r="B373" s="65"/>
      <c r="C373" s="17"/>
      <c r="D373" s="17"/>
      <c r="E373" s="18"/>
      <c r="F373" s="17"/>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s="1" customFormat="1" ht="40.15" customHeight="1" x14ac:dyDescent="0.25">
      <c r="A374" s="7"/>
      <c r="B374" s="65"/>
      <c r="C374" s="17"/>
      <c r="D374" s="17"/>
      <c r="E374" s="18"/>
      <c r="F374" s="17"/>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s="1" customFormat="1" ht="40.15" customHeight="1" x14ac:dyDescent="0.25">
      <c r="A375" s="7"/>
      <c r="B375" s="65"/>
      <c r="C375" s="17"/>
      <c r="D375" s="17"/>
      <c r="E375" s="18"/>
      <c r="F375" s="17"/>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s="1" customFormat="1" ht="40.15" customHeight="1" x14ac:dyDescent="0.25">
      <c r="A376" s="7"/>
      <c r="B376" s="65"/>
      <c r="C376" s="17"/>
      <c r="D376" s="17"/>
      <c r="E376" s="18"/>
      <c r="F376" s="17"/>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s="1" customFormat="1" ht="40.15" customHeight="1" x14ac:dyDescent="0.25">
      <c r="A377" s="7"/>
      <c r="B377" s="65"/>
      <c r="C377" s="17"/>
      <c r="D377" s="17"/>
      <c r="E377" s="18"/>
      <c r="F377" s="17"/>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s="1" customFormat="1" ht="40.15" customHeight="1" x14ac:dyDescent="0.25">
      <c r="A378" s="7"/>
      <c r="B378" s="65"/>
      <c r="C378" s="17"/>
      <c r="D378" s="17"/>
      <c r="E378" s="18"/>
      <c r="F378" s="17"/>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s="1" customFormat="1" ht="40.15" customHeight="1" x14ac:dyDescent="0.25">
      <c r="A379" s="7"/>
      <c r="B379" s="65"/>
      <c r="C379" s="17"/>
      <c r="D379" s="17"/>
      <c r="E379" s="18"/>
      <c r="F379" s="17"/>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s="1" customFormat="1" ht="40.15" customHeight="1" x14ac:dyDescent="0.25">
      <c r="A380" s="7"/>
      <c r="B380" s="65"/>
      <c r="C380" s="17"/>
      <c r="D380" s="17"/>
      <c r="E380" s="18"/>
      <c r="F380" s="17"/>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s="1" customFormat="1" ht="40.15" customHeight="1" x14ac:dyDescent="0.25">
      <c r="A381" s="7"/>
      <c r="B381" s="65"/>
      <c r="C381" s="17"/>
      <c r="D381" s="17"/>
      <c r="E381" s="18"/>
      <c r="F381" s="17"/>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s="1" customFormat="1" ht="40.15" customHeight="1" x14ac:dyDescent="0.25">
      <c r="A382" s="7"/>
      <c r="B382" s="65"/>
      <c r="C382" s="17"/>
      <c r="D382" s="17"/>
      <c r="E382" s="18"/>
      <c r="F382" s="17"/>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s="1" customFormat="1" ht="40.15" customHeight="1" x14ac:dyDescent="0.25">
      <c r="A383" s="7"/>
      <c r="B383" s="65"/>
      <c r="C383" s="17"/>
      <c r="D383" s="17"/>
      <c r="E383" s="18"/>
      <c r="F383" s="17"/>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s="1" customFormat="1" ht="40.15" customHeight="1" x14ac:dyDescent="0.25">
      <c r="A384" s="7"/>
      <c r="B384" s="65"/>
      <c r="C384" s="17"/>
      <c r="D384" s="17"/>
      <c r="E384" s="18"/>
      <c r="F384" s="17"/>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s="1" customFormat="1" ht="40.15" customHeight="1" x14ac:dyDescent="0.25">
      <c r="A385" s="7"/>
      <c r="B385" s="65"/>
      <c r="C385" s="17"/>
      <c r="D385" s="17"/>
      <c r="E385" s="18"/>
      <c r="F385" s="17"/>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s="1" customFormat="1" ht="40.15" customHeight="1" x14ac:dyDescent="0.25">
      <c r="A386" s="7"/>
      <c r="B386" s="65"/>
      <c r="C386" s="17"/>
      <c r="D386" s="17"/>
      <c r="E386" s="18"/>
      <c r="F386" s="17"/>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s="1" customFormat="1" ht="40.15" customHeight="1" x14ac:dyDescent="0.25">
      <c r="A387" s="7"/>
      <c r="B387" s="65"/>
      <c r="C387" s="17"/>
      <c r="D387" s="17"/>
      <c r="E387" s="18"/>
      <c r="F387" s="17"/>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s="1" customFormat="1" ht="40.15" customHeight="1" x14ac:dyDescent="0.25">
      <c r="A388" s="7"/>
      <c r="B388" s="65"/>
      <c r="C388" s="17"/>
      <c r="D388" s="17"/>
      <c r="E388" s="18"/>
      <c r="F388" s="17"/>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s="1" customFormat="1" ht="40.15" customHeight="1" x14ac:dyDescent="0.25">
      <c r="A389" s="7"/>
      <c r="B389" s="65"/>
      <c r="C389" s="17"/>
      <c r="D389" s="17"/>
      <c r="E389" s="18"/>
      <c r="F389" s="17"/>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s="1" customFormat="1" ht="40.15" customHeight="1" x14ac:dyDescent="0.25">
      <c r="A390" s="7"/>
      <c r="B390" s="65"/>
      <c r="C390" s="17"/>
      <c r="D390" s="17"/>
      <c r="E390" s="18"/>
      <c r="F390" s="17"/>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s="1" customFormat="1" ht="40.15" customHeight="1" x14ac:dyDescent="0.25">
      <c r="A391" s="7"/>
      <c r="B391" s="65"/>
      <c r="C391" s="17"/>
      <c r="D391" s="17"/>
      <c r="E391" s="18"/>
      <c r="F391" s="17"/>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s="1" customFormat="1" ht="40.15" customHeight="1" x14ac:dyDescent="0.25">
      <c r="A392" s="7"/>
      <c r="B392" s="65"/>
      <c r="C392" s="17"/>
      <c r="D392" s="17"/>
      <c r="E392" s="18"/>
      <c r="F392" s="17"/>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s="1" customFormat="1" ht="40.15" customHeight="1" x14ac:dyDescent="0.25">
      <c r="A393" s="7"/>
      <c r="B393" s="65"/>
      <c r="C393" s="17"/>
      <c r="D393" s="17"/>
      <c r="E393" s="18"/>
      <c r="F393" s="17"/>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s="1" customFormat="1" ht="40.15" customHeight="1" x14ac:dyDescent="0.25">
      <c r="A394" s="7"/>
      <c r="B394" s="65"/>
      <c r="C394" s="17"/>
      <c r="D394" s="17"/>
      <c r="E394" s="18"/>
      <c r="F394" s="17"/>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s="1" customFormat="1" ht="40.15" customHeight="1" x14ac:dyDescent="0.25">
      <c r="A395" s="7"/>
      <c r="B395" s="65"/>
      <c r="C395" s="17"/>
      <c r="D395" s="17"/>
      <c r="E395" s="18"/>
      <c r="F395" s="17"/>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s="1" customFormat="1" ht="40.15" customHeight="1" x14ac:dyDescent="0.25">
      <c r="A396" s="7"/>
      <c r="B396" s="65"/>
      <c r="C396" s="17"/>
      <c r="D396" s="17"/>
      <c r="E396" s="18"/>
      <c r="F396" s="17"/>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s="1" customFormat="1" ht="40.15" customHeight="1" x14ac:dyDescent="0.25">
      <c r="A397" s="7"/>
      <c r="B397" s="65"/>
      <c r="C397" s="17"/>
      <c r="D397" s="17"/>
      <c r="E397" s="18"/>
      <c r="F397" s="17"/>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s="1" customFormat="1" ht="40.15" customHeight="1" x14ac:dyDescent="0.25">
      <c r="A398" s="7"/>
      <c r="B398" s="65"/>
      <c r="C398" s="17"/>
      <c r="D398" s="17"/>
      <c r="E398" s="18"/>
      <c r="F398" s="17"/>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s="1" customFormat="1" ht="40.15" customHeight="1" x14ac:dyDescent="0.25">
      <c r="A399" s="7"/>
      <c r="B399" s="65"/>
      <c r="C399" s="17"/>
      <c r="D399" s="17"/>
      <c r="E399" s="18"/>
      <c r="F399" s="17"/>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s="1" customFormat="1" ht="40.15" customHeight="1" x14ac:dyDescent="0.25">
      <c r="A400" s="7"/>
      <c r="B400" s="65"/>
      <c r="C400" s="17"/>
      <c r="D400" s="17"/>
      <c r="E400" s="18"/>
      <c r="F400" s="17"/>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s="1" customFormat="1" ht="40.15" customHeight="1" x14ac:dyDescent="0.25">
      <c r="A401" s="7"/>
      <c r="B401" s="65"/>
      <c r="C401" s="17"/>
      <c r="D401" s="17"/>
      <c r="E401" s="18"/>
      <c r="F401" s="17"/>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s="1" customFormat="1" ht="40.15" customHeight="1" x14ac:dyDescent="0.25">
      <c r="A402" s="7"/>
      <c r="B402" s="65"/>
      <c r="C402" s="17"/>
      <c r="D402" s="17"/>
      <c r="E402" s="18"/>
      <c r="F402" s="17"/>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s="1" customFormat="1" ht="40.15" customHeight="1" x14ac:dyDescent="0.25">
      <c r="A403" s="7"/>
      <c r="B403" s="65"/>
      <c r="C403" s="17"/>
      <c r="D403" s="17"/>
      <c r="E403" s="18"/>
      <c r="F403" s="17"/>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s="1" customFormat="1" ht="40.15" customHeight="1" x14ac:dyDescent="0.25">
      <c r="A404" s="7"/>
      <c r="B404" s="65"/>
      <c r="C404" s="17"/>
      <c r="D404" s="17"/>
      <c r="E404" s="18"/>
      <c r="F404" s="17"/>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s="1" customFormat="1" ht="40.15" customHeight="1" x14ac:dyDescent="0.25">
      <c r="A405" s="7"/>
      <c r="B405" s="65"/>
      <c r="C405" s="17"/>
      <c r="D405" s="17"/>
      <c r="E405" s="18"/>
      <c r="F405" s="17"/>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s="1" customFormat="1" ht="40.15" customHeight="1" x14ac:dyDescent="0.25">
      <c r="A406" s="7"/>
      <c r="B406" s="65"/>
      <c r="C406" s="17"/>
      <c r="D406" s="17"/>
      <c r="E406" s="18"/>
      <c r="F406" s="17"/>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s="1" customFormat="1" ht="40.15" customHeight="1" x14ac:dyDescent="0.25">
      <c r="A407" s="7"/>
      <c r="B407" s="65"/>
      <c r="C407" s="17"/>
      <c r="D407" s="17"/>
      <c r="E407" s="18"/>
      <c r="F407" s="17"/>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s="1" customFormat="1" ht="40.15" customHeight="1" x14ac:dyDescent="0.25">
      <c r="A408" s="7"/>
      <c r="B408" s="65"/>
      <c r="C408" s="17"/>
      <c r="D408" s="17"/>
      <c r="E408" s="18"/>
      <c r="F408" s="17"/>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s="1" customFormat="1" ht="40.15" customHeight="1" x14ac:dyDescent="0.25">
      <c r="A409" s="7"/>
      <c r="B409" s="21"/>
      <c r="C409" s="17"/>
      <c r="D409" s="17"/>
      <c r="E409" s="18"/>
      <c r="F409" s="17"/>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s="1" customFormat="1" ht="40.15" customHeight="1" x14ac:dyDescent="0.25">
      <c r="A410" s="7"/>
      <c r="B410" s="56" t="s">
        <v>9</v>
      </c>
      <c r="C410" s="17"/>
      <c r="D410" s="17"/>
      <c r="E410" s="25"/>
      <c r="F410" s="17"/>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s="1" customFormat="1" ht="40.15" customHeight="1" x14ac:dyDescent="0.25">
      <c r="A411" s="8"/>
      <c r="B411"/>
      <c r="C411"/>
      <c r="D411"/>
      <c r="E411"/>
      <c r="F411" s="17"/>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ht="30" customHeight="1" x14ac:dyDescent="0.25">
      <c r="F412" s="3"/>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ht="30" customHeight="1" x14ac:dyDescent="0.25">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ht="30" customHeight="1" x14ac:dyDescent="0.25">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ht="30" customHeight="1" x14ac:dyDescent="0.25">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sheetData>
  <mergeCells count="5">
    <mergeCell ref="X1:Z1"/>
    <mergeCell ref="G1:J1"/>
    <mergeCell ref="L1:O1"/>
    <mergeCell ref="R1:V1"/>
    <mergeCell ref="AB1:AC1"/>
  </mergeCells>
  <phoneticPr fontId="24" type="noConversion"/>
  <conditionalFormatting sqref="E2:E410">
    <cfRule type="dataBar" priority="19">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G3:O3 T3:Y3 AA3:AB3 Z7:Z26 AA27:AA62 L35:L130 G37:G38 G39:H44 N43:N67 G45:I130 AB59:AB62 AA63:AB415 N68:O130 G131:O415 T27:Y415 X23:Y26">
    <cfRule type="expression" dxfId="50" priority="15">
      <formula>AND(TODAY()&gt;=G$2,TODAY()&lt;H$2)</formula>
    </cfRule>
  </conditionalFormatting>
  <conditionalFormatting sqref="G3:AC3">
    <cfRule type="expression" dxfId="49" priority="162" stopIfTrue="1">
      <formula>AND(#REF!="Low Risk",G$2&gt;=#REF!,G$2&lt;=#REF!+#REF!-1)</formula>
    </cfRule>
    <cfRule type="expression" dxfId="48" priority="163" stopIfTrue="1">
      <formula>AND(#REF!="High Risk",G$2&gt;=#REF!,G$2&lt;=#REF!+#REF!-1)</formula>
    </cfRule>
    <cfRule type="expression" dxfId="47" priority="164" stopIfTrue="1">
      <formula>AND(#REF!="On Track",G$2&gt;=#REF!,G$2&lt;=#REF!+#REF!-1)</formula>
    </cfRule>
    <cfRule type="expression" dxfId="46" priority="165" stopIfTrue="1">
      <formula>AND(#REF!="Med Risk",G$2&gt;=#REF!,G$2&lt;=#REF!+#REF!-1)</formula>
    </cfRule>
    <cfRule type="expression" dxfId="45" priority="166" stopIfTrue="1">
      <formula>AND(LEN(#REF!)=0,G$2&gt;=#REF!,G$2&lt;=#REF!+#REF!-1)</formula>
    </cfRule>
  </conditionalFormatting>
  <conditionalFormatting sqref="P3:S3 Q32:R32 P33:R33 P34:S415">
    <cfRule type="expression" dxfId="44" priority="123">
      <formula>AND(TODAY()&gt;=P$2,TODAY()&lt;R$2)</formula>
    </cfRule>
  </conditionalFormatting>
  <conditionalFormatting sqref="Z3:Z415 AC3:AC415">
    <cfRule type="expression" dxfId="43" priority="77">
      <formula>AND(TODAY()&gt;=Z$2,TODAY()&lt;#REF!)</formula>
    </cfRule>
  </conditionalFormatting>
  <conditionalFormatting sqref="Q32:R32 P33:R33 P34:AA58 L35:L130 G37:G38 G39:H44 N43:N67 G45:I130 P59:AB62 P63:AC67 N68:AC130 G131:AC415 AC4:AC62 T27:AA33 Z4:Z22 X23:Z26">
    <cfRule type="expression" dxfId="42" priority="168" stopIfTrue="1">
      <formula>AND($C3="Low Risk",G$2&gt;=#REF!,G$2&lt;=#REF!+#REF!-1)</formula>
    </cfRule>
    <cfRule type="expression" dxfId="41" priority="169" stopIfTrue="1">
      <formula>AND($C3="High Risk",G$2&gt;=#REF!,G$2&lt;=#REF!+#REF!-1)</formula>
    </cfRule>
    <cfRule type="expression" dxfId="40" priority="170" stopIfTrue="1">
      <formula>AND($C3="On Track",G$2&gt;=#REF!,G$2&lt;=#REF!+#REF!-1)</formula>
    </cfRule>
    <cfRule type="expression" dxfId="39" priority="171" stopIfTrue="1">
      <formula>AND($C3="Med Risk",G$2&gt;=#REF!,G$2&lt;=#REF!+#REF!-1)</formula>
    </cfRule>
    <cfRule type="expression" dxfId="38" priority="172" stopIfTrue="1">
      <formula>AND(LEN($C3)=0,G$2&gt;=#REF!,G$2&lt;=#REF!+#REF!-1)</formula>
    </cfRule>
  </conditionalFormatting>
  <conditionalFormatting sqref="X20:Y20">
    <cfRule type="expression" dxfId="17" priority="8">
      <formula>AND(TODAY()&gt;=X$2,TODAY()&lt;Y$2)</formula>
    </cfRule>
  </conditionalFormatting>
  <conditionalFormatting sqref="X20:Y20">
    <cfRule type="expression" dxfId="16" priority="10" stopIfTrue="1">
      <formula>AND($C19="Low Risk",X$2&gt;=#REF!,X$2&lt;=#REF!+#REF!-1)</formula>
    </cfRule>
    <cfRule type="expression" dxfId="15" priority="11" stopIfTrue="1">
      <formula>AND($C19="High Risk",X$2&gt;=#REF!,X$2&lt;=#REF!+#REF!-1)</formula>
    </cfRule>
    <cfRule type="expression" dxfId="14" priority="12" stopIfTrue="1">
      <formula>AND($C19="On Track",X$2&gt;=#REF!,X$2&lt;=#REF!+#REF!-1)</formula>
    </cfRule>
    <cfRule type="expression" dxfId="13" priority="13" stopIfTrue="1">
      <formula>AND($C19="Med Risk",X$2&gt;=#REF!,X$2&lt;=#REF!+#REF!-1)</formula>
    </cfRule>
    <cfRule type="expression" dxfId="12" priority="14" stopIfTrue="1">
      <formula>AND(LEN($C19)=0,X$2&gt;=#REF!,X$2&lt;=#REF!+#REF!-1)</formula>
    </cfRule>
  </conditionalFormatting>
  <conditionalFormatting sqref="X17:Y18">
    <cfRule type="expression" dxfId="5" priority="1">
      <formula>AND(TODAY()&gt;=X$2,TODAY()&lt;Y$2)</formula>
    </cfRule>
  </conditionalFormatting>
  <conditionalFormatting sqref="X17:Y18">
    <cfRule type="expression" dxfId="4" priority="3" stopIfTrue="1">
      <formula>AND($C16="Low Risk",X$2&gt;=#REF!,X$2&lt;=#REF!+#REF!-1)</formula>
    </cfRule>
    <cfRule type="expression" dxfId="3" priority="4" stopIfTrue="1">
      <formula>AND($C16="High Risk",X$2&gt;=#REF!,X$2&lt;=#REF!+#REF!-1)</formula>
    </cfRule>
    <cfRule type="expression" dxfId="2" priority="5" stopIfTrue="1">
      <formula>AND($C16="On Track",X$2&gt;=#REF!,X$2&lt;=#REF!+#REF!-1)</formula>
    </cfRule>
    <cfRule type="expression" dxfId="1" priority="6" stopIfTrue="1">
      <formula>AND($C16="Med Risk",X$2&gt;=#REF!,X$2&lt;=#REF!+#REF!-1)</formula>
    </cfRule>
    <cfRule type="expression" dxfId="0" priority="7" stopIfTrue="1">
      <formula>AND(LEN($C16)=0,X$2&gt;=#REF!,X$2&lt;=#REF!+#REF!-1)</formula>
    </cfRule>
  </conditionalFormatting>
  <dataValidations count="6">
    <dataValidation type="list" allowBlank="1" showInputMessage="1" showErrorMessage="1" sqref="C4:C409 D227:D409" xr:uid="{A8CFFA66-BA13-4963-ABE3-DD76F5716C76}">
      <formula1>"Goal,Milestone,On Track, Low Risk, Med Risk, High Risk"</formula1>
    </dataValidation>
    <dataValidation allowBlank="1" showInputMessage="1" showErrorMessage="1" prompt="This is an empty row" sqref="A410" xr:uid="{008E5CA1-A949-4186-A5FB-74F6E9478170}"/>
    <dataValidation allowBlank="1" showInputMessage="1" showErrorMessage="1" prompt="This row marks the end of the Gantt milestone data. DO NOT enter anything in this row. _x000a_To add more items, insert new rows above this one._x000a_" sqref="A411" xr:uid="{CEB624D0-0F11-44F9-B89D-CE4F5F747510}"/>
    <dataValidation allowBlank="1" showInputMessage="1" showErrorMessage="1" prompt="Cells I9 through BL9 contain the day number of the month for the Month represented in the cell block above each date cell and are auto calculated._x000a_Do not modify these cells._x000a_" sqref="A2" xr:uid="{4842210D-BF55-4A86-A4C6-842F795F4B74}"/>
    <dataValidation allowBlank="1" showInputMessage="1" showErrorMessage="1" prompt="Enter Company Name in cell B4._x000a_A legend is in cells I4 through AC4.  The Legend label is in cell G4." sqref="A1" xr:uid="{80AAC854-89E1-4DDF-A7BB-5345D03244F7}"/>
    <dataValidation type="list" allowBlank="1" showInputMessage="1" showErrorMessage="1" sqref="C3:D3" xr:uid="{BF844C37-8298-4179-AD9F-3FA16AEF59A3}">
      <formula1>"Complete,In Process,@ Risk,Late,To Start"</formula1>
    </dataValidation>
  </dataValidations>
  <printOptions horizontalCentered="1"/>
  <pageMargins left="0.25" right="0.25" top="0.75" bottom="0.75" header="0.3" footer="0.3"/>
  <pageSetup scale="10" orientation="portrait"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12" r:id="rId4" name="Scroll Bar 4">
              <controlPr defaultSize="0" autoPict="0" altText="Scroll bar to scroll through the Ghantt project timeline.">
                <anchor moveWithCells="1">
                  <from>
                    <xdr:col>6</xdr:col>
                    <xdr:colOff>19050</xdr:colOff>
                    <xdr:row>1</xdr:row>
                    <xdr:rowOff>990600</xdr:rowOff>
                  </from>
                  <to>
                    <xdr:col>29</xdr:col>
                    <xdr:colOff>266700</xdr:colOff>
                    <xdr:row>3</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E2:E410</xm:sqref>
        </x14:conditionalFormatting>
        <x14:conditionalFormatting xmlns:xm="http://schemas.microsoft.com/office/excel/2006/main">
          <x14:cfRule type="iconSet" priority="161"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G3:AC3</xm:sqref>
        </x14:conditionalFormatting>
        <x14:conditionalFormatting xmlns:xm="http://schemas.microsoft.com/office/excel/2006/main">
          <x14:cfRule type="iconSet" priority="167"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G131:AC415 G45:I130 N68:AC130 G37:G38 L35:L130 G39:H44 P34:AA58 P59:AB62 N43:N67 P63:AC67 P33:R33 Q32:R32 AC4:AC62 T27:AA33 Z4:Z22 X23:Z26</xm:sqref>
        </x14:conditionalFormatting>
        <x14:conditionalFormatting xmlns:xm="http://schemas.microsoft.com/office/excel/2006/main">
          <x14:cfRule type="iconSet" priority="9" id="{F2A0ED98-519C-42D6-83F7-D0F3FAAE95C0}">
            <x14:iconSet iconSet="3Stars" showValue="0" custom="1">
              <x14:cfvo type="percent">
                <xm:f>0</xm:f>
              </x14:cfvo>
              <x14:cfvo type="num">
                <xm:f>1</xm:f>
              </x14:cfvo>
              <x14:cfvo type="num">
                <xm:f>2</xm:f>
              </x14:cfvo>
              <x14:cfIcon iconSet="NoIcons" iconId="0"/>
              <x14:cfIcon iconSet="3Flags" iconId="1"/>
              <x14:cfIcon iconSet="3Signs" iconId="0"/>
            </x14:iconSet>
          </x14:cfRule>
          <xm:sqref>X20:Y20</xm:sqref>
        </x14:conditionalFormatting>
        <x14:conditionalFormatting xmlns:xm="http://schemas.microsoft.com/office/excel/2006/main">
          <x14:cfRule type="iconSet" priority="2" id="{45683B7C-7C55-4345-B88D-C6FAA90EFC63}">
            <x14:iconSet iconSet="3Stars" showValue="0" custom="1">
              <x14:cfvo type="percent">
                <xm:f>0</xm:f>
              </x14:cfvo>
              <x14:cfvo type="num">
                <xm:f>1</xm:f>
              </x14:cfvo>
              <x14:cfvo type="num">
                <xm:f>2</xm:f>
              </x14:cfvo>
              <x14:cfIcon iconSet="NoIcons" iconId="0"/>
              <x14:cfIcon iconSet="3Flags" iconId="1"/>
              <x14:cfIcon iconSet="3Signs" iconId="0"/>
            </x14:iconSet>
          </x14:cfRule>
          <xm:sqref>X17:Y18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1B04-E432-4B72-84BA-4186E7FEF559}">
  <sheetPr>
    <pageSetUpPr fitToPage="1"/>
  </sheetPr>
  <dimension ref="A1:BP59"/>
  <sheetViews>
    <sheetView showGridLines="0" showRuler="0" zoomScale="85" zoomScaleNormal="85" zoomScalePageLayoutView="70" workbookViewId="0">
      <pane xSplit="8" ySplit="6" topLeftCell="I32" activePane="bottomRight" state="frozen"/>
      <selection pane="topRight" activeCell="I1" sqref="I1"/>
      <selection pane="bottomLeft" activeCell="A11" sqref="A11"/>
      <selection pane="bottomRight" activeCell="V40" sqref="V40"/>
    </sheetView>
  </sheetViews>
  <sheetFormatPr defaultColWidth="8.85546875" defaultRowHeight="30" customHeight="1" x14ac:dyDescent="0.25"/>
  <cols>
    <col min="1" max="1" width="4.7109375" style="7"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0.25" customHeight="1" x14ac:dyDescent="0.25">
      <c r="A1" s="8"/>
      <c r="B1" s="22" t="s">
        <v>281</v>
      </c>
      <c r="C1" s="23"/>
      <c r="D1" s="24"/>
      <c r="E1" s="25"/>
      <c r="F1" s="26"/>
      <c r="G1" s="27" t="s">
        <v>7</v>
      </c>
      <c r="H1" s="25"/>
      <c r="I1" s="78" t="s">
        <v>13</v>
      </c>
      <c r="J1" s="78"/>
      <c r="K1" s="78"/>
      <c r="L1" s="78"/>
      <c r="N1" s="79" t="s">
        <v>14</v>
      </c>
      <c r="O1" s="79"/>
      <c r="P1" s="79"/>
      <c r="Q1" s="79"/>
      <c r="S1" s="81" t="s">
        <v>15</v>
      </c>
      <c r="T1" s="81"/>
      <c r="U1" s="81"/>
      <c r="V1" s="81"/>
      <c r="X1" s="77" t="s">
        <v>16</v>
      </c>
      <c r="Y1" s="77"/>
      <c r="Z1" s="77"/>
      <c r="AA1" s="77"/>
      <c r="AC1" s="82" t="s">
        <v>8</v>
      </c>
      <c r="AD1" s="82"/>
      <c r="AE1" s="82"/>
      <c r="AF1" s="82"/>
    </row>
    <row r="2" spans="1:68" ht="19.5" customHeight="1" x14ac:dyDescent="0.35">
      <c r="A2" s="8"/>
      <c r="B2" s="28" t="s">
        <v>21</v>
      </c>
      <c r="C2" s="29">
        <v>46062</v>
      </c>
      <c r="D2" s="30"/>
      <c r="E2" s="25"/>
      <c r="F2" s="26"/>
      <c r="G2" s="25"/>
      <c r="H2" s="25"/>
      <c r="I2" s="35" t="str">
        <f ca="1">TEXT(I3,"mmmm")</f>
        <v>March</v>
      </c>
      <c r="J2" s="35"/>
      <c r="K2" s="35"/>
      <c r="L2" s="35"/>
      <c r="M2" s="35"/>
      <c r="N2" s="35"/>
      <c r="O2" s="35"/>
      <c r="P2" s="35" t="str">
        <f ca="1">IF(TEXT(P3,"mmmm")=I2,"",TEXT(P3,"mmmm"))</f>
        <v/>
      </c>
      <c r="Q2" s="35"/>
      <c r="R2" s="35"/>
      <c r="S2" s="35"/>
      <c r="T2" s="35"/>
      <c r="U2" s="35"/>
      <c r="V2" s="35"/>
      <c r="W2" s="35" t="str">
        <f ca="1">IF(OR(TEXT(W3,"mmmm")=P2,TEXT(W3,"mmmm")=I2),"",TEXT(W3,"mmmm"))</f>
        <v/>
      </c>
      <c r="X2" s="35"/>
      <c r="Y2" s="35"/>
      <c r="Z2" s="35"/>
      <c r="AA2" s="35"/>
      <c r="AB2" s="35"/>
      <c r="AC2" s="35"/>
      <c r="AD2" s="35" t="str">
        <f ca="1">IF(OR(TEXT(AD3,"mmmm")=W2,TEXT(AD3,"mmmm")=P2,TEXT(AD3,"mmmm")=I2),"",TEXT(AD3,"mmmm"))</f>
        <v/>
      </c>
      <c r="AE2" s="35"/>
      <c r="AF2" s="35"/>
      <c r="AG2" s="35"/>
      <c r="AH2" s="35"/>
      <c r="AI2" s="35"/>
      <c r="AJ2" s="35"/>
      <c r="AK2" s="35" t="str">
        <f ca="1">IF(OR(TEXT(AK3,"mmmm")=AD2,TEXT(AK3,"mmmm")=W2,TEXT(AK3,"mmmm")=P2,TEXT(AK3,"mmmm")=I2),"",TEXT(AK3,"mmmm"))</f>
        <v>April</v>
      </c>
      <c r="AL2" s="35"/>
      <c r="AM2" s="35"/>
      <c r="AN2" s="35"/>
      <c r="AO2" s="35"/>
      <c r="AP2" s="35"/>
      <c r="AQ2" s="35"/>
      <c r="AR2" s="35" t="str">
        <f ca="1">IF(OR(TEXT(AR3,"mmmm")=AK2,TEXT(AR3,"mmmm")=AD2,TEXT(AR3,"mmmm")=W2,TEXT(AR3,"mmmm")=P2),"",TEXT(AR3,"mmmm"))</f>
        <v/>
      </c>
      <c r="AS2" s="35"/>
      <c r="AT2" s="35"/>
      <c r="AU2" s="35"/>
      <c r="AV2" s="35"/>
      <c r="AW2" s="35"/>
      <c r="AX2" s="36"/>
      <c r="AY2" s="36" t="str">
        <f ca="1">IF(OR(TEXT(AY3,"mmmm")=AR2,TEXT(AY3,"mmmm")=AK2,TEXT(AY3,"mmmm")=AD2,TEXT(AY3,"mmmm")=W2),"",TEXT(AY3,"mmmm"))</f>
        <v/>
      </c>
      <c r="AZ2" s="36"/>
      <c r="BA2" s="36"/>
      <c r="BB2" s="37"/>
      <c r="BC2" s="34"/>
      <c r="BD2" s="34"/>
      <c r="BE2" s="34"/>
      <c r="BF2" s="34" t="str">
        <f ca="1">IF(OR(TEXT(BF3,"mmmm")=AY2,TEXT(BF3,"mmmm")=AR2,TEXT(BF3,"mmmm")=AK2,TEXT(BF3,"mmmm")=AD2),"",TEXT(BF3,"mmmm"))</f>
        <v/>
      </c>
      <c r="BG2" s="34"/>
      <c r="BH2" s="34"/>
      <c r="BI2" s="34"/>
      <c r="BJ2" s="34"/>
      <c r="BK2" s="34"/>
      <c r="BL2" s="34"/>
    </row>
    <row r="3" spans="1:68" ht="17.25" customHeight="1" x14ac:dyDescent="0.25">
      <c r="A3" s="8"/>
      <c r="B3" s="28" t="s">
        <v>22</v>
      </c>
      <c r="C3" s="31">
        <v>28</v>
      </c>
      <c r="D3" s="24"/>
      <c r="E3" s="25"/>
      <c r="F3" s="25"/>
      <c r="G3" s="25"/>
      <c r="H3" s="32"/>
      <c r="I3" s="38">
        <f ca="1">IFERROR(Project_Start+Scrolling_Increment,TODAY())</f>
        <v>46090</v>
      </c>
      <c r="J3" s="39">
        <f ca="1">I3+1</f>
        <v>46091</v>
      </c>
      <c r="K3" s="39">
        <f t="shared" ref="K3:AX3" ca="1" si="0">J3+1</f>
        <v>46092</v>
      </c>
      <c r="L3" s="39">
        <f t="shared" ca="1" si="0"/>
        <v>46093</v>
      </c>
      <c r="M3" s="39">
        <f t="shared" ca="1" si="0"/>
        <v>46094</v>
      </c>
      <c r="N3" s="39">
        <f t="shared" ca="1" si="0"/>
        <v>46095</v>
      </c>
      <c r="O3" s="40">
        <f t="shared" ca="1" si="0"/>
        <v>46096</v>
      </c>
      <c r="P3" s="39">
        <f ca="1">O3+1</f>
        <v>46097</v>
      </c>
      <c r="Q3" s="39">
        <f ca="1">P3+1</f>
        <v>46098</v>
      </c>
      <c r="R3" s="39">
        <f t="shared" ca="1" si="0"/>
        <v>46099</v>
      </c>
      <c r="S3" s="39">
        <f t="shared" ca="1" si="0"/>
        <v>46100</v>
      </c>
      <c r="T3" s="39">
        <f t="shared" ca="1" si="0"/>
        <v>46101</v>
      </c>
      <c r="U3" s="39">
        <f t="shared" ca="1" si="0"/>
        <v>46102</v>
      </c>
      <c r="V3" s="40">
        <f t="shared" ca="1" si="0"/>
        <v>46103</v>
      </c>
      <c r="W3" s="39">
        <f ca="1">V3+1</f>
        <v>46104</v>
      </c>
      <c r="X3" s="39">
        <f ca="1">W3+1</f>
        <v>46105</v>
      </c>
      <c r="Y3" s="39">
        <f t="shared" ca="1" si="0"/>
        <v>46106</v>
      </c>
      <c r="Z3" s="39">
        <f t="shared" ca="1" si="0"/>
        <v>46107</v>
      </c>
      <c r="AA3" s="39">
        <f t="shared" ca="1" si="0"/>
        <v>46108</v>
      </c>
      <c r="AB3" s="39">
        <f t="shared" ca="1" si="0"/>
        <v>46109</v>
      </c>
      <c r="AC3" s="40">
        <f t="shared" ca="1" si="0"/>
        <v>46110</v>
      </c>
      <c r="AD3" s="39">
        <f ca="1">AC3+1</f>
        <v>46111</v>
      </c>
      <c r="AE3" s="39">
        <f ca="1">AD3+1</f>
        <v>46112</v>
      </c>
      <c r="AF3" s="39">
        <f t="shared" ca="1" si="0"/>
        <v>46113</v>
      </c>
      <c r="AG3" s="39">
        <f t="shared" ca="1" si="0"/>
        <v>46114</v>
      </c>
      <c r="AH3" s="39">
        <f t="shared" ca="1" si="0"/>
        <v>46115</v>
      </c>
      <c r="AI3" s="39">
        <f t="shared" ca="1" si="0"/>
        <v>46116</v>
      </c>
      <c r="AJ3" s="40">
        <f t="shared" ca="1" si="0"/>
        <v>46117</v>
      </c>
      <c r="AK3" s="39">
        <f ca="1">AJ3+1</f>
        <v>46118</v>
      </c>
      <c r="AL3" s="39">
        <f ca="1">AK3+1</f>
        <v>46119</v>
      </c>
      <c r="AM3" s="39">
        <f t="shared" ca="1" si="0"/>
        <v>46120</v>
      </c>
      <c r="AN3" s="39">
        <f t="shared" ca="1" si="0"/>
        <v>46121</v>
      </c>
      <c r="AO3" s="39">
        <f t="shared" ca="1" si="0"/>
        <v>46122</v>
      </c>
      <c r="AP3" s="39">
        <f t="shared" ca="1" si="0"/>
        <v>46123</v>
      </c>
      <c r="AQ3" s="40">
        <f t="shared" ca="1" si="0"/>
        <v>46124</v>
      </c>
      <c r="AR3" s="39">
        <f ca="1">AQ3+1</f>
        <v>46125</v>
      </c>
      <c r="AS3" s="39">
        <f ca="1">AR3+1</f>
        <v>46126</v>
      </c>
      <c r="AT3" s="39">
        <f t="shared" ca="1" si="0"/>
        <v>46127</v>
      </c>
      <c r="AU3" s="39">
        <f t="shared" ca="1" si="0"/>
        <v>46128</v>
      </c>
      <c r="AV3" s="39">
        <f t="shared" ca="1" si="0"/>
        <v>46129</v>
      </c>
      <c r="AW3" s="39">
        <f t="shared" ca="1" si="0"/>
        <v>46130</v>
      </c>
      <c r="AX3" s="40">
        <f t="shared" ca="1" si="0"/>
        <v>46131</v>
      </c>
      <c r="AY3" s="39">
        <f ca="1">AX3+1</f>
        <v>46132</v>
      </c>
      <c r="AZ3" s="39">
        <f ca="1">AY3+1</f>
        <v>46133</v>
      </c>
      <c r="BA3" s="39">
        <f t="shared" ref="BA3:BE3" ca="1" si="1">AZ3+1</f>
        <v>46134</v>
      </c>
      <c r="BB3" s="39">
        <f t="shared" ca="1" si="1"/>
        <v>46135</v>
      </c>
      <c r="BC3" s="39">
        <f t="shared" ca="1" si="1"/>
        <v>46136</v>
      </c>
      <c r="BD3" s="39">
        <f t="shared" ca="1" si="1"/>
        <v>46137</v>
      </c>
      <c r="BE3" s="40">
        <f t="shared" ca="1" si="1"/>
        <v>46138</v>
      </c>
      <c r="BF3" s="39">
        <f ca="1">BE3+1</f>
        <v>46139</v>
      </c>
      <c r="BG3" s="39">
        <f ca="1">BF3+1</f>
        <v>46140</v>
      </c>
      <c r="BH3" s="39">
        <f t="shared" ref="BH3:BL3" ca="1" si="2">BG3+1</f>
        <v>46141</v>
      </c>
      <c r="BI3" s="39">
        <f t="shared" ca="1" si="2"/>
        <v>46142</v>
      </c>
      <c r="BJ3" s="39">
        <f t="shared" ca="1" si="2"/>
        <v>46143</v>
      </c>
      <c r="BK3" s="39">
        <f t="shared" ca="1" si="2"/>
        <v>46144</v>
      </c>
      <c r="BL3" s="40">
        <f t="shared" ca="1" si="2"/>
        <v>46145</v>
      </c>
    </row>
    <row r="4" spans="1:68" ht="19.899999999999999" customHeight="1" x14ac:dyDescent="0.25">
      <c r="A4" s="8"/>
      <c r="B4" s="24"/>
      <c r="C4" s="24"/>
      <c r="D4" s="24"/>
      <c r="E4" s="25"/>
      <c r="F4" s="25"/>
      <c r="G4" s="25"/>
      <c r="H4" s="32"/>
      <c r="I4" s="41"/>
      <c r="J4" s="42"/>
      <c r="K4" s="42"/>
      <c r="L4" s="42"/>
      <c r="M4" s="42"/>
      <c r="N4" s="42"/>
      <c r="O4" s="42"/>
      <c r="P4" s="43"/>
      <c r="Q4" s="42"/>
      <c r="R4" s="42"/>
      <c r="S4" s="42"/>
      <c r="T4" s="42"/>
      <c r="U4" s="42"/>
      <c r="V4" s="44"/>
      <c r="W4" s="42"/>
      <c r="X4" s="42"/>
      <c r="Y4" s="42"/>
      <c r="Z4" s="42"/>
      <c r="AA4" s="42"/>
      <c r="AB4" s="42"/>
      <c r="AC4" s="44"/>
      <c r="AD4" s="42"/>
      <c r="AE4" s="42"/>
      <c r="AF4" s="42"/>
      <c r="AG4" s="42"/>
      <c r="AH4" s="42"/>
      <c r="AI4" s="42"/>
      <c r="AJ4" s="44"/>
      <c r="AK4" s="42"/>
      <c r="AL4" s="42"/>
      <c r="AM4" s="42"/>
      <c r="AN4" s="42"/>
      <c r="AO4" s="42"/>
      <c r="AP4" s="42"/>
      <c r="AQ4" s="44"/>
      <c r="AR4" s="42"/>
      <c r="AS4" s="42"/>
      <c r="AT4" s="42"/>
      <c r="AU4" s="42"/>
      <c r="AV4" s="42"/>
      <c r="AW4" s="42"/>
      <c r="AX4" s="44"/>
      <c r="AY4" s="42"/>
      <c r="AZ4" s="42"/>
      <c r="BA4" s="42"/>
      <c r="BB4" s="42"/>
      <c r="BC4" s="42"/>
      <c r="BD4" s="42"/>
      <c r="BE4" s="44"/>
      <c r="BF4" s="42"/>
      <c r="BG4" s="42"/>
      <c r="BH4" s="42"/>
      <c r="BI4" s="42"/>
      <c r="BJ4" s="42"/>
      <c r="BK4" s="42"/>
      <c r="BL4" s="45"/>
    </row>
    <row r="5" spans="1:68" ht="17.25" customHeight="1" x14ac:dyDescent="0.25">
      <c r="A5" s="8"/>
      <c r="B5" s="54" t="s">
        <v>10</v>
      </c>
      <c r="C5" s="55" t="s">
        <v>0</v>
      </c>
      <c r="D5" s="55" t="s">
        <v>11</v>
      </c>
      <c r="E5" s="55" t="s">
        <v>3</v>
      </c>
      <c r="F5" s="55" t="s">
        <v>4</v>
      </c>
      <c r="G5" s="55" t="s">
        <v>12</v>
      </c>
      <c r="H5" s="33"/>
      <c r="I5" s="46" t="str">
        <f t="shared" ref="I5:BL5" ca="1" si="3">LEFT(TEXT(I3,"ddd"),1)</f>
        <v>M</v>
      </c>
      <c r="J5" s="46" t="str">
        <f t="shared" ca="1" si="3"/>
        <v>T</v>
      </c>
      <c r="K5" s="46" t="str">
        <f t="shared" ca="1" si="3"/>
        <v>W</v>
      </c>
      <c r="L5" s="46" t="str">
        <f t="shared" ca="1" si="3"/>
        <v>T</v>
      </c>
      <c r="M5" s="46" t="str">
        <f t="shared" ca="1" si="3"/>
        <v>F</v>
      </c>
      <c r="N5" s="46" t="str">
        <f t="shared" ca="1" si="3"/>
        <v>S</v>
      </c>
      <c r="O5" s="46" t="str">
        <f t="shared" ca="1" si="3"/>
        <v>S</v>
      </c>
      <c r="P5" s="46" t="str">
        <f t="shared" ca="1" si="3"/>
        <v>M</v>
      </c>
      <c r="Q5" s="46" t="str">
        <f t="shared" ca="1" si="3"/>
        <v>T</v>
      </c>
      <c r="R5" s="46" t="str">
        <f t="shared" ca="1" si="3"/>
        <v>W</v>
      </c>
      <c r="S5" s="46" t="str">
        <f t="shared" ca="1" si="3"/>
        <v>T</v>
      </c>
      <c r="T5" s="46" t="str">
        <f t="shared" ca="1" si="3"/>
        <v>F</v>
      </c>
      <c r="U5" s="46" t="str">
        <f t="shared" ca="1" si="3"/>
        <v>S</v>
      </c>
      <c r="V5" s="46" t="str">
        <f t="shared" ca="1" si="3"/>
        <v>S</v>
      </c>
      <c r="W5" s="46" t="str">
        <f t="shared" ca="1" si="3"/>
        <v>M</v>
      </c>
      <c r="X5" s="46" t="str">
        <f t="shared" ca="1" si="3"/>
        <v>T</v>
      </c>
      <c r="Y5" s="46" t="str">
        <f t="shared" ca="1" si="3"/>
        <v>W</v>
      </c>
      <c r="Z5" s="46" t="str">
        <f t="shared" ca="1" si="3"/>
        <v>T</v>
      </c>
      <c r="AA5" s="46" t="str">
        <f t="shared" ca="1" si="3"/>
        <v>F</v>
      </c>
      <c r="AB5" s="46" t="str">
        <f t="shared" ca="1" si="3"/>
        <v>S</v>
      </c>
      <c r="AC5" s="46" t="str">
        <f t="shared" ca="1" si="3"/>
        <v>S</v>
      </c>
      <c r="AD5" s="46" t="str">
        <f t="shared" ca="1" si="3"/>
        <v>M</v>
      </c>
      <c r="AE5" s="46" t="str">
        <f t="shared" ca="1" si="3"/>
        <v>T</v>
      </c>
      <c r="AF5" s="46" t="str">
        <f t="shared" ca="1" si="3"/>
        <v>W</v>
      </c>
      <c r="AG5" s="46" t="str">
        <f t="shared" ca="1" si="3"/>
        <v>T</v>
      </c>
      <c r="AH5" s="46" t="str">
        <f t="shared" ca="1" si="3"/>
        <v>F</v>
      </c>
      <c r="AI5" s="46" t="str">
        <f t="shared" ca="1" si="3"/>
        <v>S</v>
      </c>
      <c r="AJ5" s="46" t="str">
        <f t="shared" ca="1" si="3"/>
        <v>S</v>
      </c>
      <c r="AK5" s="46" t="str">
        <f t="shared" ca="1" si="3"/>
        <v>M</v>
      </c>
      <c r="AL5" s="46" t="str">
        <f t="shared" ca="1" si="3"/>
        <v>T</v>
      </c>
      <c r="AM5" s="46" t="str">
        <f t="shared" ca="1" si="3"/>
        <v>W</v>
      </c>
      <c r="AN5" s="46" t="str">
        <f t="shared" ca="1" si="3"/>
        <v>T</v>
      </c>
      <c r="AO5" s="46" t="str">
        <f t="shared" ca="1" si="3"/>
        <v>F</v>
      </c>
      <c r="AP5" s="46" t="str">
        <f t="shared" ca="1" si="3"/>
        <v>S</v>
      </c>
      <c r="AQ5" s="46" t="str">
        <f t="shared" ca="1" si="3"/>
        <v>S</v>
      </c>
      <c r="AR5" s="46" t="str">
        <f t="shared" ca="1" si="3"/>
        <v>M</v>
      </c>
      <c r="AS5" s="46" t="str">
        <f t="shared" ca="1" si="3"/>
        <v>T</v>
      </c>
      <c r="AT5" s="46" t="str">
        <f t="shared" ca="1" si="3"/>
        <v>W</v>
      </c>
      <c r="AU5" s="46" t="str">
        <f t="shared" ca="1" si="3"/>
        <v>T</v>
      </c>
      <c r="AV5" s="46" t="str">
        <f t="shared" ca="1" si="3"/>
        <v>F</v>
      </c>
      <c r="AW5" s="46" t="str">
        <f t="shared" ca="1" si="3"/>
        <v>S</v>
      </c>
      <c r="AX5" s="46" t="str">
        <f t="shared" ca="1" si="3"/>
        <v>S</v>
      </c>
      <c r="AY5" s="46" t="str">
        <f t="shared" ca="1" si="3"/>
        <v>M</v>
      </c>
      <c r="AZ5" s="46" t="str">
        <f t="shared" ca="1" si="3"/>
        <v>T</v>
      </c>
      <c r="BA5" s="46" t="str">
        <f t="shared" ca="1" si="3"/>
        <v>W</v>
      </c>
      <c r="BB5" s="46" t="str">
        <f t="shared" ca="1" si="3"/>
        <v>T</v>
      </c>
      <c r="BC5" s="46" t="str">
        <f t="shared" ca="1" si="3"/>
        <v>F</v>
      </c>
      <c r="BD5" s="46" t="str">
        <f t="shared" ca="1" si="3"/>
        <v>S</v>
      </c>
      <c r="BE5" s="46" t="str">
        <f t="shared" ca="1" si="3"/>
        <v>S</v>
      </c>
      <c r="BF5" s="46" t="str">
        <f t="shared" ca="1" si="3"/>
        <v>M</v>
      </c>
      <c r="BG5" s="46" t="str">
        <f t="shared" ca="1" si="3"/>
        <v>T</v>
      </c>
      <c r="BH5" s="46" t="str">
        <f t="shared" ca="1" si="3"/>
        <v>W</v>
      </c>
      <c r="BI5" s="46" t="str">
        <f t="shared" ca="1" si="3"/>
        <v>T</v>
      </c>
      <c r="BJ5" s="46" t="str">
        <f t="shared" ca="1" si="3"/>
        <v>F</v>
      </c>
      <c r="BK5" s="46" t="str">
        <f t="shared" ca="1" si="3"/>
        <v>S</v>
      </c>
      <c r="BL5" s="46" t="str">
        <f t="shared" ca="1" si="3"/>
        <v>S</v>
      </c>
    </row>
    <row r="6" spans="1:68" ht="30" hidden="1" customHeight="1" x14ac:dyDescent="0.25">
      <c r="B6" s="13"/>
      <c r="C6" s="10"/>
      <c r="D6" s="9"/>
      <c r="E6" s="10"/>
      <c r="F6" s="11"/>
      <c r="G6" s="12"/>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row>
    <row r="7" spans="1:68" s="1" customFormat="1" ht="16.5" customHeight="1" x14ac:dyDescent="0.25">
      <c r="A7" s="8"/>
      <c r="B7" s="73" t="s">
        <v>29</v>
      </c>
      <c r="C7" s="17">
        <v>24</v>
      </c>
      <c r="D7" s="17"/>
      <c r="E7" s="18"/>
      <c r="F7" s="19"/>
      <c r="G7" s="20"/>
      <c r="H7" s="17"/>
      <c r="I7" s="14" t="str">
        <f t="shared" ref="I7:X28" ca="1" si="4">IF(AND($C7="Goal",I$3&gt;=$F7,I$3&lt;=$F7+$G7-1),2,IF(AND($C7="Milestone",I$3&gt;=$F7,I$3&lt;=$F7+$G7-1),1,""))</f>
        <v/>
      </c>
      <c r="J7" s="14" t="str">
        <f t="shared" ca="1" si="4"/>
        <v/>
      </c>
      <c r="K7" s="14" t="str">
        <f t="shared" ca="1" si="4"/>
        <v/>
      </c>
      <c r="L7" s="14" t="str">
        <f t="shared" ca="1" si="4"/>
        <v/>
      </c>
      <c r="M7" s="14" t="str">
        <f t="shared" ca="1" si="4"/>
        <v/>
      </c>
      <c r="N7" s="14" t="str">
        <f t="shared" ca="1" si="4"/>
        <v/>
      </c>
      <c r="O7" s="14" t="str">
        <f t="shared" ca="1" si="4"/>
        <v/>
      </c>
      <c r="P7" s="14" t="str">
        <f t="shared" ca="1" si="4"/>
        <v/>
      </c>
      <c r="Q7" s="14" t="str">
        <f t="shared" ca="1" si="4"/>
        <v/>
      </c>
      <c r="R7" s="14" t="str">
        <f t="shared" ca="1" si="4"/>
        <v/>
      </c>
      <c r="S7" s="14" t="str">
        <f t="shared" ca="1" si="4"/>
        <v/>
      </c>
      <c r="T7" s="14" t="str">
        <f t="shared" ca="1" si="4"/>
        <v/>
      </c>
      <c r="U7" s="14" t="str">
        <f t="shared" ca="1" si="4"/>
        <v/>
      </c>
      <c r="V7" s="14" t="str">
        <f t="shared" ca="1" si="4"/>
        <v/>
      </c>
      <c r="W7" s="14" t="str">
        <f t="shared" ca="1" si="4"/>
        <v/>
      </c>
      <c r="X7" s="14" t="str">
        <f t="shared" ca="1" si="4"/>
        <v/>
      </c>
      <c r="Y7" s="14" t="str">
        <f t="shared" ref="Y7:AN28" ca="1" si="5">IF(AND($C7="Goal",Y$3&gt;=$F7,Y$3&lt;=$F7+$G7-1),2,IF(AND($C7="Milestone",Y$3&gt;=$F7,Y$3&lt;=$F7+$G7-1),1,""))</f>
        <v/>
      </c>
      <c r="Z7" s="14" t="str">
        <f t="shared" ca="1" si="5"/>
        <v/>
      </c>
      <c r="AA7" s="14" t="str">
        <f t="shared" ca="1" si="5"/>
        <v/>
      </c>
      <c r="AB7" s="14" t="str">
        <f t="shared" ca="1" si="5"/>
        <v/>
      </c>
      <c r="AC7" s="14" t="str">
        <f t="shared" ca="1" si="5"/>
        <v/>
      </c>
      <c r="AD7" s="14" t="str">
        <f t="shared" ca="1" si="5"/>
        <v/>
      </c>
      <c r="AE7" s="14" t="str">
        <f t="shared" ca="1" si="5"/>
        <v/>
      </c>
      <c r="AF7" s="14" t="str">
        <f t="shared" ca="1" si="5"/>
        <v/>
      </c>
      <c r="AG7" s="14" t="str">
        <f t="shared" ca="1" si="5"/>
        <v/>
      </c>
      <c r="AH7" s="14" t="str">
        <f t="shared" ca="1" si="5"/>
        <v/>
      </c>
      <c r="AI7" s="14" t="str">
        <f t="shared" ca="1" si="5"/>
        <v/>
      </c>
      <c r="AJ7" s="14" t="str">
        <f t="shared" ca="1" si="5"/>
        <v/>
      </c>
      <c r="AK7" s="14" t="str">
        <f t="shared" ca="1" si="5"/>
        <v/>
      </c>
      <c r="AL7" s="14" t="str">
        <f t="shared" ca="1" si="5"/>
        <v/>
      </c>
      <c r="AM7" s="14" t="str">
        <f t="shared" ca="1" si="5"/>
        <v/>
      </c>
      <c r="AN7" s="14" t="str">
        <f t="shared" ca="1" si="5"/>
        <v/>
      </c>
      <c r="AO7" s="14" t="str">
        <f t="shared" ref="AO7:BD28" ca="1" si="6">IF(AND($C7="Goal",AO$3&gt;=$F7,AO$3&lt;=$F7+$G7-1),2,IF(AND($C7="Milestone",AO$3&gt;=$F7,AO$3&lt;=$F7+$G7-1),1,""))</f>
        <v/>
      </c>
      <c r="AP7" s="14" t="str">
        <f t="shared" ca="1" si="6"/>
        <v/>
      </c>
      <c r="AQ7" s="14" t="str">
        <f t="shared" ca="1" si="6"/>
        <v/>
      </c>
      <c r="AR7" s="14" t="str">
        <f t="shared" ca="1" si="6"/>
        <v/>
      </c>
      <c r="AS7" s="14" t="str">
        <f t="shared" ca="1" si="6"/>
        <v/>
      </c>
      <c r="AT7" s="14" t="str">
        <f t="shared" ca="1" si="6"/>
        <v/>
      </c>
      <c r="AU7" s="14" t="str">
        <f t="shared" ca="1" si="6"/>
        <v/>
      </c>
      <c r="AV7" s="14" t="str">
        <f t="shared" ca="1" si="6"/>
        <v/>
      </c>
      <c r="AW7" s="14" t="str">
        <f t="shared" ca="1" si="6"/>
        <v/>
      </c>
      <c r="AX7" s="14" t="str">
        <f t="shared" ca="1" si="6"/>
        <v/>
      </c>
      <c r="AY7" s="14" t="str">
        <f t="shared" ca="1" si="6"/>
        <v/>
      </c>
      <c r="AZ7" s="14" t="str">
        <f t="shared" ca="1" si="6"/>
        <v/>
      </c>
      <c r="BA7" s="14" t="str">
        <f t="shared" ca="1" si="6"/>
        <v/>
      </c>
      <c r="BB7" s="14" t="str">
        <f t="shared" ca="1" si="6"/>
        <v/>
      </c>
      <c r="BC7" s="14" t="str">
        <f t="shared" ca="1" si="6"/>
        <v/>
      </c>
      <c r="BD7" s="14" t="str">
        <f t="shared" ca="1" si="6"/>
        <v/>
      </c>
      <c r="BE7" s="14" t="str">
        <f t="shared" ref="BE7:BL11" ca="1" si="7">IF(AND($C7="Goal",BE$3&gt;=$F7,BE$3&lt;=$F7+$G7-1),2,IF(AND($C7="Milestone",BE$3&gt;=$F7,BE$3&lt;=$F7+$G7-1),1,""))</f>
        <v/>
      </c>
      <c r="BF7" s="14" t="str">
        <f t="shared" ca="1" si="7"/>
        <v/>
      </c>
      <c r="BG7" s="14" t="str">
        <f t="shared" ca="1" si="7"/>
        <v/>
      </c>
      <c r="BH7" s="14" t="str">
        <f t="shared" ca="1" si="7"/>
        <v/>
      </c>
      <c r="BI7" s="14" t="str">
        <f t="shared" ca="1" si="7"/>
        <v/>
      </c>
      <c r="BJ7" s="14" t="str">
        <f t="shared" ca="1" si="7"/>
        <v/>
      </c>
      <c r="BK7" s="14" t="str">
        <f t="shared" ca="1" si="7"/>
        <v/>
      </c>
      <c r="BL7" s="14" t="str">
        <f t="shared" ca="1" si="7"/>
        <v/>
      </c>
      <c r="BP7" s="16"/>
    </row>
    <row r="8" spans="1:68" s="1" customFormat="1" ht="40.15" customHeight="1" x14ac:dyDescent="0.25">
      <c r="A8" s="8"/>
      <c r="B8" s="60" t="s">
        <v>24</v>
      </c>
      <c r="C8" s="17" t="s">
        <v>6</v>
      </c>
      <c r="D8" s="17" t="s">
        <v>23</v>
      </c>
      <c r="E8" s="18">
        <v>1</v>
      </c>
      <c r="F8" s="19">
        <v>46070</v>
      </c>
      <c r="G8" s="20">
        <v>3</v>
      </c>
      <c r="H8" s="17"/>
      <c r="I8" s="14" t="str">
        <f ca="1">IF(AND($C8="Goal",I$3&gt;=$F8,I$3&lt;=$F8+$G8-1),2,IF(AND($C8="Milestone",I$3&gt;=$F8,I$3&lt;=$F8+$G8-1),1,""))</f>
        <v/>
      </c>
      <c r="J8" s="14" t="str">
        <f t="shared" ca="1" si="4"/>
        <v/>
      </c>
      <c r="K8" s="14" t="str">
        <f t="shared" ca="1" si="4"/>
        <v/>
      </c>
      <c r="L8" s="14" t="str">
        <f t="shared" ca="1" si="4"/>
        <v/>
      </c>
      <c r="M8" s="14" t="str">
        <f t="shared" ca="1" si="4"/>
        <v/>
      </c>
      <c r="N8" s="14" t="str">
        <f t="shared" ca="1" si="4"/>
        <v/>
      </c>
      <c r="O8" s="14" t="str">
        <f ca="1">IF(AND($C8="Goal",O$3&gt;=$F8,O$3&lt;=$F8+$G8-1),2,IF(AND($C8="Milestone",O$3&gt;=$F8,O$3&lt;=$F8+$G8-1),1,""))</f>
        <v/>
      </c>
      <c r="P8" s="14" t="str">
        <f ca="1">IF(AND($C8="Goal",P$3&gt;=$F8,P$3&lt;=$F8+$G8-1),2,IF(AND($C8="Milestone",P$3&gt;=$F8,P$3&lt;=$F8+$G8-1),1,""))</f>
        <v/>
      </c>
      <c r="Q8" s="14" t="str">
        <f t="shared" ca="1" si="4"/>
        <v/>
      </c>
      <c r="R8" s="14" t="str">
        <f t="shared" ca="1" si="4"/>
        <v/>
      </c>
      <c r="S8" s="14" t="str">
        <f t="shared" ca="1" si="4"/>
        <v/>
      </c>
      <c r="T8" s="14" t="str">
        <f t="shared" ca="1" si="4"/>
        <v/>
      </c>
      <c r="U8" s="14" t="str">
        <f t="shared" ca="1" si="4"/>
        <v/>
      </c>
      <c r="V8" s="14" t="str">
        <f t="shared" ca="1" si="4"/>
        <v/>
      </c>
      <c r="W8" s="14" t="str">
        <f t="shared" ca="1" si="4"/>
        <v/>
      </c>
      <c r="X8" s="14" t="str">
        <f t="shared" ca="1" si="4"/>
        <v/>
      </c>
      <c r="Y8" s="14" t="str">
        <f t="shared" ca="1" si="5"/>
        <v/>
      </c>
      <c r="Z8" s="14" t="str">
        <f t="shared" ca="1" si="5"/>
        <v/>
      </c>
      <c r="AA8" s="14" t="str">
        <f t="shared" ca="1" si="5"/>
        <v/>
      </c>
      <c r="AB8" s="14" t="str">
        <f t="shared" ca="1" si="5"/>
        <v/>
      </c>
      <c r="AC8" s="14" t="str">
        <f t="shared" ca="1" si="5"/>
        <v/>
      </c>
      <c r="AD8" s="14" t="str">
        <f t="shared" ca="1" si="5"/>
        <v/>
      </c>
      <c r="AE8" s="14" t="str">
        <f t="shared" ca="1" si="5"/>
        <v/>
      </c>
      <c r="AF8" s="14" t="str">
        <f t="shared" ca="1" si="5"/>
        <v/>
      </c>
      <c r="AG8" s="14" t="str">
        <f t="shared" ca="1" si="5"/>
        <v/>
      </c>
      <c r="AH8" s="14" t="str">
        <f t="shared" ca="1" si="5"/>
        <v/>
      </c>
      <c r="AI8" s="14" t="str">
        <f t="shared" ca="1" si="5"/>
        <v/>
      </c>
      <c r="AJ8" s="14" t="str">
        <f t="shared" ca="1" si="5"/>
        <v/>
      </c>
      <c r="AK8" s="14" t="str">
        <f t="shared" ca="1" si="5"/>
        <v/>
      </c>
      <c r="AL8" s="14" t="str">
        <f t="shared" ca="1" si="5"/>
        <v/>
      </c>
      <c r="AM8" s="14" t="str">
        <f t="shared" ca="1" si="5"/>
        <v/>
      </c>
      <c r="AN8" s="14" t="str">
        <f t="shared" ca="1" si="5"/>
        <v/>
      </c>
      <c r="AO8" s="14" t="str">
        <f t="shared" ca="1" si="6"/>
        <v/>
      </c>
      <c r="AP8" s="14" t="str">
        <f t="shared" ca="1" si="6"/>
        <v/>
      </c>
      <c r="AQ8" s="14" t="str">
        <f t="shared" ca="1" si="6"/>
        <v/>
      </c>
      <c r="AR8" s="14" t="str">
        <f t="shared" ca="1" si="6"/>
        <v/>
      </c>
      <c r="AS8" s="14" t="str">
        <f t="shared" ca="1" si="6"/>
        <v/>
      </c>
      <c r="AT8" s="14" t="str">
        <f t="shared" ca="1" si="6"/>
        <v/>
      </c>
      <c r="AU8" s="14" t="str">
        <f t="shared" ca="1" si="6"/>
        <v/>
      </c>
      <c r="AV8" s="14" t="str">
        <f t="shared" ca="1" si="6"/>
        <v/>
      </c>
      <c r="AW8" s="14" t="str">
        <f t="shared" ca="1" si="6"/>
        <v/>
      </c>
      <c r="AX8" s="14" t="str">
        <f t="shared" ca="1" si="6"/>
        <v/>
      </c>
      <c r="AY8" s="14" t="str">
        <f t="shared" ca="1" si="6"/>
        <v/>
      </c>
      <c r="AZ8" s="14" t="str">
        <f t="shared" ca="1" si="6"/>
        <v/>
      </c>
      <c r="BA8" s="14" t="str">
        <f t="shared" ca="1" si="6"/>
        <v/>
      </c>
      <c r="BB8" s="14" t="str">
        <f t="shared" ca="1" si="6"/>
        <v/>
      </c>
      <c r="BC8" s="14" t="str">
        <f t="shared" ca="1" si="6"/>
        <v/>
      </c>
      <c r="BD8" s="14" t="str">
        <f t="shared" ca="1" si="6"/>
        <v/>
      </c>
      <c r="BE8" s="14" t="str">
        <f t="shared" ca="1" si="7"/>
        <v/>
      </c>
      <c r="BF8" s="14" t="str">
        <f t="shared" ca="1" si="7"/>
        <v/>
      </c>
      <c r="BG8" s="14" t="str">
        <f t="shared" ca="1" si="7"/>
        <v/>
      </c>
      <c r="BH8" s="14" t="str">
        <f t="shared" ca="1" si="7"/>
        <v/>
      </c>
      <c r="BI8" s="14" t="str">
        <f t="shared" ca="1" si="7"/>
        <v/>
      </c>
      <c r="BJ8" s="14" t="str">
        <f t="shared" ca="1" si="7"/>
        <v/>
      </c>
      <c r="BK8" s="14" t="str">
        <f t="shared" ca="1" si="7"/>
        <v/>
      </c>
      <c r="BL8" s="14" t="str">
        <f t="shared" ca="1" si="7"/>
        <v/>
      </c>
    </row>
    <row r="9" spans="1:68" s="1" customFormat="1" ht="40.15" customHeight="1" x14ac:dyDescent="0.25">
      <c r="A9" s="8"/>
      <c r="B9" s="60" t="s">
        <v>25</v>
      </c>
      <c r="C9" s="17" t="s">
        <v>6</v>
      </c>
      <c r="D9" s="17" t="s">
        <v>23</v>
      </c>
      <c r="E9" s="18">
        <v>1</v>
      </c>
      <c r="F9" s="19">
        <v>46076</v>
      </c>
      <c r="G9" s="20">
        <v>2</v>
      </c>
      <c r="H9" s="17"/>
      <c r="I9" s="14" t="str">
        <f ca="1">IF(AND($C9="Goal",I$3&gt;=$F9,I$3&lt;=$F9+$G9-1),2,IF(AND($C9="Milestone",I$3&gt;=$F9,I$3&lt;=$F9+$G9-1),1,""))</f>
        <v/>
      </c>
      <c r="J9" s="14" t="str">
        <f t="shared" ca="1" si="4"/>
        <v/>
      </c>
      <c r="K9" s="14" t="str">
        <f t="shared" ca="1" si="4"/>
        <v/>
      </c>
      <c r="L9" s="14" t="str">
        <f t="shared" ca="1" si="4"/>
        <v/>
      </c>
      <c r="M9" s="14" t="str">
        <f t="shared" ca="1" si="4"/>
        <v/>
      </c>
      <c r="N9" s="14" t="str">
        <f t="shared" ca="1" si="4"/>
        <v/>
      </c>
      <c r="O9" s="14" t="str">
        <f t="shared" ca="1" si="4"/>
        <v/>
      </c>
      <c r="P9" s="14" t="str">
        <f t="shared" ca="1" si="4"/>
        <v/>
      </c>
      <c r="Q9" s="14" t="str">
        <f t="shared" ca="1" si="4"/>
        <v/>
      </c>
      <c r="R9" s="14" t="str">
        <f t="shared" ca="1" si="4"/>
        <v/>
      </c>
      <c r="S9" s="14" t="str">
        <f t="shared" ca="1" si="4"/>
        <v/>
      </c>
      <c r="T9" s="14" t="str">
        <f t="shared" ca="1" si="4"/>
        <v/>
      </c>
      <c r="U9" s="14" t="str">
        <f t="shared" ca="1" si="4"/>
        <v/>
      </c>
      <c r="V9" s="14" t="str">
        <f t="shared" ca="1" si="4"/>
        <v/>
      </c>
      <c r="W9" s="14" t="str">
        <f t="shared" ca="1" si="4"/>
        <v/>
      </c>
      <c r="X9" s="14" t="str">
        <f t="shared" ca="1" si="4"/>
        <v/>
      </c>
      <c r="Y9" s="14" t="str">
        <f t="shared" ca="1" si="5"/>
        <v/>
      </c>
      <c r="Z9" s="14" t="str">
        <f t="shared" ca="1" si="5"/>
        <v/>
      </c>
      <c r="AA9" s="14" t="str">
        <f t="shared" ca="1" si="5"/>
        <v/>
      </c>
      <c r="AB9" s="14" t="str">
        <f t="shared" ca="1" si="5"/>
        <v/>
      </c>
      <c r="AC9" s="14" t="str">
        <f t="shared" ca="1" si="5"/>
        <v/>
      </c>
      <c r="AD9" s="14" t="str">
        <f t="shared" ca="1" si="5"/>
        <v/>
      </c>
      <c r="AE9" s="14" t="str">
        <f t="shared" ca="1" si="5"/>
        <v/>
      </c>
      <c r="AF9" s="14" t="str">
        <f t="shared" ca="1" si="5"/>
        <v/>
      </c>
      <c r="AG9" s="14" t="str">
        <f t="shared" ca="1" si="5"/>
        <v/>
      </c>
      <c r="AH9" s="14" t="str">
        <f t="shared" ca="1" si="5"/>
        <v/>
      </c>
      <c r="AI9" s="14" t="str">
        <f t="shared" ca="1" si="5"/>
        <v/>
      </c>
      <c r="AJ9" s="14" t="str">
        <f t="shared" ca="1" si="5"/>
        <v/>
      </c>
      <c r="AK9" s="14" t="str">
        <f t="shared" ca="1" si="5"/>
        <v/>
      </c>
      <c r="AL9" s="14" t="str">
        <f t="shared" ca="1" si="5"/>
        <v/>
      </c>
      <c r="AM9" s="14" t="str">
        <f t="shared" ca="1" si="5"/>
        <v/>
      </c>
      <c r="AN9" s="14" t="str">
        <f t="shared" ca="1" si="5"/>
        <v/>
      </c>
      <c r="AO9" s="14" t="str">
        <f t="shared" ca="1" si="6"/>
        <v/>
      </c>
      <c r="AP9" s="14" t="str">
        <f t="shared" ca="1" si="6"/>
        <v/>
      </c>
      <c r="AQ9" s="14" t="str">
        <f t="shared" ca="1" si="6"/>
        <v/>
      </c>
      <c r="AR9" s="14" t="str">
        <f t="shared" ca="1" si="6"/>
        <v/>
      </c>
      <c r="AS9" s="14" t="str">
        <f t="shared" ca="1" si="6"/>
        <v/>
      </c>
      <c r="AT9" s="14" t="str">
        <f t="shared" ca="1" si="6"/>
        <v/>
      </c>
      <c r="AU9" s="14" t="str">
        <f t="shared" ca="1" si="6"/>
        <v/>
      </c>
      <c r="AV9" s="14" t="str">
        <f t="shared" ca="1" si="6"/>
        <v/>
      </c>
      <c r="AW9" s="14" t="str">
        <f t="shared" ca="1" si="6"/>
        <v/>
      </c>
      <c r="AX9" s="14" t="str">
        <f t="shared" ca="1" si="6"/>
        <v/>
      </c>
      <c r="AY9" s="14" t="str">
        <f t="shared" ca="1" si="6"/>
        <v/>
      </c>
      <c r="AZ9" s="14" t="str">
        <f t="shared" ca="1" si="6"/>
        <v/>
      </c>
      <c r="BA9" s="14" t="str">
        <f t="shared" ca="1" si="6"/>
        <v/>
      </c>
      <c r="BB9" s="14" t="str">
        <f t="shared" ca="1" si="6"/>
        <v/>
      </c>
      <c r="BC9" s="14" t="str">
        <f t="shared" ca="1" si="6"/>
        <v/>
      </c>
      <c r="BD9" s="14" t="str">
        <f t="shared" ca="1" si="6"/>
        <v/>
      </c>
      <c r="BE9" s="14" t="str">
        <f t="shared" ca="1" si="7"/>
        <v/>
      </c>
      <c r="BF9" s="14" t="str">
        <f t="shared" ca="1" si="7"/>
        <v/>
      </c>
      <c r="BG9" s="14" t="str">
        <f t="shared" ca="1" si="7"/>
        <v/>
      </c>
      <c r="BH9" s="14" t="str">
        <f t="shared" ca="1" si="7"/>
        <v/>
      </c>
      <c r="BI9" s="14" t="str">
        <f t="shared" ca="1" si="7"/>
        <v/>
      </c>
      <c r="BJ9" s="14" t="str">
        <f t="shared" ca="1" si="7"/>
        <v/>
      </c>
      <c r="BK9" s="14" t="str">
        <f t="shared" ca="1" si="7"/>
        <v/>
      </c>
      <c r="BL9" s="14" t="str">
        <f t="shared" ca="1" si="7"/>
        <v/>
      </c>
    </row>
    <row r="10" spans="1:68" s="1" customFormat="1" ht="40.15" customHeight="1" x14ac:dyDescent="0.25">
      <c r="A10" s="7"/>
      <c r="B10" s="60" t="s">
        <v>27</v>
      </c>
      <c r="C10" s="17" t="s">
        <v>6</v>
      </c>
      <c r="D10" s="17" t="s">
        <v>23</v>
      </c>
      <c r="E10" s="18">
        <v>1</v>
      </c>
      <c r="F10" s="19">
        <v>46077</v>
      </c>
      <c r="G10" s="20">
        <v>1</v>
      </c>
      <c r="H10" s="17"/>
      <c r="I10" s="14" t="str">
        <f ca="1">IF(AND($C10="Goal",I$3&gt;=$F10,I$3&lt;=$F10+$G10-1),2,IF(AND($C10="Milestone",I$3&gt;=$F10,I$3&lt;=$F10+$G10-1),1,""))</f>
        <v/>
      </c>
      <c r="J10" s="14" t="str">
        <f t="shared" ca="1" si="4"/>
        <v/>
      </c>
      <c r="K10" s="14" t="str">
        <f t="shared" ca="1" si="4"/>
        <v/>
      </c>
      <c r="L10" s="14" t="str">
        <f t="shared" ca="1" si="4"/>
        <v/>
      </c>
      <c r="M10" s="14" t="str">
        <f t="shared" ca="1" si="4"/>
        <v/>
      </c>
      <c r="N10" s="14" t="str">
        <f t="shared" ca="1" si="4"/>
        <v/>
      </c>
      <c r="O10" s="14" t="str">
        <f t="shared" ca="1" si="4"/>
        <v/>
      </c>
      <c r="P10" s="14" t="str">
        <f t="shared" ca="1" si="4"/>
        <v/>
      </c>
      <c r="Q10" s="14" t="str">
        <f t="shared" ca="1" si="4"/>
        <v/>
      </c>
      <c r="R10" s="14" t="str">
        <f t="shared" ca="1" si="4"/>
        <v/>
      </c>
      <c r="S10" s="14" t="str">
        <f t="shared" ca="1" si="4"/>
        <v/>
      </c>
      <c r="T10" s="14" t="str">
        <f t="shared" ca="1" si="4"/>
        <v/>
      </c>
      <c r="U10" s="14" t="str">
        <f t="shared" ca="1" si="4"/>
        <v/>
      </c>
      <c r="V10" s="14" t="str">
        <f t="shared" ca="1" si="4"/>
        <v/>
      </c>
      <c r="W10" s="14" t="str">
        <f t="shared" ca="1" si="4"/>
        <v/>
      </c>
      <c r="X10" s="14" t="str">
        <f t="shared" ca="1" si="4"/>
        <v/>
      </c>
      <c r="Y10" s="14" t="str">
        <f t="shared" ca="1" si="5"/>
        <v/>
      </c>
      <c r="Z10" s="14" t="str">
        <f t="shared" ca="1" si="5"/>
        <v/>
      </c>
      <c r="AA10" s="14" t="str">
        <f t="shared" ca="1" si="5"/>
        <v/>
      </c>
      <c r="AB10" s="14" t="str">
        <f t="shared" ca="1" si="5"/>
        <v/>
      </c>
      <c r="AC10" s="14" t="str">
        <f t="shared" ca="1" si="5"/>
        <v/>
      </c>
      <c r="AD10" s="14" t="str">
        <f t="shared" ca="1" si="5"/>
        <v/>
      </c>
      <c r="AE10" s="14" t="str">
        <f t="shared" ca="1" si="5"/>
        <v/>
      </c>
      <c r="AF10" s="14" t="str">
        <f t="shared" ca="1" si="5"/>
        <v/>
      </c>
      <c r="AG10" s="14" t="str">
        <f t="shared" ca="1" si="5"/>
        <v/>
      </c>
      <c r="AH10" s="14" t="str">
        <f t="shared" ca="1" si="5"/>
        <v/>
      </c>
      <c r="AI10" s="14" t="str">
        <f t="shared" ca="1" si="5"/>
        <v/>
      </c>
      <c r="AJ10" s="14" t="str">
        <f t="shared" ca="1" si="5"/>
        <v/>
      </c>
      <c r="AK10" s="14" t="str">
        <f t="shared" ca="1" si="5"/>
        <v/>
      </c>
      <c r="AL10" s="14" t="str">
        <f t="shared" ca="1" si="5"/>
        <v/>
      </c>
      <c r="AM10" s="14" t="str">
        <f t="shared" ca="1" si="5"/>
        <v/>
      </c>
      <c r="AN10" s="14" t="str">
        <f t="shared" ca="1" si="5"/>
        <v/>
      </c>
      <c r="AO10" s="14" t="str">
        <f t="shared" ca="1" si="6"/>
        <v/>
      </c>
      <c r="AP10" s="14" t="str">
        <f t="shared" ca="1" si="6"/>
        <v/>
      </c>
      <c r="AQ10" s="14" t="str">
        <f t="shared" ca="1" si="6"/>
        <v/>
      </c>
      <c r="AR10" s="14" t="str">
        <f t="shared" ca="1" si="6"/>
        <v/>
      </c>
      <c r="AS10" s="14" t="str">
        <f t="shared" ca="1" si="6"/>
        <v/>
      </c>
      <c r="AT10" s="14" t="str">
        <f t="shared" ca="1" si="6"/>
        <v/>
      </c>
      <c r="AU10" s="14" t="str">
        <f t="shared" ca="1" si="6"/>
        <v/>
      </c>
      <c r="AV10" s="14" t="str">
        <f t="shared" ca="1" si="6"/>
        <v/>
      </c>
      <c r="AW10" s="14" t="str">
        <f t="shared" ca="1" si="6"/>
        <v/>
      </c>
      <c r="AX10" s="14" t="str">
        <f t="shared" ca="1" si="6"/>
        <v/>
      </c>
      <c r="AY10" s="14" t="str">
        <f t="shared" ca="1" si="6"/>
        <v/>
      </c>
      <c r="AZ10" s="14" t="str">
        <f t="shared" ca="1" si="6"/>
        <v/>
      </c>
      <c r="BA10" s="14" t="str">
        <f t="shared" ca="1" si="6"/>
        <v/>
      </c>
      <c r="BB10" s="14" t="str">
        <f t="shared" ca="1" si="6"/>
        <v/>
      </c>
      <c r="BC10" s="14" t="str">
        <f t="shared" ca="1" si="6"/>
        <v/>
      </c>
      <c r="BD10" s="14" t="str">
        <f t="shared" ca="1" si="6"/>
        <v/>
      </c>
      <c r="BE10" s="14" t="str">
        <f t="shared" ca="1" si="7"/>
        <v/>
      </c>
      <c r="BF10" s="14" t="str">
        <f t="shared" ca="1" si="7"/>
        <v/>
      </c>
      <c r="BG10" s="14" t="str">
        <f t="shared" ca="1" si="7"/>
        <v/>
      </c>
      <c r="BH10" s="14" t="str">
        <f t="shared" ca="1" si="7"/>
        <v/>
      </c>
      <c r="BI10" s="14" t="str">
        <f t="shared" ca="1" si="7"/>
        <v/>
      </c>
      <c r="BJ10" s="14" t="str">
        <f t="shared" ca="1" si="7"/>
        <v/>
      </c>
      <c r="BK10" s="14" t="str">
        <f t="shared" ca="1" si="7"/>
        <v/>
      </c>
      <c r="BL10" s="14" t="str">
        <f t="shared" ca="1" si="7"/>
        <v/>
      </c>
    </row>
    <row r="11" spans="1:68" s="1" customFormat="1" ht="40.15" customHeight="1" x14ac:dyDescent="0.25">
      <c r="A11" s="7"/>
      <c r="B11" s="60" t="s">
        <v>289</v>
      </c>
      <c r="C11" s="17" t="s">
        <v>6</v>
      </c>
      <c r="D11" s="17" t="s">
        <v>23</v>
      </c>
      <c r="E11" s="18">
        <v>1</v>
      </c>
      <c r="F11" s="19">
        <v>46077</v>
      </c>
      <c r="G11" s="20">
        <v>1</v>
      </c>
      <c r="H11" s="17"/>
      <c r="I11" s="14" t="str">
        <f ca="1">IF(AND($C11="Goal",I$3&gt;=$F11,I$3&lt;=$F11+$G11-1),2,IF(AND($C11="Milestone",I$3&gt;=$F11,I$3&lt;=$F11+$G11-1),1,""))</f>
        <v/>
      </c>
      <c r="J11" s="14" t="str">
        <f t="shared" ca="1" si="4"/>
        <v/>
      </c>
      <c r="K11" s="14" t="str">
        <f t="shared" ca="1" si="4"/>
        <v/>
      </c>
      <c r="L11" s="14" t="str">
        <f t="shared" ca="1" si="4"/>
        <v/>
      </c>
      <c r="M11" s="14" t="str">
        <f t="shared" ca="1" si="4"/>
        <v/>
      </c>
      <c r="N11" s="14" t="str">
        <f t="shared" ca="1" si="4"/>
        <v/>
      </c>
      <c r="O11" s="14" t="str">
        <f t="shared" ca="1" si="4"/>
        <v/>
      </c>
      <c r="P11" s="14" t="str">
        <f t="shared" ca="1" si="4"/>
        <v/>
      </c>
      <c r="Q11" s="14" t="str">
        <f t="shared" ca="1" si="4"/>
        <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ca="1" si="5"/>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ca="1" si="6"/>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ca="1" si="7"/>
        <v/>
      </c>
      <c r="BF11" s="14" t="str">
        <f t="shared" ca="1" si="7"/>
        <v/>
      </c>
      <c r="BG11" s="14" t="str">
        <f t="shared" ca="1" si="7"/>
        <v/>
      </c>
      <c r="BH11" s="14" t="str">
        <f t="shared" ca="1" si="7"/>
        <v/>
      </c>
      <c r="BI11" s="14" t="str">
        <f t="shared" ca="1" si="7"/>
        <v/>
      </c>
      <c r="BJ11" s="14" t="str">
        <f t="shared" ca="1" si="7"/>
        <v/>
      </c>
      <c r="BK11" s="14" t="str">
        <f t="shared" ca="1" si="7"/>
        <v/>
      </c>
      <c r="BL11" s="14" t="str">
        <f t="shared" ca="1" si="7"/>
        <v/>
      </c>
    </row>
    <row r="12" spans="1:68" s="1" customFormat="1" ht="40.15" customHeight="1" x14ac:dyDescent="0.25">
      <c r="A12" s="7"/>
      <c r="B12" s="60" t="s">
        <v>28</v>
      </c>
      <c r="C12" s="17" t="s">
        <v>6</v>
      </c>
      <c r="D12" s="17" t="s">
        <v>23</v>
      </c>
      <c r="E12" s="18">
        <v>1</v>
      </c>
      <c r="F12" s="19">
        <v>46078</v>
      </c>
      <c r="G12" s="20">
        <v>1</v>
      </c>
      <c r="H12" s="17"/>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row>
    <row r="13" spans="1:68" s="1" customFormat="1" ht="40.15" customHeight="1" x14ac:dyDescent="0.25">
      <c r="A13" s="7"/>
      <c r="B13" s="60" t="s">
        <v>288</v>
      </c>
      <c r="C13" s="17" t="s">
        <v>6</v>
      </c>
      <c r="D13" s="17" t="s">
        <v>26</v>
      </c>
      <c r="E13" s="18">
        <v>1</v>
      </c>
      <c r="F13" s="19">
        <v>46078</v>
      </c>
      <c r="G13" s="20">
        <v>1</v>
      </c>
      <c r="H13" s="17"/>
      <c r="I13" s="14" t="str">
        <f t="shared" ref="I13:I19" ca="1" si="8">IF(AND($C13="Goal",I$3&gt;=$F13,I$3&lt;=$F13+$G13-1),2,IF(AND($C13="Milestone",I$3&gt;=$F13,I$3&lt;=$F13+$G13-1),1,""))</f>
        <v/>
      </c>
      <c r="J13" s="14" t="str">
        <f t="shared" ca="1" si="4"/>
        <v/>
      </c>
      <c r="K13" s="14" t="str">
        <f t="shared" ca="1" si="4"/>
        <v/>
      </c>
      <c r="L13" s="14" t="str">
        <f t="shared" ca="1" si="4"/>
        <v/>
      </c>
      <c r="M13" s="14" t="str">
        <f t="shared" ca="1" si="4"/>
        <v/>
      </c>
      <c r="N13" s="14" t="str">
        <f t="shared" ca="1" si="4"/>
        <v/>
      </c>
      <c r="O13" s="14" t="str">
        <f t="shared" ca="1" si="4"/>
        <v/>
      </c>
      <c r="P13" s="14" t="str">
        <f t="shared" ca="1" si="4"/>
        <v/>
      </c>
      <c r="Q13" s="14" t="str">
        <f t="shared" ca="1" si="4"/>
        <v/>
      </c>
      <c r="R13" s="14"/>
      <c r="S13" s="14" t="str">
        <f t="shared" ca="1" si="4"/>
        <v/>
      </c>
      <c r="T13" s="14" t="str">
        <f t="shared" ca="1" si="4"/>
        <v/>
      </c>
      <c r="U13" s="14" t="str">
        <f t="shared" ca="1" si="4"/>
        <v/>
      </c>
      <c r="V13" s="14" t="str">
        <f t="shared" ca="1" si="4"/>
        <v/>
      </c>
      <c r="W13" s="14" t="str">
        <f t="shared" ca="1" si="4"/>
        <v/>
      </c>
      <c r="X13" s="14" t="str">
        <f t="shared" ca="1" si="4"/>
        <v/>
      </c>
      <c r="Y13" s="14" t="str">
        <f t="shared" ca="1" si="5"/>
        <v/>
      </c>
      <c r="Z13" s="14" t="str">
        <f t="shared" ca="1" si="5"/>
        <v/>
      </c>
      <c r="AA13" s="14" t="str">
        <f t="shared" ca="1" si="5"/>
        <v/>
      </c>
      <c r="AB13" s="14" t="str">
        <f t="shared" ca="1" si="5"/>
        <v/>
      </c>
      <c r="AC13" s="14" t="str">
        <f t="shared" ca="1" si="5"/>
        <v/>
      </c>
      <c r="AD13" s="14" t="str">
        <f t="shared" ca="1" si="5"/>
        <v/>
      </c>
      <c r="AE13" s="14" t="str">
        <f t="shared" ca="1" si="5"/>
        <v/>
      </c>
      <c r="AF13" s="14" t="str">
        <f t="shared" ca="1" si="5"/>
        <v/>
      </c>
      <c r="AG13" s="14" t="str">
        <f t="shared" ca="1" si="5"/>
        <v/>
      </c>
      <c r="AH13" s="14" t="str">
        <f t="shared" ca="1" si="5"/>
        <v/>
      </c>
      <c r="AI13" s="14" t="str">
        <f t="shared" ca="1" si="5"/>
        <v/>
      </c>
      <c r="AJ13" s="14" t="str">
        <f t="shared" ca="1" si="5"/>
        <v/>
      </c>
      <c r="AK13" s="14" t="str">
        <f t="shared" ca="1" si="5"/>
        <v/>
      </c>
      <c r="AL13" s="14" t="str">
        <f t="shared" ca="1" si="5"/>
        <v/>
      </c>
      <c r="AM13" s="14" t="str">
        <f t="shared" ca="1" si="5"/>
        <v/>
      </c>
      <c r="AN13" s="14" t="str">
        <f t="shared" ca="1" si="5"/>
        <v/>
      </c>
      <c r="AO13" s="14" t="str">
        <f t="shared" ca="1" si="6"/>
        <v/>
      </c>
      <c r="AP13" s="14" t="str">
        <f t="shared" ca="1" si="6"/>
        <v/>
      </c>
      <c r="AQ13" s="14" t="str">
        <f t="shared" ca="1" si="6"/>
        <v/>
      </c>
      <c r="AR13" s="14" t="str">
        <f t="shared" ca="1" si="6"/>
        <v/>
      </c>
      <c r="AS13" s="14" t="str">
        <f t="shared" ca="1" si="6"/>
        <v/>
      </c>
      <c r="AT13" s="14" t="str">
        <f t="shared" ca="1" si="6"/>
        <v/>
      </c>
      <c r="AU13" s="14" t="str">
        <f t="shared" ca="1" si="6"/>
        <v/>
      </c>
      <c r="AV13" s="14" t="str">
        <f t="shared" ca="1" si="6"/>
        <v/>
      </c>
      <c r="AW13" s="14" t="str">
        <f t="shared" ca="1" si="6"/>
        <v/>
      </c>
      <c r="AX13" s="14" t="str">
        <f t="shared" ca="1" si="6"/>
        <v/>
      </c>
      <c r="AY13" s="14" t="str">
        <f t="shared" ca="1" si="6"/>
        <v/>
      </c>
      <c r="AZ13" s="14" t="str">
        <f t="shared" ca="1" si="6"/>
        <v/>
      </c>
      <c r="BA13" s="14" t="str">
        <f t="shared" ca="1" si="6"/>
        <v/>
      </c>
      <c r="BB13" s="14" t="str">
        <f t="shared" ca="1" si="6"/>
        <v/>
      </c>
      <c r="BC13" s="14" t="str">
        <f t="shared" ca="1" si="6"/>
        <v/>
      </c>
      <c r="BD13" s="14" t="str">
        <f t="shared" ca="1" si="6"/>
        <v/>
      </c>
      <c r="BE13" s="14" t="str">
        <f t="shared" ref="BE13:BL19" ca="1" si="9">IF(AND($C13="Goal",BE$3&gt;=$F13,BE$3&lt;=$F13+$G13-1),2,IF(AND($C13="Milestone",BE$3&gt;=$F13,BE$3&lt;=$F13+$G13-1),1,""))</f>
        <v/>
      </c>
      <c r="BF13" s="14" t="str">
        <f t="shared" ca="1" si="9"/>
        <v/>
      </c>
      <c r="BG13" s="14" t="str">
        <f t="shared" ca="1" si="9"/>
        <v/>
      </c>
      <c r="BH13" s="14" t="str">
        <f t="shared" ca="1" si="9"/>
        <v/>
      </c>
      <c r="BI13" s="14" t="str">
        <f t="shared" ca="1" si="9"/>
        <v/>
      </c>
      <c r="BJ13" s="14" t="str">
        <f t="shared" ca="1" si="9"/>
        <v/>
      </c>
      <c r="BK13" s="14" t="str">
        <f t="shared" ca="1" si="9"/>
        <v/>
      </c>
      <c r="BL13" s="14" t="str">
        <f t="shared" ca="1" si="9"/>
        <v/>
      </c>
    </row>
    <row r="14" spans="1:68" s="1" customFormat="1" ht="40.15" customHeight="1" x14ac:dyDescent="0.25">
      <c r="A14" s="8"/>
      <c r="B14" s="60" t="s">
        <v>290</v>
      </c>
      <c r="C14" s="17" t="s">
        <v>6</v>
      </c>
      <c r="D14" s="17" t="s">
        <v>23</v>
      </c>
      <c r="E14" s="18">
        <v>1</v>
      </c>
      <c r="F14" s="19">
        <v>46079</v>
      </c>
      <c r="G14" s="20">
        <v>2</v>
      </c>
      <c r="H14" s="17"/>
      <c r="I14" s="14" t="str">
        <f t="shared" ca="1" si="8"/>
        <v/>
      </c>
      <c r="J14" s="14" t="str">
        <f t="shared" ca="1" si="4"/>
        <v/>
      </c>
      <c r="K14" s="14" t="str">
        <f t="shared" ca="1" si="4"/>
        <v/>
      </c>
      <c r="L14" s="14" t="str">
        <f t="shared" ca="1" si="4"/>
        <v/>
      </c>
      <c r="M14" s="14" t="str">
        <f t="shared" ca="1" si="4"/>
        <v/>
      </c>
      <c r="N14" s="14" t="str">
        <f t="shared" ca="1" si="4"/>
        <v/>
      </c>
      <c r="O14" s="14" t="str">
        <f t="shared" ca="1" si="4"/>
        <v/>
      </c>
      <c r="P14" s="14" t="str">
        <f t="shared" ca="1" si="4"/>
        <v/>
      </c>
      <c r="Q14" s="14" t="str">
        <f t="shared" ca="1" si="4"/>
        <v/>
      </c>
      <c r="R14" s="14" t="str">
        <f t="shared" ca="1" si="4"/>
        <v/>
      </c>
      <c r="S14" s="14" t="str">
        <f t="shared" ca="1" si="4"/>
        <v/>
      </c>
      <c r="T14" s="14" t="str">
        <f t="shared" ca="1" si="4"/>
        <v/>
      </c>
      <c r="U14" s="14" t="str">
        <f t="shared" ca="1" si="4"/>
        <v/>
      </c>
      <c r="V14" s="14" t="str">
        <f t="shared" ca="1" si="4"/>
        <v/>
      </c>
      <c r="W14" s="14" t="str">
        <f t="shared" ca="1" si="4"/>
        <v/>
      </c>
      <c r="X14" s="14" t="str">
        <f t="shared" ca="1" si="4"/>
        <v/>
      </c>
      <c r="Y14" s="14" t="str">
        <f t="shared" ca="1" si="5"/>
        <v/>
      </c>
      <c r="Z14" s="14" t="str">
        <f t="shared" ca="1" si="5"/>
        <v/>
      </c>
      <c r="AA14" s="14" t="str">
        <f t="shared" ca="1" si="5"/>
        <v/>
      </c>
      <c r="AB14" s="14" t="str">
        <f t="shared" ca="1" si="5"/>
        <v/>
      </c>
      <c r="AC14" s="14" t="str">
        <f t="shared" ca="1" si="5"/>
        <v/>
      </c>
      <c r="AD14" s="14" t="str">
        <f t="shared" ca="1" si="5"/>
        <v/>
      </c>
      <c r="AE14" s="14" t="str">
        <f t="shared" ca="1" si="5"/>
        <v/>
      </c>
      <c r="AF14" s="14" t="str">
        <f t="shared" ca="1" si="5"/>
        <v/>
      </c>
      <c r="AG14" s="14" t="str">
        <f t="shared" ca="1" si="5"/>
        <v/>
      </c>
      <c r="AH14" s="14" t="str">
        <f t="shared" ca="1" si="5"/>
        <v/>
      </c>
      <c r="AI14" s="14" t="str">
        <f t="shared" ca="1" si="5"/>
        <v/>
      </c>
      <c r="AJ14" s="14" t="str">
        <f t="shared" ca="1" si="5"/>
        <v/>
      </c>
      <c r="AK14" s="14" t="str">
        <f t="shared" ca="1" si="5"/>
        <v/>
      </c>
      <c r="AL14" s="14" t="str">
        <f t="shared" ca="1" si="5"/>
        <v/>
      </c>
      <c r="AM14" s="14" t="str">
        <f t="shared" ca="1" si="5"/>
        <v/>
      </c>
      <c r="AN14" s="14" t="str">
        <f t="shared" ca="1" si="5"/>
        <v/>
      </c>
      <c r="AO14" s="14" t="str">
        <f t="shared" ca="1" si="6"/>
        <v/>
      </c>
      <c r="AP14" s="14" t="str">
        <f t="shared" ca="1" si="6"/>
        <v/>
      </c>
      <c r="AQ14" s="14" t="str">
        <f t="shared" ca="1" si="6"/>
        <v/>
      </c>
      <c r="AR14" s="14" t="str">
        <f t="shared" ca="1" si="6"/>
        <v/>
      </c>
      <c r="AS14" s="14" t="str">
        <f t="shared" ca="1" si="6"/>
        <v/>
      </c>
      <c r="AT14" s="14" t="str">
        <f t="shared" ca="1" si="6"/>
        <v/>
      </c>
      <c r="AU14" s="14" t="str">
        <f t="shared" ca="1" si="6"/>
        <v/>
      </c>
      <c r="AV14" s="14" t="str">
        <f t="shared" ca="1" si="6"/>
        <v/>
      </c>
      <c r="AW14" s="14" t="str">
        <f t="shared" ca="1" si="6"/>
        <v/>
      </c>
      <c r="AX14" s="14" t="str">
        <f t="shared" ca="1" si="6"/>
        <v/>
      </c>
      <c r="AY14" s="14" t="str">
        <f t="shared" ca="1" si="6"/>
        <v/>
      </c>
      <c r="AZ14" s="14" t="str">
        <f t="shared" ca="1" si="6"/>
        <v/>
      </c>
      <c r="BA14" s="14" t="str">
        <f t="shared" ca="1" si="6"/>
        <v/>
      </c>
      <c r="BB14" s="14" t="str">
        <f t="shared" ca="1" si="6"/>
        <v/>
      </c>
      <c r="BC14" s="14" t="str">
        <f t="shared" ca="1" si="6"/>
        <v/>
      </c>
      <c r="BD14" s="14" t="str">
        <f t="shared" ca="1" si="6"/>
        <v/>
      </c>
      <c r="BE14" s="14" t="str">
        <f t="shared" ca="1" si="9"/>
        <v/>
      </c>
      <c r="BF14" s="14" t="str">
        <f t="shared" ca="1" si="9"/>
        <v/>
      </c>
      <c r="BG14" s="14" t="str">
        <f t="shared" ca="1" si="9"/>
        <v/>
      </c>
      <c r="BH14" s="14" t="str">
        <f t="shared" ca="1" si="9"/>
        <v/>
      </c>
      <c r="BI14" s="14" t="str">
        <f t="shared" ca="1" si="9"/>
        <v/>
      </c>
      <c r="BJ14" s="14" t="str">
        <f t="shared" ca="1" si="9"/>
        <v/>
      </c>
      <c r="BK14" s="14" t="str">
        <f t="shared" ca="1" si="9"/>
        <v/>
      </c>
      <c r="BL14" s="14" t="str">
        <f t="shared" ca="1" si="9"/>
        <v/>
      </c>
    </row>
    <row r="15" spans="1:68" s="1" customFormat="1" ht="40.15" customHeight="1" x14ac:dyDescent="0.25">
      <c r="A15" s="8"/>
      <c r="B15" s="60" t="s">
        <v>291</v>
      </c>
      <c r="C15" s="17" t="s">
        <v>6</v>
      </c>
      <c r="D15" s="17" t="s">
        <v>26</v>
      </c>
      <c r="E15" s="18">
        <v>1</v>
      </c>
      <c r="F15" s="19">
        <v>46079</v>
      </c>
      <c r="G15" s="20">
        <v>2</v>
      </c>
      <c r="H15" s="17"/>
      <c r="I15" s="14" t="str">
        <f t="shared" ca="1" si="8"/>
        <v/>
      </c>
      <c r="J15" s="14" t="str">
        <f t="shared" ca="1" si="4"/>
        <v/>
      </c>
      <c r="K15" s="14" t="str">
        <f t="shared" ca="1" si="4"/>
        <v/>
      </c>
      <c r="L15" s="14" t="str">
        <f t="shared" ca="1" si="4"/>
        <v/>
      </c>
      <c r="M15" s="14" t="str">
        <f t="shared" ca="1" si="4"/>
        <v/>
      </c>
      <c r="N15" s="14" t="str">
        <f t="shared" ca="1" si="4"/>
        <v/>
      </c>
      <c r="O15" s="14" t="str">
        <f t="shared" ca="1" si="4"/>
        <v/>
      </c>
      <c r="P15" s="14" t="str">
        <f t="shared" ca="1" si="4"/>
        <v/>
      </c>
      <c r="Q15" s="14" t="str">
        <f t="shared" ca="1" si="4"/>
        <v/>
      </c>
      <c r="R15" s="14" t="str">
        <f t="shared" ca="1" si="4"/>
        <v/>
      </c>
      <c r="S15" s="14" t="str">
        <f t="shared" ca="1" si="4"/>
        <v/>
      </c>
      <c r="T15" s="14" t="str">
        <f t="shared" ca="1" si="4"/>
        <v/>
      </c>
      <c r="U15" s="14" t="str">
        <f t="shared" ca="1" si="4"/>
        <v/>
      </c>
      <c r="V15" s="14" t="str">
        <f t="shared" ca="1" si="4"/>
        <v/>
      </c>
      <c r="W15" s="14" t="str">
        <f t="shared" ca="1" si="4"/>
        <v/>
      </c>
      <c r="X15" s="14" t="str">
        <f t="shared" ca="1" si="4"/>
        <v/>
      </c>
      <c r="Y15" s="14" t="str">
        <f t="shared" ca="1" si="5"/>
        <v/>
      </c>
      <c r="Z15" s="14" t="str">
        <f t="shared" ca="1" si="5"/>
        <v/>
      </c>
      <c r="AA15" s="14" t="str">
        <f t="shared" ca="1" si="5"/>
        <v/>
      </c>
      <c r="AB15" s="14" t="str">
        <f t="shared" ca="1" si="5"/>
        <v/>
      </c>
      <c r="AC15" s="14" t="str">
        <f t="shared" ca="1" si="5"/>
        <v/>
      </c>
      <c r="AD15" s="14" t="str">
        <f t="shared" ca="1" si="5"/>
        <v/>
      </c>
      <c r="AE15" s="14" t="str">
        <f t="shared" ca="1" si="5"/>
        <v/>
      </c>
      <c r="AF15" s="14" t="str">
        <f t="shared" ca="1" si="5"/>
        <v/>
      </c>
      <c r="AG15" s="14" t="str">
        <f t="shared" ca="1" si="5"/>
        <v/>
      </c>
      <c r="AH15" s="14" t="str">
        <f t="shared" ca="1" si="5"/>
        <v/>
      </c>
      <c r="AI15" s="14" t="str">
        <f t="shared" ca="1" si="5"/>
        <v/>
      </c>
      <c r="AJ15" s="14" t="str">
        <f t="shared" ca="1" si="5"/>
        <v/>
      </c>
      <c r="AK15" s="14" t="str">
        <f t="shared" ca="1" si="5"/>
        <v/>
      </c>
      <c r="AL15" s="14" t="str">
        <f t="shared" ca="1" si="5"/>
        <v/>
      </c>
      <c r="AM15" s="14" t="str">
        <f t="shared" ca="1" si="5"/>
        <v/>
      </c>
      <c r="AN15" s="14" t="str">
        <f t="shared" ca="1" si="5"/>
        <v/>
      </c>
      <c r="AO15" s="14" t="str">
        <f t="shared" ca="1" si="6"/>
        <v/>
      </c>
      <c r="AP15" s="14" t="str">
        <f t="shared" ca="1" si="6"/>
        <v/>
      </c>
      <c r="AQ15" s="14" t="str">
        <f t="shared" ca="1" si="6"/>
        <v/>
      </c>
      <c r="AR15" s="14" t="str">
        <f t="shared" ca="1" si="6"/>
        <v/>
      </c>
      <c r="AS15" s="14" t="str">
        <f t="shared" ca="1" si="6"/>
        <v/>
      </c>
      <c r="AT15" s="14" t="str">
        <f t="shared" ca="1" si="6"/>
        <v/>
      </c>
      <c r="AU15" s="14" t="str">
        <f t="shared" ca="1" si="6"/>
        <v/>
      </c>
      <c r="AV15" s="14" t="str">
        <f t="shared" ca="1" si="6"/>
        <v/>
      </c>
      <c r="AW15" s="14" t="str">
        <f t="shared" ca="1" si="6"/>
        <v/>
      </c>
      <c r="AX15" s="14" t="str">
        <f t="shared" ca="1" si="6"/>
        <v/>
      </c>
      <c r="AY15" s="14" t="str">
        <f t="shared" ca="1" si="6"/>
        <v/>
      </c>
      <c r="AZ15" s="14" t="str">
        <f t="shared" ca="1" si="6"/>
        <v/>
      </c>
      <c r="BA15" s="14" t="str">
        <f t="shared" ca="1" si="6"/>
        <v/>
      </c>
      <c r="BB15" s="14" t="str">
        <f t="shared" ca="1" si="6"/>
        <v/>
      </c>
      <c r="BC15" s="14" t="str">
        <f t="shared" ca="1" si="6"/>
        <v/>
      </c>
      <c r="BD15" s="14" t="str">
        <f t="shared" ca="1" si="6"/>
        <v/>
      </c>
      <c r="BE15" s="14" t="str">
        <f t="shared" ca="1" si="9"/>
        <v/>
      </c>
      <c r="BF15" s="14" t="str">
        <f t="shared" ca="1" si="9"/>
        <v/>
      </c>
      <c r="BG15" s="14" t="str">
        <f t="shared" ca="1" si="9"/>
        <v/>
      </c>
      <c r="BH15" s="14" t="str">
        <f t="shared" ca="1" si="9"/>
        <v/>
      </c>
      <c r="BI15" s="14" t="str">
        <f t="shared" ca="1" si="9"/>
        <v/>
      </c>
      <c r="BJ15" s="14" t="str">
        <f t="shared" ca="1" si="9"/>
        <v/>
      </c>
      <c r="BK15" s="14" t="str">
        <f t="shared" ca="1" si="9"/>
        <v/>
      </c>
      <c r="BL15" s="14" t="str">
        <f t="shared" ca="1" si="9"/>
        <v/>
      </c>
    </row>
    <row r="16" spans="1:68" s="1" customFormat="1" ht="40.15" customHeight="1" x14ac:dyDescent="0.25">
      <c r="A16" s="8"/>
      <c r="B16" s="60" t="s">
        <v>292</v>
      </c>
      <c r="C16" s="17" t="s">
        <v>6</v>
      </c>
      <c r="D16" s="17" t="s">
        <v>26</v>
      </c>
      <c r="E16" s="18">
        <v>1</v>
      </c>
      <c r="F16" s="19">
        <v>46079</v>
      </c>
      <c r="G16" s="20">
        <v>2</v>
      </c>
      <c r="H16" s="17"/>
      <c r="I16" s="14" t="str">
        <f t="shared" ca="1" si="8"/>
        <v/>
      </c>
      <c r="J16" s="14" t="str">
        <f t="shared" ca="1" si="4"/>
        <v/>
      </c>
      <c r="K16" s="14" t="str">
        <f t="shared" ca="1" si="4"/>
        <v/>
      </c>
      <c r="L16" s="14" t="str">
        <f t="shared" ca="1" si="4"/>
        <v/>
      </c>
      <c r="M16" s="14" t="str">
        <f t="shared" ca="1" si="4"/>
        <v/>
      </c>
      <c r="N16" s="14" t="str">
        <f t="shared" ca="1" si="4"/>
        <v/>
      </c>
      <c r="O16" s="14" t="str">
        <f t="shared" ca="1" si="4"/>
        <v/>
      </c>
      <c r="P16" s="14" t="str">
        <f t="shared" ca="1" si="4"/>
        <v/>
      </c>
      <c r="Q16" s="14" t="str">
        <f t="shared" ca="1" si="4"/>
        <v/>
      </c>
      <c r="R16" s="14" t="str">
        <f t="shared" ca="1" si="4"/>
        <v/>
      </c>
      <c r="S16" s="14" t="str">
        <f t="shared" ca="1" si="4"/>
        <v/>
      </c>
      <c r="T16" s="14" t="str">
        <f t="shared" ca="1" si="4"/>
        <v/>
      </c>
      <c r="U16" s="14" t="str">
        <f t="shared" ca="1" si="4"/>
        <v/>
      </c>
      <c r="V16" s="14" t="str">
        <f t="shared" ca="1" si="4"/>
        <v/>
      </c>
      <c r="W16" s="14" t="str">
        <f t="shared" ca="1" si="4"/>
        <v/>
      </c>
      <c r="X16" s="14" t="str">
        <f t="shared" ca="1" si="4"/>
        <v/>
      </c>
      <c r="Y16" s="14" t="str">
        <f t="shared" ca="1" si="5"/>
        <v/>
      </c>
      <c r="Z16" s="14" t="str">
        <f t="shared" ca="1" si="5"/>
        <v/>
      </c>
      <c r="AA16" s="14" t="str">
        <f t="shared" ca="1" si="5"/>
        <v/>
      </c>
      <c r="AB16" s="14" t="str">
        <f t="shared" ca="1" si="5"/>
        <v/>
      </c>
      <c r="AC16" s="14" t="str">
        <f t="shared" ca="1" si="5"/>
        <v/>
      </c>
      <c r="AD16" s="14" t="str">
        <f t="shared" ca="1" si="5"/>
        <v/>
      </c>
      <c r="AE16" s="14" t="str">
        <f t="shared" ca="1" si="5"/>
        <v/>
      </c>
      <c r="AF16" s="14" t="str">
        <f t="shared" ca="1" si="5"/>
        <v/>
      </c>
      <c r="AG16" s="14" t="str">
        <f t="shared" ca="1" si="5"/>
        <v/>
      </c>
      <c r="AH16" s="14" t="str">
        <f t="shared" ca="1" si="5"/>
        <v/>
      </c>
      <c r="AI16" s="14" t="str">
        <f t="shared" ca="1" si="5"/>
        <v/>
      </c>
      <c r="AJ16" s="14" t="str">
        <f t="shared" ca="1" si="5"/>
        <v/>
      </c>
      <c r="AK16" s="14" t="str">
        <f t="shared" ca="1" si="5"/>
        <v/>
      </c>
      <c r="AL16" s="14" t="str">
        <f t="shared" ca="1" si="5"/>
        <v/>
      </c>
      <c r="AM16" s="14" t="str">
        <f t="shared" ca="1" si="5"/>
        <v/>
      </c>
      <c r="AN16" s="14" t="str">
        <f t="shared" ref="AN16" ca="1" si="10">IF(AND($C16="Goal",AN$3&gt;=$F16,AN$3&lt;=$F16+$G16-1),2,IF(AND($C16="Milestone",AN$3&gt;=$F16,AN$3&lt;=$F16+$G16-1),1,""))</f>
        <v/>
      </c>
      <c r="AO16" s="14" t="str">
        <f t="shared" ca="1" si="6"/>
        <v/>
      </c>
      <c r="AP16" s="14" t="str">
        <f t="shared" ca="1" si="6"/>
        <v/>
      </c>
      <c r="AQ16" s="14" t="str">
        <f t="shared" ca="1" si="6"/>
        <v/>
      </c>
      <c r="AR16" s="14" t="str">
        <f t="shared" ca="1" si="6"/>
        <v/>
      </c>
      <c r="AS16" s="14" t="str">
        <f t="shared" ca="1" si="6"/>
        <v/>
      </c>
      <c r="AT16" s="14" t="str">
        <f t="shared" ca="1" si="6"/>
        <v/>
      </c>
      <c r="AU16" s="14" t="str">
        <f t="shared" ca="1" si="6"/>
        <v/>
      </c>
      <c r="AV16" s="14" t="str">
        <f t="shared" ca="1" si="6"/>
        <v/>
      </c>
      <c r="AW16" s="14" t="str">
        <f t="shared" ca="1" si="6"/>
        <v/>
      </c>
      <c r="AX16" s="14" t="str">
        <f t="shared" ca="1" si="6"/>
        <v/>
      </c>
      <c r="AY16" s="14" t="str">
        <f t="shared" ca="1" si="6"/>
        <v/>
      </c>
      <c r="AZ16" s="14" t="str">
        <f t="shared" ca="1" si="6"/>
        <v/>
      </c>
      <c r="BA16" s="14" t="str">
        <f t="shared" ca="1" si="6"/>
        <v/>
      </c>
      <c r="BB16" s="14" t="str">
        <f t="shared" ca="1" si="6"/>
        <v/>
      </c>
      <c r="BC16" s="14" t="str">
        <f t="shared" ca="1" si="6"/>
        <v/>
      </c>
      <c r="BD16" s="14" t="str">
        <f t="shared" ref="BD16" ca="1" si="11">IF(AND($C16="Goal",BD$3&gt;=$F16,BD$3&lt;=$F16+$G16-1),2,IF(AND($C16="Milestone",BD$3&gt;=$F16,BD$3&lt;=$F16+$G16-1),1,""))</f>
        <v/>
      </c>
      <c r="BE16" s="14" t="str">
        <f t="shared" ca="1" si="9"/>
        <v/>
      </c>
      <c r="BF16" s="14" t="str">
        <f t="shared" ca="1" si="9"/>
        <v/>
      </c>
      <c r="BG16" s="14" t="str">
        <f t="shared" ca="1" si="9"/>
        <v/>
      </c>
      <c r="BH16" s="14" t="str">
        <f t="shared" ca="1" si="9"/>
        <v/>
      </c>
      <c r="BI16" s="14" t="str">
        <f t="shared" ca="1" si="9"/>
        <v/>
      </c>
      <c r="BJ16" s="14" t="str">
        <f t="shared" ca="1" si="9"/>
        <v/>
      </c>
      <c r="BK16" s="14" t="str">
        <f t="shared" ca="1" si="9"/>
        <v/>
      </c>
      <c r="BL16" s="14" t="str">
        <f t="shared" ca="1" si="9"/>
        <v/>
      </c>
    </row>
    <row r="17" spans="1:68" s="1" customFormat="1" ht="40.15" customHeight="1" x14ac:dyDescent="0.25">
      <c r="A17" s="7"/>
      <c r="B17" s="60" t="s">
        <v>293</v>
      </c>
      <c r="C17" s="17" t="s">
        <v>6</v>
      </c>
      <c r="D17" s="17" t="s">
        <v>26</v>
      </c>
      <c r="E17" s="18">
        <v>1</v>
      </c>
      <c r="F17" s="19">
        <v>46083</v>
      </c>
      <c r="G17" s="20">
        <v>4</v>
      </c>
      <c r="H17" s="17"/>
      <c r="I17" s="14" t="str">
        <f t="shared" ca="1" si="8"/>
        <v/>
      </c>
      <c r="J17" s="14" t="str">
        <f t="shared" ca="1" si="4"/>
        <v/>
      </c>
      <c r="K17" s="14" t="str">
        <f t="shared" ca="1" si="4"/>
        <v/>
      </c>
      <c r="L17" s="14" t="str">
        <f t="shared" ca="1" si="4"/>
        <v/>
      </c>
      <c r="M17" s="14" t="str">
        <f t="shared" ca="1" si="4"/>
        <v/>
      </c>
      <c r="N17" s="14" t="str">
        <f t="shared" ca="1" si="4"/>
        <v/>
      </c>
      <c r="O17" s="14" t="str">
        <f t="shared" ca="1" si="4"/>
        <v/>
      </c>
      <c r="P17" s="14" t="str">
        <f t="shared" ca="1" si="4"/>
        <v/>
      </c>
      <c r="Q17" s="14" t="str">
        <f t="shared" ca="1" si="4"/>
        <v/>
      </c>
      <c r="R17" s="14" t="str">
        <f t="shared" ca="1" si="4"/>
        <v/>
      </c>
      <c r="S17" s="14" t="str">
        <f t="shared" ca="1" si="4"/>
        <v/>
      </c>
      <c r="T17" s="14" t="str">
        <f t="shared" ca="1" si="4"/>
        <v/>
      </c>
      <c r="U17" s="14" t="str">
        <f t="shared" ca="1" si="4"/>
        <v/>
      </c>
      <c r="V17" s="14" t="str">
        <f t="shared" ca="1" si="4"/>
        <v/>
      </c>
      <c r="W17" s="14" t="str">
        <f t="shared" ca="1" si="4"/>
        <v/>
      </c>
      <c r="X17" s="14" t="str">
        <f t="shared" ca="1" si="4"/>
        <v/>
      </c>
      <c r="Y17" s="14" t="str">
        <f t="shared" ca="1" si="5"/>
        <v/>
      </c>
      <c r="Z17" s="14" t="str">
        <f t="shared" ca="1" si="5"/>
        <v/>
      </c>
      <c r="AA17" s="14" t="str">
        <f t="shared" ca="1" si="5"/>
        <v/>
      </c>
      <c r="AB17" s="14" t="str">
        <f t="shared" ca="1" si="5"/>
        <v/>
      </c>
      <c r="AC17" s="14" t="str">
        <f t="shared" ca="1" si="5"/>
        <v/>
      </c>
      <c r="AD17" s="14" t="str">
        <f t="shared" ca="1" si="5"/>
        <v/>
      </c>
      <c r="AE17" s="14" t="str">
        <f t="shared" ca="1" si="5"/>
        <v/>
      </c>
      <c r="AF17" s="14" t="str">
        <f t="shared" ca="1" si="5"/>
        <v/>
      </c>
      <c r="AG17" s="14" t="str">
        <f t="shared" ca="1" si="5"/>
        <v/>
      </c>
      <c r="AH17" s="14" t="str">
        <f t="shared" ca="1" si="5"/>
        <v/>
      </c>
      <c r="AI17" s="14" t="str">
        <f t="shared" ca="1" si="5"/>
        <v/>
      </c>
      <c r="AJ17" s="14" t="str">
        <f t="shared" ca="1" si="5"/>
        <v/>
      </c>
      <c r="AK17" s="14" t="str">
        <f t="shared" ca="1" si="5"/>
        <v/>
      </c>
      <c r="AL17" s="14" t="str">
        <f t="shared" ca="1" si="5"/>
        <v/>
      </c>
      <c r="AM17" s="14" t="str">
        <f t="shared" ca="1" si="5"/>
        <v/>
      </c>
      <c r="AN17" s="14" t="str">
        <f t="shared" ca="1" si="5"/>
        <v/>
      </c>
      <c r="AO17" s="14" t="str">
        <f t="shared" ca="1" si="6"/>
        <v/>
      </c>
      <c r="AP17" s="14" t="str">
        <f t="shared" ca="1" si="6"/>
        <v/>
      </c>
      <c r="AQ17" s="14" t="str">
        <f t="shared" ca="1" si="6"/>
        <v/>
      </c>
      <c r="AR17" s="14" t="str">
        <f t="shared" ca="1" si="6"/>
        <v/>
      </c>
      <c r="AS17" s="14" t="str">
        <f t="shared" ca="1" si="6"/>
        <v/>
      </c>
      <c r="AT17" s="14" t="str">
        <f t="shared" ca="1" si="6"/>
        <v/>
      </c>
      <c r="AU17" s="14" t="str">
        <f t="shared" ca="1" si="6"/>
        <v/>
      </c>
      <c r="AV17" s="14" t="str">
        <f t="shared" ca="1" si="6"/>
        <v/>
      </c>
      <c r="AW17" s="14" t="str">
        <f t="shared" ca="1" si="6"/>
        <v/>
      </c>
      <c r="AX17" s="14" t="str">
        <f t="shared" ca="1" si="6"/>
        <v/>
      </c>
      <c r="AY17" s="14" t="str">
        <f t="shared" ca="1" si="6"/>
        <v/>
      </c>
      <c r="AZ17" s="14" t="str">
        <f t="shared" ca="1" si="6"/>
        <v/>
      </c>
      <c r="BA17" s="14" t="str">
        <f t="shared" ca="1" si="6"/>
        <v/>
      </c>
      <c r="BB17" s="14" t="str">
        <f t="shared" ca="1" si="6"/>
        <v/>
      </c>
      <c r="BC17" s="14" t="str">
        <f t="shared" ca="1" si="6"/>
        <v/>
      </c>
      <c r="BD17" s="14" t="str">
        <f t="shared" ca="1" si="6"/>
        <v/>
      </c>
      <c r="BE17" s="14" t="str">
        <f t="shared" ca="1" si="9"/>
        <v/>
      </c>
      <c r="BF17" s="14" t="str">
        <f t="shared" ca="1" si="9"/>
        <v/>
      </c>
      <c r="BG17" s="14" t="str">
        <f t="shared" ca="1" si="9"/>
        <v/>
      </c>
      <c r="BH17" s="14" t="str">
        <f t="shared" ca="1" si="9"/>
        <v/>
      </c>
      <c r="BI17" s="14" t="str">
        <f t="shared" ca="1" si="9"/>
        <v/>
      </c>
      <c r="BJ17" s="14" t="str">
        <f t="shared" ca="1" si="9"/>
        <v/>
      </c>
      <c r="BK17" s="14" t="str">
        <f t="shared" ca="1" si="9"/>
        <v/>
      </c>
      <c r="BL17" s="14" t="str">
        <f t="shared" ca="1" si="9"/>
        <v/>
      </c>
    </row>
    <row r="18" spans="1:68" s="1" customFormat="1" ht="40.15" customHeight="1" x14ac:dyDescent="0.25">
      <c r="A18" s="7"/>
      <c r="B18" s="60" t="s">
        <v>30</v>
      </c>
      <c r="C18" s="17" t="s">
        <v>6</v>
      </c>
      <c r="D18" s="17" t="s">
        <v>26</v>
      </c>
      <c r="E18" s="18">
        <v>1</v>
      </c>
      <c r="F18" s="19">
        <v>46086</v>
      </c>
      <c r="G18" s="20">
        <v>2</v>
      </c>
      <c r="H18" s="17"/>
      <c r="I18" s="14" t="str">
        <f t="shared" ca="1" si="8"/>
        <v/>
      </c>
      <c r="J18" s="14" t="str">
        <f t="shared" ca="1" si="4"/>
        <v/>
      </c>
      <c r="K18" s="14" t="str">
        <f t="shared" ca="1" si="4"/>
        <v/>
      </c>
      <c r="L18" s="14" t="str">
        <f t="shared" ca="1" si="4"/>
        <v/>
      </c>
      <c r="M18" s="14" t="str">
        <f t="shared" ca="1" si="4"/>
        <v/>
      </c>
      <c r="N18" s="14" t="str">
        <f t="shared" ca="1" si="4"/>
        <v/>
      </c>
      <c r="O18" s="14" t="str">
        <f t="shared" ca="1" si="4"/>
        <v/>
      </c>
      <c r="P18" s="14" t="str">
        <f t="shared" ca="1" si="4"/>
        <v/>
      </c>
      <c r="Q18" s="14" t="str">
        <f t="shared" ca="1" si="4"/>
        <v/>
      </c>
      <c r="R18" s="14" t="str">
        <f t="shared" ca="1" si="4"/>
        <v/>
      </c>
      <c r="S18" s="14" t="str">
        <f t="shared" ca="1" si="4"/>
        <v/>
      </c>
      <c r="T18" s="14" t="str">
        <f t="shared" ca="1" si="4"/>
        <v/>
      </c>
      <c r="U18" s="14" t="str">
        <f t="shared" ca="1" si="4"/>
        <v/>
      </c>
      <c r="V18" s="14" t="str">
        <f t="shared" ca="1" si="4"/>
        <v/>
      </c>
      <c r="W18" s="14" t="str">
        <f t="shared" ca="1" si="4"/>
        <v/>
      </c>
      <c r="X18" s="14" t="str">
        <f t="shared" ca="1" si="4"/>
        <v/>
      </c>
      <c r="Y18" s="14" t="str">
        <f t="shared" ca="1" si="5"/>
        <v/>
      </c>
      <c r="Z18" s="14" t="str">
        <f t="shared" ca="1" si="5"/>
        <v/>
      </c>
      <c r="AA18" s="14" t="str">
        <f t="shared" ca="1" si="5"/>
        <v/>
      </c>
      <c r="AB18" s="14" t="str">
        <f t="shared" ca="1" si="5"/>
        <v/>
      </c>
      <c r="AC18" s="14" t="str">
        <f t="shared" ca="1" si="5"/>
        <v/>
      </c>
      <c r="AD18" s="14" t="str">
        <f t="shared" ca="1" si="5"/>
        <v/>
      </c>
      <c r="AE18" s="14" t="str">
        <f t="shared" ca="1" si="5"/>
        <v/>
      </c>
      <c r="AF18" s="14" t="str">
        <f t="shared" ca="1" si="5"/>
        <v/>
      </c>
      <c r="AG18" s="14" t="str">
        <f t="shared" ca="1" si="5"/>
        <v/>
      </c>
      <c r="AH18" s="14" t="str">
        <f t="shared" ca="1" si="5"/>
        <v/>
      </c>
      <c r="AI18" s="14" t="str">
        <f t="shared" ca="1" si="5"/>
        <v/>
      </c>
      <c r="AJ18" s="14" t="str">
        <f t="shared" ca="1" si="5"/>
        <v/>
      </c>
      <c r="AK18" s="14" t="str">
        <f t="shared" ca="1" si="5"/>
        <v/>
      </c>
      <c r="AL18" s="14" t="str">
        <f t="shared" ca="1" si="5"/>
        <v/>
      </c>
      <c r="AM18" s="14" t="str">
        <f t="shared" ca="1" si="5"/>
        <v/>
      </c>
      <c r="AN18" s="14" t="str">
        <f t="shared" ca="1" si="5"/>
        <v/>
      </c>
      <c r="AO18" s="14" t="str">
        <f t="shared" ca="1" si="6"/>
        <v/>
      </c>
      <c r="AP18" s="14" t="str">
        <f t="shared" ca="1" si="6"/>
        <v/>
      </c>
      <c r="AQ18" s="14" t="str">
        <f t="shared" ca="1" si="6"/>
        <v/>
      </c>
      <c r="AR18" s="14" t="str">
        <f t="shared" ca="1" si="6"/>
        <v/>
      </c>
      <c r="AS18" s="14" t="str">
        <f t="shared" ca="1" si="6"/>
        <v/>
      </c>
      <c r="AT18" s="14" t="str">
        <f t="shared" ca="1" si="6"/>
        <v/>
      </c>
      <c r="AU18" s="14" t="str">
        <f t="shared" ca="1" si="6"/>
        <v/>
      </c>
      <c r="AV18" s="14" t="str">
        <f t="shared" ca="1" si="6"/>
        <v/>
      </c>
      <c r="AW18" s="14" t="str">
        <f t="shared" ca="1" si="6"/>
        <v/>
      </c>
      <c r="AX18" s="14" t="str">
        <f t="shared" ca="1" si="6"/>
        <v/>
      </c>
      <c r="AY18" s="14" t="str">
        <f t="shared" ca="1" si="6"/>
        <v/>
      </c>
      <c r="AZ18" s="14" t="str">
        <f t="shared" ca="1" si="6"/>
        <v/>
      </c>
      <c r="BA18" s="14" t="str">
        <f t="shared" ca="1" si="6"/>
        <v/>
      </c>
      <c r="BB18" s="14" t="str">
        <f t="shared" ca="1" si="6"/>
        <v/>
      </c>
      <c r="BC18" s="14" t="str">
        <f t="shared" ca="1" si="6"/>
        <v/>
      </c>
      <c r="BD18" s="14" t="str">
        <f t="shared" ca="1" si="6"/>
        <v/>
      </c>
      <c r="BE18" s="14" t="str">
        <f t="shared" ca="1" si="9"/>
        <v/>
      </c>
      <c r="BF18" s="14" t="str">
        <f t="shared" ca="1" si="9"/>
        <v/>
      </c>
      <c r="BG18" s="14" t="str">
        <f t="shared" ca="1" si="9"/>
        <v/>
      </c>
      <c r="BH18" s="14" t="str">
        <f t="shared" ca="1" si="9"/>
        <v/>
      </c>
      <c r="BI18" s="14" t="str">
        <f t="shared" ca="1" si="9"/>
        <v/>
      </c>
      <c r="BJ18" s="14" t="str">
        <f t="shared" ca="1" si="9"/>
        <v/>
      </c>
      <c r="BK18" s="14" t="str">
        <f t="shared" ca="1" si="9"/>
        <v/>
      </c>
      <c r="BL18" s="14" t="str">
        <f t="shared" ca="1" si="9"/>
        <v/>
      </c>
    </row>
    <row r="19" spans="1:68" s="1" customFormat="1" ht="40.15" customHeight="1" x14ac:dyDescent="0.25">
      <c r="A19" s="7"/>
      <c r="B19" s="60" t="s">
        <v>31</v>
      </c>
      <c r="C19" s="17" t="s">
        <v>6</v>
      </c>
      <c r="D19" s="17" t="s">
        <v>26</v>
      </c>
      <c r="E19" s="18">
        <f>11/24</f>
        <v>0.45833333333333331</v>
      </c>
      <c r="F19" s="19">
        <v>46090</v>
      </c>
      <c r="G19" s="20">
        <v>3</v>
      </c>
      <c r="H19" s="17"/>
      <c r="I19" s="14" t="str">
        <f t="shared" ca="1" si="8"/>
        <v/>
      </c>
      <c r="J19" s="14" t="str">
        <f t="shared" ca="1" si="4"/>
        <v/>
      </c>
      <c r="K19" s="14" t="str">
        <f ca="1">IF(AND($C19="Goal",K$3&gt;=$F19,K$3&lt;=$F19+$G19-1),2,IF(AND($C19="Milestone",K$3&gt;=$F19,K$3&lt;=$F19+$G19-1),1,""))</f>
        <v/>
      </c>
      <c r="L19" s="14" t="str">
        <f t="shared" ca="1" si="4"/>
        <v/>
      </c>
      <c r="M19" s="14" t="str">
        <f t="shared" ca="1" si="4"/>
        <v/>
      </c>
      <c r="N19" s="14" t="str">
        <f t="shared" ca="1" si="4"/>
        <v/>
      </c>
      <c r="O19" s="14" t="str">
        <f t="shared" ca="1" si="4"/>
        <v/>
      </c>
      <c r="P19" s="14" t="str">
        <f t="shared" ca="1" si="4"/>
        <v/>
      </c>
      <c r="Q19" s="14" t="str">
        <f t="shared" ca="1" si="4"/>
        <v/>
      </c>
      <c r="R19" s="14" t="str">
        <f t="shared" ca="1" si="4"/>
        <v/>
      </c>
      <c r="S19" s="14" t="str">
        <f t="shared" ca="1" si="4"/>
        <v/>
      </c>
      <c r="T19" s="14" t="str">
        <f t="shared" ca="1" si="4"/>
        <v/>
      </c>
      <c r="U19" s="14" t="str">
        <f t="shared" ca="1" si="4"/>
        <v/>
      </c>
      <c r="V19" s="14" t="str">
        <f t="shared" ca="1" si="4"/>
        <v/>
      </c>
      <c r="W19" s="14" t="str">
        <f t="shared" ca="1" si="4"/>
        <v/>
      </c>
      <c r="X19" s="14" t="str">
        <f t="shared" ca="1" si="4"/>
        <v/>
      </c>
      <c r="Y19" s="14" t="str">
        <f t="shared" ca="1" si="5"/>
        <v/>
      </c>
      <c r="Z19" s="14" t="str">
        <f t="shared" ca="1" si="5"/>
        <v/>
      </c>
      <c r="AA19" s="14" t="str">
        <f t="shared" ca="1" si="5"/>
        <v/>
      </c>
      <c r="AB19" s="14" t="str">
        <f t="shared" ca="1" si="5"/>
        <v/>
      </c>
      <c r="AC19" s="14" t="str">
        <f t="shared" ca="1" si="5"/>
        <v/>
      </c>
      <c r="AD19" s="14" t="str">
        <f t="shared" ca="1" si="5"/>
        <v/>
      </c>
      <c r="AE19" s="14" t="str">
        <f t="shared" ca="1" si="5"/>
        <v/>
      </c>
      <c r="AF19" s="14" t="str">
        <f t="shared" ca="1" si="5"/>
        <v/>
      </c>
      <c r="AG19" s="14" t="str">
        <f t="shared" ca="1" si="5"/>
        <v/>
      </c>
      <c r="AH19" s="14" t="str">
        <f t="shared" ca="1" si="5"/>
        <v/>
      </c>
      <c r="AI19" s="14" t="str">
        <f t="shared" ca="1" si="5"/>
        <v/>
      </c>
      <c r="AJ19" s="14" t="str">
        <f t="shared" ca="1" si="5"/>
        <v/>
      </c>
      <c r="AK19" s="14" t="str">
        <f t="shared" ca="1" si="5"/>
        <v/>
      </c>
      <c r="AL19" s="14" t="str">
        <f t="shared" ca="1" si="5"/>
        <v/>
      </c>
      <c r="AM19" s="14" t="str">
        <f t="shared" ca="1" si="5"/>
        <v/>
      </c>
      <c r="AN19" s="14" t="str">
        <f t="shared" ca="1" si="5"/>
        <v/>
      </c>
      <c r="AO19" s="14" t="str">
        <f t="shared" ca="1" si="6"/>
        <v/>
      </c>
      <c r="AP19" s="14" t="str">
        <f t="shared" ca="1" si="6"/>
        <v/>
      </c>
      <c r="AQ19" s="14" t="str">
        <f t="shared" ca="1" si="6"/>
        <v/>
      </c>
      <c r="AR19" s="14" t="str">
        <f t="shared" ca="1" si="6"/>
        <v/>
      </c>
      <c r="AS19" s="14" t="str">
        <f t="shared" ca="1" si="6"/>
        <v/>
      </c>
      <c r="AT19" s="14" t="str">
        <f t="shared" ca="1" si="6"/>
        <v/>
      </c>
      <c r="AU19" s="14" t="str">
        <f t="shared" ca="1" si="6"/>
        <v/>
      </c>
      <c r="AV19" s="14" t="str">
        <f t="shared" ca="1" si="6"/>
        <v/>
      </c>
      <c r="AW19" s="14" t="str">
        <f t="shared" ca="1" si="6"/>
        <v/>
      </c>
      <c r="AX19" s="14" t="str">
        <f t="shared" ca="1" si="6"/>
        <v/>
      </c>
      <c r="AY19" s="14" t="str">
        <f t="shared" ca="1" si="6"/>
        <v/>
      </c>
      <c r="AZ19" s="14" t="str">
        <f t="shared" ca="1" si="6"/>
        <v/>
      </c>
      <c r="BA19" s="14" t="str">
        <f t="shared" ca="1" si="6"/>
        <v/>
      </c>
      <c r="BB19" s="14" t="str">
        <f t="shared" ca="1" si="6"/>
        <v/>
      </c>
      <c r="BC19" s="14" t="str">
        <f t="shared" ca="1" si="6"/>
        <v/>
      </c>
      <c r="BD19" s="14" t="str">
        <f t="shared" ca="1" si="6"/>
        <v/>
      </c>
      <c r="BE19" s="14" t="str">
        <f t="shared" ca="1" si="9"/>
        <v/>
      </c>
      <c r="BF19" s="14" t="str">
        <f t="shared" ca="1" si="9"/>
        <v/>
      </c>
      <c r="BG19" s="14" t="str">
        <f t="shared" ca="1" si="9"/>
        <v/>
      </c>
      <c r="BH19" s="14" t="str">
        <f t="shared" ca="1" si="9"/>
        <v/>
      </c>
      <c r="BI19" s="14" t="str">
        <f t="shared" ca="1" si="9"/>
        <v/>
      </c>
      <c r="BJ19" s="14" t="str">
        <f t="shared" ca="1" si="9"/>
        <v/>
      </c>
      <c r="BK19" s="14" t="str">
        <f t="shared" ca="1" si="9"/>
        <v/>
      </c>
      <c r="BL19" s="14" t="str">
        <f t="shared" ca="1" si="9"/>
        <v/>
      </c>
    </row>
    <row r="20" spans="1:68" s="1" customFormat="1" ht="40.15" customHeight="1" x14ac:dyDescent="0.25">
      <c r="A20" s="7"/>
      <c r="B20" s="13" t="s">
        <v>282</v>
      </c>
      <c r="C20" s="17" t="s">
        <v>6</v>
      </c>
      <c r="D20" s="17" t="s">
        <v>26</v>
      </c>
      <c r="E20" s="18">
        <f>3/24</f>
        <v>0.125</v>
      </c>
      <c r="F20" s="19">
        <v>46090</v>
      </c>
      <c r="G20" s="20">
        <v>3</v>
      </c>
      <c r="H20" s="17"/>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row>
    <row r="21" spans="1:68" s="1" customFormat="1" ht="40.15" customHeight="1" x14ac:dyDescent="0.25">
      <c r="A21" s="7"/>
      <c r="B21" s="13" t="s">
        <v>32</v>
      </c>
      <c r="C21" s="17" t="s">
        <v>6</v>
      </c>
      <c r="D21" s="17" t="s">
        <v>26</v>
      </c>
      <c r="E21" s="18">
        <v>4.1666666666666664E-4</v>
      </c>
      <c r="F21" s="19">
        <v>46091</v>
      </c>
      <c r="G21" s="20">
        <v>3</v>
      </c>
      <c r="H21" s="17"/>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row>
    <row r="22" spans="1:68" s="1" customFormat="1" ht="40.15" customHeight="1" x14ac:dyDescent="0.25">
      <c r="A22" s="7"/>
      <c r="B22" s="13" t="s">
        <v>283</v>
      </c>
      <c r="C22" s="17" t="s">
        <v>298</v>
      </c>
      <c r="D22" s="17" t="s">
        <v>284</v>
      </c>
      <c r="E22" s="18">
        <v>0</v>
      </c>
      <c r="F22" s="19">
        <v>46096</v>
      </c>
      <c r="G22" s="20">
        <v>1</v>
      </c>
      <c r="H22" s="17"/>
      <c r="I22" s="14"/>
      <c r="J22" s="14"/>
      <c r="K22" s="14"/>
      <c r="L22" s="14"/>
      <c r="M22" s="14"/>
      <c r="N22" s="14"/>
      <c r="P22" s="14"/>
      <c r="Q22" s="85"/>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row>
    <row r="23" spans="1:68" s="1" customFormat="1" ht="40.15" customHeight="1" x14ac:dyDescent="0.25">
      <c r="A23" s="7"/>
      <c r="B23" s="13" t="s">
        <v>285</v>
      </c>
      <c r="C23" s="17" t="s">
        <v>298</v>
      </c>
      <c r="D23" s="17" t="s">
        <v>284</v>
      </c>
      <c r="E23" s="18">
        <v>0</v>
      </c>
      <c r="F23" s="19">
        <v>46104</v>
      </c>
      <c r="G23" s="20">
        <v>1</v>
      </c>
      <c r="H23" s="17"/>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row>
    <row r="24" spans="1:68" s="1" customFormat="1" ht="40.15" customHeight="1" x14ac:dyDescent="0.25">
      <c r="A24" s="7"/>
      <c r="B24" s="60" t="s">
        <v>20</v>
      </c>
      <c r="C24" s="17" t="s">
        <v>1</v>
      </c>
      <c r="D24" s="17" t="s">
        <v>34</v>
      </c>
      <c r="E24" s="18">
        <v>0</v>
      </c>
      <c r="F24" s="19">
        <v>46092</v>
      </c>
      <c r="G24" s="20">
        <v>3</v>
      </c>
      <c r="H24" s="17"/>
      <c r="I24" s="14" t="str">
        <f ca="1">IF(AND($C24="Goal",I$3&gt;=$F24,I$3&lt;=$F24+$G24-1),2,IF(AND($C24="Milestone",I$3&gt;=$F24,I$3&lt;=$F24+$G24-1),1,""))</f>
        <v/>
      </c>
      <c r="J24" s="14" t="str">
        <f t="shared" ca="1" si="4"/>
        <v/>
      </c>
      <c r="K24" s="14">
        <f t="shared" ca="1" si="4"/>
        <v>2</v>
      </c>
      <c r="L24" s="14">
        <f t="shared" ca="1" si="4"/>
        <v>2</v>
      </c>
      <c r="M24" s="14">
        <f t="shared" ca="1" si="4"/>
        <v>2</v>
      </c>
      <c r="N24" s="14" t="str">
        <f t="shared" ca="1" si="4"/>
        <v/>
      </c>
      <c r="O24" s="14" t="str">
        <f t="shared" ca="1" si="4"/>
        <v/>
      </c>
      <c r="P24" s="14" t="str">
        <f t="shared" ca="1" si="4"/>
        <v/>
      </c>
      <c r="Q24" s="14" t="str">
        <f t="shared" ca="1" si="4"/>
        <v/>
      </c>
      <c r="R24" s="14" t="str">
        <f t="shared" ca="1" si="4"/>
        <v/>
      </c>
      <c r="S24" s="14" t="str">
        <f t="shared" ca="1" si="4"/>
        <v/>
      </c>
      <c r="T24" s="14" t="str">
        <f t="shared" ca="1" si="4"/>
        <v/>
      </c>
      <c r="U24" s="14" t="str">
        <f t="shared" ca="1" si="4"/>
        <v/>
      </c>
      <c r="V24" s="14" t="str">
        <f t="shared" ca="1" si="4"/>
        <v/>
      </c>
      <c r="W24" s="14" t="str">
        <f t="shared" ca="1" si="4"/>
        <v/>
      </c>
      <c r="X24" s="14" t="str">
        <f t="shared" ca="1" si="4"/>
        <v/>
      </c>
      <c r="Y24" s="14" t="str">
        <f t="shared" ca="1" si="5"/>
        <v/>
      </c>
      <c r="Z24" s="14" t="str">
        <f t="shared" ca="1" si="5"/>
        <v/>
      </c>
      <c r="AA24" s="14" t="str">
        <f t="shared" ca="1" si="5"/>
        <v/>
      </c>
      <c r="AB24" s="14" t="str">
        <f t="shared" ca="1" si="5"/>
        <v/>
      </c>
      <c r="AC24" s="14" t="str">
        <f t="shared" ca="1" si="5"/>
        <v/>
      </c>
      <c r="AD24" s="14" t="str">
        <f t="shared" ca="1" si="5"/>
        <v/>
      </c>
      <c r="AE24" s="14" t="str">
        <f t="shared" ca="1" si="5"/>
        <v/>
      </c>
      <c r="AF24" s="14" t="str">
        <f t="shared" ca="1" si="5"/>
        <v/>
      </c>
      <c r="AG24" s="14" t="str">
        <f t="shared" ca="1" si="5"/>
        <v/>
      </c>
      <c r="AH24" s="14" t="str">
        <f t="shared" ca="1" si="5"/>
        <v/>
      </c>
      <c r="AI24" s="14" t="str">
        <f t="shared" ca="1" si="5"/>
        <v/>
      </c>
      <c r="AJ24" s="14" t="str">
        <f t="shared" ca="1" si="5"/>
        <v/>
      </c>
      <c r="AK24" s="14" t="str">
        <f t="shared" ca="1" si="5"/>
        <v/>
      </c>
      <c r="AL24" s="14" t="str">
        <f t="shared" ca="1" si="5"/>
        <v/>
      </c>
      <c r="AM24" s="14" t="str">
        <f t="shared" ca="1" si="5"/>
        <v/>
      </c>
      <c r="AN24" s="14" t="str">
        <f t="shared" ca="1" si="5"/>
        <v/>
      </c>
      <c r="AO24" s="14" t="str">
        <f t="shared" ca="1" si="6"/>
        <v/>
      </c>
      <c r="AP24" s="14" t="str">
        <f t="shared" ca="1" si="6"/>
        <v/>
      </c>
      <c r="AQ24" s="14" t="str">
        <f t="shared" ca="1" si="6"/>
        <v/>
      </c>
      <c r="AR24" s="14" t="str">
        <f t="shared" ca="1" si="6"/>
        <v/>
      </c>
      <c r="AS24" s="14" t="str">
        <f t="shared" ca="1" si="6"/>
        <v/>
      </c>
      <c r="AT24" s="14" t="str">
        <f t="shared" ca="1" si="6"/>
        <v/>
      </c>
      <c r="AU24" s="14" t="str">
        <f t="shared" ca="1" si="6"/>
        <v/>
      </c>
      <c r="AV24" s="14" t="str">
        <f t="shared" ca="1" si="6"/>
        <v/>
      </c>
      <c r="AW24" s="14" t="str">
        <f t="shared" ca="1" si="6"/>
        <v/>
      </c>
      <c r="AX24" s="14" t="str">
        <f t="shared" ca="1" si="6"/>
        <v/>
      </c>
      <c r="AY24" s="14" t="str">
        <f t="shared" ca="1" si="6"/>
        <v/>
      </c>
      <c r="AZ24" s="14" t="str">
        <f t="shared" ca="1" si="6"/>
        <v/>
      </c>
      <c r="BA24" s="14" t="str">
        <f t="shared" ca="1" si="6"/>
        <v/>
      </c>
      <c r="BB24" s="14" t="str">
        <f t="shared" ca="1" si="6"/>
        <v/>
      </c>
      <c r="BC24" s="14" t="str">
        <f t="shared" ca="1" si="6"/>
        <v/>
      </c>
      <c r="BD24" s="14" t="str">
        <f t="shared" ca="1" si="6"/>
        <v/>
      </c>
      <c r="BE24" s="14" t="str">
        <f t="shared" ref="BE24:BL31" ca="1" si="12">IF(AND($C24="Goal",BE$3&gt;=$F24,BE$3&lt;=$F24+$G24-1),2,IF(AND($C24="Milestone",BE$3&gt;=$F24,BE$3&lt;=$F24+$G24-1),1,""))</f>
        <v/>
      </c>
      <c r="BF24" s="14" t="str">
        <f t="shared" ca="1" si="12"/>
        <v/>
      </c>
      <c r="BG24" s="14" t="str">
        <f t="shared" ca="1" si="12"/>
        <v/>
      </c>
      <c r="BH24" s="14" t="str">
        <f t="shared" ca="1" si="12"/>
        <v/>
      </c>
      <c r="BI24" s="14" t="str">
        <f t="shared" ca="1" si="12"/>
        <v/>
      </c>
      <c r="BJ24" s="14" t="str">
        <f t="shared" ca="1" si="12"/>
        <v/>
      </c>
      <c r="BK24" s="14" t="str">
        <f t="shared" ca="1" si="12"/>
        <v/>
      </c>
      <c r="BL24" s="14" t="str">
        <f t="shared" ca="1" si="12"/>
        <v/>
      </c>
    </row>
    <row r="25" spans="1:68" s="1" customFormat="1" ht="40.15" customHeight="1" x14ac:dyDescent="0.25">
      <c r="A25" s="7"/>
      <c r="B25" s="60" t="s">
        <v>33</v>
      </c>
      <c r="C25" s="17" t="s">
        <v>1</v>
      </c>
      <c r="D25" s="17" t="s">
        <v>34</v>
      </c>
      <c r="E25" s="18">
        <v>0</v>
      </c>
      <c r="F25" s="19">
        <v>46095</v>
      </c>
      <c r="G25" s="20">
        <v>3</v>
      </c>
      <c r="H25" s="17"/>
      <c r="I25" s="14" t="str">
        <f ca="1">IF(AND($C25="Goal",I$3&gt;=$F25,I$3&lt;=$F25+$G25-1),2,IF(AND($C25="Milestone",I$3&gt;=$F25,I$3&lt;=$F25+$G25-1),1,""))</f>
        <v/>
      </c>
      <c r="J25" s="14" t="str">
        <f t="shared" ca="1" si="4"/>
        <v/>
      </c>
      <c r="K25" s="14" t="str">
        <f t="shared" ca="1" si="4"/>
        <v/>
      </c>
      <c r="L25" s="14" t="str">
        <f t="shared" ca="1" si="4"/>
        <v/>
      </c>
      <c r="M25" s="14" t="str">
        <f t="shared" ca="1" si="4"/>
        <v/>
      </c>
      <c r="N25" s="14">
        <f t="shared" ca="1" si="4"/>
        <v>2</v>
      </c>
      <c r="O25" s="14">
        <f t="shared" ca="1" si="4"/>
        <v>2</v>
      </c>
      <c r="P25" s="14">
        <f t="shared" ca="1" si="4"/>
        <v>2</v>
      </c>
      <c r="Q25" s="14" t="str">
        <f t="shared" ca="1" si="4"/>
        <v/>
      </c>
      <c r="R25" s="14" t="str">
        <f t="shared" ca="1" si="4"/>
        <v/>
      </c>
      <c r="S25" s="14" t="str">
        <f t="shared" ca="1" si="4"/>
        <v/>
      </c>
      <c r="T25" s="14" t="str">
        <f t="shared" ca="1" si="4"/>
        <v/>
      </c>
      <c r="U25" s="14" t="str">
        <f t="shared" ca="1" si="4"/>
        <v/>
      </c>
      <c r="V25" s="14" t="str">
        <f t="shared" ca="1" si="4"/>
        <v/>
      </c>
      <c r="W25" s="14" t="str">
        <f t="shared" ca="1" si="4"/>
        <v/>
      </c>
      <c r="X25" s="14" t="str">
        <f t="shared" ca="1" si="4"/>
        <v/>
      </c>
      <c r="Y25" s="14" t="str">
        <f t="shared" ca="1" si="5"/>
        <v/>
      </c>
      <c r="Z25" s="14" t="str">
        <f t="shared" ca="1" si="5"/>
        <v/>
      </c>
      <c r="AA25" s="14" t="str">
        <f t="shared" ca="1" si="5"/>
        <v/>
      </c>
      <c r="AB25" s="14" t="str">
        <f t="shared" ca="1" si="5"/>
        <v/>
      </c>
      <c r="AC25" s="14" t="str">
        <f t="shared" ca="1" si="5"/>
        <v/>
      </c>
      <c r="AD25" s="14" t="str">
        <f t="shared" ca="1" si="5"/>
        <v/>
      </c>
      <c r="AE25" s="14" t="str">
        <f t="shared" ca="1" si="5"/>
        <v/>
      </c>
      <c r="AF25" s="14" t="str">
        <f t="shared" ca="1" si="5"/>
        <v/>
      </c>
      <c r="AG25" s="14" t="str">
        <f t="shared" ca="1" si="5"/>
        <v/>
      </c>
      <c r="AH25" s="14" t="str">
        <f t="shared" ca="1" si="5"/>
        <v/>
      </c>
      <c r="AI25" s="14" t="str">
        <f t="shared" ca="1" si="5"/>
        <v/>
      </c>
      <c r="AJ25" s="14" t="str">
        <f t="shared" ca="1" si="5"/>
        <v/>
      </c>
      <c r="AK25" s="14" t="str">
        <f t="shared" ca="1" si="5"/>
        <v/>
      </c>
      <c r="AL25" s="14" t="str">
        <f t="shared" ca="1" si="5"/>
        <v/>
      </c>
      <c r="AM25" s="14" t="str">
        <f t="shared" ca="1" si="5"/>
        <v/>
      </c>
      <c r="AN25" s="14" t="str">
        <f t="shared" ca="1" si="5"/>
        <v/>
      </c>
      <c r="AO25" s="14" t="str">
        <f t="shared" ca="1" si="6"/>
        <v/>
      </c>
      <c r="AP25" s="14" t="str">
        <f t="shared" ca="1" si="6"/>
        <v/>
      </c>
      <c r="AQ25" s="14" t="str">
        <f t="shared" ca="1" si="6"/>
        <v/>
      </c>
      <c r="AR25" s="14" t="str">
        <f t="shared" ca="1" si="6"/>
        <v/>
      </c>
      <c r="AS25" s="14" t="str">
        <f t="shared" ca="1" si="6"/>
        <v/>
      </c>
      <c r="AT25" s="14" t="str">
        <f t="shared" ca="1" si="6"/>
        <v/>
      </c>
      <c r="AU25" s="14" t="str">
        <f t="shared" ca="1" si="6"/>
        <v/>
      </c>
      <c r="AV25" s="14" t="str">
        <f t="shared" ca="1" si="6"/>
        <v/>
      </c>
      <c r="AW25" s="14" t="str">
        <f t="shared" ca="1" si="6"/>
        <v/>
      </c>
      <c r="AX25" s="14" t="str">
        <f t="shared" ca="1" si="6"/>
        <v/>
      </c>
      <c r="AY25" s="14" t="str">
        <f t="shared" ca="1" si="6"/>
        <v/>
      </c>
      <c r="AZ25" s="14" t="str">
        <f t="shared" ca="1" si="6"/>
        <v/>
      </c>
      <c r="BA25" s="14" t="str">
        <f t="shared" ca="1" si="6"/>
        <v/>
      </c>
      <c r="BB25" s="14" t="str">
        <f t="shared" ca="1" si="6"/>
        <v/>
      </c>
      <c r="BC25" s="14" t="str">
        <f t="shared" ca="1" si="6"/>
        <v/>
      </c>
      <c r="BD25" s="14" t="str">
        <f t="shared" ca="1" si="6"/>
        <v/>
      </c>
      <c r="BE25" s="14" t="str">
        <f t="shared" ca="1" si="12"/>
        <v/>
      </c>
      <c r="BF25" s="14" t="str">
        <f t="shared" ca="1" si="12"/>
        <v/>
      </c>
      <c r="BG25" s="14" t="str">
        <f t="shared" ca="1" si="12"/>
        <v/>
      </c>
      <c r="BH25" s="14" t="str">
        <f t="shared" ca="1" si="12"/>
        <v/>
      </c>
      <c r="BI25" s="14" t="str">
        <f t="shared" ca="1" si="12"/>
        <v/>
      </c>
      <c r="BJ25" s="14" t="str">
        <f t="shared" ca="1" si="12"/>
        <v/>
      </c>
      <c r="BK25" s="14" t="str">
        <f t="shared" ca="1" si="12"/>
        <v/>
      </c>
      <c r="BL25" s="14" t="str">
        <f t="shared" ca="1" si="12"/>
        <v/>
      </c>
    </row>
    <row r="26" spans="1:68" s="1" customFormat="1" ht="40.15" customHeight="1" x14ac:dyDescent="0.25">
      <c r="A26" s="7"/>
      <c r="B26" s="60" t="s">
        <v>286</v>
      </c>
      <c r="C26" s="17" t="s">
        <v>2</v>
      </c>
      <c r="D26" s="17" t="s">
        <v>287</v>
      </c>
      <c r="E26" s="18">
        <v>1</v>
      </c>
      <c r="F26" s="19">
        <v>46097</v>
      </c>
      <c r="G26" s="20">
        <v>4</v>
      </c>
      <c r="H26" s="17"/>
      <c r="I26" s="14" t="str">
        <f ca="1">IF(AND($C26="Goal",I$3&gt;=$F26,I$3&lt;=$F26+$G26-1),2,IF(AND($C26="Milestone",I$3&gt;=$F26,I$3&lt;=$F26+$G26-1),1,""))</f>
        <v/>
      </c>
      <c r="J26" s="14" t="str">
        <f t="shared" ca="1" si="4"/>
        <v/>
      </c>
      <c r="K26" s="14" t="str">
        <f t="shared" ca="1" si="4"/>
        <v/>
      </c>
      <c r="L26" s="14" t="str">
        <f t="shared" ca="1" si="4"/>
        <v/>
      </c>
      <c r="M26" s="14" t="str">
        <f t="shared" ca="1" si="4"/>
        <v/>
      </c>
      <c r="N26" s="14" t="str">
        <f t="shared" ca="1" si="4"/>
        <v/>
      </c>
      <c r="O26" s="14" t="str">
        <f t="shared" ca="1" si="4"/>
        <v/>
      </c>
      <c r="P26" s="14">
        <f t="shared" ca="1" si="4"/>
        <v>1</v>
      </c>
      <c r="Q26" s="14">
        <f t="shared" ca="1" si="4"/>
        <v>1</v>
      </c>
      <c r="R26" s="14">
        <f t="shared" ca="1" si="4"/>
        <v>1</v>
      </c>
      <c r="S26" s="14">
        <f t="shared" ca="1" si="4"/>
        <v>1</v>
      </c>
      <c r="T26" s="14" t="str">
        <f t="shared" ca="1" si="4"/>
        <v/>
      </c>
      <c r="U26" s="14" t="str">
        <f t="shared" ca="1" si="4"/>
        <v/>
      </c>
      <c r="V26" s="14" t="str">
        <f t="shared" ca="1" si="4"/>
        <v/>
      </c>
      <c r="W26" s="14" t="str">
        <f t="shared" ca="1" si="4"/>
        <v/>
      </c>
      <c r="X26" s="14" t="str">
        <f t="shared" ca="1" si="4"/>
        <v/>
      </c>
      <c r="Y26" s="14" t="str">
        <f t="shared" ca="1" si="5"/>
        <v/>
      </c>
      <c r="Z26" s="14" t="str">
        <f t="shared" ca="1" si="5"/>
        <v/>
      </c>
      <c r="AA26" s="14" t="str">
        <f t="shared" ca="1" si="5"/>
        <v/>
      </c>
      <c r="AB26" s="14" t="str">
        <f t="shared" ca="1" si="5"/>
        <v/>
      </c>
      <c r="AC26" s="14" t="str">
        <f t="shared" ca="1" si="5"/>
        <v/>
      </c>
      <c r="AD26" s="14" t="str">
        <f t="shared" ca="1" si="5"/>
        <v/>
      </c>
      <c r="AE26" s="14" t="str">
        <f t="shared" ca="1" si="5"/>
        <v/>
      </c>
      <c r="AF26" s="14" t="str">
        <f t="shared" ca="1" si="5"/>
        <v/>
      </c>
      <c r="AG26" s="14" t="str">
        <f t="shared" ca="1" si="5"/>
        <v/>
      </c>
      <c r="AH26" s="14" t="str">
        <f t="shared" ca="1" si="5"/>
        <v/>
      </c>
      <c r="AI26" s="14" t="str">
        <f t="shared" ca="1" si="5"/>
        <v/>
      </c>
      <c r="AJ26" s="14" t="str">
        <f t="shared" ca="1" si="5"/>
        <v/>
      </c>
      <c r="AK26" s="14" t="str">
        <f t="shared" ca="1" si="5"/>
        <v/>
      </c>
      <c r="AL26" s="14" t="str">
        <f t="shared" ca="1" si="5"/>
        <v/>
      </c>
      <c r="AM26" s="14" t="str">
        <f t="shared" ca="1" si="5"/>
        <v/>
      </c>
      <c r="AN26" s="14" t="str">
        <f t="shared" ca="1" si="5"/>
        <v/>
      </c>
      <c r="AO26" s="14" t="str">
        <f t="shared" ca="1" si="6"/>
        <v/>
      </c>
      <c r="AP26" s="14" t="str">
        <f t="shared" ca="1" si="6"/>
        <v/>
      </c>
      <c r="AQ26" s="14" t="str">
        <f t="shared" ca="1" si="6"/>
        <v/>
      </c>
      <c r="AR26" s="14" t="str">
        <f t="shared" ca="1" si="6"/>
        <v/>
      </c>
      <c r="AS26" s="14" t="str">
        <f t="shared" ca="1" si="6"/>
        <v/>
      </c>
      <c r="AT26" s="14" t="str">
        <f t="shared" ca="1" si="6"/>
        <v/>
      </c>
      <c r="AU26" s="14" t="str">
        <f t="shared" ca="1" si="6"/>
        <v/>
      </c>
      <c r="AV26" s="14" t="str">
        <f t="shared" ca="1" si="6"/>
        <v/>
      </c>
      <c r="AW26" s="14" t="str">
        <f t="shared" ca="1" si="6"/>
        <v/>
      </c>
      <c r="AX26" s="14" t="str">
        <f t="shared" ca="1" si="6"/>
        <v/>
      </c>
      <c r="AY26" s="14" t="str">
        <f t="shared" ca="1" si="6"/>
        <v/>
      </c>
      <c r="AZ26" s="14" t="str">
        <f t="shared" ca="1" si="6"/>
        <v/>
      </c>
      <c r="BA26" s="14" t="str">
        <f t="shared" ca="1" si="6"/>
        <v/>
      </c>
      <c r="BB26" s="14" t="str">
        <f t="shared" ca="1" si="6"/>
        <v/>
      </c>
      <c r="BC26" s="14" t="str">
        <f t="shared" ca="1" si="6"/>
        <v/>
      </c>
      <c r="BD26" s="14" t="str">
        <f t="shared" ca="1" si="6"/>
        <v/>
      </c>
      <c r="BE26" s="14" t="str">
        <f t="shared" ca="1" si="12"/>
        <v/>
      </c>
      <c r="BF26" s="14" t="str">
        <f t="shared" ca="1" si="12"/>
        <v/>
      </c>
      <c r="BG26" s="14" t="str">
        <f t="shared" ca="1" si="12"/>
        <v/>
      </c>
      <c r="BH26" s="14" t="str">
        <f t="shared" ca="1" si="12"/>
        <v/>
      </c>
      <c r="BI26" s="14" t="str">
        <f t="shared" ca="1" si="12"/>
        <v/>
      </c>
      <c r="BJ26" s="14" t="str">
        <f t="shared" ca="1" si="12"/>
        <v/>
      </c>
      <c r="BK26" s="14" t="str">
        <f t="shared" ca="1" si="12"/>
        <v/>
      </c>
      <c r="BL26" s="14" t="str">
        <f t="shared" ca="1" si="12"/>
        <v/>
      </c>
    </row>
    <row r="27" spans="1:68" s="1" customFormat="1" ht="40.15" customHeight="1" x14ac:dyDescent="0.25">
      <c r="A27" s="8"/>
      <c r="B27" s="59" t="s">
        <v>35</v>
      </c>
      <c r="C27" s="17">
        <v>32</v>
      </c>
      <c r="D27" s="17"/>
      <c r="E27" s="18"/>
      <c r="F27" s="19"/>
      <c r="G27" s="20"/>
      <c r="H27" s="17"/>
      <c r="I27" s="14" t="str">
        <f t="shared" ca="1" si="4"/>
        <v/>
      </c>
      <c r="J27" s="14" t="str">
        <f t="shared" ca="1" si="4"/>
        <v/>
      </c>
      <c r="K27" s="14" t="str">
        <f t="shared" ca="1" si="4"/>
        <v/>
      </c>
      <c r="L27" s="14" t="str">
        <f t="shared" ca="1" si="4"/>
        <v/>
      </c>
      <c r="M27" s="14" t="str">
        <f t="shared" ca="1" si="4"/>
        <v/>
      </c>
      <c r="N27" s="14" t="str">
        <f t="shared" ca="1" si="4"/>
        <v/>
      </c>
      <c r="O27" s="14" t="str">
        <f t="shared" ca="1" si="4"/>
        <v/>
      </c>
      <c r="P27" s="14" t="str">
        <f t="shared" ca="1" si="4"/>
        <v/>
      </c>
      <c r="Q27" s="14" t="str">
        <f t="shared" ca="1" si="4"/>
        <v/>
      </c>
      <c r="R27" s="14" t="str">
        <f t="shared" ca="1" si="4"/>
        <v/>
      </c>
      <c r="S27" s="14" t="str">
        <f t="shared" ca="1" si="4"/>
        <v/>
      </c>
      <c r="T27" s="14" t="str">
        <f t="shared" ca="1" si="4"/>
        <v/>
      </c>
      <c r="U27" s="14" t="str">
        <f t="shared" ca="1" si="4"/>
        <v/>
      </c>
      <c r="V27" s="14" t="str">
        <f t="shared" ca="1" si="4"/>
        <v/>
      </c>
      <c r="W27" s="14" t="str">
        <f t="shared" ca="1" si="4"/>
        <v/>
      </c>
      <c r="X27" s="14" t="str">
        <f t="shared" ca="1" si="4"/>
        <v/>
      </c>
      <c r="Y27" s="14" t="str">
        <f t="shared" ref="Y27:BD27" ca="1" si="13">IF(AND($C27="Goal",Y$3&gt;=$F27,Y$3&lt;=$F27+$G27-1),2,IF(AND($C27="Milestone",Y$3&gt;=$F27,Y$3&lt;=$F27+$G27-1),1,""))</f>
        <v/>
      </c>
      <c r="Z27" s="14" t="str">
        <f t="shared" ca="1" si="13"/>
        <v/>
      </c>
      <c r="AA27" s="14" t="str">
        <f t="shared" ca="1" si="13"/>
        <v/>
      </c>
      <c r="AB27" s="14" t="str">
        <f t="shared" ca="1" si="13"/>
        <v/>
      </c>
      <c r="AC27" s="14" t="str">
        <f t="shared" ca="1" si="13"/>
        <v/>
      </c>
      <c r="AD27" s="14" t="str">
        <f t="shared" ca="1" si="13"/>
        <v/>
      </c>
      <c r="AE27" s="14" t="str">
        <f t="shared" ca="1" si="13"/>
        <v/>
      </c>
      <c r="AF27" s="14" t="str">
        <f t="shared" ca="1" si="13"/>
        <v/>
      </c>
      <c r="AG27" s="14" t="str">
        <f t="shared" ca="1" si="13"/>
        <v/>
      </c>
      <c r="AH27" s="14" t="str">
        <f t="shared" ca="1" si="13"/>
        <v/>
      </c>
      <c r="AI27" s="14" t="str">
        <f t="shared" ca="1" si="13"/>
        <v/>
      </c>
      <c r="AJ27" s="14" t="str">
        <f t="shared" ca="1" si="13"/>
        <v/>
      </c>
      <c r="AK27" s="14" t="str">
        <f t="shared" ca="1" si="13"/>
        <v/>
      </c>
      <c r="AL27" s="14" t="str">
        <f t="shared" ca="1" si="13"/>
        <v/>
      </c>
      <c r="AM27" s="14" t="str">
        <f t="shared" ca="1" si="13"/>
        <v/>
      </c>
      <c r="AN27" s="14" t="str">
        <f t="shared" ca="1" si="13"/>
        <v/>
      </c>
      <c r="AO27" s="14" t="str">
        <f t="shared" ca="1" si="13"/>
        <v/>
      </c>
      <c r="AP27" s="14" t="str">
        <f t="shared" ca="1" si="13"/>
        <v/>
      </c>
      <c r="AQ27" s="14" t="str">
        <f t="shared" ca="1" si="13"/>
        <v/>
      </c>
      <c r="AR27" s="14" t="str">
        <f t="shared" ca="1" si="13"/>
        <v/>
      </c>
      <c r="AS27" s="14" t="str">
        <f t="shared" ca="1" si="13"/>
        <v/>
      </c>
      <c r="AT27" s="14" t="str">
        <f t="shared" ca="1" si="13"/>
        <v/>
      </c>
      <c r="AU27" s="14" t="str">
        <f t="shared" ca="1" si="13"/>
        <v/>
      </c>
      <c r="AV27" s="14" t="str">
        <f t="shared" ca="1" si="13"/>
        <v/>
      </c>
      <c r="AW27" s="14" t="str">
        <f t="shared" ca="1" si="13"/>
        <v/>
      </c>
      <c r="AX27" s="14" t="str">
        <f t="shared" ca="1" si="13"/>
        <v/>
      </c>
      <c r="AY27" s="14" t="str">
        <f t="shared" ca="1" si="13"/>
        <v/>
      </c>
      <c r="AZ27" s="14" t="str">
        <f t="shared" ca="1" si="13"/>
        <v/>
      </c>
      <c r="BA27" s="14" t="str">
        <f t="shared" ca="1" si="13"/>
        <v/>
      </c>
      <c r="BB27" s="14" t="str">
        <f t="shared" ca="1" si="13"/>
        <v/>
      </c>
      <c r="BC27" s="14" t="str">
        <f t="shared" ca="1" si="13"/>
        <v/>
      </c>
      <c r="BD27" s="14" t="str">
        <f t="shared" ca="1" si="13"/>
        <v/>
      </c>
      <c r="BE27" s="14" t="str">
        <f t="shared" ca="1" si="12"/>
        <v/>
      </c>
      <c r="BF27" s="14" t="str">
        <f t="shared" ca="1" si="12"/>
        <v/>
      </c>
      <c r="BG27" s="14" t="str">
        <f t="shared" ca="1" si="12"/>
        <v/>
      </c>
      <c r="BH27" s="14" t="str">
        <f t="shared" ca="1" si="12"/>
        <v/>
      </c>
      <c r="BI27" s="14" t="str">
        <f t="shared" ca="1" si="12"/>
        <v/>
      </c>
      <c r="BJ27" s="14" t="str">
        <f t="shared" ca="1" si="12"/>
        <v/>
      </c>
      <c r="BK27" s="14" t="str">
        <f t="shared" ca="1" si="12"/>
        <v/>
      </c>
      <c r="BL27" s="14" t="str">
        <f t="shared" ca="1" si="12"/>
        <v/>
      </c>
      <c r="BP27" s="16"/>
    </row>
    <row r="28" spans="1:68" s="1" customFormat="1" ht="40.15" customHeight="1" x14ac:dyDescent="0.25">
      <c r="A28" s="8"/>
      <c r="B28" s="60" t="s">
        <v>24</v>
      </c>
      <c r="C28" s="17" t="s">
        <v>6</v>
      </c>
      <c r="D28" s="17" t="s">
        <v>23</v>
      </c>
      <c r="E28" s="18">
        <v>1</v>
      </c>
      <c r="F28" s="19">
        <v>46098</v>
      </c>
      <c r="G28" s="20">
        <v>3</v>
      </c>
      <c r="H28" s="17"/>
      <c r="I28" s="14" t="str">
        <f ca="1">IF(AND($C28="Goal",I$3&gt;=$F28,I$3&lt;=$F28+$G28-1),2,IF(AND($C28="Milestone",I$3&gt;=$F28,I$3&lt;=$F28+$G28-1),1,""))</f>
        <v/>
      </c>
      <c r="J28" s="14" t="str">
        <f t="shared" ca="1" si="4"/>
        <v/>
      </c>
      <c r="K28" s="14" t="str">
        <f t="shared" ca="1" si="4"/>
        <v/>
      </c>
      <c r="L28" s="14" t="str">
        <f t="shared" ca="1" si="4"/>
        <v/>
      </c>
      <c r="M28" s="14" t="str">
        <f t="shared" ca="1" si="4"/>
        <v/>
      </c>
      <c r="N28" s="14" t="str">
        <f t="shared" ca="1" si="4"/>
        <v/>
      </c>
      <c r="O28" s="14" t="str">
        <f t="shared" ref="O28:P32" ca="1" si="14">IF(AND($C28="Goal",O$3&gt;=$F28,O$3&lt;=$F28+$G28-1),2,IF(AND($C28="Milestone",O$3&gt;=$F28,O$3&lt;=$F28+$G28-1),1,""))</f>
        <v/>
      </c>
      <c r="P28" s="14" t="str">
        <f t="shared" ca="1" si="14"/>
        <v/>
      </c>
      <c r="Q28" s="14" t="str">
        <f t="shared" ca="1" si="4"/>
        <v/>
      </c>
      <c r="R28" s="14" t="str">
        <f t="shared" ca="1" si="4"/>
        <v/>
      </c>
      <c r="S28" s="14" t="str">
        <f t="shared" ca="1" si="4"/>
        <v/>
      </c>
      <c r="T28" s="14" t="str">
        <f t="shared" ca="1" si="4"/>
        <v/>
      </c>
      <c r="U28" s="14" t="str">
        <f t="shared" ca="1" si="4"/>
        <v/>
      </c>
      <c r="V28" s="14" t="str">
        <f t="shared" ca="1" si="4"/>
        <v/>
      </c>
      <c r="W28" s="14" t="str">
        <f t="shared" ca="1" si="4"/>
        <v/>
      </c>
      <c r="X28" s="14" t="str">
        <f t="shared" ca="1" si="4"/>
        <v/>
      </c>
      <c r="Y28" s="14" t="str">
        <f t="shared" ca="1" si="5"/>
        <v/>
      </c>
      <c r="Z28" s="14" t="str">
        <f t="shared" ca="1" si="5"/>
        <v/>
      </c>
      <c r="AA28" s="14" t="str">
        <f t="shared" ca="1" si="5"/>
        <v/>
      </c>
      <c r="AB28" s="14" t="str">
        <f t="shared" ca="1" si="5"/>
        <v/>
      </c>
      <c r="AC28" s="14" t="str">
        <f t="shared" ca="1" si="5"/>
        <v/>
      </c>
      <c r="AD28" s="14" t="str">
        <f t="shared" ca="1" si="5"/>
        <v/>
      </c>
      <c r="AE28" s="14" t="str">
        <f t="shared" ca="1" si="5"/>
        <v/>
      </c>
      <c r="AF28" s="14" t="str">
        <f t="shared" ca="1" si="5"/>
        <v/>
      </c>
      <c r="AG28" s="14" t="str">
        <f t="shared" ca="1" si="5"/>
        <v/>
      </c>
      <c r="AH28" s="14" t="str">
        <f t="shared" ca="1" si="5"/>
        <v/>
      </c>
      <c r="AI28" s="14" t="str">
        <f t="shared" ca="1" si="5"/>
        <v/>
      </c>
      <c r="AJ28" s="14" t="str">
        <f t="shared" ca="1" si="5"/>
        <v/>
      </c>
      <c r="AK28" s="14" t="str">
        <f t="shared" ca="1" si="5"/>
        <v/>
      </c>
      <c r="AL28" s="14" t="str">
        <f t="shared" ca="1" si="5"/>
        <v/>
      </c>
      <c r="AM28" s="14" t="str">
        <f t="shared" ca="1" si="5"/>
        <v/>
      </c>
      <c r="AN28" s="14" t="str">
        <f t="shared" ca="1" si="5"/>
        <v/>
      </c>
      <c r="AO28" s="14" t="str">
        <f t="shared" ca="1" si="6"/>
        <v/>
      </c>
      <c r="AP28" s="14" t="str">
        <f t="shared" ca="1" si="6"/>
        <v/>
      </c>
      <c r="AQ28" s="14" t="str">
        <f t="shared" ca="1" si="6"/>
        <v/>
      </c>
      <c r="AR28" s="14" t="str">
        <f t="shared" ca="1" si="6"/>
        <v/>
      </c>
      <c r="AS28" s="14" t="str">
        <f t="shared" ca="1" si="6"/>
        <v/>
      </c>
      <c r="AT28" s="14" t="str">
        <f t="shared" ca="1" si="6"/>
        <v/>
      </c>
      <c r="AU28" s="14" t="str">
        <f t="shared" ca="1" si="6"/>
        <v/>
      </c>
      <c r="AV28" s="14" t="str">
        <f t="shared" ca="1" si="6"/>
        <v/>
      </c>
      <c r="AW28" s="14" t="str">
        <f t="shared" ca="1" si="6"/>
        <v/>
      </c>
      <c r="AX28" s="14" t="str">
        <f t="shared" ca="1" si="6"/>
        <v/>
      </c>
      <c r="AY28" s="14" t="str">
        <f t="shared" ca="1" si="6"/>
        <v/>
      </c>
      <c r="AZ28" s="14" t="str">
        <f t="shared" ca="1" si="6"/>
        <v/>
      </c>
      <c r="BA28" s="14" t="str">
        <f t="shared" ca="1" si="6"/>
        <v/>
      </c>
      <c r="BB28" s="14" t="str">
        <f t="shared" ca="1" si="6"/>
        <v/>
      </c>
      <c r="BC28" s="14" t="str">
        <f t="shared" ca="1" si="6"/>
        <v/>
      </c>
      <c r="BD28" s="14" t="str">
        <f t="shared" ca="1" si="6"/>
        <v/>
      </c>
      <c r="BE28" s="14" t="str">
        <f t="shared" ca="1" si="12"/>
        <v/>
      </c>
      <c r="BF28" s="14" t="str">
        <f t="shared" ca="1" si="12"/>
        <v/>
      </c>
      <c r="BG28" s="14" t="str">
        <f t="shared" ca="1" si="12"/>
        <v/>
      </c>
      <c r="BH28" s="14" t="str">
        <f t="shared" ca="1" si="12"/>
        <v/>
      </c>
      <c r="BI28" s="14" t="str">
        <f t="shared" ca="1" si="12"/>
        <v/>
      </c>
      <c r="BJ28" s="14" t="str">
        <f t="shared" ca="1" si="12"/>
        <v/>
      </c>
      <c r="BK28" s="14" t="str">
        <f t="shared" ca="1" si="12"/>
        <v/>
      </c>
      <c r="BL28" s="14" t="str">
        <f t="shared" ca="1" si="12"/>
        <v/>
      </c>
    </row>
    <row r="29" spans="1:68" s="1" customFormat="1" ht="40.15" customHeight="1" x14ac:dyDescent="0.25">
      <c r="A29" s="8"/>
      <c r="B29" s="60" t="s">
        <v>25</v>
      </c>
      <c r="C29" s="17" t="s">
        <v>6</v>
      </c>
      <c r="D29" s="17" t="s">
        <v>23</v>
      </c>
      <c r="E29" s="18">
        <v>0</v>
      </c>
      <c r="F29" s="19">
        <v>46100</v>
      </c>
      <c r="G29" s="20">
        <v>2</v>
      </c>
      <c r="H29" s="17"/>
      <c r="I29" s="14" t="str">
        <f ca="1">IF(AND($C29="Goal",I$3&gt;=$F29,I$3&lt;=$F29+$G29-1),2,IF(AND($C29="Milestone",I$3&gt;=$F29,I$3&lt;=$F29+$G29-1),1,""))</f>
        <v/>
      </c>
      <c r="J29" s="14" t="str">
        <f t="shared" ref="J29:N32" ca="1" si="15">IF(AND($C29="Goal",J$3&gt;=$F29,J$3&lt;=$F29+$G29-1),2,IF(AND($C29="Milestone",J$3&gt;=$F29,J$3&lt;=$F29+$G29-1),1,""))</f>
        <v/>
      </c>
      <c r="K29" s="14" t="str">
        <f t="shared" ca="1" si="15"/>
        <v/>
      </c>
      <c r="L29" s="14" t="str">
        <f t="shared" ca="1" si="15"/>
        <v/>
      </c>
      <c r="M29" s="14" t="str">
        <f t="shared" ca="1" si="15"/>
        <v/>
      </c>
      <c r="N29" s="14" t="str">
        <f t="shared" ca="1" si="15"/>
        <v/>
      </c>
      <c r="O29" s="14" t="str">
        <f t="shared" ca="1" si="14"/>
        <v/>
      </c>
      <c r="P29" s="14" t="str">
        <f t="shared" ca="1" si="14"/>
        <v/>
      </c>
      <c r="Q29" s="14" t="str">
        <f t="shared" ref="Q29:X32" ca="1" si="16">IF(AND($C29="Goal",Q$3&gt;=$F29,Q$3&lt;=$F29+$G29-1),2,IF(AND($C29="Milestone",Q$3&gt;=$F29,Q$3&lt;=$F29+$G29-1),1,""))</f>
        <v/>
      </c>
      <c r="R29" s="14" t="str">
        <f t="shared" ca="1" si="16"/>
        <v/>
      </c>
      <c r="S29" s="14" t="str">
        <f t="shared" ca="1" si="16"/>
        <v/>
      </c>
      <c r="T29" s="14" t="str">
        <f t="shared" ca="1" si="16"/>
        <v/>
      </c>
      <c r="U29" s="14" t="str">
        <f t="shared" ca="1" si="16"/>
        <v/>
      </c>
      <c r="V29" s="14" t="str">
        <f t="shared" ca="1" si="16"/>
        <v/>
      </c>
      <c r="W29" s="14" t="str">
        <f t="shared" ca="1" si="16"/>
        <v/>
      </c>
      <c r="X29" s="14" t="str">
        <f t="shared" ca="1" si="16"/>
        <v/>
      </c>
      <c r="Y29" s="14" t="str">
        <f t="shared" ref="Y29:AN46" ca="1" si="17">IF(AND($C29="Goal",Y$3&gt;=$F29,Y$3&lt;=$F29+$G29-1),2,IF(AND($C29="Milestone",Y$3&gt;=$F29,Y$3&lt;=$F29+$G29-1),1,""))</f>
        <v/>
      </c>
      <c r="Z29" s="14" t="str">
        <f t="shared" ca="1" si="17"/>
        <v/>
      </c>
      <c r="AA29" s="14" t="str">
        <f t="shared" ca="1" si="17"/>
        <v/>
      </c>
      <c r="AB29" s="14" t="str">
        <f t="shared" ca="1" si="17"/>
        <v/>
      </c>
      <c r="AC29" s="14" t="str">
        <f t="shared" ca="1" si="17"/>
        <v/>
      </c>
      <c r="AD29" s="14" t="str">
        <f t="shared" ca="1" si="17"/>
        <v/>
      </c>
      <c r="AE29" s="14" t="str">
        <f t="shared" ca="1" si="17"/>
        <v/>
      </c>
      <c r="AF29" s="14" t="str">
        <f t="shared" ca="1" si="17"/>
        <v/>
      </c>
      <c r="AG29" s="14" t="str">
        <f t="shared" ca="1" si="17"/>
        <v/>
      </c>
      <c r="AH29" s="14" t="str">
        <f t="shared" ca="1" si="17"/>
        <v/>
      </c>
      <c r="AI29" s="14" t="str">
        <f t="shared" ca="1" si="17"/>
        <v/>
      </c>
      <c r="AJ29" s="14" t="str">
        <f t="shared" ca="1" si="17"/>
        <v/>
      </c>
      <c r="AK29" s="14" t="str">
        <f t="shared" ca="1" si="17"/>
        <v/>
      </c>
      <c r="AL29" s="14" t="str">
        <f t="shared" ca="1" si="17"/>
        <v/>
      </c>
      <c r="AM29" s="14" t="str">
        <f t="shared" ca="1" si="17"/>
        <v/>
      </c>
      <c r="AN29" s="14" t="str">
        <f t="shared" ca="1" si="17"/>
        <v/>
      </c>
      <c r="AO29" s="14" t="str">
        <f t="shared" ref="AO29:BD46" ca="1" si="18">IF(AND($C29="Goal",AO$3&gt;=$F29,AO$3&lt;=$F29+$G29-1),2,IF(AND($C29="Milestone",AO$3&gt;=$F29,AO$3&lt;=$F29+$G29-1),1,""))</f>
        <v/>
      </c>
      <c r="AP29" s="14" t="str">
        <f t="shared" ca="1" si="18"/>
        <v/>
      </c>
      <c r="AQ29" s="14" t="str">
        <f t="shared" ca="1" si="18"/>
        <v/>
      </c>
      <c r="AR29" s="14" t="str">
        <f t="shared" ca="1" si="18"/>
        <v/>
      </c>
      <c r="AS29" s="14" t="str">
        <f t="shared" ca="1" si="18"/>
        <v/>
      </c>
      <c r="AT29" s="14" t="str">
        <f t="shared" ca="1" si="18"/>
        <v/>
      </c>
      <c r="AU29" s="14" t="str">
        <f t="shared" ca="1" si="18"/>
        <v/>
      </c>
      <c r="AV29" s="14" t="str">
        <f t="shared" ca="1" si="18"/>
        <v/>
      </c>
      <c r="AW29" s="14" t="str">
        <f t="shared" ca="1" si="18"/>
        <v/>
      </c>
      <c r="AX29" s="14" t="str">
        <f t="shared" ca="1" si="18"/>
        <v/>
      </c>
      <c r="AY29" s="14" t="str">
        <f t="shared" ca="1" si="18"/>
        <v/>
      </c>
      <c r="AZ29" s="14" t="str">
        <f t="shared" ca="1" si="18"/>
        <v/>
      </c>
      <c r="BA29" s="14" t="str">
        <f t="shared" ca="1" si="18"/>
        <v/>
      </c>
      <c r="BB29" s="14" t="str">
        <f t="shared" ca="1" si="18"/>
        <v/>
      </c>
      <c r="BC29" s="14" t="str">
        <f t="shared" ca="1" si="18"/>
        <v/>
      </c>
      <c r="BD29" s="14" t="str">
        <f t="shared" ca="1" si="18"/>
        <v/>
      </c>
      <c r="BE29" s="14" t="str">
        <f t="shared" ca="1" si="12"/>
        <v/>
      </c>
      <c r="BF29" s="14" t="str">
        <f t="shared" ca="1" si="12"/>
        <v/>
      </c>
      <c r="BG29" s="14" t="str">
        <f t="shared" ca="1" si="12"/>
        <v/>
      </c>
      <c r="BH29" s="14" t="str">
        <f t="shared" ca="1" si="12"/>
        <v/>
      </c>
      <c r="BI29" s="14" t="str">
        <f t="shared" ca="1" si="12"/>
        <v/>
      </c>
      <c r="BJ29" s="14" t="str">
        <f t="shared" ca="1" si="12"/>
        <v/>
      </c>
      <c r="BK29" s="14" t="str">
        <f t="shared" ca="1" si="12"/>
        <v/>
      </c>
      <c r="BL29" s="14" t="str">
        <f t="shared" ca="1" si="12"/>
        <v/>
      </c>
    </row>
    <row r="30" spans="1:68" s="1" customFormat="1" ht="40.15" customHeight="1" x14ac:dyDescent="0.25">
      <c r="A30" s="7"/>
      <c r="B30" s="60" t="s">
        <v>27</v>
      </c>
      <c r="C30" s="17" t="s">
        <v>6</v>
      </c>
      <c r="D30" s="17" t="s">
        <v>23</v>
      </c>
      <c r="E30" s="18">
        <v>0</v>
      </c>
      <c r="F30" s="19">
        <v>46104</v>
      </c>
      <c r="G30" s="20">
        <v>1</v>
      </c>
      <c r="H30" s="17"/>
      <c r="I30" s="14" t="str">
        <f ca="1">IF(AND($C30="Goal",I$3&gt;=$F30,I$3&lt;=$F30+$G30-1),2,IF(AND($C30="Milestone",I$3&gt;=$F30,I$3&lt;=$F30+$G30-1),1,""))</f>
        <v/>
      </c>
      <c r="J30" s="14" t="str">
        <f t="shared" ca="1" si="15"/>
        <v/>
      </c>
      <c r="K30" s="14" t="str">
        <f t="shared" ca="1" si="15"/>
        <v/>
      </c>
      <c r="L30" s="14" t="str">
        <f t="shared" ca="1" si="15"/>
        <v/>
      </c>
      <c r="M30" s="14" t="str">
        <f t="shared" ca="1" si="15"/>
        <v/>
      </c>
      <c r="N30" s="14" t="str">
        <f t="shared" ca="1" si="15"/>
        <v/>
      </c>
      <c r="O30" s="14" t="str">
        <f t="shared" ca="1" si="14"/>
        <v/>
      </c>
      <c r="P30" s="14" t="str">
        <f t="shared" ca="1" si="14"/>
        <v/>
      </c>
      <c r="Q30" s="14" t="str">
        <f t="shared" ca="1" si="16"/>
        <v/>
      </c>
      <c r="R30" s="14" t="str">
        <f t="shared" ca="1" si="16"/>
        <v/>
      </c>
      <c r="S30" s="14" t="str">
        <f t="shared" ca="1" si="16"/>
        <v/>
      </c>
      <c r="T30" s="14" t="str">
        <f t="shared" ca="1" si="16"/>
        <v/>
      </c>
      <c r="U30" s="14" t="str">
        <f t="shared" ca="1" si="16"/>
        <v/>
      </c>
      <c r="V30" s="14" t="str">
        <f t="shared" ca="1" si="16"/>
        <v/>
      </c>
      <c r="W30" s="14" t="str">
        <f t="shared" ca="1" si="16"/>
        <v/>
      </c>
      <c r="X30" s="14" t="str">
        <f t="shared" ca="1" si="16"/>
        <v/>
      </c>
      <c r="Y30" s="14" t="str">
        <f t="shared" ca="1" si="17"/>
        <v/>
      </c>
      <c r="Z30" s="14" t="str">
        <f t="shared" ca="1" si="17"/>
        <v/>
      </c>
      <c r="AA30" s="14" t="str">
        <f t="shared" ca="1" si="17"/>
        <v/>
      </c>
      <c r="AB30" s="14" t="str">
        <f t="shared" ca="1" si="17"/>
        <v/>
      </c>
      <c r="AC30" s="14" t="str">
        <f t="shared" ca="1" si="17"/>
        <v/>
      </c>
      <c r="AD30" s="14" t="str">
        <f t="shared" ca="1" si="17"/>
        <v/>
      </c>
      <c r="AE30" s="14" t="str">
        <f t="shared" ca="1" si="17"/>
        <v/>
      </c>
      <c r="AF30" s="14" t="str">
        <f t="shared" ca="1" si="17"/>
        <v/>
      </c>
      <c r="AG30" s="14" t="str">
        <f t="shared" ca="1" si="17"/>
        <v/>
      </c>
      <c r="AH30" s="14" t="str">
        <f t="shared" ca="1" si="17"/>
        <v/>
      </c>
      <c r="AI30" s="14" t="str">
        <f t="shared" ca="1" si="17"/>
        <v/>
      </c>
      <c r="AJ30" s="14" t="str">
        <f t="shared" ca="1" si="17"/>
        <v/>
      </c>
      <c r="AK30" s="14" t="str">
        <f t="shared" ca="1" si="17"/>
        <v/>
      </c>
      <c r="AL30" s="14" t="str">
        <f t="shared" ca="1" si="17"/>
        <v/>
      </c>
      <c r="AM30" s="14" t="str">
        <f t="shared" ca="1" si="17"/>
        <v/>
      </c>
      <c r="AN30" s="14" t="str">
        <f t="shared" ca="1" si="17"/>
        <v/>
      </c>
      <c r="AO30" s="14" t="str">
        <f t="shared" ca="1" si="18"/>
        <v/>
      </c>
      <c r="AP30" s="14" t="str">
        <f t="shared" ca="1" si="18"/>
        <v/>
      </c>
      <c r="AQ30" s="14" t="str">
        <f t="shared" ca="1" si="18"/>
        <v/>
      </c>
      <c r="AR30" s="14" t="str">
        <f t="shared" ca="1" si="18"/>
        <v/>
      </c>
      <c r="AS30" s="14" t="str">
        <f t="shared" ca="1" si="18"/>
        <v/>
      </c>
      <c r="AT30" s="14" t="str">
        <f t="shared" ca="1" si="18"/>
        <v/>
      </c>
      <c r="AU30" s="14" t="str">
        <f t="shared" ca="1" si="18"/>
        <v/>
      </c>
      <c r="AV30" s="14" t="str">
        <f t="shared" ca="1" si="18"/>
        <v/>
      </c>
      <c r="AW30" s="14" t="str">
        <f t="shared" ca="1" si="18"/>
        <v/>
      </c>
      <c r="AX30" s="14" t="str">
        <f t="shared" ca="1" si="18"/>
        <v/>
      </c>
      <c r="AY30" s="14" t="str">
        <f t="shared" ca="1" si="18"/>
        <v/>
      </c>
      <c r="AZ30" s="14" t="str">
        <f t="shared" ca="1" si="18"/>
        <v/>
      </c>
      <c r="BA30" s="14" t="str">
        <f t="shared" ca="1" si="18"/>
        <v/>
      </c>
      <c r="BB30" s="14" t="str">
        <f t="shared" ca="1" si="18"/>
        <v/>
      </c>
      <c r="BC30" s="14" t="str">
        <f t="shared" ca="1" si="18"/>
        <v/>
      </c>
      <c r="BD30" s="14" t="str">
        <f t="shared" ca="1" si="18"/>
        <v/>
      </c>
      <c r="BE30" s="14" t="str">
        <f t="shared" ca="1" si="12"/>
        <v/>
      </c>
      <c r="BF30" s="14" t="str">
        <f t="shared" ca="1" si="12"/>
        <v/>
      </c>
      <c r="BG30" s="14" t="str">
        <f t="shared" ca="1" si="12"/>
        <v/>
      </c>
      <c r="BH30" s="14" t="str">
        <f t="shared" ca="1" si="12"/>
        <v/>
      </c>
      <c r="BI30" s="14" t="str">
        <f t="shared" ca="1" si="12"/>
        <v/>
      </c>
      <c r="BJ30" s="14" t="str">
        <f t="shared" ca="1" si="12"/>
        <v/>
      </c>
      <c r="BK30" s="14" t="str">
        <f t="shared" ca="1" si="12"/>
        <v/>
      </c>
      <c r="BL30" s="14" t="str">
        <f t="shared" ca="1" si="12"/>
        <v/>
      </c>
    </row>
    <row r="31" spans="1:68" s="1" customFormat="1" ht="40.15" customHeight="1" x14ac:dyDescent="0.25">
      <c r="A31" s="7"/>
      <c r="B31" s="60" t="s">
        <v>289</v>
      </c>
      <c r="C31" s="17" t="s">
        <v>6</v>
      </c>
      <c r="D31" s="17" t="s">
        <v>23</v>
      </c>
      <c r="E31" s="18">
        <v>0</v>
      </c>
      <c r="F31" s="19">
        <v>46106</v>
      </c>
      <c r="G31" s="20">
        <v>1</v>
      </c>
      <c r="H31" s="17"/>
      <c r="I31" s="14" t="str">
        <f ca="1">IF(AND($C31="Goal",I$3&gt;=$F31,I$3&lt;=$F31+$G31-1),2,IF(AND($C31="Milestone",I$3&gt;=$F31,I$3&lt;=$F31+$G31-1),1,""))</f>
        <v/>
      </c>
      <c r="J31" s="14" t="str">
        <f t="shared" ca="1" si="15"/>
        <v/>
      </c>
      <c r="K31" s="14" t="str">
        <f t="shared" ca="1" si="15"/>
        <v/>
      </c>
      <c r="L31" s="14" t="str">
        <f t="shared" ca="1" si="15"/>
        <v/>
      </c>
      <c r="M31" s="14" t="str">
        <f t="shared" ca="1" si="15"/>
        <v/>
      </c>
      <c r="N31" s="14" t="str">
        <f t="shared" ca="1" si="15"/>
        <v/>
      </c>
      <c r="O31" s="14" t="str">
        <f t="shared" ca="1" si="14"/>
        <v/>
      </c>
      <c r="P31" s="14" t="str">
        <f t="shared" ca="1" si="14"/>
        <v/>
      </c>
      <c r="Q31" s="14" t="str">
        <f t="shared" ca="1" si="16"/>
        <v/>
      </c>
      <c r="R31" s="14" t="str">
        <f t="shared" ca="1" si="16"/>
        <v/>
      </c>
      <c r="S31" s="14" t="str">
        <f t="shared" ca="1" si="16"/>
        <v/>
      </c>
      <c r="T31" s="14" t="str">
        <f t="shared" ca="1" si="16"/>
        <v/>
      </c>
      <c r="U31" s="14" t="str">
        <f t="shared" ca="1" si="16"/>
        <v/>
      </c>
      <c r="V31" s="14" t="str">
        <f t="shared" ca="1" si="16"/>
        <v/>
      </c>
      <c r="W31" s="14" t="str">
        <f t="shared" ca="1" si="16"/>
        <v/>
      </c>
      <c r="X31" s="14" t="str">
        <f t="shared" ca="1" si="16"/>
        <v/>
      </c>
      <c r="Y31" s="14" t="str">
        <f t="shared" ca="1" si="17"/>
        <v/>
      </c>
      <c r="Z31" s="14" t="str">
        <f t="shared" ca="1" si="17"/>
        <v/>
      </c>
      <c r="AA31" s="14" t="str">
        <f t="shared" ca="1" si="17"/>
        <v/>
      </c>
      <c r="AB31" s="14" t="str">
        <f t="shared" ca="1" si="17"/>
        <v/>
      </c>
      <c r="AC31" s="14" t="str">
        <f t="shared" ca="1" si="17"/>
        <v/>
      </c>
      <c r="AD31" s="14" t="str">
        <f t="shared" ca="1" si="17"/>
        <v/>
      </c>
      <c r="AE31" s="14" t="str">
        <f t="shared" ca="1" si="17"/>
        <v/>
      </c>
      <c r="AF31" s="14" t="str">
        <f t="shared" ca="1" si="17"/>
        <v/>
      </c>
      <c r="AG31" s="14" t="str">
        <f t="shared" ca="1" si="17"/>
        <v/>
      </c>
      <c r="AH31" s="14" t="str">
        <f t="shared" ca="1" si="17"/>
        <v/>
      </c>
      <c r="AI31" s="14" t="str">
        <f t="shared" ca="1" si="17"/>
        <v/>
      </c>
      <c r="AJ31" s="14" t="str">
        <f t="shared" ca="1" si="17"/>
        <v/>
      </c>
      <c r="AK31" s="14" t="str">
        <f t="shared" ca="1" si="17"/>
        <v/>
      </c>
      <c r="AL31" s="14" t="str">
        <f t="shared" ca="1" si="17"/>
        <v/>
      </c>
      <c r="AM31" s="14" t="str">
        <f t="shared" ca="1" si="17"/>
        <v/>
      </c>
      <c r="AN31" s="14" t="str">
        <f t="shared" ca="1" si="17"/>
        <v/>
      </c>
      <c r="AO31" s="14" t="str">
        <f t="shared" ca="1" si="18"/>
        <v/>
      </c>
      <c r="AP31" s="14" t="str">
        <f t="shared" ca="1" si="18"/>
        <v/>
      </c>
      <c r="AQ31" s="14" t="str">
        <f t="shared" ca="1" si="18"/>
        <v/>
      </c>
      <c r="AR31" s="14" t="str">
        <f t="shared" ca="1" si="18"/>
        <v/>
      </c>
      <c r="AS31" s="14" t="str">
        <f t="shared" ca="1" si="18"/>
        <v/>
      </c>
      <c r="AT31" s="14" t="str">
        <f t="shared" ca="1" si="18"/>
        <v/>
      </c>
      <c r="AU31" s="14" t="str">
        <f t="shared" ca="1" si="18"/>
        <v/>
      </c>
      <c r="AV31" s="14" t="str">
        <f t="shared" ca="1" si="18"/>
        <v/>
      </c>
      <c r="AW31" s="14" t="str">
        <f t="shared" ca="1" si="18"/>
        <v/>
      </c>
      <c r="AX31" s="14" t="str">
        <f t="shared" ca="1" si="18"/>
        <v/>
      </c>
      <c r="AY31" s="14" t="str">
        <f t="shared" ca="1" si="18"/>
        <v/>
      </c>
      <c r="AZ31" s="14" t="str">
        <f t="shared" ca="1" si="18"/>
        <v/>
      </c>
      <c r="BA31" s="14" t="str">
        <f t="shared" ca="1" si="18"/>
        <v/>
      </c>
      <c r="BB31" s="14" t="str">
        <f t="shared" ca="1" si="18"/>
        <v/>
      </c>
      <c r="BC31" s="14" t="str">
        <f t="shared" ca="1" si="18"/>
        <v/>
      </c>
      <c r="BD31" s="14" t="str">
        <f t="shared" ca="1" si="18"/>
        <v/>
      </c>
      <c r="BE31" s="14" t="str">
        <f t="shared" ca="1" si="12"/>
        <v/>
      </c>
      <c r="BF31" s="14" t="str">
        <f t="shared" ca="1" si="12"/>
        <v/>
      </c>
      <c r="BG31" s="14" t="str">
        <f t="shared" ca="1" si="12"/>
        <v/>
      </c>
      <c r="BH31" s="14" t="str">
        <f t="shared" ca="1" si="12"/>
        <v/>
      </c>
      <c r="BI31" s="14" t="str">
        <f t="shared" ca="1" si="12"/>
        <v/>
      </c>
      <c r="BJ31" s="14" t="str">
        <f t="shared" ca="1" si="12"/>
        <v/>
      </c>
      <c r="BK31" s="14" t="str">
        <f t="shared" ca="1" si="12"/>
        <v/>
      </c>
      <c r="BL31" s="14" t="str">
        <f t="shared" ca="1" si="12"/>
        <v/>
      </c>
    </row>
    <row r="32" spans="1:68" s="1" customFormat="1" ht="40.15" customHeight="1" x14ac:dyDescent="0.25">
      <c r="A32" s="7"/>
      <c r="B32" s="60" t="s">
        <v>28</v>
      </c>
      <c r="C32" s="17" t="s">
        <v>6</v>
      </c>
      <c r="D32" s="17" t="s">
        <v>23</v>
      </c>
      <c r="E32" s="18">
        <v>0</v>
      </c>
      <c r="F32" s="19">
        <v>46107</v>
      </c>
      <c r="G32" s="20">
        <v>2</v>
      </c>
      <c r="H32" s="17"/>
      <c r="I32" s="14" t="str">
        <f ca="1">IF(AND($C32="Goal",I$3&gt;=$F32,I$3&lt;=$F32+$G32-1),2,IF(AND($C32="Milestone",I$3&gt;=$F32,I$3&lt;=$F32+$G32-1),1,""))</f>
        <v/>
      </c>
      <c r="J32" s="14" t="str">
        <f t="shared" ca="1" si="15"/>
        <v/>
      </c>
      <c r="K32" s="14" t="str">
        <f t="shared" ca="1" si="15"/>
        <v/>
      </c>
      <c r="L32" s="14" t="str">
        <f t="shared" ca="1" si="15"/>
        <v/>
      </c>
      <c r="M32" s="14" t="str">
        <f t="shared" ca="1" si="15"/>
        <v/>
      </c>
      <c r="N32" s="14" t="str">
        <f t="shared" ca="1" si="15"/>
        <v/>
      </c>
      <c r="O32" s="14" t="str">
        <f t="shared" ca="1" si="14"/>
        <v/>
      </c>
      <c r="P32" s="14" t="str">
        <f t="shared" ca="1" si="14"/>
        <v/>
      </c>
      <c r="Q32" s="14" t="str">
        <f t="shared" ca="1" si="16"/>
        <v/>
      </c>
      <c r="R32" s="14" t="str">
        <f t="shared" ca="1" si="16"/>
        <v/>
      </c>
      <c r="S32" s="14" t="str">
        <f t="shared" ca="1" si="16"/>
        <v/>
      </c>
      <c r="T32" s="14" t="str">
        <f t="shared" ca="1" si="16"/>
        <v/>
      </c>
      <c r="U32" s="14" t="str">
        <f t="shared" ca="1" si="16"/>
        <v/>
      </c>
      <c r="V32" s="14" t="str">
        <f t="shared" ca="1" si="16"/>
        <v/>
      </c>
      <c r="W32" s="14" t="str">
        <f t="shared" ca="1" si="16"/>
        <v/>
      </c>
      <c r="X32" s="14" t="str">
        <f t="shared" ca="1" si="16"/>
        <v/>
      </c>
      <c r="Y32" s="14" t="str">
        <f t="shared" ca="1" si="17"/>
        <v/>
      </c>
      <c r="Z32" s="14" t="str">
        <f t="shared" ca="1" si="17"/>
        <v/>
      </c>
      <c r="AA32" s="14" t="str">
        <f t="shared" ca="1" si="17"/>
        <v/>
      </c>
      <c r="AB32" s="14" t="str">
        <f t="shared" ca="1" si="17"/>
        <v/>
      </c>
      <c r="AC32" s="14" t="str">
        <f t="shared" ca="1" si="17"/>
        <v/>
      </c>
      <c r="AD32" s="14" t="str">
        <f t="shared" ca="1" si="17"/>
        <v/>
      </c>
      <c r="AE32" s="14" t="str">
        <f t="shared" ca="1" si="17"/>
        <v/>
      </c>
      <c r="AF32" s="14" t="str">
        <f t="shared" ca="1" si="17"/>
        <v/>
      </c>
      <c r="AG32" s="14" t="str">
        <f t="shared" ca="1" si="17"/>
        <v/>
      </c>
      <c r="AH32" s="14" t="str">
        <f t="shared" ca="1" si="17"/>
        <v/>
      </c>
      <c r="AI32" s="14" t="str">
        <f t="shared" ca="1" si="17"/>
        <v/>
      </c>
      <c r="AJ32" s="14" t="str">
        <f t="shared" ca="1" si="17"/>
        <v/>
      </c>
      <c r="AK32" s="14" t="str">
        <f t="shared" ca="1" si="17"/>
        <v/>
      </c>
      <c r="AL32" s="14" t="str">
        <f t="shared" ca="1" si="17"/>
        <v/>
      </c>
      <c r="AM32" s="14" t="str">
        <f t="shared" ca="1" si="17"/>
        <v/>
      </c>
      <c r="AN32" s="14" t="str">
        <f t="shared" ca="1" si="17"/>
        <v/>
      </c>
      <c r="AO32" s="14" t="str">
        <f t="shared" ca="1" si="18"/>
        <v/>
      </c>
      <c r="AP32" s="14" t="str">
        <f t="shared" ca="1" si="18"/>
        <v/>
      </c>
      <c r="AQ32" s="14" t="str">
        <f t="shared" ca="1" si="18"/>
        <v/>
      </c>
      <c r="AR32" s="14" t="str">
        <f t="shared" ca="1" si="18"/>
        <v/>
      </c>
      <c r="AS32" s="14" t="str">
        <f t="shared" ca="1" si="18"/>
        <v/>
      </c>
      <c r="AT32" s="14" t="str">
        <f t="shared" ca="1" si="18"/>
        <v/>
      </c>
      <c r="AU32" s="14" t="str">
        <f t="shared" ca="1" si="18"/>
        <v/>
      </c>
      <c r="AV32" s="14" t="str">
        <f t="shared" ca="1" si="18"/>
        <v/>
      </c>
      <c r="AW32" s="14" t="str">
        <f t="shared" ca="1" si="18"/>
        <v/>
      </c>
      <c r="AX32" s="14" t="str">
        <f t="shared" ca="1" si="18"/>
        <v/>
      </c>
      <c r="AY32" s="14" t="str">
        <f t="shared" ca="1" si="18"/>
        <v/>
      </c>
      <c r="AZ32" s="14" t="str">
        <f t="shared" ca="1" si="18"/>
        <v/>
      </c>
      <c r="BA32" s="14" t="str">
        <f t="shared" ca="1" si="18"/>
        <v/>
      </c>
      <c r="BB32" s="14" t="str">
        <f t="shared" ca="1" si="18"/>
        <v/>
      </c>
      <c r="BC32" s="14" t="str">
        <f t="shared" ca="1" si="18"/>
        <v/>
      </c>
      <c r="BD32" s="14" t="str">
        <f t="shared" ca="1" si="18"/>
        <v/>
      </c>
      <c r="BE32" s="14" t="str">
        <f t="shared" ref="BE32:BL46" ca="1" si="19">IF(AND($C32="Goal",BE$3&gt;=$F32,BE$3&lt;=$F32+$G32-1),2,IF(AND($C32="Milestone",BE$3&gt;=$F32,BE$3&lt;=$F32+$G32-1),1,""))</f>
        <v/>
      </c>
      <c r="BF32" s="14" t="str">
        <f t="shared" ca="1" si="19"/>
        <v/>
      </c>
      <c r="BG32" s="14" t="str">
        <f t="shared" ca="1" si="19"/>
        <v/>
      </c>
      <c r="BH32" s="14" t="str">
        <f t="shared" ca="1" si="19"/>
        <v/>
      </c>
      <c r="BI32" s="14" t="str">
        <f t="shared" ca="1" si="19"/>
        <v/>
      </c>
      <c r="BJ32" s="14" t="str">
        <f t="shared" ca="1" si="19"/>
        <v/>
      </c>
      <c r="BK32" s="14" t="str">
        <f t="shared" ca="1" si="19"/>
        <v/>
      </c>
      <c r="BL32" s="14" t="str">
        <f t="shared" ca="1" si="19"/>
        <v/>
      </c>
    </row>
    <row r="33" spans="1:64" s="1" customFormat="1" ht="40.15" customHeight="1" x14ac:dyDescent="0.25">
      <c r="A33" s="7"/>
      <c r="B33" s="60" t="s">
        <v>288</v>
      </c>
      <c r="C33" s="17" t="s">
        <v>6</v>
      </c>
      <c r="D33" s="17" t="s">
        <v>26</v>
      </c>
      <c r="E33" s="18">
        <v>0</v>
      </c>
      <c r="F33" s="19">
        <v>46111</v>
      </c>
      <c r="G33" s="20">
        <v>2</v>
      </c>
      <c r="H33" s="17"/>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row>
    <row r="34" spans="1:64" s="1" customFormat="1" ht="40.15" customHeight="1" x14ac:dyDescent="0.25">
      <c r="A34" s="7"/>
      <c r="B34" s="60" t="s">
        <v>290</v>
      </c>
      <c r="C34" s="17" t="s">
        <v>6</v>
      </c>
      <c r="D34" s="17" t="s">
        <v>23</v>
      </c>
      <c r="E34" s="18">
        <v>0</v>
      </c>
      <c r="F34" s="19">
        <v>46112</v>
      </c>
      <c r="G34" s="20">
        <v>2</v>
      </c>
      <c r="H34" s="17"/>
      <c r="I34" s="14" t="str">
        <f t="shared" ref="I34:X46" ca="1" si="20">IF(AND($C34="Goal",I$3&gt;=$F34,I$3&lt;=$F34+$G34-1),2,IF(AND($C34="Milestone",I$3&gt;=$F34,I$3&lt;=$F34+$G34-1),1,""))</f>
        <v/>
      </c>
      <c r="J34" s="14" t="str">
        <f t="shared" ca="1" si="20"/>
        <v/>
      </c>
      <c r="K34" s="14" t="str">
        <f t="shared" ca="1" si="20"/>
        <v/>
      </c>
      <c r="L34" s="14" t="str">
        <f t="shared" ca="1" si="20"/>
        <v/>
      </c>
      <c r="M34" s="14" t="str">
        <f t="shared" ca="1" si="20"/>
        <v/>
      </c>
      <c r="N34" s="14" t="str">
        <f t="shared" ca="1" si="20"/>
        <v/>
      </c>
      <c r="O34" s="14" t="str">
        <f t="shared" ca="1" si="20"/>
        <v/>
      </c>
      <c r="P34" s="14" t="str">
        <f t="shared" ca="1" si="20"/>
        <v/>
      </c>
      <c r="Q34" s="14" t="str">
        <f t="shared" ca="1" si="20"/>
        <v/>
      </c>
      <c r="R34" s="14"/>
      <c r="S34" s="14" t="str">
        <f t="shared" ca="1" si="20"/>
        <v/>
      </c>
      <c r="T34" s="14" t="str">
        <f t="shared" ca="1" si="20"/>
        <v/>
      </c>
      <c r="U34" s="14" t="str">
        <f t="shared" ca="1" si="20"/>
        <v/>
      </c>
      <c r="V34" s="14" t="str">
        <f t="shared" ca="1" si="20"/>
        <v/>
      </c>
      <c r="W34" s="14" t="str">
        <f t="shared" ca="1" si="20"/>
        <v/>
      </c>
      <c r="X34" s="14" t="str">
        <f t="shared" ca="1" si="20"/>
        <v/>
      </c>
      <c r="Y34" s="14" t="str">
        <f t="shared" ca="1" si="17"/>
        <v/>
      </c>
      <c r="Z34" s="14" t="str">
        <f t="shared" ca="1" si="17"/>
        <v/>
      </c>
      <c r="AA34" s="14" t="str">
        <f t="shared" ca="1" si="17"/>
        <v/>
      </c>
      <c r="AB34" s="14" t="str">
        <f t="shared" ca="1" si="17"/>
        <v/>
      </c>
      <c r="AC34" s="14" t="str">
        <f t="shared" ca="1" si="17"/>
        <v/>
      </c>
      <c r="AD34" s="14" t="str">
        <f t="shared" ca="1" si="17"/>
        <v/>
      </c>
      <c r="AE34" s="14" t="str">
        <f t="shared" ca="1" si="17"/>
        <v/>
      </c>
      <c r="AF34" s="14" t="str">
        <f t="shared" ca="1" si="17"/>
        <v/>
      </c>
      <c r="AG34" s="14" t="str">
        <f t="shared" ca="1" si="17"/>
        <v/>
      </c>
      <c r="AH34" s="14" t="str">
        <f t="shared" ca="1" si="17"/>
        <v/>
      </c>
      <c r="AI34" s="14" t="str">
        <f t="shared" ca="1" si="17"/>
        <v/>
      </c>
      <c r="AJ34" s="14" t="str">
        <f t="shared" ca="1" si="17"/>
        <v/>
      </c>
      <c r="AK34" s="14" t="str">
        <f t="shared" ca="1" si="17"/>
        <v/>
      </c>
      <c r="AL34" s="14" t="str">
        <f t="shared" ca="1" si="17"/>
        <v/>
      </c>
      <c r="AM34" s="14" t="str">
        <f t="shared" ca="1" si="17"/>
        <v/>
      </c>
      <c r="AN34" s="14" t="str">
        <f t="shared" ca="1" si="17"/>
        <v/>
      </c>
      <c r="AO34" s="14" t="str">
        <f t="shared" ca="1" si="18"/>
        <v/>
      </c>
      <c r="AP34" s="14" t="str">
        <f t="shared" ca="1" si="18"/>
        <v/>
      </c>
      <c r="AQ34" s="14" t="str">
        <f t="shared" ca="1" si="18"/>
        <v/>
      </c>
      <c r="AR34" s="14" t="str">
        <f t="shared" ca="1" si="18"/>
        <v/>
      </c>
      <c r="AS34" s="14" t="str">
        <f t="shared" ca="1" si="18"/>
        <v/>
      </c>
      <c r="AT34" s="14" t="str">
        <f t="shared" ca="1" si="18"/>
        <v/>
      </c>
      <c r="AU34" s="14" t="str">
        <f t="shared" ca="1" si="18"/>
        <v/>
      </c>
      <c r="AV34" s="14" t="str">
        <f t="shared" ca="1" si="18"/>
        <v/>
      </c>
      <c r="AW34" s="14" t="str">
        <f t="shared" ca="1" si="18"/>
        <v/>
      </c>
      <c r="AX34" s="14" t="str">
        <f t="shared" ca="1" si="18"/>
        <v/>
      </c>
      <c r="AY34" s="14" t="str">
        <f t="shared" ca="1" si="18"/>
        <v/>
      </c>
      <c r="AZ34" s="14" t="str">
        <f t="shared" ca="1" si="18"/>
        <v/>
      </c>
      <c r="BA34" s="14" t="str">
        <f t="shared" ca="1" si="18"/>
        <v/>
      </c>
      <c r="BB34" s="14" t="str">
        <f t="shared" ca="1" si="18"/>
        <v/>
      </c>
      <c r="BC34" s="14" t="str">
        <f t="shared" ca="1" si="18"/>
        <v/>
      </c>
      <c r="BD34" s="14" t="str">
        <f t="shared" ca="1" si="18"/>
        <v/>
      </c>
      <c r="BE34" s="14" t="str">
        <f t="shared" ca="1" si="19"/>
        <v/>
      </c>
      <c r="BF34" s="14" t="str">
        <f t="shared" ca="1" si="19"/>
        <v/>
      </c>
      <c r="BG34" s="14" t="str">
        <f t="shared" ca="1" si="19"/>
        <v/>
      </c>
      <c r="BH34" s="14" t="str">
        <f t="shared" ca="1" si="19"/>
        <v/>
      </c>
      <c r="BI34" s="14" t="str">
        <f t="shared" ca="1" si="19"/>
        <v/>
      </c>
      <c r="BJ34" s="14" t="str">
        <f t="shared" ca="1" si="19"/>
        <v/>
      </c>
      <c r="BK34" s="14" t="str">
        <f t="shared" ca="1" si="19"/>
        <v/>
      </c>
      <c r="BL34" s="14" t="str">
        <f t="shared" ca="1" si="19"/>
        <v/>
      </c>
    </row>
    <row r="35" spans="1:64" s="1" customFormat="1" ht="40.15" customHeight="1" x14ac:dyDescent="0.25">
      <c r="A35" s="8"/>
      <c r="B35" s="60" t="s">
        <v>291</v>
      </c>
      <c r="C35" s="17" t="s">
        <v>6</v>
      </c>
      <c r="D35" s="17" t="s">
        <v>26</v>
      </c>
      <c r="E35" s="18">
        <v>0</v>
      </c>
      <c r="F35" s="19">
        <v>46115</v>
      </c>
      <c r="G35" s="20">
        <v>2</v>
      </c>
      <c r="H35" s="17"/>
      <c r="I35" s="14" t="str">
        <f t="shared" ca="1" si="20"/>
        <v/>
      </c>
      <c r="J35" s="14" t="str">
        <f t="shared" ca="1" si="20"/>
        <v/>
      </c>
      <c r="K35" s="14" t="str">
        <f t="shared" ca="1" si="20"/>
        <v/>
      </c>
      <c r="L35" s="14" t="str">
        <f t="shared" ca="1" si="20"/>
        <v/>
      </c>
      <c r="M35" s="14" t="str">
        <f t="shared" ca="1" si="20"/>
        <v/>
      </c>
      <c r="N35" s="14" t="str">
        <f t="shared" ca="1" si="20"/>
        <v/>
      </c>
      <c r="O35" s="14" t="str">
        <f t="shared" ca="1" si="20"/>
        <v/>
      </c>
      <c r="P35" s="14" t="str">
        <f t="shared" ca="1" si="20"/>
        <v/>
      </c>
      <c r="Q35" s="14" t="str">
        <f t="shared" ca="1" si="20"/>
        <v/>
      </c>
      <c r="R35" s="14" t="str">
        <f t="shared" ca="1" si="20"/>
        <v/>
      </c>
      <c r="S35" s="14" t="str">
        <f t="shared" ca="1" si="20"/>
        <v/>
      </c>
      <c r="T35" s="14" t="str">
        <f t="shared" ca="1" si="20"/>
        <v/>
      </c>
      <c r="U35" s="14" t="str">
        <f t="shared" ca="1" si="20"/>
        <v/>
      </c>
      <c r="V35" s="14" t="str">
        <f t="shared" ca="1" si="20"/>
        <v/>
      </c>
      <c r="W35" s="14" t="str">
        <f t="shared" ca="1" si="20"/>
        <v/>
      </c>
      <c r="X35" s="14" t="str">
        <f t="shared" ca="1" si="20"/>
        <v/>
      </c>
      <c r="Y35" s="14" t="str">
        <f t="shared" ca="1" si="17"/>
        <v/>
      </c>
      <c r="Z35" s="14" t="str">
        <f t="shared" ca="1" si="17"/>
        <v/>
      </c>
      <c r="AA35" s="14" t="str">
        <f t="shared" ca="1" si="17"/>
        <v/>
      </c>
      <c r="AB35" s="14" t="str">
        <f t="shared" ca="1" si="17"/>
        <v/>
      </c>
      <c r="AC35" s="14" t="str">
        <f t="shared" ca="1" si="17"/>
        <v/>
      </c>
      <c r="AD35" s="14" t="str">
        <f t="shared" ca="1" si="17"/>
        <v/>
      </c>
      <c r="AE35" s="14" t="str">
        <f t="shared" ca="1" si="17"/>
        <v/>
      </c>
      <c r="AF35" s="14" t="str">
        <f t="shared" ca="1" si="17"/>
        <v/>
      </c>
      <c r="AG35" s="14" t="str">
        <f t="shared" ca="1" si="17"/>
        <v/>
      </c>
      <c r="AH35" s="14" t="str">
        <f t="shared" ca="1" si="17"/>
        <v/>
      </c>
      <c r="AI35" s="14" t="str">
        <f t="shared" ca="1" si="17"/>
        <v/>
      </c>
      <c r="AJ35" s="14" t="str">
        <f t="shared" ca="1" si="17"/>
        <v/>
      </c>
      <c r="AK35" s="14" t="str">
        <f t="shared" ca="1" si="17"/>
        <v/>
      </c>
      <c r="AL35" s="14" t="str">
        <f t="shared" ca="1" si="17"/>
        <v/>
      </c>
      <c r="AM35" s="14" t="str">
        <f t="shared" ca="1" si="17"/>
        <v/>
      </c>
      <c r="AN35" s="14" t="str">
        <f t="shared" ca="1" si="17"/>
        <v/>
      </c>
      <c r="AO35" s="14" t="str">
        <f t="shared" ca="1" si="18"/>
        <v/>
      </c>
      <c r="AP35" s="14" t="str">
        <f t="shared" ca="1" si="18"/>
        <v/>
      </c>
      <c r="AQ35" s="14" t="str">
        <f t="shared" ca="1" si="18"/>
        <v/>
      </c>
      <c r="AR35" s="14" t="str">
        <f t="shared" ca="1" si="18"/>
        <v/>
      </c>
      <c r="AS35" s="14" t="str">
        <f t="shared" ca="1" si="18"/>
        <v/>
      </c>
      <c r="AT35" s="14" t="str">
        <f t="shared" ca="1" si="18"/>
        <v/>
      </c>
      <c r="AU35" s="14" t="str">
        <f t="shared" ca="1" si="18"/>
        <v/>
      </c>
      <c r="AV35" s="14" t="str">
        <f t="shared" ca="1" si="18"/>
        <v/>
      </c>
      <c r="AW35" s="14" t="str">
        <f t="shared" ca="1" si="18"/>
        <v/>
      </c>
      <c r="AX35" s="14" t="str">
        <f t="shared" ca="1" si="18"/>
        <v/>
      </c>
      <c r="AY35" s="14" t="str">
        <f t="shared" ca="1" si="18"/>
        <v/>
      </c>
      <c r="AZ35" s="14" t="str">
        <f t="shared" ca="1" si="18"/>
        <v/>
      </c>
      <c r="BA35" s="14" t="str">
        <f t="shared" ca="1" si="18"/>
        <v/>
      </c>
      <c r="BB35" s="14" t="str">
        <f t="shared" ca="1" si="18"/>
        <v/>
      </c>
      <c r="BC35" s="14" t="str">
        <f t="shared" ca="1" si="18"/>
        <v/>
      </c>
      <c r="BD35" s="14" t="str">
        <f t="shared" ca="1" si="18"/>
        <v/>
      </c>
      <c r="BE35" s="14" t="str">
        <f t="shared" ca="1" si="19"/>
        <v/>
      </c>
      <c r="BF35" s="14" t="str">
        <f t="shared" ca="1" si="19"/>
        <v/>
      </c>
      <c r="BG35" s="14" t="str">
        <f t="shared" ca="1" si="19"/>
        <v/>
      </c>
      <c r="BH35" s="14" t="str">
        <f t="shared" ca="1" si="19"/>
        <v/>
      </c>
      <c r="BI35" s="14" t="str">
        <f t="shared" ca="1" si="19"/>
        <v/>
      </c>
      <c r="BJ35" s="14" t="str">
        <f t="shared" ca="1" si="19"/>
        <v/>
      </c>
      <c r="BK35" s="14" t="str">
        <f t="shared" ca="1" si="19"/>
        <v/>
      </c>
      <c r="BL35" s="14" t="str">
        <f t="shared" ca="1" si="19"/>
        <v/>
      </c>
    </row>
    <row r="36" spans="1:64" s="1" customFormat="1" ht="40.15" customHeight="1" x14ac:dyDescent="0.25">
      <c r="A36" s="7"/>
      <c r="B36" s="60" t="s">
        <v>292</v>
      </c>
      <c r="C36" s="17" t="s">
        <v>6</v>
      </c>
      <c r="D36" s="17" t="s">
        <v>26</v>
      </c>
      <c r="E36" s="18">
        <v>0</v>
      </c>
      <c r="F36" s="19">
        <v>46118</v>
      </c>
      <c r="G36" s="20">
        <v>1</v>
      </c>
      <c r="H36" s="17"/>
      <c r="I36" s="14" t="str">
        <f t="shared" ca="1" si="20"/>
        <v/>
      </c>
      <c r="J36" s="14" t="str">
        <f t="shared" ca="1" si="20"/>
        <v/>
      </c>
      <c r="K36" s="14" t="str">
        <f t="shared" ca="1" si="20"/>
        <v/>
      </c>
      <c r="L36" s="14" t="str">
        <f t="shared" ca="1" si="20"/>
        <v/>
      </c>
      <c r="M36" s="14" t="str">
        <f t="shared" ca="1" si="20"/>
        <v/>
      </c>
      <c r="N36" s="14" t="str">
        <f t="shared" ca="1" si="20"/>
        <v/>
      </c>
      <c r="O36" s="14" t="str">
        <f t="shared" ca="1" si="20"/>
        <v/>
      </c>
      <c r="P36" s="14" t="str">
        <f t="shared" ca="1" si="20"/>
        <v/>
      </c>
      <c r="Q36" s="14" t="str">
        <f t="shared" ca="1" si="20"/>
        <v/>
      </c>
      <c r="R36" s="14" t="str">
        <f t="shared" ca="1" si="20"/>
        <v/>
      </c>
      <c r="S36" s="14" t="str">
        <f t="shared" ca="1" si="20"/>
        <v/>
      </c>
      <c r="T36" s="14" t="str">
        <f t="shared" ca="1" si="20"/>
        <v/>
      </c>
      <c r="U36" s="14" t="str">
        <f t="shared" ca="1" si="20"/>
        <v/>
      </c>
      <c r="V36" s="14" t="str">
        <f t="shared" ca="1" si="20"/>
        <v/>
      </c>
      <c r="W36" s="14" t="str">
        <f t="shared" ca="1" si="20"/>
        <v/>
      </c>
      <c r="X36" s="14" t="str">
        <f t="shared" ca="1" si="20"/>
        <v/>
      </c>
      <c r="Y36" s="14" t="str">
        <f t="shared" ca="1" si="17"/>
        <v/>
      </c>
      <c r="Z36" s="14" t="str">
        <f t="shared" ca="1" si="17"/>
        <v/>
      </c>
      <c r="AA36" s="14" t="str">
        <f t="shared" ca="1" si="17"/>
        <v/>
      </c>
      <c r="AB36" s="14" t="str">
        <f t="shared" ca="1" si="17"/>
        <v/>
      </c>
      <c r="AC36" s="14" t="str">
        <f t="shared" ca="1" si="17"/>
        <v/>
      </c>
      <c r="AD36" s="14" t="str">
        <f t="shared" ca="1" si="17"/>
        <v/>
      </c>
      <c r="AE36" s="14" t="str">
        <f t="shared" ca="1" si="17"/>
        <v/>
      </c>
      <c r="AF36" s="14" t="str">
        <f t="shared" ca="1" si="17"/>
        <v/>
      </c>
      <c r="AG36" s="14" t="str">
        <f t="shared" ca="1" si="17"/>
        <v/>
      </c>
      <c r="AH36" s="14" t="str">
        <f t="shared" ca="1" si="17"/>
        <v/>
      </c>
      <c r="AI36" s="14" t="str">
        <f t="shared" ca="1" si="17"/>
        <v/>
      </c>
      <c r="AJ36" s="14" t="str">
        <f t="shared" ca="1" si="17"/>
        <v/>
      </c>
      <c r="AK36" s="14" t="str">
        <f t="shared" ca="1" si="17"/>
        <v/>
      </c>
      <c r="AL36" s="14" t="str">
        <f t="shared" ca="1" si="17"/>
        <v/>
      </c>
      <c r="AM36" s="14" t="str">
        <f t="shared" ca="1" si="17"/>
        <v/>
      </c>
      <c r="AN36" s="14" t="str">
        <f t="shared" ca="1" si="17"/>
        <v/>
      </c>
      <c r="AO36" s="14" t="str">
        <f t="shared" ca="1" si="18"/>
        <v/>
      </c>
      <c r="AP36" s="14" t="str">
        <f t="shared" ca="1" si="18"/>
        <v/>
      </c>
      <c r="AQ36" s="14" t="str">
        <f t="shared" ca="1" si="18"/>
        <v/>
      </c>
      <c r="AR36" s="14" t="str">
        <f t="shared" ca="1" si="18"/>
        <v/>
      </c>
      <c r="AS36" s="14" t="str">
        <f t="shared" ca="1" si="18"/>
        <v/>
      </c>
      <c r="AT36" s="14" t="str">
        <f t="shared" ca="1" si="18"/>
        <v/>
      </c>
      <c r="AU36" s="14" t="str">
        <f t="shared" ca="1" si="18"/>
        <v/>
      </c>
      <c r="AV36" s="14" t="str">
        <f t="shared" ca="1" si="18"/>
        <v/>
      </c>
      <c r="AW36" s="14" t="str">
        <f t="shared" ca="1" si="18"/>
        <v/>
      </c>
      <c r="AX36" s="14" t="str">
        <f t="shared" ca="1" si="18"/>
        <v/>
      </c>
      <c r="AY36" s="14" t="str">
        <f t="shared" ca="1" si="18"/>
        <v/>
      </c>
      <c r="AZ36" s="14" t="str">
        <f t="shared" ca="1" si="18"/>
        <v/>
      </c>
      <c r="BA36" s="14" t="str">
        <f t="shared" ca="1" si="18"/>
        <v/>
      </c>
      <c r="BB36" s="14" t="str">
        <f t="shared" ca="1" si="18"/>
        <v/>
      </c>
      <c r="BC36" s="14" t="str">
        <f t="shared" ca="1" si="18"/>
        <v/>
      </c>
      <c r="BD36" s="14" t="str">
        <f t="shared" ca="1" si="18"/>
        <v/>
      </c>
      <c r="BE36" s="14" t="str">
        <f t="shared" ca="1" si="19"/>
        <v/>
      </c>
      <c r="BF36" s="14" t="str">
        <f t="shared" ca="1" si="19"/>
        <v/>
      </c>
      <c r="BG36" s="14" t="str">
        <f t="shared" ca="1" si="19"/>
        <v/>
      </c>
      <c r="BH36" s="14" t="str">
        <f t="shared" ca="1" si="19"/>
        <v/>
      </c>
      <c r="BI36" s="14" t="str">
        <f t="shared" ca="1" si="19"/>
        <v/>
      </c>
      <c r="BJ36" s="14" t="str">
        <f t="shared" ca="1" si="19"/>
        <v/>
      </c>
      <c r="BK36" s="14" t="str">
        <f t="shared" ca="1" si="19"/>
        <v/>
      </c>
      <c r="BL36" s="14" t="str">
        <f t="shared" ca="1" si="19"/>
        <v/>
      </c>
    </row>
    <row r="37" spans="1:64" s="1" customFormat="1" ht="40.15" customHeight="1" x14ac:dyDescent="0.25">
      <c r="A37" s="7"/>
      <c r="B37" s="60" t="s">
        <v>293</v>
      </c>
      <c r="C37" s="17" t="s">
        <v>6</v>
      </c>
      <c r="D37" s="17" t="s">
        <v>26</v>
      </c>
      <c r="E37" s="18">
        <f>16/32</f>
        <v>0.5</v>
      </c>
      <c r="F37" s="19">
        <v>46119</v>
      </c>
      <c r="G37" s="20">
        <v>1</v>
      </c>
      <c r="H37" s="17"/>
      <c r="I37" s="14" t="str">
        <f t="shared" ca="1" si="20"/>
        <v/>
      </c>
      <c r="J37" s="14" t="str">
        <f t="shared" ca="1" si="20"/>
        <v/>
      </c>
      <c r="K37" s="14" t="str">
        <f t="shared" ca="1" si="20"/>
        <v/>
      </c>
      <c r="L37" s="14" t="str">
        <f t="shared" ca="1" si="20"/>
        <v/>
      </c>
      <c r="M37" s="14" t="str">
        <f t="shared" ca="1" si="20"/>
        <v/>
      </c>
      <c r="N37" s="14" t="str">
        <f t="shared" ca="1" si="20"/>
        <v/>
      </c>
      <c r="O37" s="14" t="str">
        <f t="shared" ca="1" si="20"/>
        <v/>
      </c>
      <c r="P37" s="14" t="str">
        <f t="shared" ca="1" si="20"/>
        <v/>
      </c>
      <c r="Q37" s="14" t="str">
        <f t="shared" ca="1" si="20"/>
        <v/>
      </c>
      <c r="R37" s="14" t="str">
        <f t="shared" ca="1" si="20"/>
        <v/>
      </c>
      <c r="S37" s="14" t="str">
        <f t="shared" ca="1" si="20"/>
        <v/>
      </c>
      <c r="T37" s="14" t="str">
        <f t="shared" ca="1" si="20"/>
        <v/>
      </c>
      <c r="U37" s="14" t="str">
        <f t="shared" ca="1" si="20"/>
        <v/>
      </c>
      <c r="V37" s="14" t="str">
        <f t="shared" ca="1" si="20"/>
        <v/>
      </c>
      <c r="W37" s="14" t="str">
        <f t="shared" ca="1" si="20"/>
        <v/>
      </c>
      <c r="X37" s="14" t="str">
        <f t="shared" ca="1" si="20"/>
        <v/>
      </c>
      <c r="Y37" s="14" t="str">
        <f t="shared" ca="1" si="17"/>
        <v/>
      </c>
      <c r="Z37" s="14" t="str">
        <f t="shared" ca="1" si="17"/>
        <v/>
      </c>
      <c r="AA37" s="14" t="str">
        <f t="shared" ca="1" si="17"/>
        <v/>
      </c>
      <c r="AB37" s="14" t="str">
        <f t="shared" ca="1" si="17"/>
        <v/>
      </c>
      <c r="AC37" s="14" t="str">
        <f t="shared" ca="1" si="17"/>
        <v/>
      </c>
      <c r="AD37" s="14" t="str">
        <f t="shared" ca="1" si="17"/>
        <v/>
      </c>
      <c r="AE37" s="14" t="str">
        <f t="shared" ca="1" si="17"/>
        <v/>
      </c>
      <c r="AF37" s="14" t="str">
        <f t="shared" ca="1" si="17"/>
        <v/>
      </c>
      <c r="AG37" s="14" t="str">
        <f t="shared" ca="1" si="17"/>
        <v/>
      </c>
      <c r="AH37" s="14" t="str">
        <f t="shared" ca="1" si="17"/>
        <v/>
      </c>
      <c r="AI37" s="14" t="str">
        <f t="shared" ca="1" si="17"/>
        <v/>
      </c>
      <c r="AJ37" s="14" t="str">
        <f t="shared" ca="1" si="17"/>
        <v/>
      </c>
      <c r="AK37" s="14" t="str">
        <f t="shared" ca="1" si="17"/>
        <v/>
      </c>
      <c r="AL37" s="14" t="str">
        <f t="shared" ca="1" si="17"/>
        <v/>
      </c>
      <c r="AM37" s="14" t="str">
        <f t="shared" ca="1" si="17"/>
        <v/>
      </c>
      <c r="AN37" s="14" t="str">
        <f t="shared" ca="1" si="17"/>
        <v/>
      </c>
      <c r="AO37" s="14" t="str">
        <f t="shared" ca="1" si="18"/>
        <v/>
      </c>
      <c r="AP37" s="14" t="str">
        <f t="shared" ca="1" si="18"/>
        <v/>
      </c>
      <c r="AQ37" s="14" t="str">
        <f t="shared" ca="1" si="18"/>
        <v/>
      </c>
      <c r="AR37" s="14" t="str">
        <f t="shared" ca="1" si="18"/>
        <v/>
      </c>
      <c r="AS37" s="14" t="str">
        <f t="shared" ca="1" si="18"/>
        <v/>
      </c>
      <c r="AT37" s="14" t="str">
        <f t="shared" ca="1" si="18"/>
        <v/>
      </c>
      <c r="AU37" s="14" t="str">
        <f t="shared" ca="1" si="18"/>
        <v/>
      </c>
      <c r="AV37" s="14" t="str">
        <f t="shared" ca="1" si="18"/>
        <v/>
      </c>
      <c r="AW37" s="14" t="str">
        <f t="shared" ca="1" si="18"/>
        <v/>
      </c>
      <c r="AX37" s="14" t="str">
        <f t="shared" ca="1" si="18"/>
        <v/>
      </c>
      <c r="AY37" s="14" t="str">
        <f t="shared" ca="1" si="18"/>
        <v/>
      </c>
      <c r="AZ37" s="14" t="str">
        <f t="shared" ca="1" si="18"/>
        <v/>
      </c>
      <c r="BA37" s="14" t="str">
        <f t="shared" ca="1" si="18"/>
        <v/>
      </c>
      <c r="BB37" s="14" t="str">
        <f t="shared" ca="1" si="18"/>
        <v/>
      </c>
      <c r="BC37" s="14" t="str">
        <f t="shared" ca="1" si="18"/>
        <v/>
      </c>
      <c r="BD37" s="14" t="str">
        <f t="shared" ca="1" si="18"/>
        <v/>
      </c>
      <c r="BE37" s="14" t="str">
        <f t="shared" ca="1" si="19"/>
        <v/>
      </c>
      <c r="BF37" s="14" t="str">
        <f t="shared" ca="1" si="19"/>
        <v/>
      </c>
      <c r="BG37" s="14" t="str">
        <f t="shared" ca="1" si="19"/>
        <v/>
      </c>
      <c r="BH37" s="14" t="str">
        <f t="shared" ca="1" si="19"/>
        <v/>
      </c>
      <c r="BI37" s="14" t="str">
        <f t="shared" ca="1" si="19"/>
        <v/>
      </c>
      <c r="BJ37" s="14" t="str">
        <f t="shared" ca="1" si="19"/>
        <v/>
      </c>
      <c r="BK37" s="14" t="str">
        <f t="shared" ca="1" si="19"/>
        <v/>
      </c>
      <c r="BL37" s="14" t="str">
        <f t="shared" ca="1" si="19"/>
        <v/>
      </c>
    </row>
    <row r="38" spans="1:64" s="1" customFormat="1" ht="40.15" customHeight="1" x14ac:dyDescent="0.25">
      <c r="A38" s="7"/>
      <c r="B38" s="60" t="s">
        <v>30</v>
      </c>
      <c r="C38" s="17" t="s">
        <v>6</v>
      </c>
      <c r="D38" s="17" t="s">
        <v>26</v>
      </c>
      <c r="E38" s="18">
        <v>0</v>
      </c>
      <c r="F38" s="19">
        <v>46120</v>
      </c>
      <c r="G38" s="20">
        <v>2</v>
      </c>
      <c r="H38" s="17"/>
      <c r="I38" s="14" t="str">
        <f t="shared" ca="1" si="20"/>
        <v/>
      </c>
      <c r="J38" s="14" t="str">
        <f t="shared" ca="1" si="20"/>
        <v/>
      </c>
      <c r="K38" s="14" t="str">
        <f t="shared" ca="1" si="20"/>
        <v/>
      </c>
      <c r="L38" s="14" t="str">
        <f t="shared" ca="1" si="20"/>
        <v/>
      </c>
      <c r="M38" s="14" t="str">
        <f t="shared" ca="1" si="20"/>
        <v/>
      </c>
      <c r="N38" s="14" t="str">
        <f t="shared" ca="1" si="20"/>
        <v/>
      </c>
      <c r="O38" s="14" t="str">
        <f t="shared" ca="1" si="20"/>
        <v/>
      </c>
      <c r="P38" s="14" t="str">
        <f t="shared" ca="1" si="20"/>
        <v/>
      </c>
      <c r="Q38" s="14" t="str">
        <f t="shared" ca="1" si="20"/>
        <v/>
      </c>
      <c r="R38" s="14" t="str">
        <f t="shared" ca="1" si="20"/>
        <v/>
      </c>
      <c r="S38" s="14" t="str">
        <f t="shared" ca="1" si="20"/>
        <v/>
      </c>
      <c r="T38" s="14" t="str">
        <f t="shared" ca="1" si="20"/>
        <v/>
      </c>
      <c r="U38" s="14" t="str">
        <f t="shared" ca="1" si="20"/>
        <v/>
      </c>
      <c r="V38" s="14" t="str">
        <f t="shared" ca="1" si="20"/>
        <v/>
      </c>
      <c r="W38" s="14" t="str">
        <f t="shared" ca="1" si="20"/>
        <v/>
      </c>
      <c r="X38" s="14" t="str">
        <f t="shared" ca="1" si="20"/>
        <v/>
      </c>
      <c r="Y38" s="14" t="str">
        <f t="shared" ca="1" si="17"/>
        <v/>
      </c>
      <c r="Z38" s="14" t="str">
        <f t="shared" ca="1" si="17"/>
        <v/>
      </c>
      <c r="AA38" s="14" t="str">
        <f t="shared" ca="1" si="17"/>
        <v/>
      </c>
      <c r="AB38" s="14" t="str">
        <f t="shared" ca="1" si="17"/>
        <v/>
      </c>
      <c r="AC38" s="14" t="str">
        <f t="shared" ca="1" si="17"/>
        <v/>
      </c>
      <c r="AD38" s="14" t="str">
        <f t="shared" ca="1" si="17"/>
        <v/>
      </c>
      <c r="AE38" s="14" t="str">
        <f t="shared" ca="1" si="17"/>
        <v/>
      </c>
      <c r="AF38" s="14" t="str">
        <f t="shared" ca="1" si="17"/>
        <v/>
      </c>
      <c r="AG38" s="14" t="str">
        <f t="shared" ca="1" si="17"/>
        <v/>
      </c>
      <c r="AH38" s="14" t="str">
        <f t="shared" ca="1" si="17"/>
        <v/>
      </c>
      <c r="AI38" s="14" t="str">
        <f t="shared" ca="1" si="17"/>
        <v/>
      </c>
      <c r="AJ38" s="14" t="str">
        <f t="shared" ca="1" si="17"/>
        <v/>
      </c>
      <c r="AK38" s="14" t="str">
        <f t="shared" ca="1" si="17"/>
        <v/>
      </c>
      <c r="AL38" s="14" t="str">
        <f t="shared" ca="1" si="17"/>
        <v/>
      </c>
      <c r="AM38" s="14" t="str">
        <f t="shared" ca="1" si="17"/>
        <v/>
      </c>
      <c r="AN38" s="14" t="str">
        <f t="shared" ca="1" si="17"/>
        <v/>
      </c>
      <c r="AO38" s="14" t="str">
        <f t="shared" ca="1" si="18"/>
        <v/>
      </c>
      <c r="AP38" s="14" t="str">
        <f t="shared" ca="1" si="18"/>
        <v/>
      </c>
      <c r="AQ38" s="14" t="str">
        <f t="shared" ca="1" si="18"/>
        <v/>
      </c>
      <c r="AR38" s="14" t="str">
        <f t="shared" ca="1" si="18"/>
        <v/>
      </c>
      <c r="AS38" s="14" t="str">
        <f t="shared" ca="1" si="18"/>
        <v/>
      </c>
      <c r="AT38" s="14" t="str">
        <f t="shared" ca="1" si="18"/>
        <v/>
      </c>
      <c r="AU38" s="14" t="str">
        <f t="shared" ca="1" si="18"/>
        <v/>
      </c>
      <c r="AV38" s="14" t="str">
        <f t="shared" ca="1" si="18"/>
        <v/>
      </c>
      <c r="AW38" s="14" t="str">
        <f t="shared" ca="1" si="18"/>
        <v/>
      </c>
      <c r="AX38" s="14" t="str">
        <f t="shared" ca="1" si="18"/>
        <v/>
      </c>
      <c r="AY38" s="14" t="str">
        <f t="shared" ca="1" si="18"/>
        <v/>
      </c>
      <c r="AZ38" s="14" t="str">
        <f t="shared" ca="1" si="18"/>
        <v/>
      </c>
      <c r="BA38" s="14" t="str">
        <f t="shared" ca="1" si="18"/>
        <v/>
      </c>
      <c r="BB38" s="14" t="str">
        <f t="shared" ca="1" si="18"/>
        <v/>
      </c>
      <c r="BC38" s="14" t="str">
        <f t="shared" ca="1" si="18"/>
        <v/>
      </c>
      <c r="BD38" s="14" t="str">
        <f t="shared" ca="1" si="18"/>
        <v/>
      </c>
      <c r="BE38" s="14" t="str">
        <f t="shared" ca="1" si="19"/>
        <v/>
      </c>
      <c r="BF38" s="14" t="str">
        <f t="shared" ca="1" si="19"/>
        <v/>
      </c>
      <c r="BG38" s="14" t="str">
        <f t="shared" ca="1" si="19"/>
        <v/>
      </c>
      <c r="BH38" s="14" t="str">
        <f t="shared" ca="1" si="19"/>
        <v/>
      </c>
      <c r="BI38" s="14" t="str">
        <f t="shared" ca="1" si="19"/>
        <v/>
      </c>
      <c r="BJ38" s="14" t="str">
        <f t="shared" ca="1" si="19"/>
        <v/>
      </c>
      <c r="BK38" s="14" t="str">
        <f t="shared" ca="1" si="19"/>
        <v/>
      </c>
      <c r="BL38" s="14" t="str">
        <f t="shared" ca="1" si="19"/>
        <v/>
      </c>
    </row>
    <row r="39" spans="1:64" s="1" customFormat="1" ht="40.15" customHeight="1" x14ac:dyDescent="0.25">
      <c r="A39" s="7"/>
      <c r="B39" s="60" t="s">
        <v>31</v>
      </c>
      <c r="C39" s="17" t="s">
        <v>6</v>
      </c>
      <c r="D39" s="17" t="s">
        <v>26</v>
      </c>
      <c r="E39" s="18">
        <v>0</v>
      </c>
      <c r="F39" s="19">
        <v>46125</v>
      </c>
      <c r="G39" s="20">
        <v>3</v>
      </c>
      <c r="H39" s="17"/>
      <c r="I39" s="14" t="str">
        <f t="shared" ca="1" si="20"/>
        <v/>
      </c>
      <c r="J39" s="14" t="str">
        <f t="shared" ca="1" si="20"/>
        <v/>
      </c>
      <c r="K39" s="14" t="str">
        <f ca="1">IF(AND($C39="Goal",K$3&gt;=$F39,K$3&lt;=$F39+$G39-1),2,IF(AND($C39="Milestone",K$3&gt;=$F39,K$3&lt;=$F39+$G39-1),1,""))</f>
        <v/>
      </c>
      <c r="L39" s="14" t="str">
        <f t="shared" ca="1" si="20"/>
        <v/>
      </c>
      <c r="M39" s="14" t="str">
        <f t="shared" ca="1" si="20"/>
        <v/>
      </c>
      <c r="N39" s="14" t="str">
        <f t="shared" ca="1" si="20"/>
        <v/>
      </c>
      <c r="O39" s="14" t="str">
        <f t="shared" ca="1" si="20"/>
        <v/>
      </c>
      <c r="P39" s="14" t="str">
        <f t="shared" ca="1" si="20"/>
        <v/>
      </c>
      <c r="Q39" s="14" t="str">
        <f t="shared" ca="1" si="20"/>
        <v/>
      </c>
      <c r="R39" s="14" t="str">
        <f t="shared" ca="1" si="20"/>
        <v/>
      </c>
      <c r="S39" s="14" t="str">
        <f t="shared" ca="1" si="20"/>
        <v/>
      </c>
      <c r="T39" s="14" t="str">
        <f t="shared" ca="1" si="20"/>
        <v/>
      </c>
      <c r="U39" s="14" t="str">
        <f t="shared" ca="1" si="20"/>
        <v/>
      </c>
      <c r="V39" s="14" t="str">
        <f t="shared" ca="1" si="20"/>
        <v/>
      </c>
      <c r="W39" s="14" t="str">
        <f t="shared" ca="1" si="20"/>
        <v/>
      </c>
      <c r="X39" s="14" t="str">
        <f t="shared" ca="1" si="20"/>
        <v/>
      </c>
      <c r="Y39" s="14" t="str">
        <f t="shared" ca="1" si="17"/>
        <v/>
      </c>
      <c r="Z39" s="14" t="str">
        <f t="shared" ca="1" si="17"/>
        <v/>
      </c>
      <c r="AA39" s="14" t="str">
        <f t="shared" ca="1" si="17"/>
        <v/>
      </c>
      <c r="AB39" s="14" t="str">
        <f t="shared" ca="1" si="17"/>
        <v/>
      </c>
      <c r="AC39" s="14" t="str">
        <f t="shared" ca="1" si="17"/>
        <v/>
      </c>
      <c r="AD39" s="14" t="str">
        <f t="shared" ca="1" si="17"/>
        <v/>
      </c>
      <c r="AE39" s="14" t="str">
        <f t="shared" ca="1" si="17"/>
        <v/>
      </c>
      <c r="AF39" s="14" t="str">
        <f t="shared" ca="1" si="17"/>
        <v/>
      </c>
      <c r="AG39" s="14" t="str">
        <f t="shared" ca="1" si="17"/>
        <v/>
      </c>
      <c r="AH39" s="14" t="str">
        <f t="shared" ca="1" si="17"/>
        <v/>
      </c>
      <c r="AI39" s="14" t="str">
        <f t="shared" ca="1" si="17"/>
        <v/>
      </c>
      <c r="AJ39" s="14" t="str">
        <f t="shared" ca="1" si="17"/>
        <v/>
      </c>
      <c r="AK39" s="14" t="str">
        <f t="shared" ca="1" si="17"/>
        <v/>
      </c>
      <c r="AL39" s="14" t="str">
        <f t="shared" ca="1" si="17"/>
        <v/>
      </c>
      <c r="AM39" s="14" t="str">
        <f t="shared" ca="1" si="17"/>
        <v/>
      </c>
      <c r="AN39" s="14" t="str">
        <f t="shared" ca="1" si="17"/>
        <v/>
      </c>
      <c r="AO39" s="14" t="str">
        <f t="shared" ca="1" si="18"/>
        <v/>
      </c>
      <c r="AP39" s="14" t="str">
        <f t="shared" ca="1" si="18"/>
        <v/>
      </c>
      <c r="AQ39" s="14" t="str">
        <f t="shared" ca="1" si="18"/>
        <v/>
      </c>
      <c r="AR39" s="14" t="str">
        <f t="shared" ca="1" si="18"/>
        <v/>
      </c>
      <c r="AS39" s="14" t="str">
        <f t="shared" ca="1" si="18"/>
        <v/>
      </c>
      <c r="AT39" s="14" t="str">
        <f t="shared" ca="1" si="18"/>
        <v/>
      </c>
      <c r="AU39" s="14" t="str">
        <f t="shared" ca="1" si="18"/>
        <v/>
      </c>
      <c r="AV39" s="14" t="str">
        <f t="shared" ca="1" si="18"/>
        <v/>
      </c>
      <c r="AW39" s="14" t="str">
        <f t="shared" ca="1" si="18"/>
        <v/>
      </c>
      <c r="AX39" s="14" t="str">
        <f t="shared" ca="1" si="18"/>
        <v/>
      </c>
      <c r="AY39" s="14" t="str">
        <f t="shared" ca="1" si="18"/>
        <v/>
      </c>
      <c r="AZ39" s="14" t="str">
        <f t="shared" ca="1" si="18"/>
        <v/>
      </c>
      <c r="BA39" s="14" t="str">
        <f t="shared" ca="1" si="18"/>
        <v/>
      </c>
      <c r="BB39" s="14" t="str">
        <f t="shared" ca="1" si="18"/>
        <v/>
      </c>
      <c r="BC39" s="14" t="str">
        <f t="shared" ca="1" si="18"/>
        <v/>
      </c>
      <c r="BD39" s="14" t="str">
        <f t="shared" ca="1" si="18"/>
        <v/>
      </c>
      <c r="BE39" s="14" t="str">
        <f t="shared" ca="1" si="19"/>
        <v/>
      </c>
      <c r="BF39" s="14" t="str">
        <f t="shared" ca="1" si="19"/>
        <v/>
      </c>
      <c r="BG39" s="14" t="str">
        <f t="shared" ca="1" si="19"/>
        <v/>
      </c>
      <c r="BH39" s="14" t="str">
        <f t="shared" ca="1" si="19"/>
        <v/>
      </c>
      <c r="BI39" s="14" t="str">
        <f t="shared" ca="1" si="19"/>
        <v/>
      </c>
      <c r="BJ39" s="14" t="str">
        <f t="shared" ca="1" si="19"/>
        <v/>
      </c>
      <c r="BK39" s="14" t="str">
        <f t="shared" ca="1" si="19"/>
        <v/>
      </c>
      <c r="BL39" s="14" t="str">
        <f t="shared" ca="1" si="19"/>
        <v/>
      </c>
    </row>
    <row r="40" spans="1:64" s="1" customFormat="1" ht="40.15" customHeight="1" x14ac:dyDescent="0.25">
      <c r="A40" s="7"/>
      <c r="B40" s="13" t="s">
        <v>282</v>
      </c>
      <c r="C40" s="17" t="s">
        <v>6</v>
      </c>
      <c r="D40" s="17" t="s">
        <v>26</v>
      </c>
      <c r="E40" s="18">
        <v>0</v>
      </c>
      <c r="F40" s="19">
        <v>46127</v>
      </c>
      <c r="G40" s="20">
        <v>3</v>
      </c>
      <c r="H40" s="17"/>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row>
    <row r="41" spans="1:64" s="1" customFormat="1" ht="40.15" customHeight="1" x14ac:dyDescent="0.25">
      <c r="A41" s="7"/>
      <c r="B41" s="13" t="s">
        <v>32</v>
      </c>
      <c r="C41" s="17" t="s">
        <v>6</v>
      </c>
      <c r="D41" s="17" t="s">
        <v>26</v>
      </c>
      <c r="E41" s="18">
        <v>0</v>
      </c>
      <c r="F41" s="19">
        <v>46132</v>
      </c>
      <c r="G41" s="20">
        <v>3</v>
      </c>
      <c r="H41" s="17"/>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row>
    <row r="42" spans="1:64" s="1" customFormat="1" ht="40.15" customHeight="1" x14ac:dyDescent="0.25">
      <c r="A42" s="7"/>
      <c r="B42" s="13" t="s">
        <v>283</v>
      </c>
      <c r="C42" s="17" t="s">
        <v>299</v>
      </c>
      <c r="D42" s="17" t="s">
        <v>284</v>
      </c>
      <c r="E42" s="18">
        <v>0</v>
      </c>
      <c r="F42" s="19">
        <v>46119</v>
      </c>
      <c r="G42" s="20">
        <v>1</v>
      </c>
      <c r="H42" s="17"/>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row>
    <row r="43" spans="1:64" s="1" customFormat="1" ht="40.15" customHeight="1" x14ac:dyDescent="0.25">
      <c r="A43" s="7"/>
      <c r="B43" s="13" t="s">
        <v>285</v>
      </c>
      <c r="C43" s="17" t="s">
        <v>5</v>
      </c>
      <c r="D43" s="17" t="s">
        <v>284</v>
      </c>
      <c r="E43" s="18">
        <v>0</v>
      </c>
      <c r="F43" s="19">
        <v>46104</v>
      </c>
      <c r="G43" s="20">
        <v>1</v>
      </c>
      <c r="H43" s="17"/>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row>
    <row r="44" spans="1:64" s="1" customFormat="1" ht="40.15" customHeight="1" x14ac:dyDescent="0.25">
      <c r="A44" s="7"/>
      <c r="B44" s="60" t="s">
        <v>20</v>
      </c>
      <c r="C44" s="17" t="s">
        <v>1</v>
      </c>
      <c r="D44" s="17" t="s">
        <v>34</v>
      </c>
      <c r="E44" s="18">
        <v>0</v>
      </c>
      <c r="F44" s="19">
        <v>46134</v>
      </c>
      <c r="G44" s="20">
        <v>6</v>
      </c>
      <c r="H44" s="17"/>
      <c r="I44" s="14" t="str">
        <f t="shared" ca="1" si="20"/>
        <v/>
      </c>
      <c r="J44" s="14" t="str">
        <f t="shared" ca="1" si="20"/>
        <v/>
      </c>
      <c r="K44" s="14" t="str">
        <f t="shared" ca="1" si="20"/>
        <v/>
      </c>
      <c r="L44" s="14" t="str">
        <f t="shared" ca="1" si="20"/>
        <v/>
      </c>
      <c r="M44" s="14" t="str">
        <f t="shared" ca="1" si="20"/>
        <v/>
      </c>
      <c r="N44" s="14" t="str">
        <f t="shared" ca="1" si="20"/>
        <v/>
      </c>
      <c r="O44" s="14" t="str">
        <f t="shared" ca="1" si="20"/>
        <v/>
      </c>
      <c r="P44" s="14" t="str">
        <f t="shared" ca="1" si="20"/>
        <v/>
      </c>
      <c r="Q44" s="14" t="str">
        <f t="shared" ca="1" si="20"/>
        <v/>
      </c>
      <c r="R44" s="14" t="str">
        <f t="shared" ca="1" si="20"/>
        <v/>
      </c>
      <c r="S44" s="14" t="str">
        <f t="shared" ca="1" si="20"/>
        <v/>
      </c>
      <c r="T44" s="14" t="str">
        <f t="shared" ca="1" si="20"/>
        <v/>
      </c>
      <c r="U44" s="14" t="str">
        <f t="shared" ca="1" si="20"/>
        <v/>
      </c>
      <c r="V44" s="14" t="str">
        <f t="shared" ca="1" si="20"/>
        <v/>
      </c>
      <c r="W44" s="14" t="str">
        <f t="shared" ca="1" si="20"/>
        <v/>
      </c>
      <c r="X44" s="14" t="str">
        <f t="shared" ca="1" si="20"/>
        <v/>
      </c>
      <c r="Y44" s="14" t="str">
        <f t="shared" ca="1" si="17"/>
        <v/>
      </c>
      <c r="Z44" s="14" t="str">
        <f t="shared" ca="1" si="17"/>
        <v/>
      </c>
      <c r="AA44" s="14" t="str">
        <f t="shared" ca="1" si="17"/>
        <v/>
      </c>
      <c r="AB44" s="14" t="str">
        <f t="shared" ca="1" si="17"/>
        <v/>
      </c>
      <c r="AC44" s="14" t="str">
        <f t="shared" ca="1" si="17"/>
        <v/>
      </c>
      <c r="AD44" s="14" t="str">
        <f t="shared" ca="1" si="17"/>
        <v/>
      </c>
      <c r="AE44" s="14" t="str">
        <f t="shared" ca="1" si="17"/>
        <v/>
      </c>
      <c r="AF44" s="14" t="str">
        <f t="shared" ca="1" si="17"/>
        <v/>
      </c>
      <c r="AG44" s="14" t="str">
        <f t="shared" ca="1" si="17"/>
        <v/>
      </c>
      <c r="AH44" s="14" t="str">
        <f t="shared" ca="1" si="17"/>
        <v/>
      </c>
      <c r="AI44" s="14" t="str">
        <f t="shared" ca="1" si="17"/>
        <v/>
      </c>
      <c r="AJ44" s="14" t="str">
        <f t="shared" ca="1" si="17"/>
        <v/>
      </c>
      <c r="AK44" s="14" t="str">
        <f t="shared" ca="1" si="17"/>
        <v/>
      </c>
      <c r="AL44" s="14" t="str">
        <f t="shared" ca="1" si="17"/>
        <v/>
      </c>
      <c r="AM44" s="14" t="str">
        <f t="shared" ca="1" si="17"/>
        <v/>
      </c>
      <c r="AN44" s="14" t="str">
        <f t="shared" ca="1" si="17"/>
        <v/>
      </c>
      <c r="AO44" s="14" t="str">
        <f t="shared" ca="1" si="18"/>
        <v/>
      </c>
      <c r="AP44" s="14" t="str">
        <f t="shared" ca="1" si="18"/>
        <v/>
      </c>
      <c r="AQ44" s="14" t="str">
        <f t="shared" ca="1" si="18"/>
        <v/>
      </c>
      <c r="AR44" s="14" t="str">
        <f t="shared" ca="1" si="18"/>
        <v/>
      </c>
      <c r="AS44" s="14" t="str">
        <f t="shared" ca="1" si="18"/>
        <v/>
      </c>
      <c r="AT44" s="14" t="str">
        <f t="shared" ca="1" si="18"/>
        <v/>
      </c>
      <c r="AU44" s="14" t="str">
        <f t="shared" ca="1" si="18"/>
        <v/>
      </c>
      <c r="AV44" s="14" t="str">
        <f t="shared" ca="1" si="18"/>
        <v/>
      </c>
      <c r="AW44" s="14" t="str">
        <f t="shared" ca="1" si="18"/>
        <v/>
      </c>
      <c r="AX44" s="14" t="str">
        <f t="shared" ca="1" si="18"/>
        <v/>
      </c>
      <c r="AY44" s="14" t="str">
        <f t="shared" ca="1" si="18"/>
        <v/>
      </c>
      <c r="AZ44" s="14" t="str">
        <f t="shared" ca="1" si="18"/>
        <v/>
      </c>
      <c r="BA44" s="14">
        <f t="shared" ca="1" si="18"/>
        <v>2</v>
      </c>
      <c r="BB44" s="14">
        <f t="shared" ca="1" si="18"/>
        <v>2</v>
      </c>
      <c r="BC44" s="14">
        <f t="shared" ca="1" si="18"/>
        <v>2</v>
      </c>
      <c r="BD44" s="14">
        <f t="shared" ca="1" si="18"/>
        <v>2</v>
      </c>
      <c r="BE44" s="14">
        <f t="shared" ca="1" si="19"/>
        <v>2</v>
      </c>
      <c r="BF44" s="14">
        <f t="shared" ca="1" si="19"/>
        <v>2</v>
      </c>
      <c r="BG44" s="14" t="str">
        <f t="shared" ca="1" si="19"/>
        <v/>
      </c>
      <c r="BH44" s="14" t="str">
        <f t="shared" ca="1" si="19"/>
        <v/>
      </c>
      <c r="BI44" s="14" t="str">
        <f t="shared" ca="1" si="19"/>
        <v/>
      </c>
      <c r="BJ44" s="14" t="str">
        <f t="shared" ca="1" si="19"/>
        <v/>
      </c>
      <c r="BK44" s="14" t="str">
        <f t="shared" ca="1" si="19"/>
        <v/>
      </c>
      <c r="BL44" s="14" t="str">
        <f t="shared" ca="1" si="19"/>
        <v/>
      </c>
    </row>
    <row r="45" spans="1:64" s="1" customFormat="1" ht="40.15" customHeight="1" x14ac:dyDescent="0.25">
      <c r="A45" s="7"/>
      <c r="B45" s="60" t="s">
        <v>33</v>
      </c>
      <c r="C45" s="17" t="s">
        <v>1</v>
      </c>
      <c r="D45" s="17" t="s">
        <v>34</v>
      </c>
      <c r="E45" s="18">
        <v>0</v>
      </c>
      <c r="F45" s="19">
        <v>46141</v>
      </c>
      <c r="G45" s="20">
        <v>3</v>
      </c>
      <c r="H45" s="17"/>
      <c r="I45" s="14" t="str">
        <f t="shared" ca="1" si="20"/>
        <v/>
      </c>
      <c r="J45" s="14" t="str">
        <f t="shared" ca="1" si="20"/>
        <v/>
      </c>
      <c r="K45" s="14" t="str">
        <f t="shared" ca="1" si="20"/>
        <v/>
      </c>
      <c r="L45" s="14" t="str">
        <f t="shared" ca="1" si="20"/>
        <v/>
      </c>
      <c r="M45" s="14" t="str">
        <f t="shared" ca="1" si="20"/>
        <v/>
      </c>
      <c r="N45" s="14" t="str">
        <f t="shared" ca="1" si="20"/>
        <v/>
      </c>
      <c r="O45" s="14" t="str">
        <f t="shared" ca="1" si="20"/>
        <v/>
      </c>
      <c r="P45" s="14" t="str">
        <f t="shared" ca="1" si="20"/>
        <v/>
      </c>
      <c r="Q45" s="14" t="str">
        <f t="shared" ca="1" si="20"/>
        <v/>
      </c>
      <c r="R45" s="14" t="str">
        <f t="shared" ca="1" si="20"/>
        <v/>
      </c>
      <c r="S45" s="14" t="str">
        <f t="shared" ca="1" si="20"/>
        <v/>
      </c>
      <c r="T45" s="14" t="str">
        <f t="shared" ca="1" si="20"/>
        <v/>
      </c>
      <c r="U45" s="14" t="str">
        <f t="shared" ca="1" si="20"/>
        <v/>
      </c>
      <c r="V45" s="14" t="str">
        <f t="shared" ca="1" si="20"/>
        <v/>
      </c>
      <c r="W45" s="14" t="str">
        <f t="shared" ca="1" si="20"/>
        <v/>
      </c>
      <c r="X45" s="14" t="str">
        <f t="shared" ca="1" si="20"/>
        <v/>
      </c>
      <c r="Y45" s="14" t="str">
        <f t="shared" ca="1" si="17"/>
        <v/>
      </c>
      <c r="Z45" s="14" t="str">
        <f t="shared" ca="1" si="17"/>
        <v/>
      </c>
      <c r="AA45" s="14" t="str">
        <f t="shared" ca="1" si="17"/>
        <v/>
      </c>
      <c r="AB45" s="14" t="str">
        <f t="shared" ca="1" si="17"/>
        <v/>
      </c>
      <c r="AC45" s="14" t="str">
        <f t="shared" ca="1" si="17"/>
        <v/>
      </c>
      <c r="AD45" s="14" t="str">
        <f t="shared" ca="1" si="17"/>
        <v/>
      </c>
      <c r="AE45" s="14" t="str">
        <f t="shared" ca="1" si="17"/>
        <v/>
      </c>
      <c r="AF45" s="14" t="str">
        <f t="shared" ca="1" si="17"/>
        <v/>
      </c>
      <c r="AG45" s="14" t="str">
        <f t="shared" ca="1" si="17"/>
        <v/>
      </c>
      <c r="AH45" s="14" t="str">
        <f t="shared" ca="1" si="17"/>
        <v/>
      </c>
      <c r="AI45" s="14" t="str">
        <f t="shared" ca="1" si="17"/>
        <v/>
      </c>
      <c r="AJ45" s="14" t="str">
        <f t="shared" ca="1" si="17"/>
        <v/>
      </c>
      <c r="AK45" s="14" t="str">
        <f t="shared" ca="1" si="17"/>
        <v/>
      </c>
      <c r="AL45" s="14" t="str">
        <f t="shared" ca="1" si="17"/>
        <v/>
      </c>
      <c r="AM45" s="14" t="str">
        <f t="shared" ca="1" si="17"/>
        <v/>
      </c>
      <c r="AN45" s="14" t="str">
        <f t="shared" ca="1" si="17"/>
        <v/>
      </c>
      <c r="AO45" s="14" t="str">
        <f t="shared" ca="1" si="18"/>
        <v/>
      </c>
      <c r="AP45" s="14" t="str">
        <f t="shared" ca="1" si="18"/>
        <v/>
      </c>
      <c r="AQ45" s="14" t="str">
        <f t="shared" ca="1" si="18"/>
        <v/>
      </c>
      <c r="AR45" s="14" t="str">
        <f t="shared" ca="1" si="18"/>
        <v/>
      </c>
      <c r="AS45" s="14" t="str">
        <f t="shared" ca="1" si="18"/>
        <v/>
      </c>
      <c r="AT45" s="14" t="str">
        <f t="shared" ca="1" si="18"/>
        <v/>
      </c>
      <c r="AU45" s="14" t="str">
        <f t="shared" ca="1" si="18"/>
        <v/>
      </c>
      <c r="AV45" s="14" t="str">
        <f t="shared" ca="1" si="18"/>
        <v/>
      </c>
      <c r="AW45" s="14" t="str">
        <f t="shared" ca="1" si="18"/>
        <v/>
      </c>
      <c r="AX45" s="14" t="str">
        <f t="shared" ca="1" si="18"/>
        <v/>
      </c>
      <c r="AY45" s="14" t="str">
        <f t="shared" ca="1" si="18"/>
        <v/>
      </c>
      <c r="AZ45" s="14" t="str">
        <f t="shared" ca="1" si="18"/>
        <v/>
      </c>
      <c r="BA45" s="14" t="str">
        <f t="shared" ca="1" si="18"/>
        <v/>
      </c>
      <c r="BB45" s="14" t="str">
        <f t="shared" ca="1" si="18"/>
        <v/>
      </c>
      <c r="BC45" s="14" t="str">
        <f t="shared" ca="1" si="18"/>
        <v/>
      </c>
      <c r="BD45" s="14" t="str">
        <f t="shared" ca="1" si="18"/>
        <v/>
      </c>
      <c r="BE45" s="14" t="str">
        <f t="shared" ca="1" si="19"/>
        <v/>
      </c>
      <c r="BF45" s="14" t="str">
        <f t="shared" ca="1" si="19"/>
        <v/>
      </c>
      <c r="BG45" s="14" t="str">
        <f t="shared" ca="1" si="19"/>
        <v/>
      </c>
      <c r="BH45" s="14">
        <f t="shared" ca="1" si="19"/>
        <v>2</v>
      </c>
      <c r="BI45" s="14">
        <f t="shared" ca="1" si="19"/>
        <v>2</v>
      </c>
      <c r="BJ45" s="14">
        <f t="shared" ca="1" si="19"/>
        <v>2</v>
      </c>
      <c r="BK45" s="14" t="str">
        <f t="shared" ca="1" si="19"/>
        <v/>
      </c>
      <c r="BL45" s="14" t="str">
        <f t="shared" ca="1" si="19"/>
        <v/>
      </c>
    </row>
    <row r="46" spans="1:64" s="1" customFormat="1" ht="40.15" customHeight="1" x14ac:dyDescent="0.25">
      <c r="A46" s="7"/>
      <c r="B46" s="60" t="s">
        <v>286</v>
      </c>
      <c r="C46" s="17" t="s">
        <v>2</v>
      </c>
      <c r="D46" s="17" t="s">
        <v>287</v>
      </c>
      <c r="E46" s="18">
        <v>0</v>
      </c>
      <c r="F46" s="19">
        <v>46146</v>
      </c>
      <c r="G46" s="20">
        <v>2</v>
      </c>
      <c r="H46" s="17"/>
      <c r="I46" s="14" t="str">
        <f t="shared" ca="1" si="20"/>
        <v/>
      </c>
      <c r="J46" s="14" t="str">
        <f t="shared" ca="1" si="20"/>
        <v/>
      </c>
      <c r="K46" s="14" t="str">
        <f t="shared" ca="1" si="20"/>
        <v/>
      </c>
      <c r="L46" s="14" t="str">
        <f t="shared" ca="1" si="20"/>
        <v/>
      </c>
      <c r="M46" s="14" t="str">
        <f t="shared" ca="1" si="20"/>
        <v/>
      </c>
      <c r="N46" s="14" t="str">
        <f t="shared" ca="1" si="20"/>
        <v/>
      </c>
      <c r="O46" s="14" t="str">
        <f t="shared" ca="1" si="20"/>
        <v/>
      </c>
      <c r="P46" s="14" t="str">
        <f t="shared" ca="1" si="20"/>
        <v/>
      </c>
      <c r="Q46" s="14" t="str">
        <f t="shared" ca="1" si="20"/>
        <v/>
      </c>
      <c r="R46" s="14" t="str">
        <f t="shared" ca="1" si="20"/>
        <v/>
      </c>
      <c r="S46" s="14" t="str">
        <f t="shared" ca="1" si="20"/>
        <v/>
      </c>
      <c r="T46" s="14" t="str">
        <f t="shared" ca="1" si="20"/>
        <v/>
      </c>
      <c r="U46" s="14" t="str">
        <f t="shared" ca="1" si="20"/>
        <v/>
      </c>
      <c r="V46" s="14" t="str">
        <f t="shared" ca="1" si="20"/>
        <v/>
      </c>
      <c r="W46" s="14" t="str">
        <f t="shared" ca="1" si="20"/>
        <v/>
      </c>
      <c r="X46" s="14" t="str">
        <f t="shared" ca="1" si="20"/>
        <v/>
      </c>
      <c r="Y46" s="14" t="str">
        <f t="shared" ca="1" si="17"/>
        <v/>
      </c>
      <c r="Z46" s="14" t="str">
        <f t="shared" ca="1" si="17"/>
        <v/>
      </c>
      <c r="AA46" s="14" t="str">
        <f t="shared" ca="1" si="17"/>
        <v/>
      </c>
      <c r="AB46" s="14" t="str">
        <f t="shared" ca="1" si="17"/>
        <v/>
      </c>
      <c r="AC46" s="14" t="str">
        <f t="shared" ca="1" si="17"/>
        <v/>
      </c>
      <c r="AD46" s="14" t="str">
        <f t="shared" ca="1" si="17"/>
        <v/>
      </c>
      <c r="AE46" s="14" t="str">
        <f t="shared" ca="1" si="17"/>
        <v/>
      </c>
      <c r="AF46" s="14" t="str">
        <f t="shared" ca="1" si="17"/>
        <v/>
      </c>
      <c r="AG46" s="14" t="str">
        <f t="shared" ca="1" si="17"/>
        <v/>
      </c>
      <c r="AH46" s="14" t="str">
        <f t="shared" ca="1" si="17"/>
        <v/>
      </c>
      <c r="AI46" s="14" t="str">
        <f t="shared" ca="1" si="17"/>
        <v/>
      </c>
      <c r="AJ46" s="14" t="str">
        <f t="shared" ca="1" si="17"/>
        <v/>
      </c>
      <c r="AK46" s="14" t="str">
        <f t="shared" ca="1" si="17"/>
        <v/>
      </c>
      <c r="AL46" s="14" t="str">
        <f t="shared" ca="1" si="17"/>
        <v/>
      </c>
      <c r="AM46" s="14" t="str">
        <f t="shared" ca="1" si="17"/>
        <v/>
      </c>
      <c r="AN46" s="14" t="str">
        <f t="shared" ca="1" si="17"/>
        <v/>
      </c>
      <c r="AO46" s="14" t="str">
        <f t="shared" ca="1" si="18"/>
        <v/>
      </c>
      <c r="AP46" s="14" t="str">
        <f t="shared" ca="1" si="18"/>
        <v/>
      </c>
      <c r="AQ46" s="14" t="str">
        <f t="shared" ca="1" si="18"/>
        <v/>
      </c>
      <c r="AR46" s="14" t="str">
        <f t="shared" ca="1" si="18"/>
        <v/>
      </c>
      <c r="AS46" s="14" t="str">
        <f t="shared" ca="1" si="18"/>
        <v/>
      </c>
      <c r="AT46" s="14" t="str">
        <f t="shared" ca="1" si="18"/>
        <v/>
      </c>
      <c r="AU46" s="14" t="str">
        <f t="shared" ca="1" si="18"/>
        <v/>
      </c>
      <c r="AV46" s="14" t="str">
        <f t="shared" ca="1" si="18"/>
        <v/>
      </c>
      <c r="AW46" s="14" t="str">
        <f t="shared" ca="1" si="18"/>
        <v/>
      </c>
      <c r="AX46" s="14" t="str">
        <f t="shared" ca="1" si="18"/>
        <v/>
      </c>
      <c r="AY46" s="14" t="str">
        <f t="shared" ca="1" si="18"/>
        <v/>
      </c>
      <c r="AZ46" s="14" t="str">
        <f t="shared" ca="1" si="18"/>
        <v/>
      </c>
      <c r="BA46" s="14" t="str">
        <f t="shared" ca="1" si="18"/>
        <v/>
      </c>
      <c r="BB46" s="14" t="str">
        <f t="shared" ca="1" si="18"/>
        <v/>
      </c>
      <c r="BC46" s="14" t="str">
        <f t="shared" ca="1" si="18"/>
        <v/>
      </c>
      <c r="BD46" s="14" t="str">
        <f t="shared" ca="1" si="18"/>
        <v/>
      </c>
      <c r="BE46" s="14" t="str">
        <f t="shared" ca="1" si="19"/>
        <v/>
      </c>
      <c r="BF46" s="14" t="str">
        <f t="shared" ca="1" si="19"/>
        <v/>
      </c>
      <c r="BG46" s="14" t="str">
        <f t="shared" ca="1" si="19"/>
        <v/>
      </c>
      <c r="BH46" s="14" t="str">
        <f t="shared" ca="1" si="19"/>
        <v/>
      </c>
      <c r="BI46" s="14" t="str">
        <f t="shared" ca="1" si="19"/>
        <v/>
      </c>
      <c r="BJ46" s="14" t="str">
        <f t="shared" ca="1" si="19"/>
        <v/>
      </c>
      <c r="BK46" s="14" t="str">
        <f t="shared" ca="1" si="19"/>
        <v/>
      </c>
      <c r="BL46" s="14" t="str">
        <f t="shared" ca="1" si="19"/>
        <v/>
      </c>
    </row>
    <row r="47" spans="1:64" s="1" customFormat="1" ht="40.15" customHeight="1" x14ac:dyDescent="0.25">
      <c r="A47" s="8"/>
      <c r="B47" s="60"/>
      <c r="C47" s="17"/>
      <c r="D47" s="17"/>
      <c r="E47" s="18"/>
      <c r="F47" s="19"/>
      <c r="G47" s="20"/>
      <c r="H47" s="17"/>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row>
    <row r="48" spans="1:64" s="1" customFormat="1" ht="40.15" customHeight="1" x14ac:dyDescent="0.25">
      <c r="A48" s="8"/>
      <c r="B48" s="60"/>
      <c r="C48" s="17"/>
      <c r="D48" s="17"/>
      <c r="E48" s="18"/>
      <c r="F48" s="19"/>
      <c r="G48" s="20"/>
      <c r="H48" s="17"/>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row>
    <row r="49" spans="1:64" s="1" customFormat="1" ht="40.15" customHeight="1" x14ac:dyDescent="0.25">
      <c r="A49" s="7"/>
      <c r="B49" s="60"/>
      <c r="C49" s="17"/>
      <c r="D49" s="17"/>
      <c r="E49" s="18"/>
      <c r="F49" s="19"/>
      <c r="G49" s="20"/>
      <c r="H49" s="17"/>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row>
    <row r="50" spans="1:64" s="1" customFormat="1" ht="40.15" customHeight="1" x14ac:dyDescent="0.25">
      <c r="A50" s="7"/>
      <c r="B50" s="60"/>
      <c r="C50" s="17"/>
      <c r="D50" s="17"/>
      <c r="E50" s="18"/>
      <c r="F50" s="19"/>
      <c r="G50" s="20"/>
      <c r="H50" s="17"/>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row>
    <row r="51" spans="1:64" s="1" customFormat="1" ht="40.15" customHeight="1" x14ac:dyDescent="0.25">
      <c r="A51" s="7"/>
      <c r="B51" s="60"/>
      <c r="C51" s="17"/>
      <c r="D51" s="17"/>
      <c r="E51" s="18"/>
      <c r="F51" s="19"/>
      <c r="G51" s="20"/>
      <c r="H51" s="17"/>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row>
    <row r="52" spans="1:64" s="1" customFormat="1" ht="40.15" customHeight="1" x14ac:dyDescent="0.25">
      <c r="A52" s="7"/>
      <c r="B52" s="60"/>
      <c r="C52" s="17"/>
      <c r="D52" s="17"/>
      <c r="E52" s="18"/>
      <c r="F52" s="19"/>
      <c r="G52" s="20"/>
      <c r="H52" s="17"/>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row>
    <row r="53" spans="1:64" s="1" customFormat="1" ht="40.15" customHeight="1" x14ac:dyDescent="0.25">
      <c r="A53" s="8"/>
      <c r="B53" s="60"/>
      <c r="C53" s="17"/>
      <c r="D53" s="17"/>
      <c r="E53" s="18"/>
      <c r="F53" s="19"/>
      <c r="G53" s="20"/>
      <c r="H53" s="17"/>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row>
    <row r="54" spans="1:64" s="1" customFormat="1" ht="40.15" customHeight="1" x14ac:dyDescent="0.25">
      <c r="A54" s="7"/>
      <c r="B54" s="60"/>
      <c r="C54" s="17"/>
      <c r="D54" s="17"/>
      <c r="E54" s="18"/>
      <c r="F54" s="19"/>
      <c r="G54" s="20"/>
      <c r="H54" s="17"/>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row>
    <row r="55" spans="1:64" s="1" customFormat="1" ht="40.15" customHeight="1" x14ac:dyDescent="0.25">
      <c r="A55" s="7"/>
      <c r="B55" s="60"/>
      <c r="C55" s="17"/>
      <c r="D55" s="17"/>
      <c r="E55" s="18"/>
      <c r="F55" s="19"/>
      <c r="G55" s="20"/>
      <c r="H55" s="17"/>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row>
    <row r="56" spans="1:64" s="1" customFormat="1" ht="40.15" customHeight="1" x14ac:dyDescent="0.25">
      <c r="A56" s="7"/>
      <c r="B56" s="60"/>
      <c r="C56" s="17"/>
      <c r="D56" s="17"/>
      <c r="E56" s="18"/>
      <c r="F56" s="19"/>
      <c r="G56" s="20"/>
      <c r="H56" s="17"/>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row>
    <row r="57" spans="1:64" s="1" customFormat="1" ht="40.15" customHeight="1" x14ac:dyDescent="0.25">
      <c r="A57" s="7"/>
      <c r="B57" s="13"/>
      <c r="C57" s="17"/>
      <c r="D57" s="17"/>
      <c r="E57" s="18"/>
      <c r="F57" s="19"/>
      <c r="G57" s="20"/>
      <c r="H57" s="17"/>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row>
    <row r="58" spans="1:64" s="1" customFormat="1" ht="40.15" customHeight="1" x14ac:dyDescent="0.25">
      <c r="A58" s="7"/>
      <c r="B58" s="64"/>
      <c r="C58" s="17"/>
      <c r="D58" s="17"/>
      <c r="E58" s="18"/>
      <c r="F58" s="19"/>
      <c r="G58" s="20"/>
      <c r="H58" s="17"/>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row>
    <row r="59" spans="1:64" s="1" customFormat="1" ht="40.15" customHeight="1" x14ac:dyDescent="0.25">
      <c r="A59" s="7"/>
      <c r="B59" s="60"/>
      <c r="C59" s="17"/>
      <c r="D59" s="17"/>
      <c r="E59" s="18"/>
      <c r="F59" s="19"/>
      <c r="G59" s="20"/>
      <c r="H59" s="17"/>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row>
  </sheetData>
  <mergeCells count="5">
    <mergeCell ref="I1:L1"/>
    <mergeCell ref="N1:Q1"/>
    <mergeCell ref="S1:V1"/>
    <mergeCell ref="X1:AA1"/>
    <mergeCell ref="AC1:AF1"/>
  </mergeCells>
  <conditionalFormatting sqref="E5:E59">
    <cfRule type="dataBar" priority="11">
      <dataBar>
        <cfvo type="num" val="0"/>
        <cfvo type="num" val="1"/>
        <color theme="6"/>
      </dataBar>
      <extLst>
        <ext xmlns:x14="http://schemas.microsoft.com/office/spreadsheetml/2009/9/main" uri="{B025F937-C7B1-47D3-B67F-A62EFF666E3E}">
          <x14:id>{8DC354F3-04C3-41B6-BDF4-AAE91663EC79}</x14:id>
        </ext>
      </extLst>
    </cfRule>
  </conditionalFormatting>
  <conditionalFormatting sqref="I2:AM2">
    <cfRule type="expression" dxfId="37" priority="10">
      <formula>I$3&lt;=EOMONTH($I$3,0)</formula>
    </cfRule>
  </conditionalFormatting>
  <conditionalFormatting sqref="I2:BL2">
    <cfRule type="expression" dxfId="36" priority="8">
      <formula>AND(I$3&lt;=EOMONTH($I$3,1),I$3&gt;EOMONTH($I$3,0))</formula>
    </cfRule>
  </conditionalFormatting>
  <conditionalFormatting sqref="I3:BL21 I23:BL59 I22:N22 R22:BL22 P22">
    <cfRule type="expression" dxfId="35" priority="1">
      <formula>AND(TODAY()&gt;=I$3,TODAY()&lt;J$3)</formula>
    </cfRule>
  </conditionalFormatting>
  <conditionalFormatting sqref="I6:BL21 I23:BL46 I22:N22 R22:BL22 P22">
    <cfRule type="expression" dxfId="34" priority="13" stopIfTrue="1">
      <formula>AND($C6="Low Risk",I$3&gt;=$F6,I$3&lt;=$F6+$G6-1)</formula>
    </cfRule>
    <cfRule type="expression" dxfId="33" priority="14" stopIfTrue="1">
      <formula>AND($C6="High Risk",I$3&gt;=$F6,I$3&lt;=$F6+$G6-1)</formula>
    </cfRule>
    <cfRule type="expression" dxfId="32" priority="15" stopIfTrue="1">
      <formula>AND($C6="On Track",I$3&gt;=$F6,I$3&lt;=$F6+$G6-1)</formula>
    </cfRule>
    <cfRule type="expression" dxfId="31" priority="16" stopIfTrue="1">
      <formula>AND($C6="Med Risk",I$3&gt;=$F6,I$3&lt;=$F6+$G6-1)</formula>
    </cfRule>
    <cfRule type="expression" dxfId="30" priority="17" stopIfTrue="1">
      <formula>AND(LEN($C6)=0,I$3&gt;=$F6,I$3&lt;=$F6+$G6-1)</formula>
    </cfRule>
  </conditionalFormatting>
  <conditionalFormatting sqref="I47:BL59">
    <cfRule type="expression" dxfId="29" priority="3" stopIfTrue="1">
      <formula>AND($C47="Low Risk",I$3&gt;=$F47,I$3&lt;=$F47+$G47-1)</formula>
    </cfRule>
    <cfRule type="expression" dxfId="28" priority="4" stopIfTrue="1">
      <formula>AND($C47="High Risk",I$3&gt;=$F47,I$3&lt;=$F47+$G47-1)</formula>
    </cfRule>
    <cfRule type="expression" dxfId="27" priority="5" stopIfTrue="1">
      <formula>AND($C47="On Track",I$3&gt;=$F47,I$3&lt;=$F47+$G47-1)</formula>
    </cfRule>
    <cfRule type="expression" dxfId="26" priority="6" stopIfTrue="1">
      <formula>AND($C47="Med Risk",I$3&gt;=$F47,I$3&lt;=$F47+$G47-1)</formula>
    </cfRule>
    <cfRule type="expression" dxfId="25" priority="7" stopIfTrue="1">
      <formula>AND(LEN($C47)=0,I$3&gt;=$F47,I$3&lt;=$F47+$G47-1)</formula>
    </cfRule>
  </conditionalFormatting>
  <conditionalFormatting sqref="J2:BL2">
    <cfRule type="expression" dxfId="24" priority="9">
      <formula>AND(J$3&lt;=EOMONTH($I$3,2),J$3&gt;EOMONTH($I$3,0),J$3&gt;EOMONTH($I$3,1))</formula>
    </cfRule>
  </conditionalFormatting>
  <conditionalFormatting sqref="Q22">
    <cfRule type="expression" dxfId="23" priority="160">
      <formula>AND(TODAY()&gt;=O$3,TODAY()&lt;P$3)</formula>
    </cfRule>
  </conditionalFormatting>
  <conditionalFormatting sqref="Q22">
    <cfRule type="expression" dxfId="22" priority="169" stopIfTrue="1">
      <formula>AND($C22="Low Risk",O$3&gt;=$F22,O$3&lt;=$F22+$G22-1)</formula>
    </cfRule>
    <cfRule type="expression" dxfId="21" priority="170" stopIfTrue="1">
      <formula>AND($C22="High Risk",O$3&gt;=$F22,O$3&lt;=$F22+$G22-1)</formula>
    </cfRule>
    <cfRule type="expression" dxfId="20" priority="171" stopIfTrue="1">
      <formula>AND($C22="On Track",O$3&gt;=$F22,O$3&lt;=$F22+$G22-1)</formula>
    </cfRule>
    <cfRule type="expression" dxfId="19" priority="172" stopIfTrue="1">
      <formula>AND($C22="Med Risk",O$3&gt;=$F22,O$3&lt;=$F22+$G22-1)</formula>
    </cfRule>
    <cfRule type="expression" dxfId="18" priority="173" stopIfTrue="1">
      <formula>AND(LEN($C22)=0,O$3&gt;=$F22,O$3&lt;=$F22+$G22-1)</formula>
    </cfRule>
  </conditionalFormatting>
  <dataValidations count="9">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7 A27" xr:uid="{42D3BFE5-88CE-4B93-BA0F-ADD22D6F7FEE}"/>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5" xr:uid="{2EA82DEE-B8B7-41A4-9DCD-42457D76815B}"/>
    <dataValidation allowBlank="1" showInputMessage="1" showErrorMessage="1" prompt="A scrollbar is in cells I8 through BL8. _x000a_To jump forward or backward in the timeline, enter a value of 0 or higher in cell C7._x000a_A value of 0 takes you to the beginning of the chart." sqref="A4" xr:uid="{489964BC-C68B-44B8-B54A-5899B5C1CE91}"/>
    <dataValidation allowBlank="1" showInputMessage="1" showErrorMessage="1" prompt="Cells I9 through BL9 contain the day number of the month for the Month represented in the cell block above each date cell and are auto calculated._x000a_Do not modify these cells._x000a_" sqref="A3" xr:uid="{3562CF02-F85C-4EFD-835B-2EE28D1070CA}"/>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2" xr:uid="{0AE8732F-1677-4A33-8B64-ABFD8F584B58}"/>
    <dataValidation allowBlank="1" showInputMessage="1" showErrorMessage="1" prompt="Enter Company Name in cell B4._x000a_A legend is in cells I4 through AC4.  The Legend label is in cell G4." sqref="A1" xr:uid="{954C8AC3-2612-481D-94AA-FBFB15BE0DAB}"/>
    <dataValidation type="list" allowBlank="1" showInputMessage="1" sqref="C7 C27" xr:uid="{4CF003F7-043B-43A5-BCB8-7EA63A76A9DA}">
      <formula1>"Goal,Milestone,On Track, Low Risk, Med Risk, High Risk"</formula1>
    </dataValidation>
    <dataValidation type="list" allowBlank="1" showInputMessage="1" showErrorMessage="1" sqref="C6 C28:C59 C8:C26" xr:uid="{91BA2E24-FF55-411B-8C17-49927288A296}">
      <formula1>"Goal,Milestone,On Track, Low Risk, Med Risk, High Risk"</formula1>
    </dataValidation>
    <dataValidation type="whole" operator="greaterThanOrEqual" allowBlank="1" showInputMessage="1" promptTitle="Scrolling Increment" prompt="Changing this number will scroll the Gantt Chart view." sqref="C3" xr:uid="{2824E297-F2C0-49B6-AB47-7CC0094A013B}">
      <formula1>0</formula1>
    </dataValidation>
  </dataValidations>
  <printOptions horizontalCentered="1"/>
  <pageMargins left="0.25" right="0.25" top="0.5" bottom="0.5" header="0.3" footer="0.3"/>
  <pageSetup paperSize="3" scale="62"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5" r:id="rId4" name="Scroll Bar 1">
              <controlPr defaultSize="0" autoPict="0" altText="Scroll bar to scroll through the Ghantt project timeline.">
                <anchor moveWithCells="1">
                  <from>
                    <xdr:col>8</xdr:col>
                    <xdr:colOff>28575</xdr:colOff>
                    <xdr:row>3</xdr:row>
                    <xdr:rowOff>57150</xdr:rowOff>
                  </from>
                  <to>
                    <xdr:col>63</xdr:col>
                    <xdr:colOff>228600</xdr:colOff>
                    <xdr:row>3</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DC354F3-04C3-41B6-BDF4-AAE91663EC79}">
            <x14:dataBar minLength="0" maxLength="100" gradient="0">
              <x14:cfvo type="num">
                <xm:f>0</xm:f>
              </x14:cfvo>
              <x14:cfvo type="num">
                <xm:f>1</xm:f>
              </x14:cfvo>
              <x14:negativeFillColor rgb="FFFF0000"/>
              <x14:axisColor rgb="FF000000"/>
            </x14:dataBar>
          </x14:cfRule>
          <xm:sqref>E5:E59</xm:sqref>
        </x14:conditionalFormatting>
        <x14:conditionalFormatting xmlns:xm="http://schemas.microsoft.com/office/excel/2006/main">
          <x14:cfRule type="iconSet" priority="12" id="{8EF6952B-1A3B-41DE-9643-B4745C922184}">
            <x14:iconSet iconSet="3Stars" showValue="0" custom="1">
              <x14:cfvo type="percent">
                <xm:f>0</xm:f>
              </x14:cfvo>
              <x14:cfvo type="num">
                <xm:f>1</xm:f>
              </x14:cfvo>
              <x14:cfvo type="num">
                <xm:f>2</xm:f>
              </x14:cfvo>
              <x14:cfIcon iconSet="NoIcons" iconId="0"/>
              <x14:cfIcon iconSet="3Flags" iconId="1"/>
              <x14:cfIcon iconSet="3Signs" iconId="0"/>
            </x14:iconSet>
          </x14:cfRule>
          <xm:sqref>I6:BL21 I23:BL46 I22:N22 R22:BL22 P22</xm:sqref>
        </x14:conditionalFormatting>
        <x14:conditionalFormatting xmlns:xm="http://schemas.microsoft.com/office/excel/2006/main">
          <x14:cfRule type="iconSet" priority="2" id="{E61B0C8E-0BF4-4882-92C1-9D1979E5E0FC}">
            <x14:iconSet iconSet="3Stars" showValue="0" custom="1">
              <x14:cfvo type="percent">
                <xm:f>0</xm:f>
              </x14:cfvo>
              <x14:cfvo type="num">
                <xm:f>1</xm:f>
              </x14:cfvo>
              <x14:cfvo type="num">
                <xm:f>2</xm:f>
              </x14:cfvo>
              <x14:cfIcon iconSet="NoIcons" iconId="0"/>
              <x14:cfIcon iconSet="3Flags" iconId="1"/>
              <x14:cfIcon iconSet="3Signs" iconId="0"/>
            </x14:iconSet>
          </x14:cfRule>
          <xm:sqref>I47:BL59</xm:sqref>
        </x14:conditionalFormatting>
        <x14:conditionalFormatting xmlns:xm="http://schemas.microsoft.com/office/excel/2006/main">
          <x14:cfRule type="iconSet" priority="168" id="{8EF6952B-1A3B-41DE-9643-B4745C922184}">
            <x14:iconSet iconSet="3Stars" showValue="0" custom="1">
              <x14:cfvo type="percent">
                <xm:f>0</xm:f>
              </x14:cfvo>
              <x14:cfvo type="num">
                <xm:f>1</xm:f>
              </x14:cfvo>
              <x14:cfvo type="num">
                <xm:f>2</xm:f>
              </x14:cfvo>
              <x14:cfIcon iconSet="NoIcons" iconId="0"/>
              <x14:cfIcon iconSet="3Flags" iconId="1"/>
              <x14:cfIcon iconSet="3Signs" iconId="0"/>
            </x14:iconSet>
          </x14:cfRule>
          <xm:sqref>Q22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8711-AA7D-46B7-89DD-0D789DB9048A}">
  <dimension ref="A1:M19"/>
  <sheetViews>
    <sheetView workbookViewId="0">
      <selection activeCell="M11" sqref="M11"/>
    </sheetView>
  </sheetViews>
  <sheetFormatPr defaultRowHeight="15" x14ac:dyDescent="0.25"/>
  <cols>
    <col min="1" max="1" width="28" bestFit="1" customWidth="1"/>
  </cols>
  <sheetData>
    <row r="1" spans="1:13" ht="33.75" customHeight="1" x14ac:dyDescent="0.25">
      <c r="A1" s="75" t="s">
        <v>24</v>
      </c>
      <c r="B1" s="76"/>
    </row>
    <row r="2" spans="1:13" ht="33.75" customHeight="1" x14ac:dyDescent="0.25">
      <c r="A2" s="75" t="s">
        <v>169</v>
      </c>
      <c r="B2" s="76"/>
    </row>
    <row r="3" spans="1:13" ht="33.75" customHeight="1" x14ac:dyDescent="0.25">
      <c r="A3" s="75" t="s">
        <v>25</v>
      </c>
      <c r="B3" s="76"/>
    </row>
    <row r="4" spans="1:13" ht="33.75" customHeight="1" x14ac:dyDescent="0.25">
      <c r="A4" s="75" t="s">
        <v>168</v>
      </c>
      <c r="B4" s="76"/>
    </row>
    <row r="5" spans="1:13" ht="33.75" customHeight="1" x14ac:dyDescent="0.25">
      <c r="A5" s="75" t="s">
        <v>164</v>
      </c>
      <c r="B5" s="76"/>
    </row>
    <row r="6" spans="1:13" ht="33.75" customHeight="1" x14ac:dyDescent="0.25">
      <c r="A6" s="75" t="s">
        <v>27</v>
      </c>
      <c r="B6" s="76"/>
    </row>
    <row r="7" spans="1:13" ht="33.75" customHeight="1" x14ac:dyDescent="0.25">
      <c r="A7" s="75" t="s">
        <v>163</v>
      </c>
      <c r="B7" s="76"/>
    </row>
    <row r="8" spans="1:13" ht="33.75" customHeight="1" x14ac:dyDescent="0.25">
      <c r="A8" s="75" t="s">
        <v>28</v>
      </c>
      <c r="B8" s="76"/>
    </row>
    <row r="9" spans="1:13" ht="33.75" customHeight="1" x14ac:dyDescent="0.25">
      <c r="A9" s="75" t="s">
        <v>165</v>
      </c>
      <c r="B9" s="76"/>
    </row>
    <row r="10" spans="1:13" ht="33.75" customHeight="1" x14ac:dyDescent="0.25">
      <c r="A10" s="75" t="s">
        <v>295</v>
      </c>
      <c r="B10" s="76"/>
      <c r="M10">
        <f>96/12</f>
        <v>8</v>
      </c>
    </row>
    <row r="11" spans="1:13" ht="33.75" customHeight="1" x14ac:dyDescent="0.25">
      <c r="A11" s="75" t="s">
        <v>177</v>
      </c>
      <c r="B11" s="76"/>
    </row>
    <row r="12" spans="1:13" ht="33.75" customHeight="1" x14ac:dyDescent="0.25">
      <c r="A12" s="75" t="s">
        <v>166</v>
      </c>
      <c r="B12" s="76"/>
    </row>
    <row r="13" spans="1:13" ht="33.75" customHeight="1" x14ac:dyDescent="0.25">
      <c r="A13" s="75" t="s">
        <v>176</v>
      </c>
      <c r="B13" s="76"/>
    </row>
    <row r="14" spans="1:13" ht="33.75" customHeight="1" x14ac:dyDescent="0.25">
      <c r="A14" s="75" t="s">
        <v>167</v>
      </c>
      <c r="B14" s="76"/>
    </row>
    <row r="15" spans="1:13" ht="33.75" customHeight="1" x14ac:dyDescent="0.25">
      <c r="A15" s="75" t="s">
        <v>170</v>
      </c>
      <c r="B15" s="76"/>
    </row>
    <row r="16" spans="1:13" ht="33.75" customHeight="1" x14ac:dyDescent="0.25">
      <c r="A16" s="75" t="s">
        <v>294</v>
      </c>
      <c r="B16" s="76"/>
    </row>
    <row r="17" spans="1:2" ht="33.75" customHeight="1" x14ac:dyDescent="0.25">
      <c r="A17" s="75" t="s">
        <v>32</v>
      </c>
      <c r="B17" s="76"/>
    </row>
    <row r="18" spans="1:2" ht="33.75" customHeight="1" x14ac:dyDescent="0.25">
      <c r="A18" s="75" t="s">
        <v>171</v>
      </c>
      <c r="B18" s="76"/>
    </row>
    <row r="19" spans="1:2" ht="33.75" customHeight="1" x14ac:dyDescent="0.25">
      <c r="A19" s="75" t="s">
        <v>297</v>
      </c>
      <c r="B19" s="76"/>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3.xml><?xml version="1.0" encoding="utf-8"?>
<ds:datastoreItem xmlns:ds="http://schemas.openxmlformats.org/officeDocument/2006/customXml" ds:itemID="{16A2ABA2-2AE7-458F-84A6-54746C92AC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About</vt:lpstr>
      <vt:lpstr>By Tank</vt:lpstr>
      <vt:lpstr>Overall</vt:lpstr>
      <vt:lpstr>Count Sheet</vt:lpstr>
      <vt:lpstr>'By Tank'!Print_Titles</vt:lpstr>
      <vt:lpstr>Overall!Print_Titles</vt:lpstr>
      <vt:lpstr>Overall!Project_Start</vt:lpstr>
      <vt:lpstr>Overall!Scrolling_Increment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2026-03-17T18:38:57Z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