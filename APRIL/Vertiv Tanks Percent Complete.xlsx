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0" documentId="13_ncr:1_{328D357E-8EF6-4C68-9B83-8087A7154F09}" xr6:coauthVersionLast="47" xr6:coauthVersionMax="47" xr10:uidLastSave="{00000000-0000-0000-0000-000000000000}"/>
  <bookViews>
    <workbookView xWindow="28680" yWindow="-120" windowWidth="29040" windowHeight="15840" tabRatio="415" firstSheet="1" activeTab="1" xr2:uid="{00000000-000D-0000-FFFF-FFFF00000000}"/>
  </bookViews>
  <sheets>
    <sheet name="About" sheetId="12" state="hidden" r:id="rId1"/>
    <sheet name="By Tank" sheetId="18" r:id="rId2"/>
    <sheet name="Sheet3" sheetId="21" r:id="rId3"/>
    <sheet name="Overall" sheetId="20" r:id="rId4"/>
  </sheets>
  <definedNames>
    <definedName name="_xlnm.Print_Titles" localSheetId="1">'By Tank'!$1:$2</definedName>
    <definedName name="_xlnm.Print_Titles" localSheetId="3">Overall!$2:$5</definedName>
    <definedName name="Project_Start" localSheetId="1">'By Tank'!#REF!</definedName>
    <definedName name="Project_Start" localSheetId="3">Overall!$C$2</definedName>
    <definedName name="Project_Start">#REF!</definedName>
    <definedName name="Scrolling_Increment" localSheetId="1">'By Tank'!#REF!</definedName>
    <definedName name="Scrolling_Increment" localSheetId="3">Overall!$C$3</definedName>
    <definedName name="Scrolling_Increment">#REF!</definedName>
    <definedName name="Today" localSheetId="1">TODAY()</definedName>
    <definedName name="Today" localSheetId="3">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9" i="18" l="1"/>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189" i="18"/>
  <c r="E190" i="18"/>
  <c r="E191" i="18"/>
  <c r="E192" i="18"/>
  <c r="E193" i="18"/>
  <c r="E194" i="18"/>
  <c r="E195" i="18"/>
  <c r="E196" i="18"/>
  <c r="E197" i="18"/>
  <c r="E198" i="18"/>
  <c r="E199" i="18"/>
  <c r="E200" i="18"/>
  <c r="E201" i="18"/>
  <c r="E202" i="18"/>
  <c r="E203" i="18"/>
  <c r="E204" i="18"/>
  <c r="E205" i="18"/>
  <c r="E206" i="18"/>
  <c r="E207" i="18"/>
  <c r="E208" i="18"/>
  <c r="E209" i="18"/>
  <c r="E210" i="18"/>
  <c r="E211" i="18"/>
  <c r="E212" i="18"/>
  <c r="E213" i="18"/>
  <c r="E214" i="18"/>
  <c r="E215" i="18"/>
  <c r="E216" i="18"/>
  <c r="E217" i="18"/>
  <c r="E218" i="18"/>
  <c r="E219" i="18"/>
  <c r="E220" i="18"/>
  <c r="E221" i="18"/>
  <c r="E222" i="18"/>
  <c r="E223" i="18"/>
  <c r="E224" i="18"/>
  <c r="E225" i="18"/>
  <c r="E226" i="18"/>
  <c r="E28" i="18"/>
  <c r="E37" i="20"/>
  <c r="E20" i="20"/>
  <c r="E19" i="20"/>
  <c r="I3" i="20"/>
  <c r="I14" i="20" s="1"/>
  <c r="E6" i="18"/>
  <c r="E7" i="18"/>
  <c r="E8" i="18"/>
  <c r="E9" i="18"/>
  <c r="E10" i="18"/>
  <c r="E11" i="18"/>
  <c r="E12" i="18"/>
  <c r="E13" i="18"/>
  <c r="E14" i="18"/>
  <c r="E15" i="18"/>
  <c r="E16" i="18"/>
  <c r="E17" i="18"/>
  <c r="E18" i="18"/>
  <c r="E19" i="18"/>
  <c r="E20" i="18"/>
  <c r="E21" i="18"/>
  <c r="E22" i="18"/>
  <c r="E23" i="18"/>
  <c r="E24" i="18"/>
  <c r="E25" i="18"/>
  <c r="E26" i="18"/>
  <c r="E27" i="18"/>
  <c r="E5" i="18"/>
  <c r="E4" i="18"/>
  <c r="I16" i="20" l="1"/>
  <c r="I15" i="20"/>
  <c r="I37" i="20"/>
  <c r="I31" i="20"/>
  <c r="I2" i="20"/>
  <c r="J3" i="20"/>
  <c r="J16" i="20" s="1"/>
  <c r="I17" i="20"/>
  <c r="I18" i="20"/>
  <c r="I26" i="20"/>
  <c r="I25" i="20"/>
  <c r="I46" i="20"/>
  <c r="I45" i="20"/>
  <c r="I44" i="20"/>
  <c r="I36" i="20"/>
  <c r="I28" i="20"/>
  <c r="I38" i="20"/>
  <c r="I35" i="20"/>
  <c r="I32" i="20"/>
  <c r="I30" i="20"/>
  <c r="I39" i="20"/>
  <c r="I5" i="20"/>
  <c r="I7" i="20"/>
  <c r="I8" i="20"/>
  <c r="I9" i="20"/>
  <c r="I10" i="20"/>
  <c r="I11" i="20"/>
  <c r="I13" i="20"/>
  <c r="I24" i="20"/>
  <c r="I19" i="20"/>
  <c r="I27" i="20"/>
  <c r="I29" i="20"/>
  <c r="I34" i="20"/>
  <c r="J37" i="20" l="1"/>
  <c r="J15" i="20"/>
  <c r="J46" i="20"/>
  <c r="J31" i="20"/>
  <c r="J26" i="20"/>
  <c r="J14" i="20"/>
  <c r="J34" i="20"/>
  <c r="K3" i="20"/>
  <c r="K16" i="20" s="1"/>
  <c r="J39" i="20"/>
  <c r="J44" i="20"/>
  <c r="J24" i="20"/>
  <c r="J5" i="20"/>
  <c r="J45" i="20"/>
  <c r="J9" i="20"/>
  <c r="J18" i="20"/>
  <c r="J27" i="20"/>
  <c r="J28" i="20"/>
  <c r="J7" i="20"/>
  <c r="J19" i="20"/>
  <c r="J8" i="20"/>
  <c r="J10" i="20"/>
  <c r="J35" i="20"/>
  <c r="J29" i="20"/>
  <c r="J11" i="20"/>
  <c r="J17" i="20"/>
  <c r="J36" i="20"/>
  <c r="J30" i="20"/>
  <c r="J13" i="20"/>
  <c r="J25" i="20"/>
  <c r="J38" i="20"/>
  <c r="J32" i="20"/>
  <c r="K46" i="20" l="1"/>
  <c r="K37" i="20"/>
  <c r="K15" i="20"/>
  <c r="K45" i="20"/>
  <c r="K31" i="20"/>
  <c r="K32" i="20"/>
  <c r="K7" i="20"/>
  <c r="K17" i="20"/>
  <c r="K18" i="20"/>
  <c r="K28" i="20"/>
  <c r="K10" i="20"/>
  <c r="K24" i="20"/>
  <c r="K36" i="20"/>
  <c r="K8" i="20"/>
  <c r="K9" i="20"/>
  <c r="K35" i="20"/>
  <c r="K25" i="20"/>
  <c r="K13" i="20"/>
  <c r="K26" i="20"/>
  <c r="K39" i="20"/>
  <c r="K14" i="20"/>
  <c r="K29" i="20"/>
  <c r="K27" i="20"/>
  <c r="K44" i="20"/>
  <c r="K19" i="20"/>
  <c r="K11" i="20"/>
  <c r="K38" i="20"/>
  <c r="L3" i="20"/>
  <c r="L16" i="20" s="1"/>
  <c r="K5" i="20"/>
  <c r="K34" i="20"/>
  <c r="K30" i="20"/>
  <c r="L37" i="20" l="1"/>
  <c r="L15" i="20"/>
  <c r="L32" i="20"/>
  <c r="L31" i="20"/>
  <c r="L25" i="20"/>
  <c r="L17" i="20"/>
  <c r="L35" i="20"/>
  <c r="L44" i="20"/>
  <c r="L39" i="20"/>
  <c r="L34" i="20"/>
  <c r="L7" i="20"/>
  <c r="L36" i="20"/>
  <c r="L13" i="20"/>
  <c r="L26" i="20"/>
  <c r="L9" i="20"/>
  <c r="L45" i="20"/>
  <c r="L5" i="20"/>
  <c r="L27" i="20"/>
  <c r="L10" i="20"/>
  <c r="L46" i="20"/>
  <c r="L11" i="20"/>
  <c r="L18" i="20"/>
  <c r="L38" i="20"/>
  <c r="M3" i="20"/>
  <c r="L19" i="20"/>
  <c r="L28" i="20"/>
  <c r="L8" i="20"/>
  <c r="L14" i="20"/>
  <c r="L24" i="20"/>
  <c r="L29" i="20"/>
  <c r="L30" i="20"/>
  <c r="M15" i="20" l="1"/>
  <c r="M16" i="20"/>
  <c r="M7" i="20"/>
  <c r="M37" i="20"/>
  <c r="M24" i="20"/>
  <c r="M35" i="20"/>
  <c r="M31" i="20"/>
  <c r="M34" i="20"/>
  <c r="M17" i="20"/>
  <c r="M25" i="20"/>
  <c r="M10" i="20"/>
  <c r="M27" i="20"/>
  <c r="M8" i="20"/>
  <c r="M11" i="20"/>
  <c r="M32" i="20"/>
  <c r="M13" i="20"/>
  <c r="M36" i="20"/>
  <c r="M14" i="20"/>
  <c r="M38" i="20"/>
  <c r="M39" i="20"/>
  <c r="M5" i="20"/>
  <c r="M19" i="20"/>
  <c r="M45" i="20"/>
  <c r="N3" i="20"/>
  <c r="N16" i="20" s="1"/>
  <c r="M28" i="20"/>
  <c r="M26" i="20"/>
  <c r="M44" i="20"/>
  <c r="M29" i="20"/>
  <c r="M30" i="20"/>
  <c r="M46" i="20"/>
  <c r="M9" i="20"/>
  <c r="M18" i="20"/>
  <c r="N37" i="20" l="1"/>
  <c r="N15" i="20"/>
  <c r="N45" i="20"/>
  <c r="N31" i="20"/>
  <c r="N32" i="20"/>
  <c r="N46" i="20"/>
  <c r="N13" i="20"/>
  <c r="N10" i="20"/>
  <c r="N34" i="20"/>
  <c r="N29" i="20"/>
  <c r="N30" i="20"/>
  <c r="N9" i="20"/>
  <c r="N35" i="20"/>
  <c r="N5" i="20"/>
  <c r="N19" i="20"/>
  <c r="N36" i="20"/>
  <c r="N11" i="20"/>
  <c r="O3" i="20"/>
  <c r="O16" i="20" s="1"/>
  <c r="N25" i="20"/>
  <c r="N39" i="20"/>
  <c r="N18" i="20"/>
  <c r="N14" i="20"/>
  <c r="N24" i="20"/>
  <c r="N38" i="20"/>
  <c r="N7" i="20"/>
  <c r="N17" i="20"/>
  <c r="N26" i="20"/>
  <c r="N44" i="20"/>
  <c r="N8" i="20"/>
  <c r="N28" i="20"/>
  <c r="N27" i="20"/>
  <c r="O37" i="20" l="1"/>
  <c r="O15" i="20"/>
  <c r="O38" i="20"/>
  <c r="O31" i="20"/>
  <c r="P3" i="20"/>
  <c r="P16" i="20" s="1"/>
  <c r="O19" i="20"/>
  <c r="O5" i="20"/>
  <c r="O24" i="20"/>
  <c r="O46" i="20"/>
  <c r="O36" i="20"/>
  <c r="O45" i="20"/>
  <c r="O14" i="20"/>
  <c r="O8" i="20"/>
  <c r="O34" i="20"/>
  <c r="O39" i="20"/>
  <c r="O29" i="20"/>
  <c r="O7" i="20"/>
  <c r="O32" i="20"/>
  <c r="O26" i="20"/>
  <c r="O9" i="20"/>
  <c r="O27" i="20"/>
  <c r="O10" i="20"/>
  <c r="O30" i="20"/>
  <c r="O17" i="20"/>
  <c r="O35" i="20"/>
  <c r="O28" i="20"/>
  <c r="O25" i="20"/>
  <c r="O44" i="20"/>
  <c r="O11" i="20"/>
  <c r="O13" i="20"/>
  <c r="O18" i="20"/>
  <c r="P19" i="20" l="1"/>
  <c r="P30" i="20"/>
  <c r="P39" i="20"/>
  <c r="P7" i="20"/>
  <c r="P28" i="20"/>
  <c r="P29" i="20"/>
  <c r="P15" i="20"/>
  <c r="P44" i="20"/>
  <c r="P11" i="20"/>
  <c r="P32" i="20"/>
  <c r="P37" i="20"/>
  <c r="P8" i="20"/>
  <c r="P36" i="20"/>
  <c r="P17" i="20"/>
  <c r="P5" i="20"/>
  <c r="P26" i="20"/>
  <c r="P9" i="20"/>
  <c r="P25" i="20"/>
  <c r="P46" i="20"/>
  <c r="Q3" i="20"/>
  <c r="Q16" i="20" s="1"/>
  <c r="P27" i="20"/>
  <c r="P14" i="20"/>
  <c r="P34" i="20"/>
  <c r="P35" i="20"/>
  <c r="P31" i="20"/>
  <c r="P2" i="20"/>
  <c r="P13" i="20"/>
  <c r="P24" i="20"/>
  <c r="P38" i="20"/>
  <c r="P45" i="20"/>
  <c r="P10" i="20"/>
  <c r="P18" i="20"/>
  <c r="Q27" i="20" l="1"/>
  <c r="Q15" i="20"/>
  <c r="Q32" i="20"/>
  <c r="Q35" i="20"/>
  <c r="Q31" i="20"/>
  <c r="Q37" i="20"/>
  <c r="Q26" i="20"/>
  <c r="R3" i="20"/>
  <c r="R16" i="20" s="1"/>
  <c r="Q7" i="20"/>
  <c r="Q11" i="20"/>
  <c r="Q13" i="20"/>
  <c r="Q17" i="20"/>
  <c r="Q18" i="20"/>
  <c r="Q34" i="20"/>
  <c r="Q14" i="20"/>
  <c r="Q38" i="20"/>
  <c r="Q30" i="20"/>
  <c r="Q25" i="20"/>
  <c r="Q5" i="20"/>
  <c r="Q36" i="20"/>
  <c r="Q19" i="20"/>
  <c r="Q9" i="20"/>
  <c r="Q39" i="20"/>
  <c r="Q45" i="20"/>
  <c r="Q29" i="20"/>
  <c r="Q8" i="20"/>
  <c r="Q24" i="20"/>
  <c r="Q44" i="20"/>
  <c r="Q10" i="20"/>
  <c r="Q28" i="20"/>
  <c r="Q46" i="20"/>
  <c r="R32" i="20" l="1"/>
  <c r="R8" i="20"/>
  <c r="R15" i="20"/>
  <c r="R31" i="20"/>
  <c r="R37" i="20"/>
  <c r="R38" i="20"/>
  <c r="R18" i="20"/>
  <c r="R39" i="20"/>
  <c r="R5" i="20"/>
  <c r="R44" i="20"/>
  <c r="R10" i="20"/>
  <c r="R14" i="20"/>
  <c r="R45" i="20"/>
  <c r="R46" i="20"/>
  <c r="R26" i="20"/>
  <c r="R35" i="20"/>
  <c r="R19" i="20"/>
  <c r="R17" i="20"/>
  <c r="R7" i="20"/>
  <c r="R25" i="20"/>
  <c r="R28" i="20"/>
  <c r="R9" i="20"/>
  <c r="S3" i="20"/>
  <c r="S16" i="20" s="1"/>
  <c r="R29" i="20"/>
  <c r="R27" i="20"/>
  <c r="R11" i="20"/>
  <c r="R24" i="20"/>
  <c r="R36" i="20"/>
  <c r="R30" i="20"/>
  <c r="S32" i="20" l="1"/>
  <c r="S15" i="20"/>
  <c r="S30" i="20"/>
  <c r="S31" i="20"/>
  <c r="S37" i="20"/>
  <c r="S28" i="20"/>
  <c r="S45" i="20"/>
  <c r="S34" i="20"/>
  <c r="S8" i="20"/>
  <c r="S14" i="20"/>
  <c r="S29" i="20"/>
  <c r="S18" i="20"/>
  <c r="S19" i="20"/>
  <c r="S35" i="20"/>
  <c r="S24" i="20"/>
  <c r="S36" i="20"/>
  <c r="S9" i="20"/>
  <c r="S25" i="20"/>
  <c r="S38" i="20"/>
  <c r="S7" i="20"/>
  <c r="S26" i="20"/>
  <c r="S17" i="20"/>
  <c r="S46" i="20"/>
  <c r="S5" i="20"/>
  <c r="T3" i="20"/>
  <c r="T7" i="20" s="1"/>
  <c r="S10" i="20"/>
  <c r="S39" i="20"/>
  <c r="S13" i="20"/>
  <c r="S11" i="20"/>
  <c r="S27" i="20"/>
  <c r="S44" i="20"/>
  <c r="T27" i="20" l="1"/>
  <c r="T16" i="20"/>
  <c r="T46" i="20"/>
  <c r="T15" i="20"/>
  <c r="T39" i="20"/>
  <c r="T35" i="20"/>
  <c r="T29" i="20"/>
  <c r="T38" i="20"/>
  <c r="T34" i="20"/>
  <c r="U3" i="20"/>
  <c r="U16" i="20" s="1"/>
  <c r="T30" i="20"/>
  <c r="T14" i="20"/>
  <c r="T25" i="20"/>
  <c r="T24" i="20"/>
  <c r="T11" i="20"/>
  <c r="T36" i="20"/>
  <c r="T9" i="20"/>
  <c r="T13" i="20"/>
  <c r="T26" i="20"/>
  <c r="T28" i="20"/>
  <c r="T18" i="20"/>
  <c r="T31" i="20"/>
  <c r="T37" i="20"/>
  <c r="T5" i="20"/>
  <c r="T17" i="20"/>
  <c r="T44" i="20"/>
  <c r="T32" i="20"/>
  <c r="T10" i="20"/>
  <c r="T8" i="20"/>
  <c r="T19" i="20"/>
  <c r="T45" i="20"/>
  <c r="U44" i="20" l="1"/>
  <c r="U38" i="20"/>
  <c r="U15" i="20"/>
  <c r="V3" i="20"/>
  <c r="V45" i="20" s="1"/>
  <c r="U45" i="20"/>
  <c r="U46" i="20"/>
  <c r="U13" i="20"/>
  <c r="U30" i="20"/>
  <c r="U17" i="20"/>
  <c r="U25" i="20"/>
  <c r="U37" i="20"/>
  <c r="U5" i="20"/>
  <c r="U27" i="20"/>
  <c r="U14" i="20"/>
  <c r="U32" i="20"/>
  <c r="U10" i="20"/>
  <c r="U28" i="20"/>
  <c r="U34" i="20"/>
  <c r="U26" i="20"/>
  <c r="U11" i="20"/>
  <c r="U29" i="20"/>
  <c r="U39" i="20"/>
  <c r="U35" i="20"/>
  <c r="U31" i="20"/>
  <c r="U8" i="20"/>
  <c r="U19" i="20"/>
  <c r="U36" i="20"/>
  <c r="U7" i="20"/>
  <c r="U18" i="20"/>
  <c r="U9" i="20"/>
  <c r="U24" i="20"/>
  <c r="V18" i="20" l="1"/>
  <c r="V31" i="20"/>
  <c r="V29" i="20"/>
  <c r="V24" i="20"/>
  <c r="V35" i="20"/>
  <c r="V9" i="20"/>
  <c r="V44" i="20"/>
  <c r="V11" i="20"/>
  <c r="V14" i="20"/>
  <c r="V30" i="20"/>
  <c r="V5" i="20"/>
  <c r="V17" i="20"/>
  <c r="V46" i="20"/>
  <c r="V10" i="20"/>
  <c r="V26" i="20"/>
  <c r="V13" i="20"/>
  <c r="V28" i="20"/>
  <c r="W3" i="20"/>
  <c r="W37" i="20" s="1"/>
  <c r="V38" i="20"/>
  <c r="V34" i="20"/>
  <c r="V37" i="20"/>
  <c r="V7" i="20"/>
  <c r="V19" i="20"/>
  <c r="V36" i="20"/>
  <c r="V25" i="20"/>
  <c r="V39" i="20"/>
  <c r="V8" i="20"/>
  <c r="V32" i="20"/>
  <c r="V27" i="20"/>
  <c r="V15" i="20"/>
  <c r="V16" i="20"/>
  <c r="W30" i="20" l="1"/>
  <c r="W26" i="20"/>
  <c r="W31" i="20"/>
  <c r="W10" i="20"/>
  <c r="W44" i="20"/>
  <c r="W13" i="20"/>
  <c r="W2" i="20"/>
  <c r="W17" i="20"/>
  <c r="W39" i="20"/>
  <c r="W16" i="20"/>
  <c r="W14" i="20"/>
  <c r="X3" i="20"/>
  <c r="X46" i="20" s="1"/>
  <c r="W34" i="20"/>
  <c r="W28" i="20"/>
  <c r="W7" i="20"/>
  <c r="W38" i="20"/>
  <c r="W19" i="20"/>
  <c r="W46" i="20"/>
  <c r="W11" i="20"/>
  <c r="W36" i="20"/>
  <c r="W27" i="20"/>
  <c r="W45" i="20"/>
  <c r="W8" i="20"/>
  <c r="W24" i="20"/>
  <c r="W32" i="20"/>
  <c r="W5" i="20"/>
  <c r="W18" i="20"/>
  <c r="W15" i="20"/>
  <c r="W29" i="20"/>
  <c r="W9" i="20"/>
  <c r="W35" i="20"/>
  <c r="W25" i="20"/>
  <c r="X8" i="20" l="1"/>
  <c r="X10" i="20"/>
  <c r="X18" i="20"/>
  <c r="X19" i="20"/>
  <c r="X38" i="20"/>
  <c r="X37" i="20"/>
  <c r="X30" i="20"/>
  <c r="X34" i="20"/>
  <c r="X11" i="20"/>
  <c r="X36" i="20"/>
  <c r="X16" i="20"/>
  <c r="X15" i="20"/>
  <c r="X9" i="20"/>
  <c r="X17" i="20"/>
  <c r="X35" i="20"/>
  <c r="X31" i="20"/>
  <c r="Y3" i="20"/>
  <c r="Y45" i="20" s="1"/>
  <c r="X39" i="20"/>
  <c r="X44" i="20"/>
  <c r="X24" i="20"/>
  <c r="X14" i="20"/>
  <c r="X25" i="20"/>
  <c r="X5" i="20"/>
  <c r="X29" i="20"/>
  <c r="X26" i="20"/>
  <c r="X45" i="20"/>
  <c r="X13" i="20"/>
  <c r="X28" i="20"/>
  <c r="X7" i="20"/>
  <c r="X32" i="20"/>
  <c r="X27" i="20"/>
  <c r="Y27" i="20" l="1"/>
  <c r="Y32" i="20"/>
  <c r="Y13" i="20"/>
  <c r="Y29" i="20"/>
  <c r="Y46" i="20"/>
  <c r="Y30" i="20"/>
  <c r="Y5" i="20"/>
  <c r="Y16" i="20"/>
  <c r="Y11" i="20"/>
  <c r="Y18" i="20"/>
  <c r="Y17" i="20"/>
  <c r="Y37" i="20"/>
  <c r="Y14" i="20"/>
  <c r="Y26" i="20"/>
  <c r="Y36" i="20"/>
  <c r="Y31" i="20"/>
  <c r="Y34" i="20"/>
  <c r="Y15" i="20"/>
  <c r="Y25" i="20"/>
  <c r="Z3" i="20"/>
  <c r="Z29" i="20" s="1"/>
  <c r="Y8" i="20"/>
  <c r="Y28" i="20"/>
  <c r="Y39" i="20"/>
  <c r="Y24" i="20"/>
  <c r="Y9" i="20"/>
  <c r="Y38" i="20"/>
  <c r="Y44" i="20"/>
  <c r="Y7" i="20"/>
  <c r="Y19" i="20"/>
  <c r="Y10" i="20"/>
  <c r="Y35" i="20"/>
  <c r="Z7" i="20" l="1"/>
  <c r="Z13" i="20"/>
  <c r="Z14" i="20"/>
  <c r="Z36" i="20"/>
  <c r="Z38" i="20"/>
  <c r="Z30" i="20"/>
  <c r="Z32" i="20"/>
  <c r="Z5" i="20"/>
  <c r="Z37" i="20"/>
  <c r="Z8" i="20"/>
  <c r="Z39" i="20"/>
  <c r="Z24" i="20"/>
  <c r="Z26" i="20"/>
  <c r="Z44" i="20"/>
  <c r="Z31" i="20"/>
  <c r="Z16" i="20"/>
  <c r="Z18" i="20"/>
  <c r="Z10" i="20"/>
  <c r="AA3" i="20"/>
  <c r="AA16" i="20" s="1"/>
  <c r="Z45" i="20"/>
  <c r="Z34" i="20"/>
  <c r="Z17" i="20"/>
  <c r="Z46" i="20"/>
  <c r="Z15" i="20"/>
  <c r="Z19" i="20"/>
  <c r="Z9" i="20"/>
  <c r="Z25" i="20"/>
  <c r="Z28" i="20"/>
  <c r="Z11" i="20"/>
  <c r="Z27" i="20"/>
  <c r="Z35" i="20"/>
  <c r="AA30" i="20" l="1"/>
  <c r="AA13" i="20"/>
  <c r="AA9" i="20"/>
  <c r="AA11" i="20"/>
  <c r="AA5" i="20"/>
  <c r="AA10" i="20"/>
  <c r="AA19" i="20"/>
  <c r="AA26" i="20"/>
  <c r="AA28" i="20"/>
  <c r="AA27" i="20"/>
  <c r="AA15" i="20"/>
  <c r="AB3" i="20"/>
  <c r="AB31" i="20" s="1"/>
  <c r="AA17" i="20"/>
  <c r="AA29" i="20"/>
  <c r="AA14" i="20"/>
  <c r="AA18" i="20"/>
  <c r="AA32" i="20"/>
  <c r="AA36" i="20"/>
  <c r="AA7" i="20"/>
  <c r="AA24" i="20"/>
  <c r="AA8" i="20"/>
  <c r="AA25" i="20"/>
  <c r="AA38" i="20"/>
  <c r="AA34" i="20"/>
  <c r="AA35" i="20"/>
  <c r="AA39" i="20"/>
  <c r="AA44" i="20"/>
  <c r="AA46" i="20"/>
  <c r="AA31" i="20"/>
  <c r="AA37" i="20"/>
  <c r="AA45" i="20"/>
  <c r="AB35" i="20" l="1"/>
  <c r="AB18" i="20"/>
  <c r="AB27" i="20"/>
  <c r="AB25" i="20"/>
  <c r="AB7" i="20"/>
  <c r="AB36" i="20"/>
  <c r="AB28" i="20"/>
  <c r="AC3" i="20"/>
  <c r="AC32" i="20" s="1"/>
  <c r="AB32" i="20"/>
  <c r="AB11" i="20"/>
  <c r="AB14" i="20"/>
  <c r="AB16" i="20"/>
  <c r="AB13" i="20"/>
  <c r="AB26" i="20"/>
  <c r="AB39" i="20"/>
  <c r="AB15" i="20"/>
  <c r="AB5" i="20"/>
  <c r="AB34" i="20"/>
  <c r="AB38" i="20"/>
  <c r="AB29" i="20"/>
  <c r="AB10" i="20"/>
  <c r="AB17" i="20"/>
  <c r="AB46" i="20"/>
  <c r="AB30" i="20"/>
  <c r="AB9" i="20"/>
  <c r="AB19" i="20"/>
  <c r="AB44" i="20"/>
  <c r="AB37" i="20"/>
  <c r="AB8" i="20"/>
  <c r="AB24" i="20"/>
  <c r="AB45" i="20"/>
  <c r="AC15" i="20" l="1"/>
  <c r="AC26" i="20"/>
  <c r="AC8" i="20"/>
  <c r="AC35" i="20"/>
  <c r="AC9" i="20"/>
  <c r="AC10" i="20"/>
  <c r="AC37" i="20"/>
  <c r="AC36" i="20"/>
  <c r="AC38" i="20"/>
  <c r="AC11" i="20"/>
  <c r="AC39" i="20"/>
  <c r="AC19" i="20"/>
  <c r="AC24" i="20"/>
  <c r="AC31" i="20"/>
  <c r="AC25" i="20"/>
  <c r="AC16" i="20"/>
  <c r="AC44" i="20"/>
  <c r="AC13" i="20"/>
  <c r="AC14" i="20"/>
  <c r="AC28" i="20"/>
  <c r="AC17" i="20"/>
  <c r="AC29" i="20"/>
  <c r="AC46" i="20"/>
  <c r="AC30" i="20"/>
  <c r="AC27" i="20"/>
  <c r="AD3" i="20"/>
  <c r="AD46" i="20" s="1"/>
  <c r="AC45" i="20"/>
  <c r="AC5" i="20"/>
  <c r="AC7" i="20"/>
  <c r="AC18" i="20"/>
  <c r="AC34" i="20"/>
  <c r="AD28" i="20" l="1"/>
  <c r="AD44" i="20"/>
  <c r="AD39" i="20"/>
  <c r="AD9" i="20"/>
  <c r="AE3" i="20"/>
  <c r="AE16" i="20" s="1"/>
  <c r="AD30" i="20"/>
  <c r="AD19" i="20"/>
  <c r="AD37" i="20"/>
  <c r="AD24" i="20"/>
  <c r="AD31" i="20"/>
  <c r="AD7" i="20"/>
  <c r="AD27" i="20"/>
  <c r="AD11" i="20"/>
  <c r="AD34" i="20"/>
  <c r="AD8" i="20"/>
  <c r="AD35" i="20"/>
  <c r="AD13" i="20"/>
  <c r="AD25" i="20"/>
  <c r="AD36" i="20"/>
  <c r="AD16" i="20"/>
  <c r="AD10" i="20"/>
  <c r="AD14" i="20"/>
  <c r="AD26" i="20"/>
  <c r="AD38" i="20"/>
  <c r="AD15" i="20"/>
  <c r="AD5" i="20"/>
  <c r="AD17" i="20"/>
  <c r="AD32" i="20"/>
  <c r="AD45" i="20"/>
  <c r="AD2" i="20"/>
  <c r="AD18" i="20"/>
  <c r="AD29" i="20"/>
  <c r="AE14" i="20" l="1"/>
  <c r="AE11" i="20"/>
  <c r="AE44" i="20"/>
  <c r="AE7" i="20"/>
  <c r="AE18" i="20"/>
  <c r="AE5" i="20"/>
  <c r="AE19" i="20"/>
  <c r="AE25" i="20"/>
  <c r="AE26" i="20"/>
  <c r="AE15" i="20"/>
  <c r="AE29" i="20"/>
  <c r="AE36" i="20"/>
  <c r="AE39" i="20"/>
  <c r="AE46" i="20"/>
  <c r="AE30" i="20"/>
  <c r="AE32" i="20"/>
  <c r="AE13" i="20"/>
  <c r="AF3" i="20"/>
  <c r="AF16" i="20" s="1"/>
  <c r="AE24" i="20"/>
  <c r="AE45" i="20"/>
  <c r="AE8" i="20"/>
  <c r="AE34" i="20"/>
  <c r="AE27" i="20"/>
  <c r="AE37" i="20"/>
  <c r="AE9" i="20"/>
  <c r="AE38" i="20"/>
  <c r="AE28" i="20"/>
  <c r="AE31" i="20"/>
  <c r="AE10" i="20"/>
  <c r="AE17" i="20"/>
  <c r="AE35" i="20"/>
  <c r="AF32" i="20" l="1"/>
  <c r="AF37" i="20"/>
  <c r="AF35" i="20"/>
  <c r="AF14" i="20"/>
  <c r="AF7" i="20"/>
  <c r="AF30" i="20"/>
  <c r="AF18" i="20"/>
  <c r="AF8" i="20"/>
  <c r="AF19" i="20"/>
  <c r="AF38" i="20"/>
  <c r="AF15" i="20"/>
  <c r="AF9" i="20"/>
  <c r="AF25" i="20"/>
  <c r="AF39" i="20"/>
  <c r="AF11" i="20"/>
  <c r="AF26" i="20"/>
  <c r="AF44" i="20"/>
  <c r="AF29" i="20"/>
  <c r="AF27" i="20"/>
  <c r="AF45" i="20"/>
  <c r="AF13" i="20"/>
  <c r="AG3" i="20"/>
  <c r="AG15" i="20" s="1"/>
  <c r="AF28" i="20"/>
  <c r="AF46" i="20"/>
  <c r="AF5" i="20"/>
  <c r="AF17" i="20"/>
  <c r="AF34" i="20"/>
  <c r="AF31" i="20"/>
  <c r="AF10" i="20"/>
  <c r="AF24" i="20"/>
  <c r="AF36" i="20"/>
  <c r="AH3" i="20" l="1"/>
  <c r="AH37" i="20" s="1"/>
  <c r="AG17" i="20"/>
  <c r="AG7" i="20"/>
  <c r="AG8" i="20"/>
  <c r="AG18" i="20"/>
  <c r="AG26" i="20"/>
  <c r="AG39" i="20"/>
  <c r="AG44" i="20"/>
  <c r="AG45" i="20"/>
  <c r="AG25" i="20"/>
  <c r="AG36" i="20"/>
  <c r="AG28" i="20"/>
  <c r="AG10" i="20"/>
  <c r="AG29" i="20"/>
  <c r="AG46" i="20"/>
  <c r="AG9" i="20"/>
  <c r="AG24" i="20"/>
  <c r="AG11" i="20"/>
  <c r="AG34" i="20"/>
  <c r="AG37" i="20"/>
  <c r="AG13" i="20"/>
  <c r="AG19" i="20"/>
  <c r="AG30" i="20"/>
  <c r="AG31" i="20"/>
  <c r="AG14" i="20"/>
  <c r="AG27" i="20"/>
  <c r="AG38" i="20"/>
  <c r="AG16" i="20"/>
  <c r="AG5" i="20"/>
  <c r="AG32" i="20"/>
  <c r="AG35" i="20"/>
  <c r="AH31" i="20" l="1"/>
  <c r="AH5" i="20"/>
  <c r="AH17" i="20"/>
  <c r="AH14" i="20"/>
  <c r="AH26" i="20"/>
  <c r="AH8" i="20"/>
  <c r="AH16" i="20"/>
  <c r="AI3" i="20"/>
  <c r="AI37" i="20" s="1"/>
  <c r="AH28" i="20"/>
  <c r="AH34" i="20"/>
  <c r="AH11" i="20"/>
  <c r="AH36" i="20"/>
  <c r="AH24" i="20"/>
  <c r="AH44" i="20"/>
  <c r="AH13" i="20"/>
  <c r="AH45" i="20"/>
  <c r="AH10" i="20"/>
  <c r="AH27" i="20"/>
  <c r="AH29" i="20"/>
  <c r="AH25" i="20"/>
  <c r="AH18" i="20"/>
  <c r="AH46" i="20"/>
  <c r="AH15" i="20"/>
  <c r="AH7" i="20"/>
  <c r="AH35" i="20"/>
  <c r="AH38" i="20"/>
  <c r="AH32" i="20"/>
  <c r="AH30" i="20"/>
  <c r="AH9" i="20"/>
  <c r="AH19" i="20"/>
  <c r="AH39" i="20"/>
  <c r="AI15" i="20" l="1"/>
  <c r="AI14" i="20"/>
  <c r="AI19" i="20"/>
  <c r="AI8" i="20"/>
  <c r="AI25" i="20"/>
  <c r="AI45" i="20"/>
  <c r="AI9" i="20"/>
  <c r="AI29" i="20"/>
  <c r="AI30" i="20"/>
  <c r="AI7" i="20"/>
  <c r="AI16" i="20"/>
  <c r="AI32" i="20"/>
  <c r="AI36" i="20"/>
  <c r="AI11" i="20"/>
  <c r="AI35" i="20"/>
  <c r="AI28" i="20"/>
  <c r="AI17" i="20"/>
  <c r="AI38" i="20"/>
  <c r="AI13" i="20"/>
  <c r="AI24" i="20"/>
  <c r="AI46" i="20"/>
  <c r="AI31" i="20"/>
  <c r="AJ3" i="20"/>
  <c r="AJ16" i="20" s="1"/>
  <c r="AI10" i="20"/>
  <c r="AI26" i="20"/>
  <c r="AI39" i="20"/>
  <c r="AI27" i="20"/>
  <c r="AI44" i="20"/>
  <c r="AI5" i="20"/>
  <c r="AI18" i="20"/>
  <c r="AI34" i="20"/>
  <c r="AJ25" i="20" l="1"/>
  <c r="AJ44" i="20"/>
  <c r="AJ15" i="20"/>
  <c r="AJ11" i="20"/>
  <c r="AJ14" i="20"/>
  <c r="AJ24" i="20"/>
  <c r="AJ28" i="20"/>
  <c r="AJ13" i="20"/>
  <c r="AJ35" i="20"/>
  <c r="AJ29" i="20"/>
  <c r="AJ10" i="20"/>
  <c r="AJ39" i="20"/>
  <c r="AJ34" i="20"/>
  <c r="AJ32" i="20"/>
  <c r="AJ8" i="20"/>
  <c r="AJ26" i="20"/>
  <c r="AJ7" i="20"/>
  <c r="AJ36" i="20"/>
  <c r="AJ27" i="20"/>
  <c r="AJ30" i="20"/>
  <c r="AJ9" i="20"/>
  <c r="AJ17" i="20"/>
  <c r="AJ46" i="20"/>
  <c r="AJ37" i="20"/>
  <c r="AJ5" i="20"/>
  <c r="AJ18" i="20"/>
  <c r="AJ38" i="20"/>
  <c r="AJ31" i="20"/>
  <c r="AK3" i="20"/>
  <c r="AK37" i="20" s="1"/>
  <c r="AJ19" i="20"/>
  <c r="AJ45" i="20"/>
  <c r="AK26" i="20" l="1"/>
  <c r="AL3" i="20"/>
  <c r="AL31" i="20" s="1"/>
  <c r="AK36" i="20"/>
  <c r="AK5" i="20"/>
  <c r="AK46" i="20"/>
  <c r="AK38" i="20"/>
  <c r="AK31" i="20"/>
  <c r="AK17" i="20"/>
  <c r="AK15" i="20"/>
  <c r="AK30" i="20"/>
  <c r="AK9" i="20"/>
  <c r="AK10" i="20"/>
  <c r="AK24" i="20"/>
  <c r="AK11" i="20"/>
  <c r="AK39" i="20"/>
  <c r="AK25" i="20"/>
  <c r="AK16" i="20"/>
  <c r="AK13" i="20"/>
  <c r="AK14" i="20"/>
  <c r="AK27" i="20"/>
  <c r="AK44" i="20"/>
  <c r="AK2" i="20"/>
  <c r="AK28" i="20"/>
  <c r="AK29" i="20"/>
  <c r="AK45" i="20"/>
  <c r="AK7" i="20"/>
  <c r="AK18" i="20"/>
  <c r="AK34" i="20"/>
  <c r="AK32" i="20"/>
  <c r="AK8" i="20"/>
  <c r="AK19" i="20"/>
  <c r="AK35" i="20"/>
  <c r="AL36" i="20" l="1"/>
  <c r="AL16" i="20"/>
  <c r="AL13" i="20"/>
  <c r="AL24" i="20"/>
  <c r="AL14" i="20"/>
  <c r="AL38" i="20"/>
  <c r="AM3" i="20"/>
  <c r="AM45" i="20" s="1"/>
  <c r="AL26" i="20"/>
  <c r="AL39" i="20"/>
  <c r="AL11" i="20"/>
  <c r="AL28" i="20"/>
  <c r="AL5" i="20"/>
  <c r="AL32" i="20"/>
  <c r="AL27" i="20"/>
  <c r="AL44" i="20"/>
  <c r="AL8" i="20"/>
  <c r="AL29" i="20"/>
  <c r="AL45" i="20"/>
  <c r="AL10" i="20"/>
  <c r="AL17" i="20"/>
  <c r="AL30" i="20"/>
  <c r="AL46" i="20"/>
  <c r="AL25" i="20"/>
  <c r="AL15" i="20"/>
  <c r="AL7" i="20"/>
  <c r="AL18" i="20"/>
  <c r="AL34" i="20"/>
  <c r="AL37" i="20"/>
  <c r="AL9" i="20"/>
  <c r="AL19" i="20"/>
  <c r="AL35" i="20"/>
  <c r="AM15" i="20" l="1"/>
  <c r="AM35" i="20"/>
  <c r="AN3" i="20"/>
  <c r="AN16" i="20" s="1"/>
  <c r="AM36" i="20"/>
  <c r="AM31" i="20"/>
  <c r="AM26" i="20"/>
  <c r="AM29" i="20"/>
  <c r="AM18" i="20"/>
  <c r="AM14" i="20"/>
  <c r="AM27" i="20"/>
  <c r="AM8" i="20"/>
  <c r="AM9" i="20"/>
  <c r="AM32" i="20"/>
  <c r="AM5" i="20"/>
  <c r="AM39" i="20"/>
  <c r="AM38" i="20"/>
  <c r="AM7" i="20"/>
  <c r="AM28" i="20"/>
  <c r="AM44" i="20"/>
  <c r="AM46" i="20"/>
  <c r="AM19" i="20"/>
  <c r="AM11" i="20"/>
  <c r="AM25" i="20"/>
  <c r="AM37" i="20"/>
  <c r="AM10" i="20"/>
  <c r="AM17" i="20"/>
  <c r="AM34" i="20"/>
  <c r="AM16" i="20"/>
  <c r="AM13" i="20"/>
  <c r="AM30" i="20"/>
  <c r="AM24" i="20"/>
  <c r="AO3" i="20" l="1"/>
  <c r="AO31" i="20" s="1"/>
  <c r="AN13" i="20"/>
  <c r="AN37" i="20"/>
  <c r="AN14" i="20"/>
  <c r="AN17" i="20"/>
  <c r="AN34" i="20"/>
  <c r="AN30" i="20"/>
  <c r="AN26" i="20"/>
  <c r="AN25" i="20"/>
  <c r="AN39" i="20"/>
  <c r="AN7" i="20"/>
  <c r="AN8" i="20"/>
  <c r="AN44" i="20"/>
  <c r="AN11" i="20"/>
  <c r="AN24" i="20"/>
  <c r="AN38" i="20"/>
  <c r="AN15" i="20"/>
  <c r="AN5" i="20"/>
  <c r="AN32" i="20"/>
  <c r="AN27" i="20"/>
  <c r="AN45" i="20"/>
  <c r="AN28" i="20"/>
  <c r="AN29" i="20"/>
  <c r="AN46" i="20"/>
  <c r="AN9" i="20"/>
  <c r="AN18" i="20"/>
  <c r="AN35" i="20"/>
  <c r="AN31" i="20"/>
  <c r="AN10" i="20"/>
  <c r="AN19" i="20"/>
  <c r="AN36" i="20"/>
  <c r="AO5" i="20" l="1"/>
  <c r="AO28" i="20"/>
  <c r="AO11" i="20"/>
  <c r="AO8" i="20"/>
  <c r="AO46" i="20"/>
  <c r="AO9" i="20"/>
  <c r="AO18" i="20"/>
  <c r="AO19" i="20"/>
  <c r="AO26" i="20"/>
  <c r="AO27" i="20"/>
  <c r="AO25" i="20"/>
  <c r="AO35" i="20"/>
  <c r="AO13" i="20"/>
  <c r="AO36" i="20"/>
  <c r="AP3" i="20"/>
  <c r="AP15" i="20" s="1"/>
  <c r="AO7" i="20"/>
  <c r="AO30" i="20"/>
  <c r="AO16" i="20"/>
  <c r="AO17" i="20"/>
  <c r="AO10" i="20"/>
  <c r="AO32" i="20"/>
  <c r="AO38" i="20"/>
  <c r="AO24" i="20"/>
  <c r="AO39" i="20"/>
  <c r="AO44" i="20"/>
  <c r="AO14" i="20"/>
  <c r="AO29" i="20"/>
  <c r="AO34" i="20"/>
  <c r="AO15" i="20"/>
  <c r="AO45" i="20"/>
  <c r="AO37" i="20"/>
  <c r="AP18" i="20" l="1"/>
  <c r="AP26" i="20"/>
  <c r="AP28" i="20"/>
  <c r="AP30" i="20"/>
  <c r="AP34" i="20"/>
  <c r="AP11" i="20"/>
  <c r="AP32" i="20"/>
  <c r="AP7" i="20"/>
  <c r="AP13" i="20"/>
  <c r="AP25" i="20"/>
  <c r="AP14" i="20"/>
  <c r="AP36" i="20"/>
  <c r="AP27" i="20"/>
  <c r="AP38" i="20"/>
  <c r="AP5" i="20"/>
  <c r="AP17" i="20"/>
  <c r="AP35" i="20"/>
  <c r="AP29" i="20"/>
  <c r="AP39" i="20"/>
  <c r="AP37" i="20"/>
  <c r="AP9" i="20"/>
  <c r="AP24" i="20"/>
  <c r="AP44" i="20"/>
  <c r="AP31" i="20"/>
  <c r="AP8" i="20"/>
  <c r="AQ3" i="20"/>
  <c r="AQ15" i="20" s="1"/>
  <c r="AP45" i="20"/>
  <c r="AP16" i="20"/>
  <c r="AP10" i="20"/>
  <c r="AP19" i="20"/>
  <c r="AP46" i="20"/>
  <c r="AQ26" i="20" l="1"/>
  <c r="AQ10" i="20"/>
  <c r="AQ38" i="20"/>
  <c r="AQ27" i="20"/>
  <c r="AR3" i="20"/>
  <c r="AR16" i="20" s="1"/>
  <c r="AQ9" i="20"/>
  <c r="AQ39" i="20"/>
  <c r="AQ11" i="20"/>
  <c r="AQ8" i="20"/>
  <c r="AQ25" i="20"/>
  <c r="AQ36" i="20"/>
  <c r="AQ13" i="20"/>
  <c r="AQ14" i="20"/>
  <c r="AQ17" i="20"/>
  <c r="AQ32" i="20"/>
  <c r="AQ45" i="20"/>
  <c r="AQ30" i="20"/>
  <c r="AQ44" i="20"/>
  <c r="AQ29" i="20"/>
  <c r="AQ18" i="20"/>
  <c r="AQ28" i="20"/>
  <c r="AQ5" i="20"/>
  <c r="AQ34" i="20"/>
  <c r="AQ19" i="20"/>
  <c r="AQ7" i="20"/>
  <c r="AQ24" i="20"/>
  <c r="AQ35" i="20"/>
  <c r="AQ46" i="20"/>
  <c r="AQ37" i="20"/>
  <c r="AQ31" i="20"/>
  <c r="AQ16" i="20"/>
  <c r="AR30" i="20" l="1"/>
  <c r="AR9" i="20"/>
  <c r="AR5" i="20"/>
  <c r="AR8" i="20"/>
  <c r="AR44" i="20"/>
  <c r="AR34" i="20"/>
  <c r="AR24" i="20"/>
  <c r="AR25" i="20"/>
  <c r="AR26" i="20"/>
  <c r="AR15" i="20"/>
  <c r="AR11" i="20"/>
  <c r="AR27" i="20"/>
  <c r="AR13" i="20"/>
  <c r="AR45" i="20"/>
  <c r="AR14" i="20"/>
  <c r="AR28" i="20"/>
  <c r="AR29" i="20"/>
  <c r="AR38" i="20"/>
  <c r="AR39" i="20"/>
  <c r="AR10" i="20"/>
  <c r="AR37" i="20"/>
  <c r="AR2" i="20"/>
  <c r="AR32" i="20"/>
  <c r="AR17" i="20"/>
  <c r="AR18" i="20"/>
  <c r="AR31" i="20"/>
  <c r="AR36" i="20"/>
  <c r="AR7" i="20"/>
  <c r="AR35" i="20"/>
  <c r="AS3" i="20"/>
  <c r="AS15" i="20" s="1"/>
  <c r="AR19" i="20"/>
  <c r="AR46" i="20"/>
  <c r="AS13" i="20" l="1"/>
  <c r="AS29" i="20"/>
  <c r="AS46" i="20"/>
  <c r="AS14" i="20"/>
  <c r="AS27" i="20"/>
  <c r="AT3" i="20"/>
  <c r="AT16" i="20" s="1"/>
  <c r="AS30" i="20"/>
  <c r="AS5" i="20"/>
  <c r="AS44" i="20"/>
  <c r="AS26" i="20"/>
  <c r="AS7" i="20"/>
  <c r="AS45" i="20"/>
  <c r="AS8" i="20"/>
  <c r="AS18" i="20"/>
  <c r="AS19" i="20"/>
  <c r="AS31" i="20"/>
  <c r="AS17" i="20"/>
  <c r="AS34" i="20"/>
  <c r="AS32" i="20"/>
  <c r="AS9" i="20"/>
  <c r="AS37" i="20"/>
  <c r="AS11" i="20"/>
  <c r="AS38" i="20"/>
  <c r="AS16" i="20"/>
  <c r="AS35" i="20"/>
  <c r="AS10" i="20"/>
  <c r="AS36" i="20"/>
  <c r="AS24" i="20"/>
  <c r="AS28" i="20"/>
  <c r="AS25" i="20"/>
  <c r="AS39" i="20"/>
  <c r="AT15" i="20" l="1"/>
  <c r="AU3" i="20"/>
  <c r="AU37" i="20" s="1"/>
  <c r="AT14" i="20"/>
  <c r="AT24" i="20"/>
  <c r="AT36" i="20"/>
  <c r="AT26" i="20"/>
  <c r="AT38" i="20"/>
  <c r="AT25" i="20"/>
  <c r="AT9" i="20"/>
  <c r="AT13" i="20"/>
  <c r="AT39" i="20"/>
  <c r="AT5" i="20"/>
  <c r="AT28" i="20"/>
  <c r="AT30" i="20"/>
  <c r="AT7" i="20"/>
  <c r="AT27" i="20"/>
  <c r="AT44" i="20"/>
  <c r="AT17" i="20"/>
  <c r="AT32" i="20"/>
  <c r="AT46" i="20"/>
  <c r="AT8" i="20"/>
  <c r="AT18" i="20"/>
  <c r="AT34" i="20"/>
  <c r="AT37" i="20"/>
  <c r="AT29" i="20"/>
  <c r="AT45" i="20"/>
  <c r="AT11" i="20"/>
  <c r="AT10" i="20"/>
  <c r="AT19" i="20"/>
  <c r="AT35" i="20"/>
  <c r="AT31" i="20"/>
  <c r="AU9" i="20" l="1"/>
  <c r="AU24" i="20"/>
  <c r="AU5" i="20"/>
  <c r="AU11" i="20"/>
  <c r="AU27" i="20"/>
  <c r="AU45" i="20"/>
  <c r="AU34" i="20"/>
  <c r="AU17" i="20"/>
  <c r="AU14" i="20"/>
  <c r="AU38" i="20"/>
  <c r="AU31" i="20"/>
  <c r="AU13" i="20"/>
  <c r="AU39" i="20"/>
  <c r="AU15" i="20"/>
  <c r="AU7" i="20"/>
  <c r="AU19" i="20"/>
  <c r="AU28" i="20"/>
  <c r="AU35" i="20"/>
  <c r="AU10" i="20"/>
  <c r="AU36" i="20"/>
  <c r="AU30" i="20"/>
  <c r="AU16" i="20"/>
  <c r="AV3" i="20"/>
  <c r="AV46" i="20" s="1"/>
  <c r="AU18" i="20"/>
  <c r="AU44" i="20"/>
  <c r="AU46" i="20"/>
  <c r="AU25" i="20"/>
  <c r="AU32" i="20"/>
  <c r="AU8" i="20"/>
  <c r="AU29" i="20"/>
  <c r="AU26" i="20"/>
  <c r="AV39" i="20" l="1"/>
  <c r="AV5" i="20"/>
  <c r="AV18" i="20"/>
  <c r="AW3" i="20"/>
  <c r="AW37" i="20" s="1"/>
  <c r="AV30" i="20"/>
  <c r="AV29" i="20"/>
  <c r="AV16" i="20"/>
  <c r="AV17" i="20"/>
  <c r="AV15" i="20"/>
  <c r="AV13" i="20"/>
  <c r="AV26" i="20"/>
  <c r="AV7" i="20"/>
  <c r="AV32" i="20"/>
  <c r="AV8" i="20"/>
  <c r="AV34" i="20"/>
  <c r="AV14" i="20"/>
  <c r="AV28" i="20"/>
  <c r="AV27" i="20"/>
  <c r="AV31" i="20"/>
  <c r="AV35" i="20"/>
  <c r="AV9" i="20"/>
  <c r="AV10" i="20"/>
  <c r="AV24" i="20"/>
  <c r="AV36" i="20"/>
  <c r="AV19" i="20"/>
  <c r="AV11" i="20"/>
  <c r="AV25" i="20"/>
  <c r="AV38" i="20"/>
  <c r="AV45" i="20"/>
  <c r="AV44" i="20"/>
  <c r="AV37" i="20"/>
  <c r="AW26" i="20" l="1"/>
  <c r="AW11" i="20"/>
  <c r="AW36" i="20"/>
  <c r="AX3" i="20"/>
  <c r="AX30" i="20" s="1"/>
  <c r="AW27" i="20"/>
  <c r="AW31" i="20"/>
  <c r="AW14" i="20"/>
  <c r="AW9" i="20"/>
  <c r="AW25" i="20"/>
  <c r="AW45" i="20"/>
  <c r="AW34" i="20"/>
  <c r="AW8" i="20"/>
  <c r="AW29" i="20"/>
  <c r="AW15" i="20"/>
  <c r="AW35" i="20"/>
  <c r="AW30" i="20"/>
  <c r="AW17" i="20"/>
  <c r="AW39" i="20"/>
  <c r="AW13" i="20"/>
  <c r="AW24" i="20"/>
  <c r="AW46" i="20"/>
  <c r="AW5" i="20"/>
  <c r="AW38" i="20"/>
  <c r="AW16" i="20"/>
  <c r="AW19" i="20"/>
  <c r="AW7" i="20"/>
  <c r="AW32" i="20"/>
  <c r="AW44" i="20"/>
  <c r="AW18" i="20"/>
  <c r="AW10" i="20"/>
  <c r="AW28" i="20"/>
  <c r="AX38" i="20" l="1"/>
  <c r="AX14" i="20"/>
  <c r="AX19" i="20"/>
  <c r="AX32" i="20"/>
  <c r="AX31" i="20"/>
  <c r="AX27" i="20"/>
  <c r="AX35" i="20"/>
  <c r="AX45" i="20"/>
  <c r="AX16" i="20"/>
  <c r="AX11" i="20"/>
  <c r="AX17" i="20"/>
  <c r="AX39" i="20"/>
  <c r="AX37" i="20"/>
  <c r="AX25" i="20"/>
  <c r="AX8" i="20"/>
  <c r="AX46" i="20"/>
  <c r="AX7" i="20"/>
  <c r="AX18" i="20"/>
  <c r="AX24" i="20"/>
  <c r="AX28" i="20"/>
  <c r="AX44" i="20"/>
  <c r="AY3" i="20"/>
  <c r="AY45" i="20" s="1"/>
  <c r="AX15" i="20"/>
  <c r="AX26" i="20"/>
  <c r="AX29" i="20"/>
  <c r="AX9" i="20"/>
  <c r="AX10" i="20"/>
  <c r="AX34" i="20"/>
  <c r="AX5" i="20"/>
  <c r="AX13" i="20"/>
  <c r="AX36" i="20"/>
  <c r="AY16" i="20" l="1"/>
  <c r="AY46" i="20"/>
  <c r="AY15" i="20"/>
  <c r="AZ3" i="20"/>
  <c r="AZ30" i="20" s="1"/>
  <c r="AY2" i="20"/>
  <c r="AY8" i="20"/>
  <c r="AY14" i="20"/>
  <c r="AY11" i="20"/>
  <c r="AY9" i="20"/>
  <c r="AY17" i="20"/>
  <c r="AY24" i="20"/>
  <c r="AY25" i="20"/>
  <c r="AY29" i="20"/>
  <c r="AY36" i="20"/>
  <c r="AY38" i="20"/>
  <c r="AY27" i="20"/>
  <c r="AY44" i="20"/>
  <c r="AY5" i="20"/>
  <c r="AY18" i="20"/>
  <c r="AY34" i="20"/>
  <c r="AY37" i="20"/>
  <c r="AY7" i="20"/>
  <c r="AY19" i="20"/>
  <c r="AY35" i="20"/>
  <c r="AY31" i="20"/>
  <c r="AY30" i="20"/>
  <c r="AY10" i="20"/>
  <c r="AY26" i="20"/>
  <c r="AY39" i="20"/>
  <c r="AY13" i="20"/>
  <c r="AY32" i="20"/>
  <c r="AY28" i="20"/>
  <c r="AZ36" i="20" l="1"/>
  <c r="AZ16" i="20"/>
  <c r="AZ11" i="20"/>
  <c r="AZ17" i="20"/>
  <c r="AZ19" i="20"/>
  <c r="AZ14" i="20"/>
  <c r="AZ25" i="20"/>
  <c r="BA3" i="20"/>
  <c r="BA45" i="20" s="1"/>
  <c r="AZ34" i="20"/>
  <c r="AZ10" i="20"/>
  <c r="AZ38" i="20"/>
  <c r="AZ13" i="20"/>
  <c r="AZ28" i="20"/>
  <c r="AZ32" i="20"/>
  <c r="AZ15" i="20"/>
  <c r="AZ44" i="20"/>
  <c r="AZ46" i="20"/>
  <c r="AZ5" i="20"/>
  <c r="AZ24" i="20"/>
  <c r="AZ37" i="20"/>
  <c r="AZ8" i="20"/>
  <c r="AZ18" i="20"/>
  <c r="AZ39" i="20"/>
  <c r="AZ31" i="20"/>
  <c r="AZ45" i="20"/>
  <c r="AZ26" i="20"/>
  <c r="AZ29" i="20"/>
  <c r="AZ7" i="20"/>
  <c r="AZ9" i="20"/>
  <c r="AZ35" i="20"/>
  <c r="AZ27" i="20"/>
  <c r="BA15" i="20" l="1"/>
  <c r="BA24" i="20"/>
  <c r="BA35" i="20"/>
  <c r="BA32" i="20"/>
  <c r="BA8" i="20"/>
  <c r="BA30" i="20"/>
  <c r="BA9" i="20"/>
  <c r="BA39" i="20"/>
  <c r="BA10" i="20"/>
  <c r="BA46" i="20"/>
  <c r="BA19" i="20"/>
  <c r="BA37" i="20"/>
  <c r="BA25" i="20"/>
  <c r="BA7" i="20"/>
  <c r="BA28" i="20"/>
  <c r="BA11" i="20"/>
  <c r="BA34" i="20"/>
  <c r="BA31" i="20"/>
  <c r="BA17" i="20"/>
  <c r="BA36" i="20"/>
  <c r="BA5" i="20"/>
  <c r="BA18" i="20"/>
  <c r="BA38" i="20"/>
  <c r="BA16" i="20"/>
  <c r="BB3" i="20"/>
  <c r="BB15" i="20" s="1"/>
  <c r="BA44" i="20"/>
  <c r="BA29" i="20"/>
  <c r="BA26" i="20"/>
  <c r="BA13" i="20"/>
  <c r="BA14" i="20"/>
  <c r="BA27" i="20"/>
  <c r="BB10" i="20" l="1"/>
  <c r="BC3" i="20"/>
  <c r="BC16" i="20" s="1"/>
  <c r="BB17" i="20"/>
  <c r="BB36" i="20"/>
  <c r="BB29" i="20"/>
  <c r="BB44" i="20"/>
  <c r="BB32" i="20"/>
  <c r="BB7" i="20"/>
  <c r="BB19" i="20"/>
  <c r="BB8" i="20"/>
  <c r="BB26" i="20"/>
  <c r="BB5" i="20"/>
  <c r="BB27" i="20"/>
  <c r="BB13" i="20"/>
  <c r="BB34" i="20"/>
  <c r="BB45" i="20"/>
  <c r="BB37" i="20"/>
  <c r="BB16" i="20"/>
  <c r="BB25" i="20"/>
  <c r="BB39" i="20"/>
  <c r="BB9" i="20"/>
  <c r="BB30" i="20"/>
  <c r="BB28" i="20"/>
  <c r="BB46" i="20"/>
  <c r="BB11" i="20"/>
  <c r="BB18" i="20"/>
  <c r="BB35" i="20"/>
  <c r="BB31" i="20"/>
  <c r="BB14" i="20"/>
  <c r="BB24" i="20"/>
  <c r="BB38" i="20"/>
  <c r="BC26" i="20" l="1"/>
  <c r="BC13" i="20"/>
  <c r="BC8" i="20"/>
  <c r="BC36" i="20"/>
  <c r="BC29" i="20"/>
  <c r="BC32" i="20"/>
  <c r="BC28" i="20"/>
  <c r="BC18" i="20"/>
  <c r="BC14" i="20"/>
  <c r="BC27" i="20"/>
  <c r="BC10" i="20"/>
  <c r="BC24" i="20"/>
  <c r="BC31" i="20"/>
  <c r="BC11" i="20"/>
  <c r="BC25" i="20"/>
  <c r="BC15" i="20"/>
  <c r="BC39" i="20"/>
  <c r="BC44" i="20"/>
  <c r="BC35" i="20"/>
  <c r="BC5" i="20"/>
  <c r="BC30" i="20"/>
  <c r="BC7" i="20"/>
  <c r="BC17" i="20"/>
  <c r="BC46" i="20"/>
  <c r="BD3" i="20"/>
  <c r="BD31" i="20" s="1"/>
  <c r="BC19" i="20"/>
  <c r="BC45" i="20"/>
  <c r="BC37" i="20"/>
  <c r="BC9" i="20"/>
  <c r="BC38" i="20"/>
  <c r="BC34" i="20"/>
  <c r="BD16" i="20" l="1"/>
  <c r="BD36" i="20"/>
  <c r="BD10" i="20"/>
  <c r="BD18" i="20"/>
  <c r="BD15" i="20"/>
  <c r="BD13" i="20"/>
  <c r="BE3" i="20"/>
  <c r="BE46" i="20" s="1"/>
  <c r="BD24" i="20"/>
  <c r="BD39" i="20"/>
  <c r="BD38" i="20"/>
  <c r="BD7" i="20"/>
  <c r="BD32" i="20"/>
  <c r="BD27" i="20"/>
  <c r="BD46" i="20"/>
  <c r="BD19" i="20"/>
  <c r="BD28" i="20"/>
  <c r="BD44" i="20"/>
  <c r="BD29" i="20"/>
  <c r="BD45" i="20"/>
  <c r="BD30" i="20"/>
  <c r="BD34" i="20"/>
  <c r="BD37" i="20"/>
  <c r="BD11" i="20"/>
  <c r="BD14" i="20"/>
  <c r="BD25" i="20"/>
  <c r="BD5" i="20"/>
  <c r="BD26" i="20"/>
  <c r="BD8" i="20"/>
  <c r="BD9" i="20"/>
  <c r="BD17" i="20"/>
  <c r="BD35" i="20"/>
  <c r="BE18" i="20" l="1"/>
  <c r="BE36" i="20"/>
  <c r="BE39" i="20"/>
  <c r="BE37" i="20"/>
  <c r="BF3" i="20"/>
  <c r="BF16" i="20" s="1"/>
  <c r="BE8" i="20"/>
  <c r="BE26" i="20"/>
  <c r="BE31" i="20"/>
  <c r="BE17" i="20"/>
  <c r="BE16" i="20"/>
  <c r="BE13" i="20"/>
  <c r="BE14" i="20"/>
  <c r="BE30" i="20"/>
  <c r="BE32" i="20"/>
  <c r="BE5" i="20"/>
  <c r="BE38" i="20"/>
  <c r="BE7" i="20"/>
  <c r="BE25" i="20"/>
  <c r="BE34" i="20"/>
  <c r="BE15" i="20"/>
  <c r="BE28" i="20"/>
  <c r="BE9" i="20"/>
  <c r="BE19" i="20"/>
  <c r="BE10" i="20"/>
  <c r="BE35" i="20"/>
  <c r="BE45" i="20"/>
  <c r="BE24" i="20"/>
  <c r="BE44" i="20"/>
  <c r="BE27" i="20"/>
  <c r="BE11" i="20"/>
  <c r="BE29" i="20"/>
  <c r="BF10" i="20" l="1"/>
  <c r="BF15" i="20"/>
  <c r="BF8" i="20"/>
  <c r="BF14" i="20"/>
  <c r="BF19" i="20"/>
  <c r="BF25" i="20"/>
  <c r="BF35" i="20"/>
  <c r="BF38" i="20"/>
  <c r="BF27" i="20"/>
  <c r="BF11" i="20"/>
  <c r="BF28" i="20"/>
  <c r="BF2" i="20"/>
  <c r="BF30" i="20"/>
  <c r="BF7" i="20"/>
  <c r="BF13" i="20"/>
  <c r="BF36" i="20"/>
  <c r="BF29" i="20"/>
  <c r="BF39" i="20"/>
  <c r="BF44" i="20"/>
  <c r="BF37" i="20"/>
  <c r="BF9" i="20"/>
  <c r="BF32" i="20"/>
  <c r="BF24" i="20"/>
  <c r="BF5" i="20"/>
  <c r="BG3" i="20"/>
  <c r="BG45" i="20" s="1"/>
  <c r="BF45" i="20"/>
  <c r="BF31" i="20"/>
  <c r="BF18" i="20"/>
  <c r="BF26" i="20"/>
  <c r="BF34" i="20"/>
  <c r="BF17" i="20"/>
  <c r="BF46" i="20"/>
  <c r="BG5" i="20" l="1"/>
  <c r="BG15" i="20"/>
  <c r="BG10" i="20"/>
  <c r="BG25" i="20"/>
  <c r="BG18" i="20"/>
  <c r="BG38" i="20"/>
  <c r="BG46" i="20"/>
  <c r="BG7" i="20"/>
  <c r="BG9" i="20"/>
  <c r="BG16" i="20"/>
  <c r="BG19" i="20"/>
  <c r="BG37" i="20"/>
  <c r="BG26" i="20"/>
  <c r="BG30" i="20"/>
  <c r="BG34" i="20"/>
  <c r="BG36" i="20"/>
  <c r="BG8" i="20"/>
  <c r="BG24" i="20"/>
  <c r="BG35" i="20"/>
  <c r="BG31" i="20"/>
  <c r="BH3" i="20"/>
  <c r="BH16" i="20" s="1"/>
  <c r="BG11" i="20"/>
  <c r="BG28" i="20"/>
  <c r="BG39" i="20"/>
  <c r="BG44" i="20"/>
  <c r="BG27" i="20"/>
  <c r="BG14" i="20"/>
  <c r="BG29" i="20"/>
  <c r="BG13" i="20"/>
  <c r="BG17" i="20"/>
  <c r="BG32" i="20"/>
  <c r="BH45" i="20" l="1"/>
  <c r="BH19" i="20"/>
  <c r="BH24" i="20"/>
  <c r="BH26" i="20"/>
  <c r="BH11" i="20"/>
  <c r="BH5" i="20"/>
  <c r="BH28" i="20"/>
  <c r="BH14" i="20"/>
  <c r="BH15" i="20"/>
  <c r="BH27" i="20"/>
  <c r="BH13" i="20"/>
  <c r="BH8" i="20"/>
  <c r="BH34" i="20"/>
  <c r="BH25" i="20"/>
  <c r="BH29" i="20"/>
  <c r="BH30" i="20"/>
  <c r="BH35" i="20"/>
  <c r="BH32" i="20"/>
  <c r="BH7" i="20"/>
  <c r="BH44" i="20"/>
  <c r="BH38" i="20"/>
  <c r="BH37" i="20"/>
  <c r="BH36" i="20"/>
  <c r="BH17" i="20"/>
  <c r="BH39" i="20"/>
  <c r="BH31" i="20"/>
  <c r="BH10" i="20"/>
  <c r="BH9" i="20"/>
  <c r="BI3" i="20"/>
  <c r="BI45" i="20" s="1"/>
  <c r="BH18" i="20"/>
  <c r="BH46" i="20"/>
  <c r="BI16" i="20" l="1"/>
  <c r="BI11" i="20"/>
  <c r="BI17" i="20"/>
  <c r="BI10" i="20"/>
  <c r="BI18" i="20"/>
  <c r="BI39" i="20"/>
  <c r="BI19" i="20"/>
  <c r="BI24" i="20"/>
  <c r="BI29" i="20"/>
  <c r="BI7" i="20"/>
  <c r="BI8" i="20"/>
  <c r="BI9" i="20"/>
  <c r="BI35" i="20"/>
  <c r="BI36" i="20"/>
  <c r="BI14" i="20"/>
  <c r="BI38" i="20"/>
  <c r="BI15" i="20"/>
  <c r="BI44" i="20"/>
  <c r="BJ3" i="20"/>
  <c r="BJ44" i="20" s="1"/>
  <c r="BI26" i="20"/>
  <c r="BI46" i="20"/>
  <c r="BI30" i="20"/>
  <c r="BI25" i="20"/>
  <c r="BI13" i="20"/>
  <c r="BI5" i="20"/>
  <c r="BI27" i="20"/>
  <c r="BI28" i="20"/>
  <c r="BI31" i="20"/>
  <c r="BI32" i="20"/>
  <c r="BI34" i="20"/>
  <c r="BI37" i="20"/>
  <c r="BJ46" i="20" l="1"/>
  <c r="BJ37" i="20"/>
  <c r="BJ8" i="20"/>
  <c r="BJ29" i="20"/>
  <c r="BJ10" i="20"/>
  <c r="BJ17" i="20"/>
  <c r="BJ34" i="20"/>
  <c r="BJ18" i="20"/>
  <c r="BJ5" i="20"/>
  <c r="BJ27" i="20"/>
  <c r="BJ32" i="20"/>
  <c r="BJ45" i="20"/>
  <c r="BJ31" i="20"/>
  <c r="BJ36" i="20"/>
  <c r="BJ25" i="20"/>
  <c r="BJ38" i="20"/>
  <c r="BJ15" i="20"/>
  <c r="BJ7" i="20"/>
  <c r="BJ35" i="20"/>
  <c r="BJ24" i="20"/>
  <c r="BJ9" i="20"/>
  <c r="BJ39" i="20"/>
  <c r="BJ19" i="20"/>
  <c r="BJ13" i="20"/>
  <c r="BJ16" i="20"/>
  <c r="BK3" i="20"/>
  <c r="BK15" i="20" s="1"/>
  <c r="BJ30" i="20"/>
  <c r="BJ26" i="20"/>
  <c r="BJ11" i="20"/>
  <c r="BJ14" i="20"/>
  <c r="BJ28" i="20"/>
  <c r="BK10" i="20" l="1"/>
  <c r="BK39" i="20"/>
  <c r="BK36" i="20"/>
  <c r="BK18" i="20"/>
  <c r="BK24" i="20"/>
  <c r="BK13" i="20"/>
  <c r="BK5" i="20"/>
  <c r="BK9" i="20"/>
  <c r="BK7" i="20"/>
  <c r="BK27" i="20"/>
  <c r="BL3" i="20"/>
  <c r="BL31" i="20" s="1"/>
  <c r="BK28" i="20"/>
  <c r="BK38" i="20"/>
  <c r="BK35" i="20"/>
  <c r="BK29" i="20"/>
  <c r="BK14" i="20"/>
  <c r="BK45" i="20"/>
  <c r="BK46" i="20"/>
  <c r="BK30" i="20"/>
  <c r="BK32" i="20"/>
  <c r="BK19" i="20"/>
  <c r="BK31" i="20"/>
  <c r="BK25" i="20"/>
  <c r="BK16" i="20"/>
  <c r="BK8" i="20"/>
  <c r="BK34" i="20"/>
  <c r="BK26" i="20"/>
  <c r="BK37" i="20"/>
  <c r="BK11" i="20"/>
  <c r="BK17" i="20"/>
  <c r="BK44" i="20"/>
  <c r="BL25" i="20" l="1"/>
  <c r="BL8" i="20"/>
  <c r="BL5" i="20"/>
  <c r="BL16" i="20"/>
  <c r="BL10" i="20"/>
  <c r="BL11" i="20"/>
  <c r="BL17" i="20"/>
  <c r="BL26" i="20"/>
  <c r="BL14" i="20"/>
  <c r="BL28" i="20"/>
  <c r="BL44" i="20"/>
  <c r="BL37" i="20"/>
  <c r="BL34" i="20"/>
  <c r="BL30" i="20"/>
  <c r="BL36" i="20"/>
  <c r="BL29" i="20"/>
  <c r="BL27" i="20"/>
  <c r="BL39" i="20"/>
  <c r="BL13" i="20"/>
  <c r="BL19" i="20"/>
  <c r="BL45" i="20"/>
  <c r="BL9" i="20"/>
  <c r="BL24" i="20"/>
  <c r="BL38" i="20"/>
  <c r="BL15" i="20"/>
  <c r="BL32" i="20"/>
  <c r="BL46" i="20"/>
  <c r="BL7" i="20"/>
  <c r="BL18" i="20"/>
  <c r="BL35"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A2" authorId="0" shapeId="0" xr:uid="{E2C234AB-B787-451A-A4E8-C94B9B7B71A4}">
      <text>
        <r>
          <rPr>
            <b/>
            <sz val="12"/>
            <color indexed="81"/>
            <rFont val="Tahoma"/>
            <family val="2"/>
          </rPr>
          <t>Author:</t>
        </r>
        <r>
          <rPr>
            <sz val="12"/>
            <color indexed="81"/>
            <rFont val="Tahoma"/>
            <family val="2"/>
          </rPr>
          <t xml:space="preserve">
</t>
        </r>
        <r>
          <rPr>
            <sz val="9"/>
            <color indexed="81"/>
            <rFont val="Tahoma"/>
            <family val="2"/>
          </rPr>
          <t>24 Due 3/16    32 Due 5/4
44 Due 7/27   28 Due 8/31
32 Due 11/2     28 Due 12/21
24 Due 1/25    12 Due 2/27</t>
        </r>
      </text>
    </comment>
    <comment ref="AB2" authorId="0" shapeId="0" xr:uid="{34C2D31C-AC78-4A13-835F-628B5919CECB}">
      <text>
        <r>
          <rPr>
            <b/>
            <sz val="9"/>
            <color indexed="81"/>
            <rFont val="Tahoma"/>
            <family val="2"/>
          </rPr>
          <t>Author:</t>
        </r>
        <r>
          <rPr>
            <sz val="9"/>
            <color indexed="81"/>
            <rFont val="Tahoma"/>
            <family val="2"/>
          </rPr>
          <t xml:space="preserve">
49  due 3/23/26
44 Due 7/6/26
28 due 8/10/26
32 due 10/12/26
28 due 11/30/26
36 due 1/4/27
</t>
        </r>
      </text>
    </comment>
  </commentList>
</comments>
</file>

<file path=xl/sharedStrings.xml><?xml version="1.0" encoding="utf-8"?>
<sst xmlns="http://schemas.openxmlformats.org/spreadsheetml/2006/main" count="634" uniqueCount="297">
  <si>
    <t>Category</t>
  </si>
  <si>
    <t>Goal</t>
  </si>
  <si>
    <t>Milestone</t>
  </si>
  <si>
    <t>Progress</t>
  </si>
  <si>
    <t>Start</t>
  </si>
  <si>
    <t>Low Risk</t>
  </si>
  <si>
    <t>On Track</t>
  </si>
  <si>
    <t>Legend:</t>
  </si>
  <si>
    <t>Unassigned</t>
  </si>
  <si>
    <t>Milestone description</t>
  </si>
  <si>
    <t>Assigned to</t>
  </si>
  <si>
    <t>Days</t>
  </si>
  <si>
    <t>On track</t>
  </si>
  <si>
    <t>Low risk</t>
  </si>
  <si>
    <t>Med risk</t>
  </si>
  <si>
    <t>High risk</t>
  </si>
  <si>
    <t>ABOUT THIS GANTT CHART</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</si>
  <si>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</si>
  <si>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</si>
  <si>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Testing</t>
  </si>
  <si>
    <t>Project start date:</t>
  </si>
  <si>
    <t>Scrolling increment:</t>
  </si>
  <si>
    <t>Pre-Fab</t>
  </si>
  <si>
    <t>Shell Cut</t>
  </si>
  <si>
    <t>Shell Rolled</t>
  </si>
  <si>
    <t>Fabrication</t>
  </si>
  <si>
    <t>Baffle Cut</t>
  </si>
  <si>
    <t>Skirt Rolled</t>
  </si>
  <si>
    <t>Vertiv 124-25 through 147-25</t>
  </si>
  <si>
    <t>Nozzles Installed</t>
  </si>
  <si>
    <t>Baffle Installed</t>
  </si>
  <si>
    <t>Top Welded</t>
  </si>
  <si>
    <t>Cleaning &amp; Shipping</t>
  </si>
  <si>
    <t>Finishing</t>
  </si>
  <si>
    <t>Vertiv 125-25 through 157-25</t>
  </si>
  <si>
    <t>25-124</t>
  </si>
  <si>
    <t>25-125</t>
  </si>
  <si>
    <t>25-126</t>
  </si>
  <si>
    <t>25-127</t>
  </si>
  <si>
    <t>25-128</t>
  </si>
  <si>
    <t>25-129</t>
  </si>
  <si>
    <t>25-130</t>
  </si>
  <si>
    <t>25-131</t>
  </si>
  <si>
    <t>25-132</t>
  </si>
  <si>
    <t>25-133</t>
  </si>
  <si>
    <t>25-134</t>
  </si>
  <si>
    <t>25-135</t>
  </si>
  <si>
    <t>25-136</t>
  </si>
  <si>
    <t>25-137</t>
  </si>
  <si>
    <t>25-138</t>
  </si>
  <si>
    <t>25-139</t>
  </si>
  <si>
    <t>25-140</t>
  </si>
  <si>
    <t>25-141</t>
  </si>
  <si>
    <t>25-142</t>
  </si>
  <si>
    <t>25-143</t>
  </si>
  <si>
    <t>25-144</t>
  </si>
  <si>
    <t>25-145</t>
  </si>
  <si>
    <t>25-146</t>
  </si>
  <si>
    <t>25-147</t>
  </si>
  <si>
    <t>25-148</t>
  </si>
  <si>
    <t>25-149</t>
  </si>
  <si>
    <t>25-150</t>
  </si>
  <si>
    <t>25-151</t>
  </si>
  <si>
    <t>25-152</t>
  </si>
  <si>
    <t>25-153</t>
  </si>
  <si>
    <t>25-154</t>
  </si>
  <si>
    <t>25-155</t>
  </si>
  <si>
    <t>25-156</t>
  </si>
  <si>
    <t>25-157</t>
  </si>
  <si>
    <t>25-158</t>
  </si>
  <si>
    <t>25-159</t>
  </si>
  <si>
    <t>25-160</t>
  </si>
  <si>
    <t>25-161</t>
  </si>
  <si>
    <t>25-162</t>
  </si>
  <si>
    <t>25-163</t>
  </si>
  <si>
    <t>25-164</t>
  </si>
  <si>
    <t>25-165</t>
  </si>
  <si>
    <t>25-166</t>
  </si>
  <si>
    <t>25-167</t>
  </si>
  <si>
    <t>25-168</t>
  </si>
  <si>
    <t>25-169</t>
  </si>
  <si>
    <t>25-170</t>
  </si>
  <si>
    <t>25-171</t>
  </si>
  <si>
    <t>25-172</t>
  </si>
  <si>
    <t>25-173</t>
  </si>
  <si>
    <t>25-174</t>
  </si>
  <si>
    <t>25-175</t>
  </si>
  <si>
    <t>25-176</t>
  </si>
  <si>
    <t>25-177</t>
  </si>
  <si>
    <t>25-178</t>
  </si>
  <si>
    <t>25-179</t>
  </si>
  <si>
    <t>25-180</t>
  </si>
  <si>
    <t>25-181</t>
  </si>
  <si>
    <t>25-182</t>
  </si>
  <si>
    <t>25-183</t>
  </si>
  <si>
    <t>25-184</t>
  </si>
  <si>
    <t>25-185</t>
  </si>
  <si>
    <t>25-186</t>
  </si>
  <si>
    <t>25-187</t>
  </si>
  <si>
    <t>25-188</t>
  </si>
  <si>
    <t>25-189</t>
  </si>
  <si>
    <t>25-190</t>
  </si>
  <si>
    <t>25-191</t>
  </si>
  <si>
    <t>25-192</t>
  </si>
  <si>
    <t>25-193</t>
  </si>
  <si>
    <t>25-194</t>
  </si>
  <si>
    <t>25-195</t>
  </si>
  <si>
    <t>25-196</t>
  </si>
  <si>
    <t>25-197</t>
  </si>
  <si>
    <t>25-198</t>
  </si>
  <si>
    <t>25-199</t>
  </si>
  <si>
    <t>25-200</t>
  </si>
  <si>
    <t>25-201</t>
  </si>
  <si>
    <t>25-202</t>
  </si>
  <si>
    <t>25-203</t>
  </si>
  <si>
    <t>25-204</t>
  </si>
  <si>
    <t>25-205</t>
  </si>
  <si>
    <t>25-206</t>
  </si>
  <si>
    <t>25-207</t>
  </si>
  <si>
    <t>25-208</t>
  </si>
  <si>
    <t>25-209</t>
  </si>
  <si>
    <t>25-210</t>
  </si>
  <si>
    <t>25-211</t>
  </si>
  <si>
    <t>25-212</t>
  </si>
  <si>
    <t>25-213</t>
  </si>
  <si>
    <t>25-214</t>
  </si>
  <si>
    <t>25-215</t>
  </si>
  <si>
    <t>25-216</t>
  </si>
  <si>
    <t>25-217</t>
  </si>
  <si>
    <t>25-218</t>
  </si>
  <si>
    <t>25-219</t>
  </si>
  <si>
    <t>25-220</t>
  </si>
  <si>
    <t>25-221</t>
  </si>
  <si>
    <t>25-222</t>
  </si>
  <si>
    <t>25-223</t>
  </si>
  <si>
    <t>25-224</t>
  </si>
  <si>
    <t>25-225</t>
  </si>
  <si>
    <t>25-226</t>
  </si>
  <si>
    <t>25-227</t>
  </si>
  <si>
    <t>25-228</t>
  </si>
  <si>
    <t>25-229</t>
  </si>
  <si>
    <t>25-230</t>
  </si>
  <si>
    <t>25-231</t>
  </si>
  <si>
    <t>25-232</t>
  </si>
  <si>
    <t>25-233</t>
  </si>
  <si>
    <t>25-234</t>
  </si>
  <si>
    <t>25-235</t>
  </si>
  <si>
    <t>25-236</t>
  </si>
  <si>
    <t>25-237</t>
  </si>
  <si>
    <t>25-238</t>
  </si>
  <si>
    <t>25-239</t>
  </si>
  <si>
    <t>25-240</t>
  </si>
  <si>
    <t>25-241</t>
  </si>
  <si>
    <t>25-242</t>
  </si>
  <si>
    <t>25-243</t>
  </si>
  <si>
    <t>25-244</t>
  </si>
  <si>
    <t>Vertiv Count</t>
  </si>
  <si>
    <t>Complete</t>
  </si>
  <si>
    <t>In Process</t>
  </si>
  <si>
    <t>@ Risk</t>
  </si>
  <si>
    <t>Late</t>
  </si>
  <si>
    <t>To Start</t>
  </si>
  <si>
    <t>Skirt Cut</t>
  </si>
  <si>
    <t>Nozzle Made</t>
  </si>
  <si>
    <t>Backing Bar Cut</t>
  </si>
  <si>
    <t>Weld Bottom Head to Shell</t>
  </si>
  <si>
    <t>Install Nozzles</t>
  </si>
  <si>
    <t>Flange Rcvd</t>
  </si>
  <si>
    <t>Head Rcvd (2)</t>
  </si>
  <si>
    <t>Install Baffle</t>
  </si>
  <si>
    <t>Test</t>
  </si>
  <si>
    <t>Arrange Truck</t>
  </si>
  <si>
    <t>Temp Sensor</t>
  </si>
  <si>
    <t>SHIP</t>
  </si>
  <si>
    <t>Exp Tank</t>
  </si>
  <si>
    <t>Weld Skirt</t>
  </si>
  <si>
    <t>Weld Shell Seam</t>
  </si>
  <si>
    <t>25-245</t>
  </si>
  <si>
    <t>25-246</t>
  </si>
  <si>
    <t>25-247</t>
  </si>
  <si>
    <t>25-248</t>
  </si>
  <si>
    <t>25-249</t>
  </si>
  <si>
    <t>25-250</t>
  </si>
  <si>
    <t>25-251</t>
  </si>
  <si>
    <t>25-252</t>
  </si>
  <si>
    <t>25-253</t>
  </si>
  <si>
    <t>25-254</t>
  </si>
  <si>
    <t>25-255</t>
  </si>
  <si>
    <t>25-256</t>
  </si>
  <si>
    <t>25-257</t>
  </si>
  <si>
    <t>25-258</t>
  </si>
  <si>
    <t>25-259</t>
  </si>
  <si>
    <t>25-260</t>
  </si>
  <si>
    <t>25-261</t>
  </si>
  <si>
    <t>25-262</t>
  </si>
  <si>
    <t>25-263</t>
  </si>
  <si>
    <t>25-264</t>
  </si>
  <si>
    <t>25-265</t>
  </si>
  <si>
    <t>25-266</t>
  </si>
  <si>
    <t>25-267</t>
  </si>
  <si>
    <t>25-268</t>
  </si>
  <si>
    <t>25-269</t>
  </si>
  <si>
    <t>25-270</t>
  </si>
  <si>
    <t>25-271</t>
  </si>
  <si>
    <t>25-272</t>
  </si>
  <si>
    <t>25-273</t>
  </si>
  <si>
    <t>25-274</t>
  </si>
  <si>
    <t>25-275</t>
  </si>
  <si>
    <t>25-276</t>
  </si>
  <si>
    <t>25-277</t>
  </si>
  <si>
    <t>25-278</t>
  </si>
  <si>
    <t>25-279</t>
  </si>
  <si>
    <t>25-280</t>
  </si>
  <si>
    <t>25-281</t>
  </si>
  <si>
    <t>25-282</t>
  </si>
  <si>
    <t>25-283</t>
  </si>
  <si>
    <t>25-284</t>
  </si>
  <si>
    <t>25-285</t>
  </si>
  <si>
    <t>25-286</t>
  </si>
  <si>
    <t>25-287</t>
  </si>
  <si>
    <t>25-288</t>
  </si>
  <si>
    <t>25-289</t>
  </si>
  <si>
    <t>25-290</t>
  </si>
  <si>
    <t>25-291</t>
  </si>
  <si>
    <t>25-292</t>
  </si>
  <si>
    <t>25-293</t>
  </si>
  <si>
    <t>25-294</t>
  </si>
  <si>
    <t>25-295</t>
  </si>
  <si>
    <t>25-296</t>
  </si>
  <si>
    <t>25-297</t>
  </si>
  <si>
    <t>25-298</t>
  </si>
  <si>
    <t>25-299</t>
  </si>
  <si>
    <t>25-300</t>
  </si>
  <si>
    <t>25-301</t>
  </si>
  <si>
    <t>25-302</t>
  </si>
  <si>
    <t>25-303</t>
  </si>
  <si>
    <t>25-304</t>
  </si>
  <si>
    <t>25-305</t>
  </si>
  <si>
    <t>25-306</t>
  </si>
  <si>
    <t>25-307</t>
  </si>
  <si>
    <t>25-308</t>
  </si>
  <si>
    <t>25-309</t>
  </si>
  <si>
    <t>25-310</t>
  </si>
  <si>
    <t>25-311</t>
  </si>
  <si>
    <t>25-312</t>
  </si>
  <si>
    <t>25-313</t>
  </si>
  <si>
    <t>25-314</t>
  </si>
  <si>
    <t>25-315</t>
  </si>
  <si>
    <t>25-316</t>
  </si>
  <si>
    <t>25-317</t>
  </si>
  <si>
    <t>25-318</t>
  </si>
  <si>
    <t>25-319</t>
  </si>
  <si>
    <t>25-320</t>
  </si>
  <si>
    <t>25-321</t>
  </si>
  <si>
    <t>25-322</t>
  </si>
  <si>
    <t>25-323</t>
  </si>
  <si>
    <t>25-324</t>
  </si>
  <si>
    <t>25-325</t>
  </si>
  <si>
    <t>25-326</t>
  </si>
  <si>
    <t>25-327</t>
  </si>
  <si>
    <t>25-328</t>
  </si>
  <si>
    <t>25-329</t>
  </si>
  <si>
    <t>25-330</t>
  </si>
  <si>
    <t>25-331</t>
  </si>
  <si>
    <t>25-332</t>
  </si>
  <si>
    <t>25-333</t>
  </si>
  <si>
    <t>25-334</t>
  </si>
  <si>
    <t>25-335</t>
  </si>
  <si>
    <t>25-336</t>
  </si>
  <si>
    <t>25-337</t>
  </si>
  <si>
    <t>25-338</t>
  </si>
  <si>
    <t>25-339</t>
  </si>
  <si>
    <t>25-340</t>
  </si>
  <si>
    <t>25-341</t>
  </si>
  <si>
    <t>25-342</t>
  </si>
  <si>
    <t>25-343</t>
  </si>
  <si>
    <t>25-344</t>
  </si>
  <si>
    <t>25-345</t>
  </si>
  <si>
    <t>25-346</t>
  </si>
  <si>
    <t>25-347</t>
  </si>
  <si>
    <t>Vertiv</t>
  </si>
  <si>
    <t xml:space="preserve">Cleaning </t>
  </si>
  <si>
    <t>Receive Temp Sensors</t>
  </si>
  <si>
    <t>Purchasing</t>
  </si>
  <si>
    <t>Receive Expansion Tanks</t>
  </si>
  <si>
    <t>SHIPMENT TRUCKS ARRANGED</t>
  </si>
  <si>
    <t>Scheduling</t>
  </si>
  <si>
    <t>Shell Welded</t>
  </si>
  <si>
    <t>Skirt &amp; Backing Bar Cut</t>
  </si>
  <si>
    <t>Bottom Welded with backing</t>
  </si>
  <si>
    <t xml:space="preserve">Bottom Welded to shell </t>
  </si>
  <si>
    <t>Skirt Welded</t>
  </si>
  <si>
    <t>Flange and Pipe Welded (Nozzle)</t>
  </si>
  <si>
    <t>Int Clean</t>
  </si>
  <si>
    <t>Weld Backing to Head</t>
  </si>
  <si>
    <t>Ship Date</t>
  </si>
  <si>
    <t>Final Clean &amp; Prep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</si>
</sst>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32"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sz val="20"/>
      <name val="Calibri"/>
      <family val="2"/>
      <scheme val="major"/>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2"/>
      <name val="Calibri"/>
      <family val="2"/>
      <scheme val="major"/>
    </font>
    <font>
      <b/>
      <sz val="16"/>
      <name val="Calibri"/>
      <family val="2"/>
      <scheme val="min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b/>
      <sz val="14"/>
      <color theme="8" tint="-0.499984740745262"/>
      <name val="Calibri"/>
      <family val="2"/>
      <scheme val="minor"/>
    </font>
    <font>
      <sz val="8"/>
      <name val="Calibri"/>
      <family val="2"/>
      <scheme val="minor"/>
    </font>
    <font>
      <b/>
      <sz val="12"/>
      <color theme="8" tint="-0.499984740745262"/>
      <name val="Calibri"/>
      <family val="2"/>
      <scheme val="minor"/>
    </font>
    <font>
      <sz val="12"/>
      <color indexed="81"/>
      <name val="Tahoma"/>
      <family val="2"/>
    </font>
    <font>
      <b/>
      <sz val="12"/>
      <color indexed="81"/>
      <name val="Tahoma"/>
      <family val="2"/>
    </font>
    <font>
      <sz val="9"/>
      <color indexed="81"/>
      <name val="Tahoma"/>
      <family val="2"/>
    </font>
    <font>
      <b/>
      <sz val="9"/>
      <color indexed="81"/>
      <name val="Tahoma"/>
      <family val="2"/>
    </font>
    <font>
      <b/>
      <sz val="14"/>
      <color theme="6"/>
      <name val="Calibri"/>
      <family val="2"/>
      <scheme val="minor"/>
    </font>
    <font>
      <sz val="11"/>
      <color theme="6"/>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theme="8"/>
      </patternFill>
    </fill>
    <fill>
      <patternFill patternType="solid">
        <fgColor theme="9"/>
      </patternFill>
    </fill>
    <fill>
      <patternFill patternType="solid">
        <fgColor theme="2" tint="-0.14999847407452621"/>
        <bgColor indexed="64"/>
      </patternFill>
    </fill>
  </fills>
  <borders count="18">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bottom style="medium">
        <color indexed="64"/>
      </bottom>
      <diagonal/>
    </border>
    <border>
      <left/>
      <right/>
      <top style="thin">
        <color auto="1"/>
      </top>
      <bottom style="thin">
        <color auto="1"/>
      </bottom>
      <diagonal/>
    </border>
    <border>
      <left style="hair">
        <color auto="1"/>
      </left>
      <right/>
      <top style="thin">
        <color auto="1"/>
      </top>
      <bottom style="thin">
        <color auto="1"/>
      </bottom>
      <diagonal/>
    </border>
    <border>
      <left/>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s>
  <cellStyleXfs count="14">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8"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31" fillId="3"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cellStyleXfs>
  <cellXfs count="85">
    <xf numFmtId="0" fontId="0" fillId="0" borderId="0" xfId="0"/>
    <xf numFmtId="0" fontId="0" fillId="0" borderId="0" xfId="0" applyAlignment="1">
      <alignment vertical="center"/>
    </xf>
    <xf numFmtId="0" fontId="0" fillId="0" borderId="0" xfId="0" applyAlignment="1">
      <alignment horizontal="center"/>
    </xf>
    <xf numFmtId="0" fontId="1" fillId="0" borderId="0" xfId="0" applyFont="1"/>
    <xf numFmtId="0" fontId="7" fillId="0" borderId="0" xfId="0" applyFont="1"/>
    <xf numFmtId="0" fontId="1" fillId="0" borderId="0" xfId="0" applyFont="1" applyAlignment="1">
      <alignment vertical="top"/>
    </xf>
    <xf numFmtId="0" fontId="8" fillId="0" borderId="0" xfId="3"/>
    <xf numFmtId="0" fontId="8" fillId="0" borderId="0" xfId="3" applyAlignment="1">
      <alignment wrapText="1"/>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0" fontId="0" fillId="0" borderId="4" xfId="0"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3" fillId="0" borderId="0" xfId="0" applyFont="1" applyAlignment="1">
      <alignment horizontal="center" vertical="center"/>
    </xf>
    <xf numFmtId="9" fontId="13"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0" fontId="18" fillId="0" borderId="0" xfId="6" applyFont="1" applyFill="1" applyAlignment="1">
      <alignment horizontal="left" vertical="center" indent="2"/>
    </xf>
    <xf numFmtId="0" fontId="14"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9" fillId="0" borderId="3" xfId="0" applyFont="1" applyBorder="1" applyAlignment="1">
      <alignment horizontal="center" vertical="center" wrapText="1"/>
    </xf>
    <xf numFmtId="0" fontId="12" fillId="0" borderId="10" xfId="0" applyFont="1" applyBorder="1"/>
    <xf numFmtId="0" fontId="18" fillId="0" borderId="10" xfId="0" applyFont="1" applyBorder="1" applyAlignment="1">
      <alignment vertical="center"/>
    </xf>
    <xf numFmtId="0" fontId="19" fillId="0" borderId="10" xfId="0" applyFont="1" applyBorder="1" applyAlignment="1">
      <alignment vertical="center"/>
    </xf>
    <xf numFmtId="0" fontId="15" fillId="0" borderId="10" xfId="0" applyFont="1" applyBorder="1" applyAlignment="1">
      <alignment vertical="center"/>
    </xf>
    <xf numFmtId="164" fontId="1" fillId="11" borderId="8" xfId="0" applyNumberFormat="1" applyFont="1" applyFill="1" applyBorder="1" applyAlignment="1">
      <alignment horizontal="center" vertical="center"/>
    </xf>
    <xf numFmtId="164" fontId="1" fillId="11" borderId="5" xfId="0" applyNumberFormat="1" applyFont="1" applyFill="1" applyBorder="1" applyAlignment="1">
      <alignment horizontal="center" vertical="center"/>
    </xf>
    <xf numFmtId="164" fontId="1" fillId="11" borderId="9" xfId="0" applyNumberFormat="1" applyFont="1" applyFill="1" applyBorder="1" applyAlignment="1">
      <alignment horizontal="center" vertical="center"/>
    </xf>
    <xf numFmtId="164" fontId="1" fillId="11" borderId="2" xfId="0" applyNumberFormat="1" applyFont="1" applyFill="1" applyBorder="1" applyAlignment="1">
      <alignment horizontal="center" vertical="center"/>
    </xf>
    <xf numFmtId="164" fontId="1" fillId="11" borderId="0" xfId="0" applyNumberFormat="1" applyFont="1" applyFill="1" applyAlignment="1">
      <alignment horizontal="center" vertical="center"/>
    </xf>
    <xf numFmtId="164" fontId="1" fillId="11" borderId="11" xfId="0" applyNumberFormat="1" applyFont="1" applyFill="1" applyBorder="1" applyAlignment="1">
      <alignment horizontal="center" vertical="center"/>
    </xf>
    <xf numFmtId="164" fontId="1" fillId="11" borderId="12" xfId="0" applyNumberFormat="1" applyFont="1" applyFill="1" applyBorder="1" applyAlignment="1">
      <alignment horizontal="center" vertical="center"/>
    </xf>
    <xf numFmtId="164" fontId="1" fillId="11" borderId="3" xfId="0" applyNumberFormat="1" applyFont="1" applyFill="1" applyBorder="1" applyAlignment="1">
      <alignment horizontal="center" vertical="center"/>
    </xf>
    <xf numFmtId="0" fontId="1" fillId="11" borderId="1" xfId="0" applyFont="1" applyFill="1" applyBorder="1" applyAlignment="1">
      <alignment horizontal="center" vertical="center" shrinkToFit="1"/>
    </xf>
    <xf numFmtId="0" fontId="20" fillId="0" borderId="0" xfId="6" applyFont="1" applyFill="1" applyAlignment="1">
      <alignment vertical="center"/>
    </xf>
    <xf numFmtId="0" fontId="7" fillId="2" borderId="0" xfId="0" applyFont="1" applyFill="1"/>
    <xf numFmtId="0" fontId="21" fillId="2" borderId="0" xfId="0" applyFont="1" applyFill="1"/>
    <xf numFmtId="0" fontId="17"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7" fillId="10" borderId="0" xfId="0" applyFont="1" applyFill="1"/>
    <xf numFmtId="0" fontId="16" fillId="9" borderId="0" xfId="0" applyFont="1" applyFill="1" applyAlignment="1">
      <alignment horizontal="left" vertical="center" indent="1"/>
    </xf>
    <xf numFmtId="0" fontId="16" fillId="9" borderId="0" xfId="0" applyFont="1" applyFill="1" applyAlignment="1">
      <alignment horizontal="center" vertical="center" wrapText="1"/>
    </xf>
    <xf numFmtId="0" fontId="16" fillId="10" borderId="0" xfId="0" applyFont="1" applyFill="1" applyAlignment="1">
      <alignment horizontal="left" vertical="center" indent="1"/>
    </xf>
    <xf numFmtId="0" fontId="16" fillId="10" borderId="0" xfId="0" applyFont="1" applyFill="1" applyAlignment="1">
      <alignment horizontal="center" vertical="center" wrapText="1"/>
    </xf>
    <xf numFmtId="0" fontId="23" fillId="0" borderId="0" xfId="0" applyFont="1" applyAlignment="1">
      <alignment horizontal="left" vertical="center" wrapText="1"/>
    </xf>
    <xf numFmtId="0" fontId="0" fillId="0" borderId="0" xfId="0" applyAlignment="1">
      <alignment horizontal="left" vertical="center" wrapText="1" indent="1"/>
    </xf>
    <xf numFmtId="0" fontId="0" fillId="0" borderId="0" xfId="0" applyAlignment="1">
      <alignment horizontal="left" wrapText="1" indent="3"/>
    </xf>
    <xf numFmtId="0" fontId="8" fillId="0" borderId="13" xfId="3" applyBorder="1"/>
    <xf numFmtId="0" fontId="25" fillId="0" borderId="0" xfId="0" applyFont="1" applyAlignment="1">
      <alignment horizontal="left" vertical="center" wrapText="1"/>
    </xf>
    <xf numFmtId="0" fontId="3" fillId="0" borderId="14" xfId="0" applyFont="1" applyBorder="1" applyAlignment="1">
      <alignment horizontal="left" vertical="center" wrapText="1" indent="2"/>
    </xf>
    <xf numFmtId="0" fontId="0" fillId="0" borderId="15" xfId="0" applyBorder="1"/>
    <xf numFmtId="0" fontId="3" fillId="0" borderId="16" xfId="0" applyFont="1" applyBorder="1" applyAlignment="1">
      <alignment horizontal="left" vertical="center" wrapText="1" indent="2"/>
    </xf>
    <xf numFmtId="0" fontId="3" fillId="0" borderId="16" xfId="0" applyFont="1" applyBorder="1" applyAlignment="1">
      <alignment horizontal="center" vertical="center"/>
    </xf>
    <xf numFmtId="14" fontId="0" fillId="0" borderId="16" xfId="0" applyNumberFormat="1" applyBorder="1" applyAlignment="1">
      <alignment vertical="center"/>
    </xf>
    <xf numFmtId="9" fontId="13" fillId="0" borderId="16" xfId="2" applyFont="1" applyFill="1" applyBorder="1">
      <alignment horizontal="center" vertical="center"/>
    </xf>
    <xf numFmtId="0" fontId="30" fillId="5" borderId="16" xfId="11" applyFont="1" applyFill="1" applyBorder="1" applyAlignment="1">
      <alignment horizontal="center" vertical="center"/>
    </xf>
    <xf numFmtId="0" fontId="0" fillId="0" borderId="16" xfId="0" applyBorder="1" applyAlignment="1">
      <alignment horizontal="center" vertical="center"/>
    </xf>
    <xf numFmtId="0" fontId="10" fillId="7" borderId="16" xfId="0" applyFont="1" applyFill="1" applyBorder="1" applyAlignment="1">
      <alignment horizontal="center" vertical="center"/>
    </xf>
    <xf numFmtId="0" fontId="11" fillId="6" borderId="16" xfId="0" applyFont="1" applyFill="1" applyBorder="1" applyAlignment="1">
      <alignment horizontal="center" vertical="center"/>
    </xf>
    <xf numFmtId="0" fontId="31" fillId="3" borderId="16" xfId="11" applyBorder="1" applyAlignment="1">
      <alignment horizontal="center" vertical="center"/>
    </xf>
    <xf numFmtId="0" fontId="0" fillId="14" borderId="16" xfId="0" applyFill="1" applyBorder="1" applyAlignment="1">
      <alignment horizontal="center" vertical="center"/>
    </xf>
    <xf numFmtId="0" fontId="3" fillId="0" borderId="17" xfId="0" applyFont="1" applyBorder="1" applyAlignment="1">
      <alignment horizontal="center" vertical="center" wrapText="1"/>
    </xf>
    <xf numFmtId="0" fontId="8" fillId="13" borderId="16" xfId="13" applyBorder="1" applyAlignment="1">
      <alignment horizontal="center" vertical="center"/>
    </xf>
    <xf numFmtId="0" fontId="8" fillId="12" borderId="16" xfId="12" applyBorder="1" applyAlignment="1">
      <alignment horizontal="center" vertical="center"/>
    </xf>
    <xf numFmtId="0" fontId="11" fillId="5" borderId="0" xfId="11" applyFont="1" applyFill="1" applyAlignment="1">
      <alignment horizontal="center" vertical="center"/>
    </xf>
    <xf numFmtId="0" fontId="10" fillId="7" borderId="0" xfId="0" applyFont="1" applyFill="1" applyAlignment="1">
      <alignment horizontal="center" vertical="center"/>
    </xf>
    <xf numFmtId="0" fontId="10" fillId="4" borderId="0" xfId="0" applyFont="1" applyFill="1" applyAlignment="1">
      <alignment horizontal="center" vertical="center"/>
    </xf>
    <xf numFmtId="0" fontId="11" fillId="8" borderId="0" xfId="0" quotePrefix="1" applyFont="1" applyFill="1" applyAlignment="1">
      <alignment horizontal="center" vertical="center"/>
    </xf>
    <xf numFmtId="0" fontId="11" fillId="6" borderId="0" xfId="0" applyFont="1" applyFill="1" applyAlignment="1">
      <alignment horizontal="center" vertical="center"/>
    </xf>
    <xf numFmtId="0" fontId="22" fillId="10" borderId="0" xfId="6" applyFont="1" applyFill="1" applyAlignment="1">
      <alignment horizontal="left" vertical="center"/>
    </xf>
    <xf numFmtId="0" fontId="14" fillId="2" borderId="0" xfId="6" applyFont="1" applyFill="1" applyAlignment="1">
      <alignment horizontal="left" vertical="center" wrapText="1"/>
    </xf>
    <xf numFmtId="0" fontId="11" fillId="8" borderId="0" xfId="0" applyFont="1" applyFill="1" applyAlignment="1">
      <alignment horizontal="center" vertical="center"/>
    </xf>
  </cellXfs>
  <cellStyles count="14">
    <cellStyle name="Accent3" xfId="11" builtinId="37" customBuiltin="1"/>
    <cellStyle name="Accent5" xfId="12" builtinId="45"/>
    <cellStyle name="Accent6" xfId="13" builtinId="49"/>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cent" xfId="2" builtinId="5" customBuiltin="1"/>
    <cellStyle name="Title" xfId="5" builtinId="15" customBuiltin="1"/>
    <cellStyle name="zHiddenText" xfId="3" xr:uid="{26E66EE6-E33F-4D77-BAE4-0FB4F5BBF673}"/>
  </cellStyles>
  <dxfs count="63">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62"/>
      <tableStyleElement type="headerRow" dxfId="61"/>
      <tableStyleElement type="firstRowStripe" dxfId="60"/>
      <tableStyleElement type="secondRowStripe" dxfId="59"/>
    </tableStyle>
    <tableStyle name="ToDoList" pivot="0" count="9" xr9:uid="{00000000-0011-0000-FFFF-FFFF00000000}">
      <tableStyleElement type="wholeTable" dxfId="58"/>
      <tableStyleElement type="headerRow" dxfId="57"/>
      <tableStyleElement type="totalRow" dxfId="56"/>
      <tableStyleElement type="firstColumn" dxfId="55"/>
      <tableStyleElement type="lastColumn" dxfId="54"/>
      <tableStyleElement type="firstRowStripe" dxfId="53"/>
      <tableStyleElement type="secondRowStripe" dxfId="52"/>
      <tableStyleElement type="firstColumnStripe" dxfId="51"/>
      <tableStyleElement type="secondColumnStripe" dxfId="5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Scroll" dx="39" fmlaLink="#REF!" horiz="1" max="365" page="2" val="0"/>
</file>

<file path=xl/ctrlProps/ctrlProp2.xml><?xml version="1.0" encoding="utf-8"?>
<formControlPr xmlns="http://schemas.microsoft.com/office/spreadsheetml/2009/9/main" objectType="Scroll" dx="39" fmlaLink="$C$3" horiz="1" max="365" page="2" val="28"/>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76200</xdr:colOff>
          <xdr:row>1</xdr:row>
          <xdr:rowOff>0</xdr:rowOff>
        </xdr:from>
        <xdr:to>
          <xdr:col>29</xdr:col>
          <xdr:colOff>0</xdr:colOff>
          <xdr:row>1</xdr:row>
          <xdr:rowOff>200025</xdr:rowOff>
        </xdr:to>
        <xdr:sp macro="" textlink="">
          <xdr:nvSpPr>
            <xdr:cNvPr id="17412" name="Scroll Bar 4" descr="Scroll bar to scroll through the Ghantt project timeline." hidden="1">
              <a:extLst>
                <a:ext uri="{63B3BB69-23CF-44E3-9099-C40C66FF867C}">
                  <a14:compatExt spid="_x0000_s17412"/>
                </a:ext>
                <a:ext uri="{FF2B5EF4-FFF2-40B4-BE49-F238E27FC236}">
                  <a16:creationId xmlns:a16="http://schemas.microsoft.com/office/drawing/2014/main" id="{00000000-0008-0000-0100-000004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28575</xdr:colOff>
          <xdr:row>3</xdr:row>
          <xdr:rowOff>57150</xdr:rowOff>
        </xdr:from>
        <xdr:to>
          <xdr:col>63</xdr:col>
          <xdr:colOff>228600</xdr:colOff>
          <xdr:row>3</xdr:row>
          <xdr:rowOff>238125</xdr:rowOff>
        </xdr:to>
        <xdr:sp macro="" textlink="">
          <xdr:nvSpPr>
            <xdr:cNvPr id="21505" name="Scroll Bar 1" descr="Scroll bar to scroll through the Ghantt project timeline." hidden="1">
              <a:extLst>
                <a:ext uri="{63B3BB69-23CF-44E3-9099-C40C66FF867C}">
                  <a14:compatExt spid="_x0000_s21505"/>
                </a:ext>
                <a:ext uri="{FF2B5EF4-FFF2-40B4-BE49-F238E27FC236}">
                  <a16:creationId xmlns:a16="http://schemas.microsoft.com/office/drawing/2014/main" id="{00000000-0008-0000-0300-000001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2:E226" totalsRowShown="0" headerRowDxfId="49">
  <autoFilter ref="B2:E226" xr:uid="{29E5A880-80D5-4B65-B5FB-8FB3913D3D27}">
    <filterColumn colId="0" hiddenButton="1"/>
    <filterColumn colId="1" hiddenButton="1"/>
    <filterColumn colId="2" hiddenButton="1"/>
    <filterColumn colId="3" hiddenButton="1"/>
  </autoFilter>
  <tableColumns count="4">
    <tableColumn id="1" xr3:uid="{0971B905-713A-4980-8BBC-DF959C2E61F9}" name="Milestone description" dataDxfId="48"/>
    <tableColumn id="2" xr3:uid="{4492A0B8-068F-4002-9E8D-E1F5FED367F0}" name="Category" dataDxfId="47"/>
    <tableColumn id="3" xr3:uid="{CAEE2714-FCDF-4E51-AD64-FEA42357EF70}" name="Ship Date" dataDxfId="46"/>
    <tableColumn id="4" xr3:uid="{47C54592-75B0-4C70-BBF8-0F40483670E9}" name="Progress"/>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D15CE2-1C33-44FE-9F3F-2134DB38D49C}" name="Milestones4352" displayName="Milestones4352" ref="B5:G45" totalsRowShown="0" headerRowDxfId="45" dataDxfId="44">
  <autoFilter ref="B5:G45"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7804C7-2C05-4AA0-833F-065DB65052D6}" name="Milestone description" dataDxfId="43"/>
    <tableColumn id="2" xr3:uid="{86EAC0DF-1331-4505-9D26-78598538FBCF}" name="Category" dataDxfId="42"/>
    <tableColumn id="3" xr3:uid="{721B3E29-1373-4AAB-82AD-55BD16E9FC1A}" name="Assigned to" dataDxfId="41"/>
    <tableColumn id="4" xr3:uid="{E4C76C45-FD25-49C3-A625-CE92C74798BD}" name="Progress" dataDxfId="40"/>
    <tableColumn id="5" xr3:uid="{81296DA8-4D15-4DA7-8797-750E42D2AA14}" name="Start" dataDxfId="39" dataCellStyle="Date"/>
    <tableColumn id="6" xr3:uid="{95A82773-9C75-4B92-962D-16C379D8E0E0}" name="Days" dataDxfId="38"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table" Target="../tables/table2.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defaultColWidth="9.140625" defaultRowHeight="12.75" x14ac:dyDescent="0.2"/>
  <cols>
    <col min="1" max="1" width="4.7109375" style="5" customWidth="1"/>
    <col min="2" max="2" width="2.7109375" style="5" customWidth="1"/>
    <col min="3" max="5" width="40.7109375" style="3" customWidth="1"/>
    <col min="6" max="6" width="2.7109375" style="3" customWidth="1"/>
    <col min="7" max="16384" width="9.140625" style="3"/>
  </cols>
  <sheetData>
    <row r="1" spans="1:13" s="4" customFormat="1" ht="28.5" x14ac:dyDescent="0.4">
      <c r="D1" s="46"/>
    </row>
    <row r="2" spans="1:13" ht="50.1" customHeight="1" x14ac:dyDescent="0.4">
      <c r="A2" s="4"/>
      <c r="B2" s="52"/>
      <c r="C2" s="82" t="s">
        <v>16</v>
      </c>
      <c r="D2" s="82"/>
      <c r="E2" s="82"/>
      <c r="F2" s="52"/>
      <c r="G2" s="4"/>
      <c r="H2" s="4"/>
      <c r="I2" s="4"/>
      <c r="J2" s="4"/>
      <c r="K2" s="4"/>
      <c r="L2" s="4"/>
      <c r="M2" s="4"/>
    </row>
    <row r="3" spans="1:13" ht="14.45" customHeight="1" x14ac:dyDescent="0.4">
      <c r="A3" s="4"/>
      <c r="B3" s="47"/>
      <c r="C3" s="48"/>
      <c r="D3" s="49"/>
      <c r="E3" s="47"/>
      <c r="F3" s="47"/>
      <c r="G3" s="4"/>
      <c r="H3" s="4"/>
      <c r="I3" s="4"/>
      <c r="J3" s="4"/>
      <c r="K3" s="4"/>
      <c r="L3" s="4"/>
      <c r="M3" s="4"/>
    </row>
    <row r="4" spans="1:13" s="5" customFormat="1" ht="67.150000000000006" customHeight="1" x14ac:dyDescent="0.4">
      <c r="A4" s="4"/>
      <c r="B4" s="47"/>
      <c r="C4" s="83" t="s">
        <v>17</v>
      </c>
      <c r="D4" s="83"/>
      <c r="E4" s="83"/>
      <c r="F4" s="47"/>
      <c r="G4" s="4"/>
      <c r="H4" s="4"/>
      <c r="I4" s="4"/>
      <c r="J4" s="4"/>
      <c r="K4" s="4"/>
      <c r="L4" s="4"/>
      <c r="M4" s="4"/>
    </row>
    <row r="5" spans="1:13" s="5" customFormat="1" ht="67.150000000000006" customHeight="1" x14ac:dyDescent="0.4">
      <c r="A5" s="4"/>
      <c r="B5" s="47"/>
      <c r="C5" s="83" t="s">
        <v>18</v>
      </c>
      <c r="D5" s="83"/>
      <c r="E5" s="83"/>
      <c r="F5" s="47"/>
      <c r="G5" s="4"/>
      <c r="H5" s="4"/>
      <c r="I5" s="4"/>
      <c r="J5" s="4"/>
      <c r="K5" s="4"/>
      <c r="L5" s="4"/>
      <c r="M5" s="4"/>
    </row>
    <row r="6" spans="1:13" ht="15" x14ac:dyDescent="0.25">
      <c r="A6" s="3"/>
      <c r="B6" s="50"/>
      <c r="C6" s="50"/>
      <c r="D6" s="51"/>
      <c r="E6" s="50"/>
      <c r="F6" s="50"/>
    </row>
    <row r="7" spans="1:13" ht="50.1" customHeight="1" x14ac:dyDescent="0.2">
      <c r="A7" s="3"/>
      <c r="B7" s="3"/>
    </row>
    <row r="8" spans="1:13" ht="14.45" customHeight="1" x14ac:dyDescent="0.2">
      <c r="A8" s="3"/>
      <c r="B8" s="3"/>
    </row>
    <row r="9" spans="1:13" ht="90" customHeight="1" x14ac:dyDescent="0.2">
      <c r="C9" s="5"/>
      <c r="D9" s="5"/>
      <c r="E9" s="5"/>
      <c r="F9" s="5"/>
      <c r="G9" s="5"/>
      <c r="H9" s="5"/>
    </row>
    <row r="10" spans="1:13" ht="14.45" customHeight="1" x14ac:dyDescent="0.2">
      <c r="A10" s="3"/>
      <c r="B10" s="3"/>
    </row>
    <row r="11" spans="1:13" x14ac:dyDescent="0.2">
      <c r="A11" s="3"/>
      <c r="B11" s="3"/>
      <c r="D11" s="5"/>
    </row>
    <row r="12" spans="1:13" x14ac:dyDescent="0.2">
      <c r="A12" s="3"/>
      <c r="B12" s="3"/>
      <c r="D12" s="5"/>
    </row>
    <row r="13" spans="1:13" x14ac:dyDescent="0.2">
      <c r="A13" s="3"/>
      <c r="B13" s="3"/>
      <c r="D13" s="5"/>
    </row>
    <row r="14" spans="1:13" x14ac:dyDescent="0.2">
      <c r="A14" s="3"/>
      <c r="B14" s="3"/>
      <c r="D14" s="5"/>
    </row>
    <row r="15" spans="1:13" x14ac:dyDescent="0.2">
      <c r="A15" s="3"/>
      <c r="B15" s="3"/>
      <c r="D15" s="5"/>
    </row>
    <row r="16" spans="1:13" x14ac:dyDescent="0.2">
      <c r="A16" s="3"/>
      <c r="B16" s="3"/>
      <c r="D16" s="5"/>
    </row>
    <row r="17" spans="1:4" x14ac:dyDescent="0.2">
      <c r="A17" s="3"/>
      <c r="B17" s="3"/>
      <c r="D17" s="5"/>
    </row>
    <row r="18" spans="1:4" x14ac:dyDescent="0.2">
      <c r="A18" s="3"/>
      <c r="B18" s="3"/>
      <c r="D18" s="5"/>
    </row>
    <row r="19" spans="1:4" x14ac:dyDescent="0.2">
      <c r="A19" s="3"/>
      <c r="B19" s="3"/>
      <c r="D19" s="5"/>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AC226"/>
  <sheetViews>
    <sheetView showGridLines="0" tabSelected="1" showRuler="0" zoomScale="80" zoomScaleNormal="80" zoomScalePageLayoutView="70" workbookViewId="0">
      <pane xSplit="5" ySplit="3" topLeftCell="F11" activePane="bottomRight" state="frozen"/>
      <selection pane="topRight" activeCell="G1" sqref="G1"/>
      <selection pane="bottomLeft" activeCell="A8" sqref="A8"/>
      <selection pane="bottomRight" activeCell="Z11" sqref="Z11"/>
    </sheetView>
  </sheetViews>
  <sheetFormatPr defaultColWidth="8.85546875" defaultRowHeight="30" customHeight="1" x14ac:dyDescent="0.25"/>
  <cols>
    <col min="1" max="1" width="1.42578125" style="6" customWidth="1"/>
    <col min="2" max="2" width="30.7109375" customWidth="1"/>
    <col min="3" max="3" width="13.28515625" bestFit="1" customWidth="1"/>
    <col min="4" max="4" width="13.28515625" customWidth="1"/>
    <col min="5" max="5" width="15.7109375" customWidth="1"/>
    <col min="6" max="6" width="0.85546875" customWidth="1"/>
    <col min="7" max="29" width="11.28515625" customWidth="1"/>
  </cols>
  <sheetData>
    <row r="1" spans="1:29" ht="30" customHeight="1" x14ac:dyDescent="0.25">
      <c r="A1" s="7"/>
      <c r="B1" s="21" t="s">
        <v>156</v>
      </c>
      <c r="C1" s="22"/>
      <c r="D1" s="22"/>
      <c r="E1" s="26" t="s">
        <v>7</v>
      </c>
      <c r="F1" s="24"/>
      <c r="G1" s="77" t="s">
        <v>157</v>
      </c>
      <c r="H1" s="77"/>
      <c r="I1" s="77"/>
      <c r="J1" s="77"/>
      <c r="L1" s="78" t="s">
        <v>158</v>
      </c>
      <c r="M1" s="78"/>
      <c r="N1" s="78"/>
      <c r="O1" s="78"/>
      <c r="Q1" s="80" t="s">
        <v>159</v>
      </c>
      <c r="R1" s="80"/>
      <c r="T1" s="81" t="s">
        <v>160</v>
      </c>
      <c r="U1" s="81"/>
      <c r="W1" s="79" t="s">
        <v>161</v>
      </c>
      <c r="X1" s="79"/>
    </row>
    <row r="2" spans="1:29" ht="93" customHeight="1" x14ac:dyDescent="0.25">
      <c r="A2" s="7"/>
      <c r="B2" s="55" t="s">
        <v>9</v>
      </c>
      <c r="C2" s="56" t="s">
        <v>0</v>
      </c>
      <c r="D2" s="56" t="s">
        <v>295</v>
      </c>
      <c r="E2" s="56" t="s">
        <v>3</v>
      </c>
      <c r="F2" s="31"/>
      <c r="G2" s="20" t="s">
        <v>23</v>
      </c>
      <c r="H2" s="20" t="s">
        <v>168</v>
      </c>
      <c r="I2" s="20" t="s">
        <v>24</v>
      </c>
      <c r="J2" s="74" t="s">
        <v>167</v>
      </c>
      <c r="K2" s="74" t="s">
        <v>163</v>
      </c>
      <c r="L2" s="74" t="s">
        <v>26</v>
      </c>
      <c r="M2" s="74" t="s">
        <v>162</v>
      </c>
      <c r="N2" s="74" t="s">
        <v>27</v>
      </c>
      <c r="O2" s="74" t="s">
        <v>164</v>
      </c>
      <c r="P2" s="74" t="s">
        <v>294</v>
      </c>
      <c r="Q2" s="74" t="s">
        <v>176</v>
      </c>
      <c r="R2" s="74" t="s">
        <v>165</v>
      </c>
      <c r="S2" s="74" t="s">
        <v>175</v>
      </c>
      <c r="T2" s="74" t="s">
        <v>166</v>
      </c>
      <c r="U2" s="74" t="s">
        <v>169</v>
      </c>
      <c r="V2" s="74" t="s">
        <v>293</v>
      </c>
      <c r="W2" s="74" t="s">
        <v>31</v>
      </c>
      <c r="X2" s="74" t="s">
        <v>170</v>
      </c>
      <c r="Y2" s="74" t="s">
        <v>296</v>
      </c>
      <c r="Z2" s="74" t="s">
        <v>171</v>
      </c>
      <c r="AA2" s="74" t="s">
        <v>172</v>
      </c>
      <c r="AB2" s="74" t="s">
        <v>174</v>
      </c>
      <c r="AC2" s="74" t="s">
        <v>173</v>
      </c>
    </row>
    <row r="3" spans="1:29" ht="30" hidden="1" customHeight="1" x14ac:dyDescent="0.25">
      <c r="B3" s="20" t="s">
        <v>35</v>
      </c>
      <c r="C3" s="16" t="s">
        <v>158</v>
      </c>
      <c r="D3" s="16"/>
      <c r="E3" s="17">
        <v>0.8</v>
      </c>
      <c r="G3" s="14"/>
      <c r="H3" s="14"/>
      <c r="I3" s="14"/>
      <c r="J3" s="14"/>
      <c r="K3" s="14"/>
      <c r="L3" s="14"/>
      <c r="M3" s="14"/>
      <c r="N3" s="14"/>
      <c r="O3" s="14"/>
      <c r="P3" s="14"/>
      <c r="Q3" s="14"/>
      <c r="R3" s="14"/>
      <c r="S3" s="14"/>
      <c r="T3" s="14"/>
      <c r="U3" s="14"/>
      <c r="V3" s="14"/>
      <c r="W3" s="14"/>
      <c r="X3" s="14"/>
      <c r="Y3" s="14"/>
      <c r="Z3" s="14"/>
      <c r="AA3" s="14"/>
      <c r="AB3" s="14"/>
      <c r="AC3" s="14"/>
    </row>
    <row r="4" spans="1:29" s="1" customFormat="1" ht="40.15" hidden="1" customHeight="1" x14ac:dyDescent="0.25">
      <c r="A4" s="7"/>
      <c r="B4" s="64" t="s">
        <v>36</v>
      </c>
      <c r="C4" s="65" t="s">
        <v>6</v>
      </c>
      <c r="D4" s="66">
        <v>46097</v>
      </c>
      <c r="E4" s="67">
        <f>COUNT(G4:AC4)/23</f>
        <v>0.95652173913043481</v>
      </c>
      <c r="F4" s="65"/>
      <c r="G4" s="68">
        <v>1</v>
      </c>
      <c r="H4" s="68">
        <v>1</v>
      </c>
      <c r="I4" s="68">
        <v>1</v>
      </c>
      <c r="J4" s="68">
        <v>1</v>
      </c>
      <c r="K4" s="68">
        <v>1</v>
      </c>
      <c r="L4" s="68">
        <v>1</v>
      </c>
      <c r="M4" s="68">
        <v>1</v>
      </c>
      <c r="N4" s="68">
        <v>1</v>
      </c>
      <c r="O4" s="68">
        <v>1</v>
      </c>
      <c r="P4" s="68">
        <v>1</v>
      </c>
      <c r="Q4" s="68">
        <v>1</v>
      </c>
      <c r="R4" s="68">
        <v>1</v>
      </c>
      <c r="S4" s="68">
        <v>1</v>
      </c>
      <c r="T4" s="68">
        <v>1</v>
      </c>
      <c r="U4" s="68">
        <v>1</v>
      </c>
      <c r="V4" s="68">
        <v>1</v>
      </c>
      <c r="W4" s="68">
        <v>1</v>
      </c>
      <c r="X4" s="68">
        <v>1</v>
      </c>
      <c r="Y4" s="68">
        <v>1</v>
      </c>
      <c r="Z4" s="69">
        <v>1</v>
      </c>
      <c r="AA4" s="72">
        <v>1</v>
      </c>
      <c r="AB4" s="69">
        <v>1</v>
      </c>
      <c r="AC4" s="69"/>
    </row>
    <row r="5" spans="1:29" s="1" customFormat="1" ht="40.15" hidden="1" customHeight="1" x14ac:dyDescent="0.25">
      <c r="A5" s="7"/>
      <c r="B5" s="64" t="s">
        <v>37</v>
      </c>
      <c r="C5" s="65" t="s">
        <v>6</v>
      </c>
      <c r="D5" s="66">
        <v>46097</v>
      </c>
      <c r="E5" s="67">
        <f>COUNT(G5:AC5)/23</f>
        <v>0.95652173913043481</v>
      </c>
      <c r="F5" s="65"/>
      <c r="G5" s="68">
        <v>1</v>
      </c>
      <c r="H5" s="68">
        <v>1</v>
      </c>
      <c r="I5" s="68">
        <v>1</v>
      </c>
      <c r="J5" s="68">
        <v>1</v>
      </c>
      <c r="K5" s="68">
        <v>1</v>
      </c>
      <c r="L5" s="68">
        <v>1</v>
      </c>
      <c r="M5" s="68">
        <v>1</v>
      </c>
      <c r="N5" s="68">
        <v>1</v>
      </c>
      <c r="O5" s="68">
        <v>1</v>
      </c>
      <c r="P5" s="68">
        <v>1</v>
      </c>
      <c r="Q5" s="68">
        <v>1</v>
      </c>
      <c r="R5" s="68">
        <v>1</v>
      </c>
      <c r="S5" s="68">
        <v>1</v>
      </c>
      <c r="T5" s="68">
        <v>1</v>
      </c>
      <c r="U5" s="68">
        <v>1</v>
      </c>
      <c r="V5" s="68">
        <v>1</v>
      </c>
      <c r="W5" s="68">
        <v>1</v>
      </c>
      <c r="X5" s="68">
        <v>1</v>
      </c>
      <c r="Y5" s="68">
        <v>1</v>
      </c>
      <c r="Z5" s="69">
        <v>1</v>
      </c>
      <c r="AA5" s="72">
        <v>1</v>
      </c>
      <c r="AB5" s="69">
        <v>1</v>
      </c>
      <c r="AC5" s="69"/>
    </row>
    <row r="6" spans="1:29" s="1" customFormat="1" ht="40.15" hidden="1" customHeight="1" x14ac:dyDescent="0.25">
      <c r="A6" s="6"/>
      <c r="B6" s="64" t="s">
        <v>38</v>
      </c>
      <c r="C6" s="65" t="s">
        <v>6</v>
      </c>
      <c r="D6" s="66">
        <v>46097</v>
      </c>
      <c r="E6" s="67">
        <f t="shared" ref="E6:E27" si="0">COUNT(G6:AC6)/23</f>
        <v>0.95652173913043481</v>
      </c>
      <c r="F6" s="65"/>
      <c r="G6" s="68">
        <v>1</v>
      </c>
      <c r="H6" s="68">
        <v>1</v>
      </c>
      <c r="I6" s="68">
        <v>1</v>
      </c>
      <c r="J6" s="68">
        <v>1</v>
      </c>
      <c r="K6" s="68">
        <v>1</v>
      </c>
      <c r="L6" s="68">
        <v>1</v>
      </c>
      <c r="M6" s="68">
        <v>1</v>
      </c>
      <c r="N6" s="68">
        <v>1</v>
      </c>
      <c r="O6" s="68">
        <v>1</v>
      </c>
      <c r="P6" s="68">
        <v>1</v>
      </c>
      <c r="Q6" s="68">
        <v>1</v>
      </c>
      <c r="R6" s="68">
        <v>1</v>
      </c>
      <c r="S6" s="68">
        <v>1</v>
      </c>
      <c r="T6" s="68">
        <v>1</v>
      </c>
      <c r="U6" s="68">
        <v>1</v>
      </c>
      <c r="V6" s="68">
        <v>1</v>
      </c>
      <c r="W6" s="68">
        <v>1</v>
      </c>
      <c r="X6" s="68">
        <v>1</v>
      </c>
      <c r="Y6" s="68">
        <v>1</v>
      </c>
      <c r="Z6" s="69">
        <v>1</v>
      </c>
      <c r="AA6" s="72">
        <v>1</v>
      </c>
      <c r="AB6" s="69">
        <v>1</v>
      </c>
      <c r="AC6" s="69"/>
    </row>
    <row r="7" spans="1:29" s="1" customFormat="1" ht="40.15" hidden="1" customHeight="1" x14ac:dyDescent="0.25">
      <c r="A7" s="6"/>
      <c r="B7" s="64" t="s">
        <v>39</v>
      </c>
      <c r="C7" s="65" t="s">
        <v>6</v>
      </c>
      <c r="D7" s="66">
        <v>46097</v>
      </c>
      <c r="E7" s="67">
        <f t="shared" si="0"/>
        <v>0.95652173913043481</v>
      </c>
      <c r="F7" s="65"/>
      <c r="G7" s="68">
        <v>1</v>
      </c>
      <c r="H7" s="68">
        <v>1</v>
      </c>
      <c r="I7" s="68">
        <v>1</v>
      </c>
      <c r="J7" s="68">
        <v>1</v>
      </c>
      <c r="K7" s="68">
        <v>1</v>
      </c>
      <c r="L7" s="68">
        <v>1</v>
      </c>
      <c r="M7" s="68">
        <v>1</v>
      </c>
      <c r="N7" s="68">
        <v>1</v>
      </c>
      <c r="O7" s="68">
        <v>1</v>
      </c>
      <c r="P7" s="68">
        <v>1</v>
      </c>
      <c r="Q7" s="68">
        <v>1</v>
      </c>
      <c r="R7" s="68">
        <v>1</v>
      </c>
      <c r="S7" s="68">
        <v>1</v>
      </c>
      <c r="T7" s="68">
        <v>1</v>
      </c>
      <c r="U7" s="68">
        <v>1</v>
      </c>
      <c r="V7" s="68">
        <v>1</v>
      </c>
      <c r="W7" s="68">
        <v>1</v>
      </c>
      <c r="X7" s="68">
        <v>1</v>
      </c>
      <c r="Y7" s="68">
        <v>1</v>
      </c>
      <c r="Z7" s="69">
        <v>1</v>
      </c>
      <c r="AA7" s="72">
        <v>1</v>
      </c>
      <c r="AB7" s="69">
        <v>1</v>
      </c>
      <c r="AC7" s="69"/>
    </row>
    <row r="8" spans="1:29" s="1" customFormat="1" ht="40.15" hidden="1" customHeight="1" x14ac:dyDescent="0.25">
      <c r="A8" s="6"/>
      <c r="B8" s="64" t="s">
        <v>40</v>
      </c>
      <c r="C8" s="65" t="s">
        <v>6</v>
      </c>
      <c r="D8" s="66">
        <v>46097</v>
      </c>
      <c r="E8" s="67">
        <f t="shared" si="0"/>
        <v>0.95652173913043481</v>
      </c>
      <c r="F8" s="65"/>
      <c r="G8" s="68">
        <v>1</v>
      </c>
      <c r="H8" s="68">
        <v>1</v>
      </c>
      <c r="I8" s="68">
        <v>1</v>
      </c>
      <c r="J8" s="68">
        <v>1</v>
      </c>
      <c r="K8" s="68">
        <v>1</v>
      </c>
      <c r="L8" s="68">
        <v>1</v>
      </c>
      <c r="M8" s="68">
        <v>1</v>
      </c>
      <c r="N8" s="68">
        <v>1</v>
      </c>
      <c r="O8" s="68">
        <v>1</v>
      </c>
      <c r="P8" s="68">
        <v>1</v>
      </c>
      <c r="Q8" s="68">
        <v>1</v>
      </c>
      <c r="R8" s="68">
        <v>1</v>
      </c>
      <c r="S8" s="68">
        <v>1</v>
      </c>
      <c r="T8" s="68">
        <v>1</v>
      </c>
      <c r="U8" s="68">
        <v>1</v>
      </c>
      <c r="V8" s="68">
        <v>1</v>
      </c>
      <c r="W8" s="68">
        <v>1</v>
      </c>
      <c r="X8" s="68">
        <v>1</v>
      </c>
      <c r="Y8" s="68">
        <v>1</v>
      </c>
      <c r="Z8" s="69">
        <v>1</v>
      </c>
      <c r="AA8" s="72">
        <v>1</v>
      </c>
      <c r="AB8" s="69">
        <v>1</v>
      </c>
      <c r="AC8" s="69"/>
    </row>
    <row r="9" spans="1:29" s="1" customFormat="1" ht="40.15" hidden="1" customHeight="1" x14ac:dyDescent="0.25">
      <c r="A9" s="7"/>
      <c r="B9" s="64" t="s">
        <v>41</v>
      </c>
      <c r="C9" s="65" t="s">
        <v>6</v>
      </c>
      <c r="D9" s="66">
        <v>46097</v>
      </c>
      <c r="E9" s="67">
        <f t="shared" si="0"/>
        <v>0.95652173913043481</v>
      </c>
      <c r="F9" s="65"/>
      <c r="G9" s="68">
        <v>1</v>
      </c>
      <c r="H9" s="68">
        <v>1</v>
      </c>
      <c r="I9" s="68">
        <v>1</v>
      </c>
      <c r="J9" s="68">
        <v>1</v>
      </c>
      <c r="K9" s="68">
        <v>1</v>
      </c>
      <c r="L9" s="68">
        <v>1</v>
      </c>
      <c r="M9" s="68">
        <v>1</v>
      </c>
      <c r="N9" s="68">
        <v>1</v>
      </c>
      <c r="O9" s="68">
        <v>1</v>
      </c>
      <c r="P9" s="68">
        <v>1</v>
      </c>
      <c r="Q9" s="68">
        <v>1</v>
      </c>
      <c r="R9" s="68">
        <v>1</v>
      </c>
      <c r="S9" s="68">
        <v>1</v>
      </c>
      <c r="T9" s="68">
        <v>1</v>
      </c>
      <c r="U9" s="68">
        <v>1</v>
      </c>
      <c r="V9" s="68">
        <v>1</v>
      </c>
      <c r="W9" s="68">
        <v>1</v>
      </c>
      <c r="X9" s="68">
        <v>1</v>
      </c>
      <c r="Y9" s="68">
        <v>1</v>
      </c>
      <c r="Z9" s="69">
        <v>1</v>
      </c>
      <c r="AA9" s="72">
        <v>1</v>
      </c>
      <c r="AB9" s="69">
        <v>1</v>
      </c>
      <c r="AC9" s="69"/>
    </row>
    <row r="10" spans="1:29" s="1" customFormat="1" ht="40.15" hidden="1" customHeight="1" x14ac:dyDescent="0.25">
      <c r="A10" s="7"/>
      <c r="B10" s="64" t="s">
        <v>42</v>
      </c>
      <c r="C10" s="65" t="s">
        <v>6</v>
      </c>
      <c r="D10" s="66">
        <v>46097</v>
      </c>
      <c r="E10" s="67">
        <f t="shared" si="0"/>
        <v>0.95652173913043481</v>
      </c>
      <c r="F10" s="65"/>
      <c r="G10" s="68">
        <v>1</v>
      </c>
      <c r="H10" s="68">
        <v>1</v>
      </c>
      <c r="I10" s="68">
        <v>1</v>
      </c>
      <c r="J10" s="68">
        <v>1</v>
      </c>
      <c r="K10" s="68">
        <v>1</v>
      </c>
      <c r="L10" s="68">
        <v>1</v>
      </c>
      <c r="M10" s="68">
        <v>1</v>
      </c>
      <c r="N10" s="68">
        <v>1</v>
      </c>
      <c r="O10" s="68">
        <v>1</v>
      </c>
      <c r="P10" s="68">
        <v>1</v>
      </c>
      <c r="Q10" s="68">
        <v>1</v>
      </c>
      <c r="R10" s="68">
        <v>1</v>
      </c>
      <c r="S10" s="68">
        <v>1</v>
      </c>
      <c r="T10" s="68">
        <v>1</v>
      </c>
      <c r="U10" s="68">
        <v>1</v>
      </c>
      <c r="V10" s="68">
        <v>1</v>
      </c>
      <c r="W10" s="68">
        <v>1</v>
      </c>
      <c r="X10" s="68">
        <v>1</v>
      </c>
      <c r="Y10" s="68">
        <v>1</v>
      </c>
      <c r="Z10" s="69">
        <v>1</v>
      </c>
      <c r="AA10" s="72">
        <v>1</v>
      </c>
      <c r="AB10" s="69">
        <v>1</v>
      </c>
      <c r="AC10" s="69"/>
    </row>
    <row r="11" spans="1:29" s="1" customFormat="1" ht="40.15" customHeight="1" x14ac:dyDescent="0.25">
      <c r="A11" s="6"/>
      <c r="B11" s="64" t="s">
        <v>43</v>
      </c>
      <c r="C11" s="65" t="s">
        <v>6</v>
      </c>
      <c r="D11" s="66">
        <v>46097</v>
      </c>
      <c r="E11" s="67">
        <f t="shared" si="0"/>
        <v>0.86956521739130432</v>
      </c>
      <c r="F11" s="65"/>
      <c r="G11" s="68">
        <v>1</v>
      </c>
      <c r="H11" s="68">
        <v>1</v>
      </c>
      <c r="I11" s="68">
        <v>1</v>
      </c>
      <c r="J11" s="68">
        <v>1</v>
      </c>
      <c r="K11" s="68">
        <v>1</v>
      </c>
      <c r="L11" s="68">
        <v>1</v>
      </c>
      <c r="M11" s="68">
        <v>1</v>
      </c>
      <c r="N11" s="68">
        <v>1</v>
      </c>
      <c r="O11" s="68">
        <v>1</v>
      </c>
      <c r="P11" s="68">
        <v>1</v>
      </c>
      <c r="Q11" s="68">
        <v>1</v>
      </c>
      <c r="R11" s="68">
        <v>1</v>
      </c>
      <c r="S11" s="68">
        <v>1</v>
      </c>
      <c r="T11" s="68">
        <v>1</v>
      </c>
      <c r="U11" s="68">
        <v>1</v>
      </c>
      <c r="V11" s="68">
        <v>1</v>
      </c>
      <c r="W11" s="68">
        <v>1</v>
      </c>
      <c r="X11" s="68">
        <v>1</v>
      </c>
      <c r="Y11" s="68">
        <v>1</v>
      </c>
      <c r="Z11" s="69"/>
      <c r="AA11" s="72">
        <v>1</v>
      </c>
      <c r="AB11" s="71"/>
      <c r="AC11" s="69"/>
    </row>
    <row r="12" spans="1:29" s="1" customFormat="1" ht="40.15" customHeight="1" x14ac:dyDescent="0.25">
      <c r="A12" s="6"/>
      <c r="B12" s="64" t="s">
        <v>44</v>
      </c>
      <c r="C12" s="65" t="s">
        <v>6</v>
      </c>
      <c r="D12" s="66">
        <v>46100</v>
      </c>
      <c r="E12" s="67">
        <f t="shared" si="0"/>
        <v>0.86956521739130432</v>
      </c>
      <c r="F12" s="65"/>
      <c r="G12" s="68">
        <v>1</v>
      </c>
      <c r="H12" s="68">
        <v>1</v>
      </c>
      <c r="I12" s="68">
        <v>1</v>
      </c>
      <c r="J12" s="68">
        <v>1</v>
      </c>
      <c r="K12" s="68">
        <v>1</v>
      </c>
      <c r="L12" s="68">
        <v>1</v>
      </c>
      <c r="M12" s="68">
        <v>1</v>
      </c>
      <c r="N12" s="68">
        <v>1</v>
      </c>
      <c r="O12" s="68">
        <v>1</v>
      </c>
      <c r="P12" s="68">
        <v>1</v>
      </c>
      <c r="Q12" s="68">
        <v>1</v>
      </c>
      <c r="R12" s="68">
        <v>1</v>
      </c>
      <c r="S12" s="68">
        <v>1</v>
      </c>
      <c r="T12" s="68">
        <v>1</v>
      </c>
      <c r="U12" s="68">
        <v>1</v>
      </c>
      <c r="V12" s="68">
        <v>1</v>
      </c>
      <c r="W12" s="68">
        <v>1</v>
      </c>
      <c r="X12" s="68">
        <v>1</v>
      </c>
      <c r="Y12" s="68">
        <v>1</v>
      </c>
      <c r="Z12" s="69"/>
      <c r="AA12" s="72">
        <v>1</v>
      </c>
      <c r="AB12" s="71"/>
      <c r="AC12" s="69"/>
    </row>
    <row r="13" spans="1:29" s="1" customFormat="1" ht="40.15" customHeight="1" x14ac:dyDescent="0.25">
      <c r="A13" s="6"/>
      <c r="B13" s="64" t="s">
        <v>45</v>
      </c>
      <c r="C13" s="65" t="s">
        <v>6</v>
      </c>
      <c r="D13" s="66">
        <v>46100</v>
      </c>
      <c r="E13" s="67">
        <f t="shared" si="0"/>
        <v>0.86956521739130432</v>
      </c>
      <c r="F13" s="65"/>
      <c r="G13" s="68">
        <v>1</v>
      </c>
      <c r="H13" s="68">
        <v>1</v>
      </c>
      <c r="I13" s="68">
        <v>1</v>
      </c>
      <c r="J13" s="68">
        <v>1</v>
      </c>
      <c r="K13" s="68">
        <v>1</v>
      </c>
      <c r="L13" s="68">
        <v>1</v>
      </c>
      <c r="M13" s="68">
        <v>1</v>
      </c>
      <c r="N13" s="68">
        <v>1</v>
      </c>
      <c r="O13" s="68">
        <v>1</v>
      </c>
      <c r="P13" s="68">
        <v>1</v>
      </c>
      <c r="Q13" s="68">
        <v>1</v>
      </c>
      <c r="R13" s="68">
        <v>1</v>
      </c>
      <c r="S13" s="68">
        <v>1</v>
      </c>
      <c r="T13" s="68">
        <v>1</v>
      </c>
      <c r="U13" s="68">
        <v>1</v>
      </c>
      <c r="V13" s="68">
        <v>1</v>
      </c>
      <c r="W13" s="68">
        <v>1</v>
      </c>
      <c r="X13" s="68">
        <v>1</v>
      </c>
      <c r="Y13" s="68">
        <v>1</v>
      </c>
      <c r="Z13" s="69"/>
      <c r="AA13" s="72">
        <v>1</v>
      </c>
      <c r="AB13" s="71"/>
      <c r="AC13" s="69"/>
    </row>
    <row r="14" spans="1:29" s="1" customFormat="1" ht="40.15" customHeight="1" x14ac:dyDescent="0.25">
      <c r="A14" s="6"/>
      <c r="B14" s="64" t="s">
        <v>46</v>
      </c>
      <c r="C14" s="65" t="s">
        <v>6</v>
      </c>
      <c r="D14" s="66">
        <v>46100</v>
      </c>
      <c r="E14" s="67">
        <f t="shared" si="0"/>
        <v>0.86956521739130432</v>
      </c>
      <c r="F14" s="65"/>
      <c r="G14" s="68">
        <v>1</v>
      </c>
      <c r="H14" s="68">
        <v>1</v>
      </c>
      <c r="I14" s="68">
        <v>1</v>
      </c>
      <c r="J14" s="68">
        <v>1</v>
      </c>
      <c r="K14" s="68">
        <v>1</v>
      </c>
      <c r="L14" s="68">
        <v>1</v>
      </c>
      <c r="M14" s="68">
        <v>1</v>
      </c>
      <c r="N14" s="68">
        <v>1</v>
      </c>
      <c r="O14" s="68">
        <v>1</v>
      </c>
      <c r="P14" s="68">
        <v>1</v>
      </c>
      <c r="Q14" s="68">
        <v>1</v>
      </c>
      <c r="R14" s="68">
        <v>1</v>
      </c>
      <c r="S14" s="68">
        <v>1</v>
      </c>
      <c r="T14" s="68">
        <v>1</v>
      </c>
      <c r="U14" s="68">
        <v>1</v>
      </c>
      <c r="V14" s="68">
        <v>1</v>
      </c>
      <c r="W14" s="68">
        <v>1</v>
      </c>
      <c r="X14" s="68">
        <v>1</v>
      </c>
      <c r="Y14" s="68">
        <v>1</v>
      </c>
      <c r="Z14" s="69"/>
      <c r="AA14" s="72">
        <v>1</v>
      </c>
      <c r="AB14" s="71"/>
      <c r="AC14" s="69"/>
    </row>
    <row r="15" spans="1:29" s="1" customFormat="1" ht="40.15" customHeight="1" x14ac:dyDescent="0.25">
      <c r="A15" s="6"/>
      <c r="B15" s="64" t="s">
        <v>47</v>
      </c>
      <c r="C15" s="65" t="s">
        <v>6</v>
      </c>
      <c r="D15" s="66">
        <v>46100</v>
      </c>
      <c r="E15" s="67">
        <f t="shared" si="0"/>
        <v>0.86956521739130432</v>
      </c>
      <c r="F15" s="65"/>
      <c r="G15" s="68">
        <v>1</v>
      </c>
      <c r="H15" s="68">
        <v>1</v>
      </c>
      <c r="I15" s="68">
        <v>1</v>
      </c>
      <c r="J15" s="68">
        <v>1</v>
      </c>
      <c r="K15" s="68">
        <v>1</v>
      </c>
      <c r="L15" s="68">
        <v>1</v>
      </c>
      <c r="M15" s="68">
        <v>1</v>
      </c>
      <c r="N15" s="68">
        <v>1</v>
      </c>
      <c r="O15" s="68">
        <v>1</v>
      </c>
      <c r="P15" s="68">
        <v>1</v>
      </c>
      <c r="Q15" s="68">
        <v>1</v>
      </c>
      <c r="R15" s="68">
        <v>1</v>
      </c>
      <c r="S15" s="68">
        <v>1</v>
      </c>
      <c r="T15" s="68">
        <v>1</v>
      </c>
      <c r="U15" s="68">
        <v>1</v>
      </c>
      <c r="V15" s="68">
        <v>1</v>
      </c>
      <c r="W15" s="68">
        <v>1</v>
      </c>
      <c r="X15" s="68">
        <v>1</v>
      </c>
      <c r="Y15" s="68">
        <v>1</v>
      </c>
      <c r="Z15" s="69"/>
      <c r="AA15" s="72">
        <v>1</v>
      </c>
      <c r="AB15" s="71"/>
      <c r="AC15" s="69"/>
    </row>
    <row r="16" spans="1:29" s="1" customFormat="1" ht="40.15" customHeight="1" x14ac:dyDescent="0.25">
      <c r="A16" s="6"/>
      <c r="B16" s="64" t="s">
        <v>48</v>
      </c>
      <c r="C16" s="65" t="s">
        <v>6</v>
      </c>
      <c r="D16" s="66">
        <v>46100</v>
      </c>
      <c r="E16" s="67">
        <f t="shared" si="0"/>
        <v>0.86956521739130432</v>
      </c>
      <c r="F16" s="65"/>
      <c r="G16" s="68">
        <v>1</v>
      </c>
      <c r="H16" s="68">
        <v>1</v>
      </c>
      <c r="I16" s="68">
        <v>1</v>
      </c>
      <c r="J16" s="68">
        <v>1</v>
      </c>
      <c r="K16" s="68">
        <v>1</v>
      </c>
      <c r="L16" s="68">
        <v>1</v>
      </c>
      <c r="M16" s="68">
        <v>1</v>
      </c>
      <c r="N16" s="68">
        <v>1</v>
      </c>
      <c r="O16" s="68">
        <v>1</v>
      </c>
      <c r="P16" s="68">
        <v>1</v>
      </c>
      <c r="Q16" s="68">
        <v>1</v>
      </c>
      <c r="R16" s="68">
        <v>1</v>
      </c>
      <c r="S16" s="68">
        <v>1</v>
      </c>
      <c r="T16" s="68">
        <v>1</v>
      </c>
      <c r="U16" s="68">
        <v>1</v>
      </c>
      <c r="V16" s="68">
        <v>1</v>
      </c>
      <c r="W16" s="68">
        <v>1</v>
      </c>
      <c r="X16" s="68">
        <v>1</v>
      </c>
      <c r="Y16" s="68">
        <v>1</v>
      </c>
      <c r="Z16" s="69"/>
      <c r="AA16" s="72">
        <v>1</v>
      </c>
      <c r="AB16" s="71"/>
      <c r="AC16" s="69"/>
    </row>
    <row r="17" spans="1:29" s="1" customFormat="1" ht="40.15" customHeight="1" x14ac:dyDescent="0.25">
      <c r="A17" s="6"/>
      <c r="B17" s="64" t="s">
        <v>49</v>
      </c>
      <c r="C17" s="65" t="s">
        <v>6</v>
      </c>
      <c r="D17" s="66">
        <v>46100</v>
      </c>
      <c r="E17" s="67">
        <f t="shared" si="0"/>
        <v>0.86956521739130432</v>
      </c>
      <c r="F17" s="65"/>
      <c r="G17" s="68">
        <v>1</v>
      </c>
      <c r="H17" s="68">
        <v>1</v>
      </c>
      <c r="I17" s="68">
        <v>1</v>
      </c>
      <c r="J17" s="68">
        <v>1</v>
      </c>
      <c r="K17" s="68">
        <v>1</v>
      </c>
      <c r="L17" s="68">
        <v>1</v>
      </c>
      <c r="M17" s="68">
        <v>1</v>
      </c>
      <c r="N17" s="68">
        <v>1</v>
      </c>
      <c r="O17" s="68">
        <v>1</v>
      </c>
      <c r="P17" s="68">
        <v>1</v>
      </c>
      <c r="Q17" s="68">
        <v>1</v>
      </c>
      <c r="R17" s="68">
        <v>1</v>
      </c>
      <c r="S17" s="68">
        <v>1</v>
      </c>
      <c r="T17" s="68">
        <v>1</v>
      </c>
      <c r="U17" s="68">
        <v>1</v>
      </c>
      <c r="V17" s="68">
        <v>1</v>
      </c>
      <c r="W17" s="68">
        <v>1</v>
      </c>
      <c r="X17" s="68">
        <v>1</v>
      </c>
      <c r="Y17" s="68">
        <v>1</v>
      </c>
      <c r="Z17" s="69"/>
      <c r="AA17" s="72">
        <v>1</v>
      </c>
      <c r="AB17" s="71"/>
      <c r="AC17" s="69"/>
    </row>
    <row r="18" spans="1:29" s="1" customFormat="1" ht="40.15" customHeight="1" x14ac:dyDescent="0.25">
      <c r="A18" s="6"/>
      <c r="B18" s="64" t="s">
        <v>50</v>
      </c>
      <c r="C18" s="65" t="s">
        <v>6</v>
      </c>
      <c r="D18" s="66">
        <v>46100</v>
      </c>
      <c r="E18" s="67">
        <f t="shared" si="0"/>
        <v>0.86956521739130432</v>
      </c>
      <c r="F18" s="65"/>
      <c r="G18" s="68">
        <v>1</v>
      </c>
      <c r="H18" s="68">
        <v>1</v>
      </c>
      <c r="I18" s="68">
        <v>1</v>
      </c>
      <c r="J18" s="68">
        <v>1</v>
      </c>
      <c r="K18" s="68">
        <v>1</v>
      </c>
      <c r="L18" s="68">
        <v>1</v>
      </c>
      <c r="M18" s="68">
        <v>1</v>
      </c>
      <c r="N18" s="68">
        <v>1</v>
      </c>
      <c r="O18" s="68">
        <v>1</v>
      </c>
      <c r="P18" s="68">
        <v>1</v>
      </c>
      <c r="Q18" s="68">
        <v>1</v>
      </c>
      <c r="R18" s="68">
        <v>1</v>
      </c>
      <c r="S18" s="68">
        <v>1</v>
      </c>
      <c r="T18" s="68">
        <v>1</v>
      </c>
      <c r="U18" s="68">
        <v>1</v>
      </c>
      <c r="V18" s="68">
        <v>1</v>
      </c>
      <c r="W18" s="68">
        <v>1</v>
      </c>
      <c r="X18" s="68">
        <v>1</v>
      </c>
      <c r="Y18" s="68">
        <v>1</v>
      </c>
      <c r="Z18" s="69"/>
      <c r="AA18" s="72">
        <v>1</v>
      </c>
      <c r="AB18" s="71"/>
      <c r="AC18" s="69"/>
    </row>
    <row r="19" spans="1:29" s="1" customFormat="1" ht="40.15" customHeight="1" x14ac:dyDescent="0.25">
      <c r="A19" s="6"/>
      <c r="B19" s="64" t="s">
        <v>51</v>
      </c>
      <c r="C19" s="65" t="s">
        <v>6</v>
      </c>
      <c r="D19" s="66">
        <v>46100</v>
      </c>
      <c r="E19" s="67">
        <f t="shared" si="0"/>
        <v>0.86956521739130432</v>
      </c>
      <c r="F19" s="65"/>
      <c r="G19" s="68">
        <v>1</v>
      </c>
      <c r="H19" s="68">
        <v>1</v>
      </c>
      <c r="I19" s="68">
        <v>1</v>
      </c>
      <c r="J19" s="68">
        <v>1</v>
      </c>
      <c r="K19" s="68">
        <v>1</v>
      </c>
      <c r="L19" s="68">
        <v>1</v>
      </c>
      <c r="M19" s="68">
        <v>1</v>
      </c>
      <c r="N19" s="68">
        <v>1</v>
      </c>
      <c r="O19" s="68">
        <v>1</v>
      </c>
      <c r="P19" s="68">
        <v>1</v>
      </c>
      <c r="Q19" s="68">
        <v>1</v>
      </c>
      <c r="R19" s="68">
        <v>1</v>
      </c>
      <c r="S19" s="68">
        <v>1</v>
      </c>
      <c r="T19" s="68">
        <v>1</v>
      </c>
      <c r="U19" s="68">
        <v>1</v>
      </c>
      <c r="V19" s="68">
        <v>1</v>
      </c>
      <c r="W19" s="68">
        <v>1</v>
      </c>
      <c r="X19" s="68">
        <v>1</v>
      </c>
      <c r="Y19" s="68">
        <v>1</v>
      </c>
      <c r="Z19" s="69"/>
      <c r="AA19" s="72">
        <v>1</v>
      </c>
      <c r="AB19" s="71"/>
      <c r="AC19" s="69"/>
    </row>
    <row r="20" spans="1:29" s="1" customFormat="1" ht="40.15" customHeight="1" x14ac:dyDescent="0.25">
      <c r="A20" s="6"/>
      <c r="B20" s="64" t="s">
        <v>52</v>
      </c>
      <c r="C20" s="65" t="s">
        <v>6</v>
      </c>
      <c r="D20" s="66">
        <v>46100</v>
      </c>
      <c r="E20" s="67">
        <f t="shared" si="0"/>
        <v>0.86956521739130432</v>
      </c>
      <c r="F20" s="65"/>
      <c r="G20" s="68">
        <v>1</v>
      </c>
      <c r="H20" s="68">
        <v>1</v>
      </c>
      <c r="I20" s="68">
        <v>1</v>
      </c>
      <c r="J20" s="68">
        <v>1</v>
      </c>
      <c r="K20" s="68">
        <v>1</v>
      </c>
      <c r="L20" s="68">
        <v>1</v>
      </c>
      <c r="M20" s="68">
        <v>1</v>
      </c>
      <c r="N20" s="68">
        <v>1</v>
      </c>
      <c r="O20" s="68">
        <v>1</v>
      </c>
      <c r="P20" s="68">
        <v>1</v>
      </c>
      <c r="Q20" s="68">
        <v>1</v>
      </c>
      <c r="R20" s="68">
        <v>1</v>
      </c>
      <c r="S20" s="68">
        <v>1</v>
      </c>
      <c r="T20" s="68">
        <v>1</v>
      </c>
      <c r="U20" s="68">
        <v>1</v>
      </c>
      <c r="V20" s="68">
        <v>1</v>
      </c>
      <c r="W20" s="68">
        <v>1</v>
      </c>
      <c r="X20" s="68">
        <v>1</v>
      </c>
      <c r="Y20" s="68">
        <v>1</v>
      </c>
      <c r="Z20" s="69"/>
      <c r="AA20" s="72">
        <v>1</v>
      </c>
      <c r="AB20" s="71"/>
      <c r="AC20" s="69"/>
    </row>
    <row r="21" spans="1:29" s="1" customFormat="1" ht="40.15" customHeight="1" x14ac:dyDescent="0.25">
      <c r="A21" s="6"/>
      <c r="B21" s="64" t="s">
        <v>53</v>
      </c>
      <c r="C21" s="65" t="s">
        <v>6</v>
      </c>
      <c r="D21" s="66">
        <v>46100</v>
      </c>
      <c r="E21" s="67">
        <f t="shared" si="0"/>
        <v>0.86956521739130432</v>
      </c>
      <c r="F21" s="65"/>
      <c r="G21" s="68">
        <v>1</v>
      </c>
      <c r="H21" s="68">
        <v>1</v>
      </c>
      <c r="I21" s="68">
        <v>1</v>
      </c>
      <c r="J21" s="68">
        <v>1</v>
      </c>
      <c r="K21" s="68">
        <v>1</v>
      </c>
      <c r="L21" s="68">
        <v>1</v>
      </c>
      <c r="M21" s="68">
        <v>1</v>
      </c>
      <c r="N21" s="68">
        <v>1</v>
      </c>
      <c r="O21" s="68">
        <v>1</v>
      </c>
      <c r="P21" s="68">
        <v>1</v>
      </c>
      <c r="Q21" s="68">
        <v>1</v>
      </c>
      <c r="R21" s="68">
        <v>1</v>
      </c>
      <c r="S21" s="68">
        <v>1</v>
      </c>
      <c r="T21" s="68">
        <v>1</v>
      </c>
      <c r="U21" s="68">
        <v>1</v>
      </c>
      <c r="V21" s="68">
        <v>1</v>
      </c>
      <c r="W21" s="68">
        <v>1</v>
      </c>
      <c r="X21" s="68">
        <v>1</v>
      </c>
      <c r="Y21" s="68">
        <v>1</v>
      </c>
      <c r="Z21" s="69"/>
      <c r="AA21" s="72">
        <v>1</v>
      </c>
      <c r="AB21" s="71"/>
      <c r="AC21" s="69"/>
    </row>
    <row r="22" spans="1:29" s="1" customFormat="1" ht="40.15" customHeight="1" x14ac:dyDescent="0.25">
      <c r="A22" s="6"/>
      <c r="B22" s="64" t="s">
        <v>54</v>
      </c>
      <c r="C22" s="65" t="s">
        <v>6</v>
      </c>
      <c r="D22" s="66">
        <v>46100</v>
      </c>
      <c r="E22" s="67">
        <f t="shared" si="0"/>
        <v>0.86956521739130432</v>
      </c>
      <c r="F22" s="65"/>
      <c r="G22" s="68">
        <v>1</v>
      </c>
      <c r="H22" s="68">
        <v>1</v>
      </c>
      <c r="I22" s="68">
        <v>1</v>
      </c>
      <c r="J22" s="68">
        <v>1</v>
      </c>
      <c r="K22" s="68">
        <v>1</v>
      </c>
      <c r="L22" s="68">
        <v>1</v>
      </c>
      <c r="M22" s="68">
        <v>1</v>
      </c>
      <c r="N22" s="68">
        <v>1</v>
      </c>
      <c r="O22" s="68">
        <v>1</v>
      </c>
      <c r="P22" s="68">
        <v>1</v>
      </c>
      <c r="Q22" s="68">
        <v>1</v>
      </c>
      <c r="R22" s="68">
        <v>1</v>
      </c>
      <c r="S22" s="68">
        <v>1</v>
      </c>
      <c r="T22" s="68">
        <v>1</v>
      </c>
      <c r="U22" s="68">
        <v>1</v>
      </c>
      <c r="V22" s="68">
        <v>1</v>
      </c>
      <c r="W22" s="68">
        <v>1</v>
      </c>
      <c r="X22" s="68">
        <v>1</v>
      </c>
      <c r="Y22" s="68">
        <v>1</v>
      </c>
      <c r="Z22" s="69"/>
      <c r="AA22" s="72">
        <v>1</v>
      </c>
      <c r="AB22" s="71"/>
      <c r="AC22" s="69"/>
    </row>
    <row r="23" spans="1:29" s="1" customFormat="1" ht="40.15" customHeight="1" x14ac:dyDescent="0.25">
      <c r="A23" s="6"/>
      <c r="B23" s="64" t="s">
        <v>55</v>
      </c>
      <c r="C23" s="65" t="s">
        <v>6</v>
      </c>
      <c r="D23" s="66">
        <v>46100</v>
      </c>
      <c r="E23" s="67">
        <f t="shared" si="0"/>
        <v>0.86956521739130432</v>
      </c>
      <c r="F23" s="65"/>
      <c r="G23" s="68">
        <v>1</v>
      </c>
      <c r="H23" s="68">
        <v>1</v>
      </c>
      <c r="I23" s="68">
        <v>1</v>
      </c>
      <c r="J23" s="68">
        <v>1</v>
      </c>
      <c r="K23" s="68">
        <v>1</v>
      </c>
      <c r="L23" s="68">
        <v>1</v>
      </c>
      <c r="M23" s="68">
        <v>1</v>
      </c>
      <c r="N23" s="68">
        <v>1</v>
      </c>
      <c r="O23" s="68">
        <v>1</v>
      </c>
      <c r="P23" s="68">
        <v>1</v>
      </c>
      <c r="Q23" s="68">
        <v>1</v>
      </c>
      <c r="R23" s="68">
        <v>1</v>
      </c>
      <c r="S23" s="68">
        <v>1</v>
      </c>
      <c r="T23" s="68">
        <v>1</v>
      </c>
      <c r="U23" s="68">
        <v>1</v>
      </c>
      <c r="V23" s="68">
        <v>1</v>
      </c>
      <c r="W23" s="68">
        <v>1</v>
      </c>
      <c r="X23" s="68">
        <v>1</v>
      </c>
      <c r="Y23" s="68">
        <v>1</v>
      </c>
      <c r="Z23" s="69"/>
      <c r="AA23" s="72">
        <v>1</v>
      </c>
      <c r="AB23" s="71"/>
      <c r="AC23" s="69"/>
    </row>
    <row r="24" spans="1:29" s="1" customFormat="1" ht="40.15" customHeight="1" x14ac:dyDescent="0.25">
      <c r="A24" s="6"/>
      <c r="B24" s="64" t="s">
        <v>56</v>
      </c>
      <c r="C24" s="65" t="s">
        <v>6</v>
      </c>
      <c r="D24" s="66">
        <v>46100</v>
      </c>
      <c r="E24" s="67">
        <f t="shared" si="0"/>
        <v>0.86956521739130432</v>
      </c>
      <c r="F24" s="65"/>
      <c r="G24" s="68">
        <v>1</v>
      </c>
      <c r="H24" s="68">
        <v>1</v>
      </c>
      <c r="I24" s="68">
        <v>1</v>
      </c>
      <c r="J24" s="68">
        <v>1</v>
      </c>
      <c r="K24" s="68">
        <v>1</v>
      </c>
      <c r="L24" s="68">
        <v>1</v>
      </c>
      <c r="M24" s="68">
        <v>1</v>
      </c>
      <c r="N24" s="68">
        <v>1</v>
      </c>
      <c r="O24" s="68">
        <v>1</v>
      </c>
      <c r="P24" s="68">
        <v>1</v>
      </c>
      <c r="Q24" s="68">
        <v>1</v>
      </c>
      <c r="R24" s="68">
        <v>1</v>
      </c>
      <c r="S24" s="68">
        <v>1</v>
      </c>
      <c r="T24" s="68">
        <v>1</v>
      </c>
      <c r="U24" s="68">
        <v>1</v>
      </c>
      <c r="V24" s="68">
        <v>1</v>
      </c>
      <c r="W24" s="68">
        <v>1</v>
      </c>
      <c r="X24" s="68">
        <v>1</v>
      </c>
      <c r="Y24" s="68">
        <v>1</v>
      </c>
      <c r="Z24" s="69"/>
      <c r="AA24" s="72">
        <v>1</v>
      </c>
      <c r="AB24" s="71"/>
      <c r="AC24" s="69"/>
    </row>
    <row r="25" spans="1:29" s="1" customFormat="1" ht="40.15" customHeight="1" x14ac:dyDescent="0.25">
      <c r="A25" s="6"/>
      <c r="B25" s="64" t="s">
        <v>57</v>
      </c>
      <c r="C25" s="65" t="s">
        <v>6</v>
      </c>
      <c r="D25" s="66">
        <v>46100</v>
      </c>
      <c r="E25" s="67">
        <f t="shared" si="0"/>
        <v>0.86956521739130432</v>
      </c>
      <c r="F25" s="65"/>
      <c r="G25" s="68">
        <v>1</v>
      </c>
      <c r="H25" s="68">
        <v>1</v>
      </c>
      <c r="I25" s="68">
        <v>1</v>
      </c>
      <c r="J25" s="68">
        <v>1</v>
      </c>
      <c r="K25" s="68">
        <v>1</v>
      </c>
      <c r="L25" s="68">
        <v>1</v>
      </c>
      <c r="M25" s="68">
        <v>1</v>
      </c>
      <c r="N25" s="68">
        <v>1</v>
      </c>
      <c r="O25" s="68">
        <v>1</v>
      </c>
      <c r="P25" s="68">
        <v>1</v>
      </c>
      <c r="Q25" s="68">
        <v>1</v>
      </c>
      <c r="R25" s="68">
        <v>1</v>
      </c>
      <c r="S25" s="68">
        <v>1</v>
      </c>
      <c r="T25" s="68">
        <v>1</v>
      </c>
      <c r="U25" s="68">
        <v>1</v>
      </c>
      <c r="V25" s="68">
        <v>1</v>
      </c>
      <c r="W25" s="68">
        <v>1</v>
      </c>
      <c r="X25" s="68">
        <v>1</v>
      </c>
      <c r="Y25" s="68">
        <v>1</v>
      </c>
      <c r="Z25" s="69"/>
      <c r="AA25" s="72">
        <v>1</v>
      </c>
      <c r="AB25" s="71"/>
      <c r="AC25" s="69"/>
    </row>
    <row r="26" spans="1:29" s="1" customFormat="1" ht="40.15" customHeight="1" thickBot="1" x14ac:dyDescent="0.3">
      <c r="A26" s="60"/>
      <c r="B26" s="64" t="s">
        <v>58</v>
      </c>
      <c r="C26" s="65" t="s">
        <v>6</v>
      </c>
      <c r="D26" s="66">
        <v>46100</v>
      </c>
      <c r="E26" s="67">
        <f t="shared" si="0"/>
        <v>0.86956521739130432</v>
      </c>
      <c r="F26" s="65"/>
      <c r="G26" s="68">
        <v>1</v>
      </c>
      <c r="H26" s="68">
        <v>1</v>
      </c>
      <c r="I26" s="68">
        <v>1</v>
      </c>
      <c r="J26" s="68">
        <v>1</v>
      </c>
      <c r="K26" s="68">
        <v>1</v>
      </c>
      <c r="L26" s="68">
        <v>1</v>
      </c>
      <c r="M26" s="68">
        <v>1</v>
      </c>
      <c r="N26" s="68">
        <v>1</v>
      </c>
      <c r="O26" s="68">
        <v>1</v>
      </c>
      <c r="P26" s="68">
        <v>1</v>
      </c>
      <c r="Q26" s="68">
        <v>1</v>
      </c>
      <c r="R26" s="68">
        <v>1</v>
      </c>
      <c r="S26" s="68">
        <v>1</v>
      </c>
      <c r="T26" s="68">
        <v>1</v>
      </c>
      <c r="U26" s="68">
        <v>1</v>
      </c>
      <c r="V26" s="68">
        <v>1</v>
      </c>
      <c r="W26" s="68">
        <v>1</v>
      </c>
      <c r="X26" s="68">
        <v>1</v>
      </c>
      <c r="Y26" s="68">
        <v>1</v>
      </c>
      <c r="Z26" s="69"/>
      <c r="AA26" s="72">
        <v>1</v>
      </c>
      <c r="AB26" s="71"/>
      <c r="AC26" s="69"/>
    </row>
    <row r="27" spans="1:29" s="1" customFormat="1" ht="40.15" customHeight="1" x14ac:dyDescent="0.25">
      <c r="A27" s="6"/>
      <c r="B27" s="64" t="s">
        <v>59</v>
      </c>
      <c r="C27" s="65" t="s">
        <v>5</v>
      </c>
      <c r="D27" s="66">
        <v>46146</v>
      </c>
      <c r="E27" s="67">
        <f t="shared" si="0"/>
        <v>0.78260869565217395</v>
      </c>
      <c r="F27" s="65"/>
      <c r="G27" s="68">
        <v>1</v>
      </c>
      <c r="H27" s="68">
        <v>1</v>
      </c>
      <c r="I27" s="68">
        <v>1</v>
      </c>
      <c r="J27" s="68">
        <v>1</v>
      </c>
      <c r="K27" s="68">
        <v>1</v>
      </c>
      <c r="L27" s="68">
        <v>1</v>
      </c>
      <c r="M27" s="68">
        <v>1</v>
      </c>
      <c r="N27" s="68">
        <v>1</v>
      </c>
      <c r="O27" s="68">
        <v>1</v>
      </c>
      <c r="P27" s="68">
        <v>1</v>
      </c>
      <c r="Q27" s="68">
        <v>1</v>
      </c>
      <c r="R27" s="68">
        <v>1</v>
      </c>
      <c r="S27" s="68">
        <v>1</v>
      </c>
      <c r="T27" s="68">
        <v>1</v>
      </c>
      <c r="U27" s="68">
        <v>1</v>
      </c>
      <c r="V27" s="68">
        <v>1</v>
      </c>
      <c r="W27" s="68">
        <v>1</v>
      </c>
      <c r="X27" s="68">
        <v>1</v>
      </c>
      <c r="Y27" s="69"/>
      <c r="Z27" s="69"/>
      <c r="AA27" s="70"/>
      <c r="AB27" s="70"/>
      <c r="AC27" s="69"/>
    </row>
    <row r="28" spans="1:29" s="1" customFormat="1" ht="40.15" customHeight="1" x14ac:dyDescent="0.25">
      <c r="A28" s="6"/>
      <c r="B28" s="64" t="s">
        <v>60</v>
      </c>
      <c r="C28" s="65" t="s">
        <v>5</v>
      </c>
      <c r="D28" s="66">
        <v>46146</v>
      </c>
      <c r="E28" s="67">
        <f t="shared" ref="E28" si="1">COUNT(G28:AC28)/23</f>
        <v>0.69565217391304346</v>
      </c>
      <c r="F28" s="65"/>
      <c r="G28" s="68">
        <v>1</v>
      </c>
      <c r="H28" s="68">
        <v>1</v>
      </c>
      <c r="I28" s="68">
        <v>1</v>
      </c>
      <c r="J28" s="68">
        <v>1</v>
      </c>
      <c r="K28" s="68">
        <v>1</v>
      </c>
      <c r="L28" s="68">
        <v>1</v>
      </c>
      <c r="M28" s="68">
        <v>1</v>
      </c>
      <c r="N28" s="68">
        <v>1</v>
      </c>
      <c r="O28" s="68">
        <v>1</v>
      </c>
      <c r="P28" s="68">
        <v>1</v>
      </c>
      <c r="Q28" s="68">
        <v>1</v>
      </c>
      <c r="R28" s="68">
        <v>1</v>
      </c>
      <c r="S28" s="68">
        <v>1</v>
      </c>
      <c r="T28" s="68">
        <v>1</v>
      </c>
      <c r="U28" s="68">
        <v>1</v>
      </c>
      <c r="V28" s="68">
        <v>1</v>
      </c>
      <c r="W28" s="69"/>
      <c r="X28" s="69"/>
      <c r="Y28" s="69"/>
      <c r="Z28" s="69"/>
      <c r="AA28" s="70"/>
      <c r="AB28" s="70"/>
      <c r="AC28" s="69"/>
    </row>
    <row r="29" spans="1:29" s="1" customFormat="1" ht="40.15" customHeight="1" x14ac:dyDescent="0.25">
      <c r="A29" s="6"/>
      <c r="B29" s="64" t="s">
        <v>61</v>
      </c>
      <c r="C29" s="65" t="s">
        <v>5</v>
      </c>
      <c r="D29" s="66">
        <v>46146</v>
      </c>
      <c r="E29" s="67">
        <f t="shared" ref="E29:E92" si="2">COUNT(G29:AC29)/23</f>
        <v>0.69565217391304346</v>
      </c>
      <c r="F29" s="65"/>
      <c r="G29" s="68">
        <v>1</v>
      </c>
      <c r="H29" s="68">
        <v>1</v>
      </c>
      <c r="I29" s="68">
        <v>1</v>
      </c>
      <c r="J29" s="68">
        <v>1</v>
      </c>
      <c r="K29" s="68">
        <v>1</v>
      </c>
      <c r="L29" s="68">
        <v>1</v>
      </c>
      <c r="M29" s="68">
        <v>1</v>
      </c>
      <c r="N29" s="68">
        <v>1</v>
      </c>
      <c r="O29" s="68">
        <v>1</v>
      </c>
      <c r="P29" s="68">
        <v>1</v>
      </c>
      <c r="Q29" s="68">
        <v>1</v>
      </c>
      <c r="R29" s="68">
        <v>1</v>
      </c>
      <c r="S29" s="68">
        <v>1</v>
      </c>
      <c r="T29" s="68">
        <v>1</v>
      </c>
      <c r="U29" s="68">
        <v>1</v>
      </c>
      <c r="V29" s="68">
        <v>1</v>
      </c>
      <c r="W29" s="69"/>
      <c r="X29" s="69"/>
      <c r="Y29" s="69"/>
      <c r="Z29" s="69"/>
      <c r="AA29" s="70"/>
      <c r="AB29" s="70"/>
      <c r="AC29" s="69"/>
    </row>
    <row r="30" spans="1:29" s="1" customFormat="1" ht="40.15" customHeight="1" x14ac:dyDescent="0.25">
      <c r="A30" s="6"/>
      <c r="B30" s="64" t="s">
        <v>62</v>
      </c>
      <c r="C30" s="65" t="s">
        <v>5</v>
      </c>
      <c r="D30" s="66">
        <v>46146</v>
      </c>
      <c r="E30" s="67">
        <f t="shared" si="2"/>
        <v>0.65217391304347827</v>
      </c>
      <c r="F30" s="65"/>
      <c r="G30" s="68">
        <v>1</v>
      </c>
      <c r="H30" s="68">
        <v>1</v>
      </c>
      <c r="I30" s="68">
        <v>1</v>
      </c>
      <c r="J30" s="68">
        <v>1</v>
      </c>
      <c r="K30" s="68">
        <v>1</v>
      </c>
      <c r="L30" s="68">
        <v>1</v>
      </c>
      <c r="M30" s="68">
        <v>1</v>
      </c>
      <c r="N30" s="68">
        <v>1</v>
      </c>
      <c r="O30" s="68">
        <v>1</v>
      </c>
      <c r="P30" s="68">
        <v>1</v>
      </c>
      <c r="Q30" s="68">
        <v>1</v>
      </c>
      <c r="R30" s="68">
        <v>1</v>
      </c>
      <c r="S30" s="68">
        <v>1</v>
      </c>
      <c r="T30" s="68">
        <v>1</v>
      </c>
      <c r="U30" s="68">
        <v>1</v>
      </c>
      <c r="V30" s="69"/>
      <c r="W30" s="69"/>
      <c r="X30" s="69"/>
      <c r="Y30" s="69"/>
      <c r="Z30" s="69"/>
      <c r="AA30" s="70"/>
      <c r="AB30" s="70"/>
      <c r="AC30" s="69"/>
    </row>
    <row r="31" spans="1:29" s="1" customFormat="1" ht="40.15" customHeight="1" x14ac:dyDescent="0.25">
      <c r="A31" s="6"/>
      <c r="B31" s="64" t="s">
        <v>63</v>
      </c>
      <c r="C31" s="65" t="s">
        <v>5</v>
      </c>
      <c r="D31" s="66">
        <v>46146</v>
      </c>
      <c r="E31" s="67">
        <f t="shared" si="2"/>
        <v>0.65217391304347827</v>
      </c>
      <c r="F31" s="65"/>
      <c r="G31" s="68">
        <v>1</v>
      </c>
      <c r="H31" s="68">
        <v>1</v>
      </c>
      <c r="I31" s="68">
        <v>1</v>
      </c>
      <c r="J31" s="68">
        <v>1</v>
      </c>
      <c r="K31" s="68">
        <v>1</v>
      </c>
      <c r="L31" s="68">
        <v>1</v>
      </c>
      <c r="M31" s="68">
        <v>1</v>
      </c>
      <c r="N31" s="68">
        <v>1</v>
      </c>
      <c r="O31" s="68">
        <v>1</v>
      </c>
      <c r="P31" s="68">
        <v>1</v>
      </c>
      <c r="Q31" s="68">
        <v>1</v>
      </c>
      <c r="R31" s="68">
        <v>1</v>
      </c>
      <c r="S31" s="68">
        <v>1</v>
      </c>
      <c r="T31" s="68">
        <v>1</v>
      </c>
      <c r="U31" s="68">
        <v>1</v>
      </c>
      <c r="V31" s="69"/>
      <c r="W31" s="69"/>
      <c r="X31" s="69"/>
      <c r="Y31" s="69"/>
      <c r="Z31" s="69"/>
      <c r="AA31" s="70"/>
      <c r="AB31" s="70"/>
      <c r="AC31" s="69"/>
    </row>
    <row r="32" spans="1:29" s="1" customFormat="1" ht="40.15" customHeight="1" x14ac:dyDescent="0.25">
      <c r="A32" s="6"/>
      <c r="B32" s="64" t="s">
        <v>64</v>
      </c>
      <c r="C32" s="65" t="s">
        <v>5</v>
      </c>
      <c r="D32" s="66">
        <v>46146</v>
      </c>
      <c r="E32" s="67">
        <f t="shared" si="2"/>
        <v>0.65217391304347827</v>
      </c>
      <c r="F32" s="65"/>
      <c r="G32" s="68">
        <v>1</v>
      </c>
      <c r="H32" s="68">
        <v>1</v>
      </c>
      <c r="I32" s="68">
        <v>1</v>
      </c>
      <c r="J32" s="68">
        <v>1</v>
      </c>
      <c r="K32" s="68">
        <v>1</v>
      </c>
      <c r="L32" s="68">
        <v>1</v>
      </c>
      <c r="M32" s="68">
        <v>1</v>
      </c>
      <c r="N32" s="68">
        <v>1</v>
      </c>
      <c r="O32" s="68">
        <v>1</v>
      </c>
      <c r="P32" s="68">
        <v>1</v>
      </c>
      <c r="Q32" s="68">
        <v>1</v>
      </c>
      <c r="R32" s="68">
        <v>1</v>
      </c>
      <c r="S32" s="68">
        <v>1</v>
      </c>
      <c r="T32" s="68">
        <v>1</v>
      </c>
      <c r="U32" s="68">
        <v>1</v>
      </c>
      <c r="V32" s="69"/>
      <c r="W32" s="69"/>
      <c r="X32" s="69"/>
      <c r="Y32" s="69"/>
      <c r="Z32" s="69"/>
      <c r="AA32" s="70"/>
      <c r="AB32" s="70"/>
      <c r="AC32" s="69"/>
    </row>
    <row r="33" spans="1:29" s="1" customFormat="1" ht="40.15" customHeight="1" x14ac:dyDescent="0.25">
      <c r="A33" s="6"/>
      <c r="B33" s="64" t="s">
        <v>65</v>
      </c>
      <c r="C33" s="65" t="s">
        <v>5</v>
      </c>
      <c r="D33" s="66">
        <v>46146</v>
      </c>
      <c r="E33" s="67">
        <f t="shared" si="2"/>
        <v>0.65217391304347827</v>
      </c>
      <c r="F33" s="65"/>
      <c r="G33" s="68">
        <v>1</v>
      </c>
      <c r="H33" s="68">
        <v>1</v>
      </c>
      <c r="I33" s="68">
        <v>1</v>
      </c>
      <c r="J33" s="68">
        <v>1</v>
      </c>
      <c r="K33" s="68">
        <v>1</v>
      </c>
      <c r="L33" s="68">
        <v>1</v>
      </c>
      <c r="M33" s="68">
        <v>1</v>
      </c>
      <c r="N33" s="68">
        <v>1</v>
      </c>
      <c r="O33" s="68">
        <v>1</v>
      </c>
      <c r="P33" s="68">
        <v>1</v>
      </c>
      <c r="Q33" s="68">
        <v>1</v>
      </c>
      <c r="R33" s="68">
        <v>1</v>
      </c>
      <c r="S33" s="68">
        <v>1</v>
      </c>
      <c r="T33" s="68">
        <v>1</v>
      </c>
      <c r="U33" s="68">
        <v>1</v>
      </c>
      <c r="V33" s="69"/>
      <c r="W33" s="69"/>
      <c r="X33" s="69"/>
      <c r="Y33" s="69"/>
      <c r="Z33" s="69"/>
      <c r="AA33" s="70"/>
      <c r="AB33" s="70"/>
      <c r="AC33" s="69"/>
    </row>
    <row r="34" spans="1:29" s="1" customFormat="1" ht="40.15" customHeight="1" x14ac:dyDescent="0.25">
      <c r="A34" s="6"/>
      <c r="B34" s="64" t="s">
        <v>66</v>
      </c>
      <c r="C34" s="65" t="s">
        <v>5</v>
      </c>
      <c r="D34" s="66">
        <v>46146</v>
      </c>
      <c r="E34" s="67">
        <f t="shared" si="2"/>
        <v>0.60869565217391308</v>
      </c>
      <c r="F34" s="65"/>
      <c r="G34" s="68">
        <v>1</v>
      </c>
      <c r="H34" s="68">
        <v>1</v>
      </c>
      <c r="I34" s="68">
        <v>1</v>
      </c>
      <c r="J34" s="68">
        <v>1</v>
      </c>
      <c r="K34" s="68">
        <v>1</v>
      </c>
      <c r="L34" s="68">
        <v>1</v>
      </c>
      <c r="M34" s="68">
        <v>1</v>
      </c>
      <c r="N34" s="68">
        <v>1</v>
      </c>
      <c r="O34" s="68">
        <v>1</v>
      </c>
      <c r="P34" s="68">
        <v>1</v>
      </c>
      <c r="Q34" s="68">
        <v>1</v>
      </c>
      <c r="R34" s="68">
        <v>1</v>
      </c>
      <c r="S34" s="68">
        <v>1</v>
      </c>
      <c r="T34" s="68">
        <v>1</v>
      </c>
      <c r="U34" s="69"/>
      <c r="V34" s="69"/>
      <c r="W34" s="69"/>
      <c r="X34" s="69"/>
      <c r="Y34" s="69"/>
      <c r="Z34" s="69"/>
      <c r="AA34" s="70"/>
      <c r="AB34" s="70"/>
      <c r="AC34" s="69"/>
    </row>
    <row r="35" spans="1:29" s="1" customFormat="1" ht="40.15" customHeight="1" x14ac:dyDescent="0.25">
      <c r="A35" s="6"/>
      <c r="B35" s="64" t="s">
        <v>67</v>
      </c>
      <c r="C35" s="65" t="s">
        <v>5</v>
      </c>
      <c r="D35" s="66">
        <v>46146</v>
      </c>
      <c r="E35" s="67">
        <f t="shared" si="2"/>
        <v>0.56521739130434778</v>
      </c>
      <c r="F35" s="65"/>
      <c r="G35" s="68">
        <v>1</v>
      </c>
      <c r="H35" s="68">
        <v>1</v>
      </c>
      <c r="I35" s="68">
        <v>1</v>
      </c>
      <c r="J35" s="68">
        <v>1</v>
      </c>
      <c r="K35" s="68">
        <v>1</v>
      </c>
      <c r="L35" s="68">
        <v>1</v>
      </c>
      <c r="M35" s="68">
        <v>1</v>
      </c>
      <c r="N35" s="68">
        <v>1</v>
      </c>
      <c r="O35" s="68">
        <v>1</v>
      </c>
      <c r="P35" s="68">
        <v>1</v>
      </c>
      <c r="Q35" s="68">
        <v>1</v>
      </c>
      <c r="R35" s="68">
        <v>1</v>
      </c>
      <c r="S35" s="68">
        <v>1</v>
      </c>
      <c r="T35" s="69"/>
      <c r="U35" s="69"/>
      <c r="V35" s="69"/>
      <c r="W35" s="69"/>
      <c r="X35" s="69"/>
      <c r="Y35" s="69"/>
      <c r="Z35" s="69"/>
      <c r="AA35" s="70"/>
      <c r="AB35" s="70"/>
      <c r="AC35" s="69"/>
    </row>
    <row r="36" spans="1:29" s="1" customFormat="1" ht="40.15" customHeight="1" x14ac:dyDescent="0.25">
      <c r="A36" s="6"/>
      <c r="B36" s="64" t="s">
        <v>68</v>
      </c>
      <c r="C36" s="65" t="s">
        <v>5</v>
      </c>
      <c r="D36" s="66">
        <v>46146</v>
      </c>
      <c r="E36" s="67">
        <f t="shared" si="2"/>
        <v>0.56521739130434778</v>
      </c>
      <c r="F36" s="65"/>
      <c r="G36" s="68">
        <v>1</v>
      </c>
      <c r="H36" s="68">
        <v>1</v>
      </c>
      <c r="I36" s="68">
        <v>1</v>
      </c>
      <c r="J36" s="68">
        <v>1</v>
      </c>
      <c r="K36" s="68">
        <v>1</v>
      </c>
      <c r="L36" s="68">
        <v>1</v>
      </c>
      <c r="M36" s="68">
        <v>1</v>
      </c>
      <c r="N36" s="68">
        <v>1</v>
      </c>
      <c r="O36" s="68">
        <v>1</v>
      </c>
      <c r="P36" s="68">
        <v>1</v>
      </c>
      <c r="Q36" s="68">
        <v>1</v>
      </c>
      <c r="R36" s="68">
        <v>1</v>
      </c>
      <c r="S36" s="68">
        <v>1</v>
      </c>
      <c r="T36" s="69"/>
      <c r="U36" s="69"/>
      <c r="V36" s="69"/>
      <c r="W36" s="69"/>
      <c r="X36" s="69"/>
      <c r="Y36" s="69"/>
      <c r="Z36" s="69"/>
      <c r="AA36" s="70"/>
      <c r="AB36" s="70"/>
      <c r="AC36" s="69"/>
    </row>
    <row r="37" spans="1:29" s="1" customFormat="1" ht="40.15" customHeight="1" x14ac:dyDescent="0.25">
      <c r="A37" s="6"/>
      <c r="B37" s="64" t="s">
        <v>69</v>
      </c>
      <c r="C37" s="65" t="s">
        <v>5</v>
      </c>
      <c r="D37" s="66">
        <v>46146</v>
      </c>
      <c r="E37" s="67">
        <f t="shared" si="2"/>
        <v>0.52173913043478259</v>
      </c>
      <c r="F37" s="65"/>
      <c r="G37" s="68">
        <v>1</v>
      </c>
      <c r="H37" s="68">
        <v>1</v>
      </c>
      <c r="I37" s="68">
        <v>1</v>
      </c>
      <c r="J37" s="68">
        <v>1</v>
      </c>
      <c r="K37" s="68">
        <v>1</v>
      </c>
      <c r="L37" s="68">
        <v>1</v>
      </c>
      <c r="M37" s="68">
        <v>1</v>
      </c>
      <c r="N37" s="68">
        <v>1</v>
      </c>
      <c r="O37" s="68">
        <v>1</v>
      </c>
      <c r="P37" s="68">
        <v>1</v>
      </c>
      <c r="Q37" s="68">
        <v>1</v>
      </c>
      <c r="R37" s="68">
        <v>1</v>
      </c>
      <c r="S37" s="69"/>
      <c r="T37" s="69"/>
      <c r="U37" s="69"/>
      <c r="V37" s="69"/>
      <c r="W37" s="69"/>
      <c r="X37" s="69"/>
      <c r="Y37" s="69"/>
      <c r="Z37" s="69"/>
      <c r="AA37" s="70"/>
      <c r="AB37" s="70"/>
      <c r="AC37" s="69"/>
    </row>
    <row r="38" spans="1:29" s="1" customFormat="1" ht="40.15" customHeight="1" x14ac:dyDescent="0.25">
      <c r="A38" s="6"/>
      <c r="B38" s="64" t="s">
        <v>70</v>
      </c>
      <c r="C38" s="65" t="s">
        <v>5</v>
      </c>
      <c r="D38" s="66">
        <v>46146</v>
      </c>
      <c r="E38" s="67">
        <f t="shared" si="2"/>
        <v>0.43478260869565216</v>
      </c>
      <c r="F38" s="65"/>
      <c r="G38" s="68">
        <v>1</v>
      </c>
      <c r="H38" s="68">
        <v>1</v>
      </c>
      <c r="I38" s="68">
        <v>1</v>
      </c>
      <c r="J38" s="68">
        <v>1</v>
      </c>
      <c r="K38" s="68">
        <v>1</v>
      </c>
      <c r="L38" s="68">
        <v>1</v>
      </c>
      <c r="M38" s="68">
        <v>1</v>
      </c>
      <c r="N38" s="68">
        <v>1</v>
      </c>
      <c r="O38" s="68">
        <v>1</v>
      </c>
      <c r="P38" s="68">
        <v>1</v>
      </c>
      <c r="Q38" s="69"/>
      <c r="R38" s="69"/>
      <c r="S38" s="69"/>
      <c r="T38" s="69"/>
      <c r="U38" s="69"/>
      <c r="V38" s="69"/>
      <c r="W38" s="69"/>
      <c r="X38" s="69"/>
      <c r="Y38" s="69"/>
      <c r="Z38" s="69"/>
      <c r="AA38" s="70"/>
      <c r="AB38" s="70"/>
      <c r="AC38" s="69"/>
    </row>
    <row r="39" spans="1:29" s="1" customFormat="1" ht="40.15" customHeight="1" x14ac:dyDescent="0.25">
      <c r="A39" s="6"/>
      <c r="B39" s="64" t="s">
        <v>71</v>
      </c>
      <c r="C39" s="65" t="s">
        <v>5</v>
      </c>
      <c r="D39" s="66">
        <v>46146</v>
      </c>
      <c r="E39" s="67">
        <f t="shared" si="2"/>
        <v>0.43478260869565216</v>
      </c>
      <c r="F39" s="65"/>
      <c r="G39" s="68">
        <v>1</v>
      </c>
      <c r="H39" s="68">
        <v>1</v>
      </c>
      <c r="I39" s="68">
        <v>1</v>
      </c>
      <c r="J39" s="68">
        <v>1</v>
      </c>
      <c r="K39" s="68">
        <v>1</v>
      </c>
      <c r="L39" s="68">
        <v>1</v>
      </c>
      <c r="M39" s="68">
        <v>1</v>
      </c>
      <c r="N39" s="68">
        <v>1</v>
      </c>
      <c r="O39" s="68">
        <v>1</v>
      </c>
      <c r="P39" s="68">
        <v>1</v>
      </c>
      <c r="Q39" s="69"/>
      <c r="R39" s="69"/>
      <c r="S39" s="69"/>
      <c r="T39" s="69"/>
      <c r="U39" s="69"/>
      <c r="V39" s="69"/>
      <c r="W39" s="69"/>
      <c r="X39" s="69"/>
      <c r="Y39" s="69"/>
      <c r="Z39" s="69"/>
      <c r="AA39" s="70"/>
      <c r="AB39" s="70"/>
      <c r="AC39" s="69"/>
    </row>
    <row r="40" spans="1:29" s="1" customFormat="1" ht="40.15" customHeight="1" x14ac:dyDescent="0.25">
      <c r="A40" s="6"/>
      <c r="B40" s="64" t="s">
        <v>72</v>
      </c>
      <c r="C40" s="65" t="s">
        <v>5</v>
      </c>
      <c r="D40" s="66">
        <v>46146</v>
      </c>
      <c r="E40" s="67">
        <f t="shared" si="2"/>
        <v>0.43478260869565216</v>
      </c>
      <c r="F40" s="65"/>
      <c r="G40" s="68">
        <v>1</v>
      </c>
      <c r="H40" s="68">
        <v>1</v>
      </c>
      <c r="I40" s="68">
        <v>1</v>
      </c>
      <c r="J40" s="68">
        <v>1</v>
      </c>
      <c r="K40" s="68">
        <v>1</v>
      </c>
      <c r="L40" s="68">
        <v>1</v>
      </c>
      <c r="M40" s="68">
        <v>1</v>
      </c>
      <c r="N40" s="68">
        <v>1</v>
      </c>
      <c r="O40" s="68">
        <v>1</v>
      </c>
      <c r="P40" s="68">
        <v>1</v>
      </c>
      <c r="Q40" s="69"/>
      <c r="R40" s="69"/>
      <c r="S40" s="69"/>
      <c r="T40" s="69"/>
      <c r="U40" s="69"/>
      <c r="V40" s="69"/>
      <c r="W40" s="69"/>
      <c r="X40" s="69"/>
      <c r="Y40" s="69"/>
      <c r="Z40" s="69"/>
      <c r="AA40" s="70"/>
      <c r="AB40" s="70"/>
      <c r="AC40" s="69"/>
    </row>
    <row r="41" spans="1:29" s="1" customFormat="1" ht="40.15" customHeight="1" x14ac:dyDescent="0.25">
      <c r="A41" s="6"/>
      <c r="B41" s="64" t="s">
        <v>73</v>
      </c>
      <c r="C41" s="65" t="s">
        <v>5</v>
      </c>
      <c r="D41" s="66">
        <v>46146</v>
      </c>
      <c r="E41" s="67">
        <f t="shared" si="2"/>
        <v>0.34782608695652173</v>
      </c>
      <c r="F41" s="65"/>
      <c r="G41" s="69"/>
      <c r="H41" s="68">
        <v>1</v>
      </c>
      <c r="I41" s="69"/>
      <c r="J41" s="68">
        <v>1</v>
      </c>
      <c r="K41" s="68">
        <v>1</v>
      </c>
      <c r="L41" s="68">
        <v>1</v>
      </c>
      <c r="M41" s="68">
        <v>1</v>
      </c>
      <c r="N41" s="68">
        <v>1</v>
      </c>
      <c r="O41" s="68">
        <v>1</v>
      </c>
      <c r="P41" s="68">
        <v>1</v>
      </c>
      <c r="Q41" s="69"/>
      <c r="R41" s="69"/>
      <c r="S41" s="69"/>
      <c r="T41" s="69"/>
      <c r="U41" s="69"/>
      <c r="V41" s="69"/>
      <c r="W41" s="69"/>
      <c r="X41" s="69"/>
      <c r="Y41" s="69"/>
      <c r="Z41" s="69"/>
      <c r="AA41" s="70"/>
      <c r="AB41" s="70"/>
      <c r="AC41" s="69"/>
    </row>
    <row r="42" spans="1:29" s="1" customFormat="1" ht="40.15" customHeight="1" x14ac:dyDescent="0.25">
      <c r="A42" s="6"/>
      <c r="B42" s="64" t="s">
        <v>74</v>
      </c>
      <c r="C42" s="65" t="s">
        <v>5</v>
      </c>
      <c r="D42" s="66">
        <v>46146</v>
      </c>
      <c r="E42" s="67">
        <f t="shared" si="2"/>
        <v>0.34782608695652173</v>
      </c>
      <c r="F42" s="65"/>
      <c r="G42" s="69"/>
      <c r="H42" s="68">
        <v>1</v>
      </c>
      <c r="I42" s="69"/>
      <c r="J42" s="68">
        <v>1</v>
      </c>
      <c r="K42" s="68">
        <v>1</v>
      </c>
      <c r="L42" s="68">
        <v>1</v>
      </c>
      <c r="M42" s="68">
        <v>1</v>
      </c>
      <c r="N42" s="68">
        <v>1</v>
      </c>
      <c r="O42" s="68">
        <v>1</v>
      </c>
      <c r="P42" s="68">
        <v>1</v>
      </c>
      <c r="Q42" s="69"/>
      <c r="R42" s="69"/>
      <c r="S42" s="69"/>
      <c r="T42" s="69"/>
      <c r="U42" s="69"/>
      <c r="V42" s="69"/>
      <c r="W42" s="69"/>
      <c r="X42" s="69"/>
      <c r="Y42" s="69"/>
      <c r="Z42" s="69"/>
      <c r="AA42" s="70"/>
      <c r="AB42" s="70"/>
      <c r="AC42" s="69"/>
    </row>
    <row r="43" spans="1:29" s="1" customFormat="1" ht="40.15" customHeight="1" x14ac:dyDescent="0.25">
      <c r="A43" s="6"/>
      <c r="B43" s="64" t="s">
        <v>75</v>
      </c>
      <c r="C43" s="65" t="s">
        <v>5</v>
      </c>
      <c r="D43" s="66">
        <v>46146</v>
      </c>
      <c r="E43" s="67">
        <f t="shared" si="2"/>
        <v>0.34782608695652173</v>
      </c>
      <c r="F43" s="65"/>
      <c r="G43" s="69"/>
      <c r="H43" s="68">
        <v>1</v>
      </c>
      <c r="I43" s="69"/>
      <c r="J43" s="68">
        <v>1</v>
      </c>
      <c r="K43" s="68">
        <v>1</v>
      </c>
      <c r="L43" s="68">
        <v>1</v>
      </c>
      <c r="M43" s="68">
        <v>1</v>
      </c>
      <c r="N43" s="68">
        <v>1</v>
      </c>
      <c r="O43" s="68">
        <v>1</v>
      </c>
      <c r="P43" s="68">
        <v>1</v>
      </c>
      <c r="Q43" s="69"/>
      <c r="R43" s="69"/>
      <c r="S43" s="69"/>
      <c r="T43" s="69"/>
      <c r="U43" s="69"/>
      <c r="V43" s="69"/>
      <c r="W43" s="69"/>
      <c r="X43" s="69"/>
      <c r="Y43" s="69"/>
      <c r="Z43" s="69"/>
      <c r="AA43" s="70"/>
      <c r="AB43" s="70"/>
      <c r="AC43" s="69"/>
    </row>
    <row r="44" spans="1:29" s="1" customFormat="1" ht="40.15" customHeight="1" x14ac:dyDescent="0.25">
      <c r="A44" s="6"/>
      <c r="B44" s="64" t="s">
        <v>76</v>
      </c>
      <c r="C44" s="65" t="s">
        <v>5</v>
      </c>
      <c r="D44" s="66">
        <v>46146</v>
      </c>
      <c r="E44" s="67">
        <f t="shared" si="2"/>
        <v>0.34782608695652173</v>
      </c>
      <c r="F44" s="65"/>
      <c r="G44" s="69"/>
      <c r="H44" s="68">
        <v>1</v>
      </c>
      <c r="I44" s="69"/>
      <c r="J44" s="68">
        <v>1</v>
      </c>
      <c r="K44" s="68">
        <v>1</v>
      </c>
      <c r="L44" s="68">
        <v>1</v>
      </c>
      <c r="M44" s="68">
        <v>1</v>
      </c>
      <c r="N44" s="68">
        <v>1</v>
      </c>
      <c r="O44" s="68">
        <v>1</v>
      </c>
      <c r="P44" s="68">
        <v>1</v>
      </c>
      <c r="Q44" s="69"/>
      <c r="R44" s="69"/>
      <c r="S44" s="69"/>
      <c r="T44" s="69"/>
      <c r="U44" s="69"/>
      <c r="V44" s="69"/>
      <c r="W44" s="69"/>
      <c r="X44" s="69"/>
      <c r="Y44" s="69"/>
      <c r="Z44" s="69"/>
      <c r="AA44" s="70"/>
      <c r="AB44" s="70"/>
      <c r="AC44" s="69"/>
    </row>
    <row r="45" spans="1:29" s="1" customFormat="1" ht="40.15" customHeight="1" x14ac:dyDescent="0.25">
      <c r="A45" s="6"/>
      <c r="B45" s="64" t="s">
        <v>77</v>
      </c>
      <c r="C45" s="65" t="s">
        <v>5</v>
      </c>
      <c r="D45" s="66">
        <v>46146</v>
      </c>
      <c r="E45" s="67">
        <f t="shared" si="2"/>
        <v>0.34782608695652173</v>
      </c>
      <c r="F45" s="65"/>
      <c r="G45" s="69"/>
      <c r="H45" s="68">
        <v>1</v>
      </c>
      <c r="I45" s="69"/>
      <c r="J45" s="68">
        <v>1</v>
      </c>
      <c r="K45" s="68">
        <v>1</v>
      </c>
      <c r="L45" s="68">
        <v>1</v>
      </c>
      <c r="M45" s="68">
        <v>1</v>
      </c>
      <c r="N45" s="68">
        <v>1</v>
      </c>
      <c r="O45" s="68">
        <v>1</v>
      </c>
      <c r="P45" s="68">
        <v>1</v>
      </c>
      <c r="Q45" s="69"/>
      <c r="R45" s="69"/>
      <c r="S45" s="69"/>
      <c r="T45" s="69"/>
      <c r="U45" s="69"/>
      <c r="V45" s="69"/>
      <c r="W45" s="69"/>
      <c r="X45" s="69"/>
      <c r="Y45" s="69"/>
      <c r="Z45" s="69"/>
      <c r="AA45" s="70"/>
      <c r="AB45" s="70"/>
      <c r="AC45" s="69"/>
    </row>
    <row r="46" spans="1:29" s="1" customFormat="1" ht="40.15" customHeight="1" x14ac:dyDescent="0.25">
      <c r="A46" s="6"/>
      <c r="B46" s="64" t="s">
        <v>78</v>
      </c>
      <c r="C46" s="65" t="s">
        <v>5</v>
      </c>
      <c r="D46" s="66">
        <v>46146</v>
      </c>
      <c r="E46" s="67">
        <f t="shared" si="2"/>
        <v>0.34782608695652173</v>
      </c>
      <c r="F46" s="65"/>
      <c r="G46" s="69"/>
      <c r="H46" s="68">
        <v>1</v>
      </c>
      <c r="I46" s="69"/>
      <c r="J46" s="68">
        <v>1</v>
      </c>
      <c r="K46" s="68">
        <v>1</v>
      </c>
      <c r="L46" s="68">
        <v>1</v>
      </c>
      <c r="M46" s="68">
        <v>1</v>
      </c>
      <c r="N46" s="68">
        <v>1</v>
      </c>
      <c r="O46" s="68">
        <v>1</v>
      </c>
      <c r="P46" s="68">
        <v>1</v>
      </c>
      <c r="Q46" s="69"/>
      <c r="R46" s="69"/>
      <c r="S46" s="69"/>
      <c r="T46" s="69"/>
      <c r="U46" s="69"/>
      <c r="V46" s="69"/>
      <c r="W46" s="69"/>
      <c r="X46" s="69"/>
      <c r="Y46" s="69"/>
      <c r="Z46" s="69"/>
      <c r="AA46" s="70"/>
      <c r="AB46" s="70"/>
      <c r="AC46" s="69"/>
    </row>
    <row r="47" spans="1:29" s="1" customFormat="1" ht="40.15" customHeight="1" x14ac:dyDescent="0.25">
      <c r="A47" s="6"/>
      <c r="B47" s="64" t="s">
        <v>79</v>
      </c>
      <c r="C47" s="65" t="s">
        <v>5</v>
      </c>
      <c r="D47" s="66">
        <v>46146</v>
      </c>
      <c r="E47" s="67">
        <f t="shared" si="2"/>
        <v>0.34782608695652173</v>
      </c>
      <c r="F47" s="65"/>
      <c r="G47" s="69"/>
      <c r="H47" s="68">
        <v>1</v>
      </c>
      <c r="I47" s="69"/>
      <c r="J47" s="68">
        <v>1</v>
      </c>
      <c r="K47" s="68">
        <v>1</v>
      </c>
      <c r="L47" s="68">
        <v>1</v>
      </c>
      <c r="M47" s="68">
        <v>1</v>
      </c>
      <c r="N47" s="68">
        <v>1</v>
      </c>
      <c r="O47" s="68">
        <v>1</v>
      </c>
      <c r="P47" s="68">
        <v>1</v>
      </c>
      <c r="Q47" s="69"/>
      <c r="R47" s="69"/>
      <c r="S47" s="69"/>
      <c r="T47" s="69"/>
      <c r="U47" s="69"/>
      <c r="V47" s="69"/>
      <c r="W47" s="69"/>
      <c r="X47" s="69"/>
      <c r="Y47" s="69"/>
      <c r="Z47" s="69"/>
      <c r="AA47" s="70"/>
      <c r="AB47" s="70"/>
      <c r="AC47" s="69"/>
    </row>
    <row r="48" spans="1:29" s="1" customFormat="1" ht="40.15" customHeight="1" x14ac:dyDescent="0.25">
      <c r="A48" s="6"/>
      <c r="B48" s="64" t="s">
        <v>80</v>
      </c>
      <c r="C48" s="65" t="s">
        <v>5</v>
      </c>
      <c r="D48" s="66">
        <v>46146</v>
      </c>
      <c r="E48" s="67">
        <f t="shared" si="2"/>
        <v>0.30434782608695654</v>
      </c>
      <c r="F48" s="65"/>
      <c r="G48" s="69"/>
      <c r="H48" s="68">
        <v>1</v>
      </c>
      <c r="I48" s="69"/>
      <c r="J48" s="68">
        <v>1</v>
      </c>
      <c r="K48" s="68">
        <v>1</v>
      </c>
      <c r="L48" s="68">
        <v>1</v>
      </c>
      <c r="M48" s="68">
        <v>1</v>
      </c>
      <c r="N48" s="68">
        <v>1</v>
      </c>
      <c r="O48" s="68">
        <v>1</v>
      </c>
      <c r="P48" s="69"/>
      <c r="Q48" s="69"/>
      <c r="R48" s="69"/>
      <c r="S48" s="69"/>
      <c r="T48" s="69"/>
      <c r="U48" s="69"/>
      <c r="V48" s="69"/>
      <c r="W48" s="69"/>
      <c r="X48" s="69"/>
      <c r="Y48" s="69"/>
      <c r="Z48" s="69"/>
      <c r="AA48" s="70"/>
      <c r="AB48" s="70"/>
      <c r="AC48" s="69"/>
    </row>
    <row r="49" spans="1:29" s="1" customFormat="1" ht="40.15" customHeight="1" x14ac:dyDescent="0.25">
      <c r="A49" s="6"/>
      <c r="B49" s="64" t="s">
        <v>81</v>
      </c>
      <c r="C49" s="65" t="s">
        <v>5</v>
      </c>
      <c r="D49" s="66">
        <v>46146</v>
      </c>
      <c r="E49" s="67">
        <f t="shared" si="2"/>
        <v>0.30434782608695654</v>
      </c>
      <c r="F49" s="65"/>
      <c r="G49" s="69"/>
      <c r="H49" s="68">
        <v>1</v>
      </c>
      <c r="I49" s="69"/>
      <c r="J49" s="68">
        <v>1</v>
      </c>
      <c r="K49" s="68">
        <v>1</v>
      </c>
      <c r="L49" s="68">
        <v>1</v>
      </c>
      <c r="M49" s="68">
        <v>1</v>
      </c>
      <c r="N49" s="68">
        <v>1</v>
      </c>
      <c r="O49" s="68">
        <v>1</v>
      </c>
      <c r="P49" s="69"/>
      <c r="Q49" s="69"/>
      <c r="R49" s="69"/>
      <c r="S49" s="69"/>
      <c r="T49" s="69"/>
      <c r="U49" s="69"/>
      <c r="V49" s="69"/>
      <c r="W49" s="69"/>
      <c r="X49" s="69"/>
      <c r="Y49" s="69"/>
      <c r="Z49" s="69"/>
      <c r="AA49" s="70"/>
      <c r="AB49" s="70"/>
      <c r="AC49" s="69"/>
    </row>
    <row r="50" spans="1:29" s="1" customFormat="1" ht="40.15" customHeight="1" x14ac:dyDescent="0.25">
      <c r="A50" s="6"/>
      <c r="B50" s="64" t="s">
        <v>82</v>
      </c>
      <c r="C50" s="65" t="s">
        <v>5</v>
      </c>
      <c r="D50" s="66">
        <v>46146</v>
      </c>
      <c r="E50" s="67">
        <f t="shared" si="2"/>
        <v>0.30434782608695654</v>
      </c>
      <c r="F50" s="65"/>
      <c r="G50" s="69"/>
      <c r="H50" s="68">
        <v>1</v>
      </c>
      <c r="I50" s="69"/>
      <c r="J50" s="68">
        <v>1</v>
      </c>
      <c r="K50" s="68">
        <v>1</v>
      </c>
      <c r="L50" s="68">
        <v>1</v>
      </c>
      <c r="M50" s="68">
        <v>1</v>
      </c>
      <c r="N50" s="68">
        <v>1</v>
      </c>
      <c r="O50" s="68">
        <v>1</v>
      </c>
      <c r="P50" s="69"/>
      <c r="Q50" s="69"/>
      <c r="R50" s="69"/>
      <c r="S50" s="69"/>
      <c r="T50" s="69"/>
      <c r="U50" s="69"/>
      <c r="V50" s="69"/>
      <c r="W50" s="69"/>
      <c r="X50" s="69"/>
      <c r="Y50" s="69"/>
      <c r="Z50" s="69"/>
      <c r="AA50" s="70"/>
      <c r="AB50" s="70"/>
      <c r="AC50" s="69"/>
    </row>
    <row r="51" spans="1:29" s="1" customFormat="1" ht="40.15" customHeight="1" x14ac:dyDescent="0.25">
      <c r="A51" s="6"/>
      <c r="B51" s="64" t="s">
        <v>83</v>
      </c>
      <c r="C51" s="65" t="s">
        <v>5</v>
      </c>
      <c r="D51" s="66">
        <v>46146</v>
      </c>
      <c r="E51" s="67">
        <f t="shared" si="2"/>
        <v>0.30434782608695654</v>
      </c>
      <c r="F51" s="65"/>
      <c r="G51" s="69"/>
      <c r="H51" s="68">
        <v>1</v>
      </c>
      <c r="I51" s="69"/>
      <c r="J51" s="68">
        <v>1</v>
      </c>
      <c r="K51" s="68">
        <v>1</v>
      </c>
      <c r="L51" s="68">
        <v>1</v>
      </c>
      <c r="M51" s="68">
        <v>1</v>
      </c>
      <c r="N51" s="68">
        <v>1</v>
      </c>
      <c r="O51" s="68">
        <v>1</v>
      </c>
      <c r="P51" s="69"/>
      <c r="Q51" s="69"/>
      <c r="R51" s="69"/>
      <c r="S51" s="69"/>
      <c r="T51" s="69"/>
      <c r="U51" s="69"/>
      <c r="V51" s="69"/>
      <c r="W51" s="69"/>
      <c r="X51" s="69"/>
      <c r="Y51" s="69"/>
      <c r="Z51" s="69"/>
      <c r="AA51" s="70"/>
      <c r="AB51" s="70"/>
      <c r="AC51" s="69"/>
    </row>
    <row r="52" spans="1:29" s="1" customFormat="1" ht="40.15" customHeight="1" x14ac:dyDescent="0.25">
      <c r="A52" s="6"/>
      <c r="B52" s="64" t="s">
        <v>84</v>
      </c>
      <c r="C52" s="65" t="s">
        <v>5</v>
      </c>
      <c r="D52" s="66">
        <v>46146</v>
      </c>
      <c r="E52" s="67">
        <f t="shared" si="2"/>
        <v>0.30434782608695654</v>
      </c>
      <c r="F52" s="65"/>
      <c r="G52" s="69"/>
      <c r="H52" s="68">
        <v>1</v>
      </c>
      <c r="I52" s="69"/>
      <c r="J52" s="68">
        <v>1</v>
      </c>
      <c r="K52" s="68">
        <v>1</v>
      </c>
      <c r="L52" s="68">
        <v>1</v>
      </c>
      <c r="M52" s="68">
        <v>1</v>
      </c>
      <c r="N52" s="68">
        <v>1</v>
      </c>
      <c r="O52" s="68">
        <v>1</v>
      </c>
      <c r="P52" s="69"/>
      <c r="Q52" s="69"/>
      <c r="R52" s="69"/>
      <c r="S52" s="69"/>
      <c r="T52" s="69"/>
      <c r="U52" s="69"/>
      <c r="V52" s="69"/>
      <c r="W52" s="69"/>
      <c r="X52" s="69"/>
      <c r="Y52" s="69"/>
      <c r="Z52" s="69"/>
      <c r="AA52" s="70"/>
      <c r="AB52" s="70"/>
      <c r="AC52" s="69"/>
    </row>
    <row r="53" spans="1:29" s="1" customFormat="1" ht="40.15" customHeight="1" x14ac:dyDescent="0.25">
      <c r="A53" s="6"/>
      <c r="B53" s="64" t="s">
        <v>85</v>
      </c>
      <c r="C53" s="65" t="s">
        <v>5</v>
      </c>
      <c r="D53" s="66">
        <v>46146</v>
      </c>
      <c r="E53" s="67">
        <f t="shared" si="2"/>
        <v>0.30434782608695654</v>
      </c>
      <c r="F53" s="65"/>
      <c r="G53" s="69"/>
      <c r="H53" s="68">
        <v>1</v>
      </c>
      <c r="I53" s="69"/>
      <c r="J53" s="68">
        <v>1</v>
      </c>
      <c r="K53" s="68">
        <v>1</v>
      </c>
      <c r="L53" s="68">
        <v>1</v>
      </c>
      <c r="M53" s="68">
        <v>1</v>
      </c>
      <c r="N53" s="68">
        <v>1</v>
      </c>
      <c r="O53" s="68">
        <v>1</v>
      </c>
      <c r="P53" s="69"/>
      <c r="Q53" s="69"/>
      <c r="R53" s="69"/>
      <c r="S53" s="69"/>
      <c r="T53" s="69"/>
      <c r="U53" s="69"/>
      <c r="V53" s="69"/>
      <c r="W53" s="69"/>
      <c r="X53" s="69"/>
      <c r="Y53" s="69"/>
      <c r="Z53" s="69"/>
      <c r="AA53" s="70"/>
      <c r="AB53" s="70"/>
      <c r="AC53" s="69"/>
    </row>
    <row r="54" spans="1:29" s="1" customFormat="1" ht="40.15" customHeight="1" x14ac:dyDescent="0.25">
      <c r="A54" s="6"/>
      <c r="B54" s="64" t="s">
        <v>86</v>
      </c>
      <c r="C54" s="65" t="s">
        <v>5</v>
      </c>
      <c r="D54" s="66">
        <v>46146</v>
      </c>
      <c r="E54" s="67">
        <f t="shared" si="2"/>
        <v>0.30434782608695654</v>
      </c>
      <c r="F54" s="65"/>
      <c r="G54" s="69"/>
      <c r="H54" s="68">
        <v>1</v>
      </c>
      <c r="I54" s="69"/>
      <c r="J54" s="68">
        <v>1</v>
      </c>
      <c r="K54" s="68">
        <v>1</v>
      </c>
      <c r="L54" s="68">
        <v>1</v>
      </c>
      <c r="M54" s="68">
        <v>1</v>
      </c>
      <c r="N54" s="68">
        <v>1</v>
      </c>
      <c r="O54" s="68">
        <v>1</v>
      </c>
      <c r="P54" s="69"/>
      <c r="Q54" s="69"/>
      <c r="R54" s="69"/>
      <c r="S54" s="69"/>
      <c r="T54" s="69"/>
      <c r="U54" s="69"/>
      <c r="V54" s="69"/>
      <c r="W54" s="69"/>
      <c r="X54" s="69"/>
      <c r="Y54" s="69"/>
      <c r="Z54" s="69"/>
      <c r="AA54" s="70"/>
      <c r="AB54" s="70"/>
      <c r="AC54" s="69"/>
    </row>
    <row r="55" spans="1:29" s="1" customFormat="1" ht="40.15" customHeight="1" x14ac:dyDescent="0.25">
      <c r="A55" s="6"/>
      <c r="B55" s="64" t="s">
        <v>87</v>
      </c>
      <c r="C55" s="65" t="s">
        <v>5</v>
      </c>
      <c r="D55" s="66">
        <v>46146</v>
      </c>
      <c r="E55" s="67">
        <f t="shared" si="2"/>
        <v>0.2608695652173913</v>
      </c>
      <c r="F55" s="65"/>
      <c r="G55" s="69"/>
      <c r="H55" s="68">
        <v>1</v>
      </c>
      <c r="I55" s="69"/>
      <c r="J55" s="68">
        <v>1</v>
      </c>
      <c r="K55" s="68">
        <v>1</v>
      </c>
      <c r="L55" s="69"/>
      <c r="M55" s="68">
        <v>1</v>
      </c>
      <c r="N55" s="68">
        <v>1</v>
      </c>
      <c r="O55" s="68">
        <v>1</v>
      </c>
      <c r="P55" s="69"/>
      <c r="Q55" s="69"/>
      <c r="R55" s="69"/>
      <c r="S55" s="69"/>
      <c r="T55" s="69"/>
      <c r="U55" s="69"/>
      <c r="V55" s="69"/>
      <c r="W55" s="69"/>
      <c r="X55" s="69"/>
      <c r="Y55" s="69"/>
      <c r="Z55" s="69"/>
      <c r="AA55" s="70"/>
      <c r="AB55" s="70"/>
      <c r="AC55" s="69"/>
    </row>
    <row r="56" spans="1:29" s="1" customFormat="1" ht="40.15" customHeight="1" x14ac:dyDescent="0.25">
      <c r="A56" s="6"/>
      <c r="B56" s="64" t="s">
        <v>88</v>
      </c>
      <c r="C56" s="65" t="s">
        <v>5</v>
      </c>
      <c r="D56" s="66">
        <v>46146</v>
      </c>
      <c r="E56" s="67">
        <f t="shared" si="2"/>
        <v>0.2608695652173913</v>
      </c>
      <c r="F56" s="65"/>
      <c r="G56" s="69"/>
      <c r="H56" s="68">
        <v>1</v>
      </c>
      <c r="I56" s="69"/>
      <c r="J56" s="68">
        <v>1</v>
      </c>
      <c r="K56" s="68">
        <v>1</v>
      </c>
      <c r="L56" s="69"/>
      <c r="M56" s="68">
        <v>1</v>
      </c>
      <c r="N56" s="68">
        <v>1</v>
      </c>
      <c r="O56" s="68">
        <v>1</v>
      </c>
      <c r="P56" s="69"/>
      <c r="Q56" s="69"/>
      <c r="R56" s="69"/>
      <c r="S56" s="69"/>
      <c r="T56" s="69"/>
      <c r="U56" s="69"/>
      <c r="V56" s="69"/>
      <c r="W56" s="69"/>
      <c r="X56" s="69"/>
      <c r="Y56" s="69"/>
      <c r="Z56" s="69"/>
      <c r="AA56" s="70"/>
      <c r="AB56" s="70"/>
      <c r="AC56" s="69"/>
    </row>
    <row r="57" spans="1:29" s="1" customFormat="1" ht="40.15" customHeight="1" x14ac:dyDescent="0.25">
      <c r="A57" s="6"/>
      <c r="B57" s="64" t="s">
        <v>89</v>
      </c>
      <c r="C57" s="65" t="s">
        <v>5</v>
      </c>
      <c r="D57" s="66">
        <v>46146</v>
      </c>
      <c r="E57" s="67">
        <f t="shared" si="2"/>
        <v>0.2608695652173913</v>
      </c>
      <c r="F57" s="65"/>
      <c r="G57" s="69"/>
      <c r="H57" s="68">
        <v>1</v>
      </c>
      <c r="I57" s="69"/>
      <c r="J57" s="68">
        <v>1</v>
      </c>
      <c r="K57" s="68">
        <v>1</v>
      </c>
      <c r="L57" s="69"/>
      <c r="M57" s="68">
        <v>1</v>
      </c>
      <c r="N57" s="68">
        <v>1</v>
      </c>
      <c r="O57" s="68">
        <v>1</v>
      </c>
      <c r="P57" s="69"/>
      <c r="Q57" s="69"/>
      <c r="R57" s="69"/>
      <c r="S57" s="69"/>
      <c r="T57" s="69"/>
      <c r="U57" s="69"/>
      <c r="V57" s="69"/>
      <c r="W57" s="69"/>
      <c r="X57" s="69"/>
      <c r="Y57" s="69"/>
      <c r="Z57" s="69"/>
      <c r="AA57" s="70"/>
      <c r="AB57" s="70"/>
      <c r="AC57" s="69"/>
    </row>
    <row r="58" spans="1:29" s="1" customFormat="1" ht="40.15" customHeight="1" thickBot="1" x14ac:dyDescent="0.3">
      <c r="A58" s="60"/>
      <c r="B58" s="64" t="s">
        <v>90</v>
      </c>
      <c r="C58" s="65" t="s">
        <v>5</v>
      </c>
      <c r="D58" s="66">
        <v>46146</v>
      </c>
      <c r="E58" s="67">
        <f t="shared" si="2"/>
        <v>0.21739130434782608</v>
      </c>
      <c r="F58" s="65"/>
      <c r="G58" s="69"/>
      <c r="H58" s="69"/>
      <c r="I58" s="69"/>
      <c r="J58" s="68">
        <v>1</v>
      </c>
      <c r="K58" s="68">
        <v>1</v>
      </c>
      <c r="L58" s="69"/>
      <c r="M58" s="68">
        <v>1</v>
      </c>
      <c r="N58" s="68">
        <v>1</v>
      </c>
      <c r="O58" s="68">
        <v>1</v>
      </c>
      <c r="P58" s="69"/>
      <c r="Q58" s="69"/>
      <c r="R58" s="69"/>
      <c r="S58" s="69"/>
      <c r="T58" s="69"/>
      <c r="U58" s="69"/>
      <c r="V58" s="69"/>
      <c r="W58" s="69"/>
      <c r="X58" s="69"/>
      <c r="Y58" s="69"/>
      <c r="Z58" s="69"/>
      <c r="AA58" s="70"/>
      <c r="AB58" s="70"/>
      <c r="AC58" s="69"/>
    </row>
    <row r="59" spans="1:29" s="1" customFormat="1" ht="40.15" customHeight="1" x14ac:dyDescent="0.25">
      <c r="A59" s="6"/>
      <c r="B59" s="64" t="s">
        <v>91</v>
      </c>
      <c r="C59" s="65" t="s">
        <v>5</v>
      </c>
      <c r="D59" s="66">
        <v>46230</v>
      </c>
      <c r="E59" s="67">
        <f t="shared" si="2"/>
        <v>0.21739130434782608</v>
      </c>
      <c r="F59" s="65"/>
      <c r="G59" s="69"/>
      <c r="H59" s="69"/>
      <c r="I59" s="69"/>
      <c r="J59" s="68">
        <v>1</v>
      </c>
      <c r="K59" s="68">
        <v>1</v>
      </c>
      <c r="L59" s="69"/>
      <c r="M59" s="68">
        <v>1</v>
      </c>
      <c r="N59" s="68">
        <v>1</v>
      </c>
      <c r="O59" s="68">
        <v>1</v>
      </c>
      <c r="P59" s="69"/>
      <c r="Q59" s="69"/>
      <c r="R59" s="69"/>
      <c r="S59" s="69"/>
      <c r="T59" s="69"/>
      <c r="U59" s="69"/>
      <c r="V59" s="69"/>
      <c r="W59" s="69"/>
      <c r="X59" s="69"/>
      <c r="Y59" s="69"/>
      <c r="Z59" s="69"/>
      <c r="AA59" s="76"/>
      <c r="AB59" s="76"/>
      <c r="AC59" s="69"/>
    </row>
    <row r="60" spans="1:29" s="1" customFormat="1" ht="40.15" customHeight="1" x14ac:dyDescent="0.25">
      <c r="A60" s="6"/>
      <c r="B60" s="64" t="s">
        <v>92</v>
      </c>
      <c r="C60" s="65" t="s">
        <v>5</v>
      </c>
      <c r="D60" s="66">
        <v>46230</v>
      </c>
      <c r="E60" s="67">
        <f t="shared" si="2"/>
        <v>0.21739130434782608</v>
      </c>
      <c r="F60" s="65"/>
      <c r="G60" s="69"/>
      <c r="H60" s="69"/>
      <c r="I60" s="69"/>
      <c r="J60" s="68">
        <v>1</v>
      </c>
      <c r="K60" s="68">
        <v>1</v>
      </c>
      <c r="L60" s="69"/>
      <c r="M60" s="68">
        <v>1</v>
      </c>
      <c r="N60" s="68">
        <v>1</v>
      </c>
      <c r="O60" s="68">
        <v>1</v>
      </c>
      <c r="P60" s="69"/>
      <c r="Q60" s="69"/>
      <c r="R60" s="69"/>
      <c r="S60" s="69"/>
      <c r="T60" s="69"/>
      <c r="U60" s="69"/>
      <c r="V60" s="69"/>
      <c r="W60" s="69"/>
      <c r="X60" s="69"/>
      <c r="Y60" s="69"/>
      <c r="Z60" s="69"/>
      <c r="AA60" s="76"/>
      <c r="AB60" s="76"/>
      <c r="AC60" s="69"/>
    </row>
    <row r="61" spans="1:29" s="1" customFormat="1" ht="40.15" customHeight="1" x14ac:dyDescent="0.25">
      <c r="A61" s="6"/>
      <c r="B61" s="64" t="s">
        <v>93</v>
      </c>
      <c r="C61" s="65" t="s">
        <v>5</v>
      </c>
      <c r="D61" s="66">
        <v>46230</v>
      </c>
      <c r="E61" s="67">
        <f t="shared" si="2"/>
        <v>0.21739130434782608</v>
      </c>
      <c r="F61" s="65"/>
      <c r="G61" s="69"/>
      <c r="H61" s="69"/>
      <c r="I61" s="69"/>
      <c r="J61" s="68">
        <v>1</v>
      </c>
      <c r="K61" s="68">
        <v>1</v>
      </c>
      <c r="L61" s="69"/>
      <c r="M61" s="68">
        <v>1</v>
      </c>
      <c r="N61" s="68">
        <v>1</v>
      </c>
      <c r="O61" s="68">
        <v>1</v>
      </c>
      <c r="P61" s="69"/>
      <c r="Q61" s="69"/>
      <c r="R61" s="69"/>
      <c r="S61" s="69"/>
      <c r="T61" s="69"/>
      <c r="U61" s="69"/>
      <c r="V61" s="69"/>
      <c r="W61" s="69"/>
      <c r="X61" s="69"/>
      <c r="Y61" s="69"/>
      <c r="Z61" s="69"/>
      <c r="AA61" s="76"/>
      <c r="AB61" s="76"/>
      <c r="AC61" s="69"/>
    </row>
    <row r="62" spans="1:29" s="1" customFormat="1" ht="40.15" customHeight="1" x14ac:dyDescent="0.25">
      <c r="A62" s="6"/>
      <c r="B62" s="64" t="s">
        <v>94</v>
      </c>
      <c r="C62" s="65" t="s">
        <v>5</v>
      </c>
      <c r="D62" s="66">
        <v>46230</v>
      </c>
      <c r="E62" s="67">
        <f t="shared" si="2"/>
        <v>0.21739130434782608</v>
      </c>
      <c r="F62" s="65"/>
      <c r="G62" s="69"/>
      <c r="H62" s="69"/>
      <c r="I62" s="69"/>
      <c r="J62" s="68">
        <v>1</v>
      </c>
      <c r="K62" s="68">
        <v>1</v>
      </c>
      <c r="L62" s="69"/>
      <c r="M62" s="68">
        <v>1</v>
      </c>
      <c r="N62" s="68">
        <v>1</v>
      </c>
      <c r="O62" s="68">
        <v>1</v>
      </c>
      <c r="P62" s="69"/>
      <c r="Q62" s="69"/>
      <c r="R62" s="69"/>
      <c r="S62" s="69"/>
      <c r="T62" s="69"/>
      <c r="U62" s="69"/>
      <c r="V62" s="69"/>
      <c r="W62" s="69"/>
      <c r="X62" s="69"/>
      <c r="Y62" s="69"/>
      <c r="Z62" s="69"/>
      <c r="AA62" s="76"/>
      <c r="AB62" s="76"/>
      <c r="AC62" s="69"/>
    </row>
    <row r="63" spans="1:29" s="1" customFormat="1" ht="40.15" customHeight="1" x14ac:dyDescent="0.25">
      <c r="A63" s="6"/>
      <c r="B63" s="64" t="s">
        <v>95</v>
      </c>
      <c r="C63" s="65" t="s">
        <v>5</v>
      </c>
      <c r="D63" s="66">
        <v>46230</v>
      </c>
      <c r="E63" s="67">
        <f t="shared" si="2"/>
        <v>0.21739130434782608</v>
      </c>
      <c r="F63" s="65"/>
      <c r="G63" s="69"/>
      <c r="H63" s="69"/>
      <c r="I63" s="69"/>
      <c r="J63" s="68">
        <v>1</v>
      </c>
      <c r="K63" s="68">
        <v>1</v>
      </c>
      <c r="L63" s="69"/>
      <c r="M63" s="68">
        <v>1</v>
      </c>
      <c r="N63" s="68">
        <v>1</v>
      </c>
      <c r="O63" s="68">
        <v>1</v>
      </c>
      <c r="P63" s="69"/>
      <c r="Q63" s="69"/>
      <c r="R63" s="69"/>
      <c r="S63" s="69"/>
      <c r="T63" s="69"/>
      <c r="U63" s="69"/>
      <c r="V63" s="69"/>
      <c r="W63" s="69"/>
      <c r="X63" s="69"/>
      <c r="Y63" s="69"/>
      <c r="Z63" s="69"/>
      <c r="AA63" s="76"/>
      <c r="AB63" s="76"/>
      <c r="AC63" s="69"/>
    </row>
    <row r="64" spans="1:29" s="1" customFormat="1" ht="40.15" customHeight="1" x14ac:dyDescent="0.25">
      <c r="A64" s="6"/>
      <c r="B64" s="64" t="s">
        <v>96</v>
      </c>
      <c r="C64" s="65" t="s">
        <v>5</v>
      </c>
      <c r="D64" s="66">
        <v>46230</v>
      </c>
      <c r="E64" s="67">
        <f t="shared" si="2"/>
        <v>0.21739130434782608</v>
      </c>
      <c r="F64" s="65"/>
      <c r="G64" s="69"/>
      <c r="H64" s="69"/>
      <c r="I64" s="69"/>
      <c r="J64" s="68">
        <v>1</v>
      </c>
      <c r="K64" s="68">
        <v>1</v>
      </c>
      <c r="L64" s="69"/>
      <c r="M64" s="68">
        <v>1</v>
      </c>
      <c r="N64" s="68">
        <v>1</v>
      </c>
      <c r="O64" s="68">
        <v>1</v>
      </c>
      <c r="P64" s="69"/>
      <c r="Q64" s="69"/>
      <c r="R64" s="69"/>
      <c r="S64" s="69"/>
      <c r="T64" s="69"/>
      <c r="U64" s="69"/>
      <c r="V64" s="69"/>
      <c r="W64" s="69"/>
      <c r="X64" s="69"/>
      <c r="Y64" s="69"/>
      <c r="Z64" s="69"/>
      <c r="AA64" s="76"/>
      <c r="AB64" s="76"/>
      <c r="AC64" s="69"/>
    </row>
    <row r="65" spans="1:29" s="1" customFormat="1" ht="40.15" customHeight="1" x14ac:dyDescent="0.25">
      <c r="A65" s="6"/>
      <c r="B65" s="64" t="s">
        <v>97</v>
      </c>
      <c r="C65" s="65" t="s">
        <v>5</v>
      </c>
      <c r="D65" s="66">
        <v>46230</v>
      </c>
      <c r="E65" s="67">
        <f t="shared" si="2"/>
        <v>0.21739130434782608</v>
      </c>
      <c r="F65" s="65"/>
      <c r="G65" s="69"/>
      <c r="H65" s="69"/>
      <c r="I65" s="69"/>
      <c r="J65" s="68">
        <v>1</v>
      </c>
      <c r="K65" s="68">
        <v>1</v>
      </c>
      <c r="L65" s="69"/>
      <c r="M65" s="68">
        <v>1</v>
      </c>
      <c r="N65" s="68">
        <v>1</v>
      </c>
      <c r="O65" s="68">
        <v>1</v>
      </c>
      <c r="P65" s="69"/>
      <c r="Q65" s="69"/>
      <c r="R65" s="69"/>
      <c r="S65" s="69"/>
      <c r="T65" s="69"/>
      <c r="U65" s="69"/>
      <c r="V65" s="69"/>
      <c r="W65" s="69"/>
      <c r="X65" s="69"/>
      <c r="Y65" s="69"/>
      <c r="Z65" s="69"/>
      <c r="AA65" s="76"/>
      <c r="AB65" s="76"/>
      <c r="AC65" s="69"/>
    </row>
    <row r="66" spans="1:29" s="1" customFormat="1" ht="40.15" customHeight="1" x14ac:dyDescent="0.25">
      <c r="A66" s="6"/>
      <c r="B66" s="64" t="s">
        <v>98</v>
      </c>
      <c r="C66" s="65" t="s">
        <v>5</v>
      </c>
      <c r="D66" s="66">
        <v>46230</v>
      </c>
      <c r="E66" s="67">
        <f t="shared" si="2"/>
        <v>0.21739130434782608</v>
      </c>
      <c r="F66" s="65"/>
      <c r="G66" s="69"/>
      <c r="H66" s="69"/>
      <c r="I66" s="69"/>
      <c r="J66" s="68">
        <v>1</v>
      </c>
      <c r="K66" s="68">
        <v>1</v>
      </c>
      <c r="L66" s="69"/>
      <c r="M66" s="68">
        <v>1</v>
      </c>
      <c r="N66" s="68">
        <v>1</v>
      </c>
      <c r="O66" s="68">
        <v>1</v>
      </c>
      <c r="P66" s="69"/>
      <c r="Q66" s="69"/>
      <c r="R66" s="69"/>
      <c r="S66" s="69"/>
      <c r="T66" s="69"/>
      <c r="U66" s="69"/>
      <c r="V66" s="69"/>
      <c r="W66" s="69"/>
      <c r="X66" s="69"/>
      <c r="Y66" s="69"/>
      <c r="Z66" s="69"/>
      <c r="AA66" s="76"/>
      <c r="AB66" s="76"/>
      <c r="AC66" s="69"/>
    </row>
    <row r="67" spans="1:29" s="1" customFormat="1" ht="40.15" customHeight="1" x14ac:dyDescent="0.25">
      <c r="A67" s="6"/>
      <c r="B67" s="64" t="s">
        <v>99</v>
      </c>
      <c r="C67" s="65" t="s">
        <v>5</v>
      </c>
      <c r="D67" s="66">
        <v>46230</v>
      </c>
      <c r="E67" s="67">
        <f t="shared" si="2"/>
        <v>0.21739130434782608</v>
      </c>
      <c r="F67" s="65"/>
      <c r="G67" s="69"/>
      <c r="H67" s="69"/>
      <c r="I67" s="69"/>
      <c r="J67" s="68">
        <v>1</v>
      </c>
      <c r="K67" s="68">
        <v>1</v>
      </c>
      <c r="L67" s="69"/>
      <c r="M67" s="68">
        <v>1</v>
      </c>
      <c r="N67" s="68">
        <v>1</v>
      </c>
      <c r="O67" s="68">
        <v>1</v>
      </c>
      <c r="P67" s="69"/>
      <c r="Q67" s="69"/>
      <c r="R67" s="69"/>
      <c r="S67" s="69"/>
      <c r="T67" s="69"/>
      <c r="U67" s="69"/>
      <c r="V67" s="69"/>
      <c r="W67" s="69"/>
      <c r="X67" s="69"/>
      <c r="Y67" s="69"/>
      <c r="Z67" s="69"/>
      <c r="AA67" s="76"/>
      <c r="AB67" s="76"/>
      <c r="AC67" s="69"/>
    </row>
    <row r="68" spans="1:29" s="1" customFormat="1" ht="40.15" customHeight="1" x14ac:dyDescent="0.25">
      <c r="A68" s="6"/>
      <c r="B68" s="64" t="s">
        <v>100</v>
      </c>
      <c r="C68" s="65" t="s">
        <v>5</v>
      </c>
      <c r="D68" s="66">
        <v>46230</v>
      </c>
      <c r="E68" s="67">
        <f t="shared" si="2"/>
        <v>0.13043478260869565</v>
      </c>
      <c r="F68" s="65"/>
      <c r="G68" s="69"/>
      <c r="H68" s="69"/>
      <c r="I68" s="69"/>
      <c r="J68" s="68">
        <v>1</v>
      </c>
      <c r="K68" s="68">
        <v>1</v>
      </c>
      <c r="L68" s="69"/>
      <c r="M68" s="69"/>
      <c r="N68" s="69"/>
      <c r="O68" s="68">
        <v>1</v>
      </c>
      <c r="P68" s="69"/>
      <c r="Q68" s="69"/>
      <c r="R68" s="69"/>
      <c r="S68" s="69"/>
      <c r="T68" s="69"/>
      <c r="U68" s="69"/>
      <c r="V68" s="69"/>
      <c r="W68" s="69"/>
      <c r="X68" s="69"/>
      <c r="Y68" s="69"/>
      <c r="Z68" s="69"/>
      <c r="AA68" s="76"/>
      <c r="AB68" s="76"/>
      <c r="AC68" s="69"/>
    </row>
    <row r="69" spans="1:29" s="1" customFormat="1" ht="40.15" customHeight="1" x14ac:dyDescent="0.25">
      <c r="A69" s="6"/>
      <c r="B69" s="64" t="s">
        <v>101</v>
      </c>
      <c r="C69" s="65" t="s">
        <v>5</v>
      </c>
      <c r="D69" s="66">
        <v>46230</v>
      </c>
      <c r="E69" s="67">
        <f t="shared" si="2"/>
        <v>0.13043478260869565</v>
      </c>
      <c r="F69" s="65"/>
      <c r="G69" s="69"/>
      <c r="H69" s="69"/>
      <c r="I69" s="69"/>
      <c r="J69" s="68">
        <v>1</v>
      </c>
      <c r="K69" s="68">
        <v>1</v>
      </c>
      <c r="L69" s="69"/>
      <c r="M69" s="69"/>
      <c r="N69" s="69"/>
      <c r="O69" s="68">
        <v>1</v>
      </c>
      <c r="P69" s="69"/>
      <c r="Q69" s="69"/>
      <c r="R69" s="69"/>
      <c r="S69" s="69"/>
      <c r="T69" s="69"/>
      <c r="U69" s="69"/>
      <c r="V69" s="69"/>
      <c r="W69" s="69"/>
      <c r="X69" s="69"/>
      <c r="Y69" s="69"/>
      <c r="Z69" s="69"/>
      <c r="AA69" s="76"/>
      <c r="AB69" s="76"/>
      <c r="AC69" s="69"/>
    </row>
    <row r="70" spans="1:29" s="1" customFormat="1" ht="40.15" customHeight="1" x14ac:dyDescent="0.25">
      <c r="A70" s="6"/>
      <c r="B70" s="64" t="s">
        <v>102</v>
      </c>
      <c r="C70" s="65" t="s">
        <v>5</v>
      </c>
      <c r="D70" s="66">
        <v>46230</v>
      </c>
      <c r="E70" s="67">
        <f t="shared" si="2"/>
        <v>0.13043478260869565</v>
      </c>
      <c r="F70" s="65"/>
      <c r="G70" s="69"/>
      <c r="H70" s="69"/>
      <c r="I70" s="69"/>
      <c r="J70" s="68">
        <v>1</v>
      </c>
      <c r="K70" s="68">
        <v>1</v>
      </c>
      <c r="L70" s="69"/>
      <c r="M70" s="69"/>
      <c r="N70" s="69"/>
      <c r="O70" s="68">
        <v>1</v>
      </c>
      <c r="P70" s="69"/>
      <c r="Q70" s="69"/>
      <c r="R70" s="69"/>
      <c r="S70" s="69"/>
      <c r="T70" s="69"/>
      <c r="U70" s="69"/>
      <c r="V70" s="69"/>
      <c r="W70" s="69"/>
      <c r="X70" s="69"/>
      <c r="Y70" s="69"/>
      <c r="Z70" s="69"/>
      <c r="AA70" s="76"/>
      <c r="AB70" s="76"/>
      <c r="AC70" s="69"/>
    </row>
    <row r="71" spans="1:29" s="1" customFormat="1" ht="40.15" customHeight="1" x14ac:dyDescent="0.25">
      <c r="A71" s="6"/>
      <c r="B71" s="64" t="s">
        <v>103</v>
      </c>
      <c r="C71" s="65" t="s">
        <v>5</v>
      </c>
      <c r="D71" s="66">
        <v>46230</v>
      </c>
      <c r="E71" s="67">
        <f t="shared" si="2"/>
        <v>0.13043478260869565</v>
      </c>
      <c r="F71" s="65"/>
      <c r="G71" s="69"/>
      <c r="H71" s="69"/>
      <c r="I71" s="69"/>
      <c r="J71" s="68">
        <v>1</v>
      </c>
      <c r="K71" s="68">
        <v>1</v>
      </c>
      <c r="L71" s="69"/>
      <c r="M71" s="69"/>
      <c r="N71" s="69"/>
      <c r="O71" s="68">
        <v>1</v>
      </c>
      <c r="P71" s="69"/>
      <c r="Q71" s="69"/>
      <c r="R71" s="69"/>
      <c r="S71" s="69"/>
      <c r="T71" s="69"/>
      <c r="U71" s="69"/>
      <c r="V71" s="69"/>
      <c r="W71" s="69"/>
      <c r="X71" s="69"/>
      <c r="Y71" s="69"/>
      <c r="Z71" s="69"/>
      <c r="AA71" s="76"/>
      <c r="AB71" s="76"/>
      <c r="AC71" s="69"/>
    </row>
    <row r="72" spans="1:29" s="1" customFormat="1" ht="40.15" customHeight="1" x14ac:dyDescent="0.25">
      <c r="A72" s="6"/>
      <c r="B72" s="64" t="s">
        <v>104</v>
      </c>
      <c r="C72" s="65" t="s">
        <v>5</v>
      </c>
      <c r="D72" s="66">
        <v>46230</v>
      </c>
      <c r="E72" s="67">
        <f t="shared" si="2"/>
        <v>0.13043478260869565</v>
      </c>
      <c r="F72" s="65"/>
      <c r="G72" s="69"/>
      <c r="H72" s="69"/>
      <c r="I72" s="69"/>
      <c r="J72" s="68">
        <v>1</v>
      </c>
      <c r="K72" s="68">
        <v>1</v>
      </c>
      <c r="L72" s="69"/>
      <c r="M72" s="69"/>
      <c r="N72" s="69"/>
      <c r="O72" s="68">
        <v>1</v>
      </c>
      <c r="P72" s="69"/>
      <c r="Q72" s="69"/>
      <c r="R72" s="69"/>
      <c r="S72" s="69"/>
      <c r="T72" s="69"/>
      <c r="U72" s="69"/>
      <c r="V72" s="69"/>
      <c r="W72" s="69"/>
      <c r="X72" s="69"/>
      <c r="Y72" s="69"/>
      <c r="Z72" s="69"/>
      <c r="AA72" s="76"/>
      <c r="AB72" s="76"/>
      <c r="AC72" s="69"/>
    </row>
    <row r="73" spans="1:29" s="1" customFormat="1" ht="40.15" customHeight="1" x14ac:dyDescent="0.25">
      <c r="A73" s="6"/>
      <c r="B73" s="64" t="s">
        <v>105</v>
      </c>
      <c r="C73" s="65" t="s">
        <v>5</v>
      </c>
      <c r="D73" s="66">
        <v>46230</v>
      </c>
      <c r="E73" s="67">
        <f t="shared" si="2"/>
        <v>0.13043478260869565</v>
      </c>
      <c r="F73" s="65"/>
      <c r="G73" s="69"/>
      <c r="H73" s="69"/>
      <c r="I73" s="69"/>
      <c r="J73" s="68">
        <v>1</v>
      </c>
      <c r="K73" s="68">
        <v>1</v>
      </c>
      <c r="L73" s="69"/>
      <c r="M73" s="69"/>
      <c r="N73" s="69"/>
      <c r="O73" s="68">
        <v>1</v>
      </c>
      <c r="P73" s="69"/>
      <c r="Q73" s="69"/>
      <c r="R73" s="69"/>
      <c r="S73" s="69"/>
      <c r="T73" s="69"/>
      <c r="U73" s="69"/>
      <c r="V73" s="69"/>
      <c r="W73" s="69"/>
      <c r="X73" s="69"/>
      <c r="Y73" s="69"/>
      <c r="Z73" s="69"/>
      <c r="AA73" s="76"/>
      <c r="AB73" s="76"/>
      <c r="AC73" s="69"/>
    </row>
    <row r="74" spans="1:29" s="1" customFormat="1" ht="40.15" customHeight="1" x14ac:dyDescent="0.25">
      <c r="A74" s="6"/>
      <c r="B74" s="64" t="s">
        <v>106</v>
      </c>
      <c r="C74" s="65" t="s">
        <v>5</v>
      </c>
      <c r="D74" s="66">
        <v>46230</v>
      </c>
      <c r="E74" s="67">
        <f t="shared" si="2"/>
        <v>0.13043478260869565</v>
      </c>
      <c r="F74" s="65"/>
      <c r="G74" s="69"/>
      <c r="H74" s="69"/>
      <c r="I74" s="69"/>
      <c r="J74" s="68">
        <v>1</v>
      </c>
      <c r="K74" s="68">
        <v>1</v>
      </c>
      <c r="L74" s="69"/>
      <c r="M74" s="69"/>
      <c r="N74" s="69"/>
      <c r="O74" s="68">
        <v>1</v>
      </c>
      <c r="P74" s="69"/>
      <c r="Q74" s="69"/>
      <c r="R74" s="69"/>
      <c r="S74" s="69"/>
      <c r="T74" s="69"/>
      <c r="U74" s="69"/>
      <c r="V74" s="69"/>
      <c r="W74" s="69"/>
      <c r="X74" s="69"/>
      <c r="Y74" s="69"/>
      <c r="Z74" s="69"/>
      <c r="AA74" s="76"/>
      <c r="AB74" s="76"/>
      <c r="AC74" s="69"/>
    </row>
    <row r="75" spans="1:29" s="1" customFormat="1" ht="40.15" customHeight="1" x14ac:dyDescent="0.25">
      <c r="A75" s="6"/>
      <c r="B75" s="64" t="s">
        <v>107</v>
      </c>
      <c r="C75" s="65" t="s">
        <v>5</v>
      </c>
      <c r="D75" s="66">
        <v>46230</v>
      </c>
      <c r="E75" s="67">
        <f t="shared" si="2"/>
        <v>0.13043478260869565</v>
      </c>
      <c r="F75" s="65"/>
      <c r="G75" s="69"/>
      <c r="H75" s="69"/>
      <c r="I75" s="69"/>
      <c r="J75" s="68">
        <v>1</v>
      </c>
      <c r="K75" s="68">
        <v>1</v>
      </c>
      <c r="L75" s="69"/>
      <c r="M75" s="69"/>
      <c r="N75" s="69"/>
      <c r="O75" s="68">
        <v>1</v>
      </c>
      <c r="P75" s="69"/>
      <c r="Q75" s="69"/>
      <c r="R75" s="69"/>
      <c r="S75" s="69"/>
      <c r="T75" s="69"/>
      <c r="U75" s="69"/>
      <c r="V75" s="69"/>
      <c r="W75" s="69"/>
      <c r="X75" s="69"/>
      <c r="Y75" s="69"/>
      <c r="Z75" s="69"/>
      <c r="AA75" s="76"/>
      <c r="AB75" s="76"/>
      <c r="AC75" s="69"/>
    </row>
    <row r="76" spans="1:29" s="1" customFormat="1" ht="40.15" customHeight="1" x14ac:dyDescent="0.25">
      <c r="A76" s="6"/>
      <c r="B76" s="64" t="s">
        <v>108</v>
      </c>
      <c r="C76" s="65" t="s">
        <v>5</v>
      </c>
      <c r="D76" s="66">
        <v>46230</v>
      </c>
      <c r="E76" s="67">
        <f t="shared" si="2"/>
        <v>0.13043478260869565</v>
      </c>
      <c r="F76" s="65"/>
      <c r="G76" s="69"/>
      <c r="H76" s="69"/>
      <c r="I76" s="69"/>
      <c r="J76" s="68">
        <v>1</v>
      </c>
      <c r="K76" s="68">
        <v>1</v>
      </c>
      <c r="L76" s="69"/>
      <c r="M76" s="69"/>
      <c r="N76" s="69"/>
      <c r="O76" s="68">
        <v>1</v>
      </c>
      <c r="P76" s="69"/>
      <c r="Q76" s="69"/>
      <c r="R76" s="69"/>
      <c r="S76" s="69"/>
      <c r="T76" s="69"/>
      <c r="U76" s="69"/>
      <c r="V76" s="69"/>
      <c r="W76" s="69"/>
      <c r="X76" s="69"/>
      <c r="Y76" s="69"/>
      <c r="Z76" s="69"/>
      <c r="AA76" s="76"/>
      <c r="AB76" s="76"/>
      <c r="AC76" s="69"/>
    </row>
    <row r="77" spans="1:29" s="1" customFormat="1" ht="40.15" customHeight="1" x14ac:dyDescent="0.25">
      <c r="A77" s="6"/>
      <c r="B77" s="64" t="s">
        <v>109</v>
      </c>
      <c r="C77" s="65" t="s">
        <v>5</v>
      </c>
      <c r="D77" s="66">
        <v>46230</v>
      </c>
      <c r="E77" s="67">
        <f t="shared" si="2"/>
        <v>0.13043478260869565</v>
      </c>
      <c r="F77" s="65"/>
      <c r="G77" s="69"/>
      <c r="H77" s="69"/>
      <c r="I77" s="69"/>
      <c r="J77" s="68">
        <v>1</v>
      </c>
      <c r="K77" s="68">
        <v>1</v>
      </c>
      <c r="L77" s="69"/>
      <c r="M77" s="69"/>
      <c r="N77" s="69"/>
      <c r="O77" s="68">
        <v>1</v>
      </c>
      <c r="P77" s="69"/>
      <c r="Q77" s="69"/>
      <c r="R77" s="69"/>
      <c r="S77" s="69"/>
      <c r="T77" s="69"/>
      <c r="U77" s="69"/>
      <c r="V77" s="69"/>
      <c r="W77" s="69"/>
      <c r="X77" s="69"/>
      <c r="Y77" s="69"/>
      <c r="Z77" s="69"/>
      <c r="AA77" s="76"/>
      <c r="AB77" s="76"/>
      <c r="AC77" s="69"/>
    </row>
    <row r="78" spans="1:29" s="1" customFormat="1" ht="40.15" customHeight="1" x14ac:dyDescent="0.25">
      <c r="A78" s="6"/>
      <c r="B78" s="64" t="s">
        <v>110</v>
      </c>
      <c r="C78" s="65" t="s">
        <v>5</v>
      </c>
      <c r="D78" s="66">
        <v>46230</v>
      </c>
      <c r="E78" s="67">
        <f t="shared" si="2"/>
        <v>0.13043478260869565</v>
      </c>
      <c r="F78" s="65"/>
      <c r="G78" s="69"/>
      <c r="H78" s="69"/>
      <c r="I78" s="69"/>
      <c r="J78" s="68">
        <v>1</v>
      </c>
      <c r="K78" s="68">
        <v>1</v>
      </c>
      <c r="L78" s="69"/>
      <c r="M78" s="69"/>
      <c r="N78" s="69"/>
      <c r="O78" s="68">
        <v>1</v>
      </c>
      <c r="P78" s="69"/>
      <c r="Q78" s="69"/>
      <c r="R78" s="69"/>
      <c r="S78" s="69"/>
      <c r="T78" s="69"/>
      <c r="U78" s="69"/>
      <c r="V78" s="69"/>
      <c r="W78" s="69"/>
      <c r="X78" s="69"/>
      <c r="Y78" s="69"/>
      <c r="Z78" s="69"/>
      <c r="AA78" s="76"/>
      <c r="AB78" s="76"/>
      <c r="AC78" s="69"/>
    </row>
    <row r="79" spans="1:29" s="1" customFormat="1" ht="40.15" customHeight="1" x14ac:dyDescent="0.25">
      <c r="A79" s="6"/>
      <c r="B79" s="64" t="s">
        <v>111</v>
      </c>
      <c r="C79" s="65" t="s">
        <v>5</v>
      </c>
      <c r="D79" s="66">
        <v>46230</v>
      </c>
      <c r="E79" s="67">
        <f t="shared" si="2"/>
        <v>0.13043478260869565</v>
      </c>
      <c r="F79" s="65"/>
      <c r="G79" s="69"/>
      <c r="H79" s="69"/>
      <c r="I79" s="69"/>
      <c r="J79" s="68">
        <v>1</v>
      </c>
      <c r="K79" s="68">
        <v>1</v>
      </c>
      <c r="L79" s="69"/>
      <c r="M79" s="69"/>
      <c r="N79" s="69"/>
      <c r="O79" s="68">
        <v>1</v>
      </c>
      <c r="P79" s="69"/>
      <c r="Q79" s="69"/>
      <c r="R79" s="69"/>
      <c r="S79" s="69"/>
      <c r="T79" s="69"/>
      <c r="U79" s="69"/>
      <c r="V79" s="69"/>
      <c r="W79" s="69"/>
      <c r="X79" s="69"/>
      <c r="Y79" s="69"/>
      <c r="Z79" s="69"/>
      <c r="AA79" s="76"/>
      <c r="AB79" s="76"/>
      <c r="AC79" s="69"/>
    </row>
    <row r="80" spans="1:29" s="1" customFormat="1" ht="40.15" customHeight="1" x14ac:dyDescent="0.25">
      <c r="A80" s="6"/>
      <c r="B80" s="64" t="s">
        <v>112</v>
      </c>
      <c r="C80" s="65" t="s">
        <v>5</v>
      </c>
      <c r="D80" s="66">
        <v>46230</v>
      </c>
      <c r="E80" s="67">
        <f t="shared" si="2"/>
        <v>0.13043478260869565</v>
      </c>
      <c r="F80" s="65"/>
      <c r="G80" s="69"/>
      <c r="H80" s="69"/>
      <c r="I80" s="69"/>
      <c r="J80" s="68">
        <v>1</v>
      </c>
      <c r="K80" s="68">
        <v>1</v>
      </c>
      <c r="L80" s="69"/>
      <c r="M80" s="69"/>
      <c r="N80" s="69"/>
      <c r="O80" s="68">
        <v>1</v>
      </c>
      <c r="P80" s="69"/>
      <c r="Q80" s="69"/>
      <c r="R80" s="69"/>
      <c r="S80" s="69"/>
      <c r="T80" s="69"/>
      <c r="U80" s="69"/>
      <c r="V80" s="69"/>
      <c r="W80" s="69"/>
      <c r="X80" s="69"/>
      <c r="Y80" s="69"/>
      <c r="Z80" s="69"/>
      <c r="AA80" s="76"/>
      <c r="AB80" s="76"/>
      <c r="AC80" s="69"/>
    </row>
    <row r="81" spans="1:29" s="1" customFormat="1" ht="40.15" customHeight="1" x14ac:dyDescent="0.25">
      <c r="A81" s="6"/>
      <c r="B81" s="64" t="s">
        <v>113</v>
      </c>
      <c r="C81" s="65" t="s">
        <v>5</v>
      </c>
      <c r="D81" s="66">
        <v>46230</v>
      </c>
      <c r="E81" s="67">
        <f t="shared" si="2"/>
        <v>0.13043478260869565</v>
      </c>
      <c r="F81" s="65"/>
      <c r="G81" s="69"/>
      <c r="H81" s="69"/>
      <c r="I81" s="69"/>
      <c r="J81" s="68">
        <v>1</v>
      </c>
      <c r="K81" s="68">
        <v>1</v>
      </c>
      <c r="L81" s="69"/>
      <c r="M81" s="69"/>
      <c r="N81" s="69"/>
      <c r="O81" s="68">
        <v>1</v>
      </c>
      <c r="P81" s="69"/>
      <c r="Q81" s="69"/>
      <c r="R81" s="69"/>
      <c r="S81" s="69"/>
      <c r="T81" s="69"/>
      <c r="U81" s="69"/>
      <c r="V81" s="69"/>
      <c r="W81" s="69"/>
      <c r="X81" s="69"/>
      <c r="Y81" s="69"/>
      <c r="Z81" s="69"/>
      <c r="AA81" s="76"/>
      <c r="AB81" s="76"/>
      <c r="AC81" s="69"/>
    </row>
    <row r="82" spans="1:29" s="1" customFormat="1" ht="40.15" customHeight="1" x14ac:dyDescent="0.25">
      <c r="A82" s="6"/>
      <c r="B82" s="64" t="s">
        <v>114</v>
      </c>
      <c r="C82" s="65" t="s">
        <v>5</v>
      </c>
      <c r="D82" s="66">
        <v>46230</v>
      </c>
      <c r="E82" s="67">
        <f t="shared" si="2"/>
        <v>0.13043478260869565</v>
      </c>
      <c r="F82" s="65"/>
      <c r="G82" s="69"/>
      <c r="H82" s="69"/>
      <c r="I82" s="69"/>
      <c r="J82" s="68">
        <v>1</v>
      </c>
      <c r="K82" s="68">
        <v>1</v>
      </c>
      <c r="L82" s="69"/>
      <c r="M82" s="69"/>
      <c r="N82" s="69"/>
      <c r="O82" s="68">
        <v>1</v>
      </c>
      <c r="P82" s="69"/>
      <c r="Q82" s="69"/>
      <c r="R82" s="69"/>
      <c r="S82" s="69"/>
      <c r="T82" s="69"/>
      <c r="U82" s="69"/>
      <c r="V82" s="69"/>
      <c r="W82" s="69"/>
      <c r="X82" s="69"/>
      <c r="Y82" s="69"/>
      <c r="Z82" s="69"/>
      <c r="AA82" s="76"/>
      <c r="AB82" s="76"/>
      <c r="AC82" s="69"/>
    </row>
    <row r="83" spans="1:29" s="1" customFormat="1" ht="40.15" customHeight="1" x14ac:dyDescent="0.25">
      <c r="A83" s="6"/>
      <c r="B83" s="64" t="s">
        <v>115</v>
      </c>
      <c r="C83" s="65" t="s">
        <v>5</v>
      </c>
      <c r="D83" s="66">
        <v>46230</v>
      </c>
      <c r="E83" s="67">
        <f t="shared" si="2"/>
        <v>0.13043478260869565</v>
      </c>
      <c r="F83" s="65"/>
      <c r="G83" s="69"/>
      <c r="H83" s="69"/>
      <c r="I83" s="69"/>
      <c r="J83" s="68">
        <v>1</v>
      </c>
      <c r="K83" s="68">
        <v>1</v>
      </c>
      <c r="L83" s="69"/>
      <c r="M83" s="69"/>
      <c r="N83" s="69"/>
      <c r="O83" s="68">
        <v>1</v>
      </c>
      <c r="P83" s="69"/>
      <c r="Q83" s="69"/>
      <c r="R83" s="69"/>
      <c r="S83" s="69"/>
      <c r="T83" s="69"/>
      <c r="U83" s="69"/>
      <c r="V83" s="69"/>
      <c r="W83" s="69"/>
      <c r="X83" s="69"/>
      <c r="Y83" s="69"/>
      <c r="Z83" s="69"/>
      <c r="AA83" s="76"/>
      <c r="AB83" s="76"/>
      <c r="AC83" s="69"/>
    </row>
    <row r="84" spans="1:29" s="1" customFormat="1" ht="40.15" customHeight="1" x14ac:dyDescent="0.25">
      <c r="A84" s="6"/>
      <c r="B84" s="64" t="s">
        <v>116</v>
      </c>
      <c r="C84" s="65" t="s">
        <v>5</v>
      </c>
      <c r="D84" s="66">
        <v>46230</v>
      </c>
      <c r="E84" s="67">
        <f t="shared" si="2"/>
        <v>0.13043478260869565</v>
      </c>
      <c r="F84" s="65"/>
      <c r="G84" s="69"/>
      <c r="H84" s="69"/>
      <c r="I84" s="69"/>
      <c r="J84" s="68">
        <v>1</v>
      </c>
      <c r="K84" s="68">
        <v>1</v>
      </c>
      <c r="L84" s="69"/>
      <c r="M84" s="69"/>
      <c r="N84" s="69"/>
      <c r="O84" s="68">
        <v>1</v>
      </c>
      <c r="P84" s="69"/>
      <c r="Q84" s="69"/>
      <c r="R84" s="69"/>
      <c r="S84" s="69"/>
      <c r="T84" s="69"/>
      <c r="U84" s="69"/>
      <c r="V84" s="69"/>
      <c r="W84" s="69"/>
      <c r="X84" s="69"/>
      <c r="Y84" s="69"/>
      <c r="Z84" s="69"/>
      <c r="AA84" s="76"/>
      <c r="AB84" s="76"/>
      <c r="AC84" s="69"/>
    </row>
    <row r="85" spans="1:29" s="1" customFormat="1" ht="40.15" customHeight="1" x14ac:dyDescent="0.25">
      <c r="A85" s="6"/>
      <c r="B85" s="64" t="s">
        <v>117</v>
      </c>
      <c r="C85" s="65" t="s">
        <v>5</v>
      </c>
      <c r="D85" s="66">
        <v>46230</v>
      </c>
      <c r="E85" s="67">
        <f t="shared" si="2"/>
        <v>0.13043478260869565</v>
      </c>
      <c r="F85" s="65"/>
      <c r="G85" s="69"/>
      <c r="H85" s="69"/>
      <c r="I85" s="69"/>
      <c r="J85" s="68">
        <v>1</v>
      </c>
      <c r="K85" s="68">
        <v>1</v>
      </c>
      <c r="L85" s="69"/>
      <c r="M85" s="69"/>
      <c r="N85" s="69"/>
      <c r="O85" s="68">
        <v>1</v>
      </c>
      <c r="P85" s="69"/>
      <c r="Q85" s="69"/>
      <c r="R85" s="69"/>
      <c r="S85" s="69"/>
      <c r="T85" s="69"/>
      <c r="U85" s="69"/>
      <c r="V85" s="69"/>
      <c r="W85" s="69"/>
      <c r="X85" s="69"/>
      <c r="Y85" s="69"/>
      <c r="Z85" s="69"/>
      <c r="AA85" s="76"/>
      <c r="AB85" s="76"/>
      <c r="AC85" s="69"/>
    </row>
    <row r="86" spans="1:29" s="1" customFormat="1" ht="40.15" customHeight="1" x14ac:dyDescent="0.25">
      <c r="A86" s="6"/>
      <c r="B86" s="64" t="s">
        <v>118</v>
      </c>
      <c r="C86" s="65" t="s">
        <v>5</v>
      </c>
      <c r="D86" s="66">
        <v>46230</v>
      </c>
      <c r="E86" s="67">
        <f t="shared" si="2"/>
        <v>0.13043478260869565</v>
      </c>
      <c r="F86" s="65"/>
      <c r="G86" s="69"/>
      <c r="H86" s="69"/>
      <c r="I86" s="69"/>
      <c r="J86" s="68">
        <v>1</v>
      </c>
      <c r="K86" s="68">
        <v>1</v>
      </c>
      <c r="L86" s="69"/>
      <c r="M86" s="69"/>
      <c r="N86" s="69"/>
      <c r="O86" s="68">
        <v>1</v>
      </c>
      <c r="P86" s="69"/>
      <c r="Q86" s="69"/>
      <c r="R86" s="69"/>
      <c r="S86" s="69"/>
      <c r="T86" s="69"/>
      <c r="U86" s="69"/>
      <c r="V86" s="69"/>
      <c r="W86" s="69"/>
      <c r="X86" s="69"/>
      <c r="Y86" s="69"/>
      <c r="Z86" s="69"/>
      <c r="AA86" s="76"/>
      <c r="AB86" s="76"/>
      <c r="AC86" s="69"/>
    </row>
    <row r="87" spans="1:29" s="1" customFormat="1" ht="40.15" customHeight="1" x14ac:dyDescent="0.25">
      <c r="A87" s="6"/>
      <c r="B87" s="64" t="s">
        <v>119</v>
      </c>
      <c r="C87" s="65" t="s">
        <v>5</v>
      </c>
      <c r="D87" s="66">
        <v>46230</v>
      </c>
      <c r="E87" s="67">
        <f t="shared" si="2"/>
        <v>0.13043478260869565</v>
      </c>
      <c r="F87" s="65"/>
      <c r="G87" s="69"/>
      <c r="H87" s="69"/>
      <c r="I87" s="69"/>
      <c r="J87" s="68">
        <v>1</v>
      </c>
      <c r="K87" s="68">
        <v>1</v>
      </c>
      <c r="L87" s="69"/>
      <c r="M87" s="69"/>
      <c r="N87" s="69"/>
      <c r="O87" s="68">
        <v>1</v>
      </c>
      <c r="P87" s="69"/>
      <c r="Q87" s="69"/>
      <c r="R87" s="69"/>
      <c r="S87" s="69"/>
      <c r="T87" s="69"/>
      <c r="U87" s="69"/>
      <c r="V87" s="69"/>
      <c r="W87" s="69"/>
      <c r="X87" s="69"/>
      <c r="Y87" s="69"/>
      <c r="Z87" s="69"/>
      <c r="AA87" s="76"/>
      <c r="AB87" s="76"/>
      <c r="AC87" s="69"/>
    </row>
    <row r="88" spans="1:29" s="1" customFormat="1" ht="40.15" customHeight="1" x14ac:dyDescent="0.25">
      <c r="A88" s="6"/>
      <c r="B88" s="64" t="s">
        <v>120</v>
      </c>
      <c r="C88" s="65" t="s">
        <v>5</v>
      </c>
      <c r="D88" s="66">
        <v>46230</v>
      </c>
      <c r="E88" s="67">
        <f t="shared" si="2"/>
        <v>0.13043478260869565</v>
      </c>
      <c r="F88" s="65"/>
      <c r="G88" s="69"/>
      <c r="H88" s="69"/>
      <c r="I88" s="69"/>
      <c r="J88" s="68">
        <v>1</v>
      </c>
      <c r="K88" s="68">
        <v>1</v>
      </c>
      <c r="L88" s="69"/>
      <c r="M88" s="69"/>
      <c r="N88" s="69"/>
      <c r="O88" s="68">
        <v>1</v>
      </c>
      <c r="P88" s="69"/>
      <c r="Q88" s="69"/>
      <c r="R88" s="69"/>
      <c r="S88" s="69"/>
      <c r="T88" s="69"/>
      <c r="U88" s="69"/>
      <c r="V88" s="69"/>
      <c r="W88" s="69"/>
      <c r="X88" s="69"/>
      <c r="Y88" s="69"/>
      <c r="Z88" s="69"/>
      <c r="AA88" s="76"/>
      <c r="AB88" s="76"/>
      <c r="AC88" s="69"/>
    </row>
    <row r="89" spans="1:29" s="1" customFormat="1" ht="40.15" customHeight="1" x14ac:dyDescent="0.25">
      <c r="A89" s="6"/>
      <c r="B89" s="64" t="s">
        <v>121</v>
      </c>
      <c r="C89" s="65" t="s">
        <v>5</v>
      </c>
      <c r="D89" s="66">
        <v>46230</v>
      </c>
      <c r="E89" s="67">
        <f t="shared" si="2"/>
        <v>0.13043478260869565</v>
      </c>
      <c r="F89" s="65"/>
      <c r="G89" s="69"/>
      <c r="H89" s="69"/>
      <c r="I89" s="69"/>
      <c r="J89" s="68">
        <v>1</v>
      </c>
      <c r="K89" s="68">
        <v>1</v>
      </c>
      <c r="L89" s="69"/>
      <c r="M89" s="69"/>
      <c r="N89" s="69"/>
      <c r="O89" s="68">
        <v>1</v>
      </c>
      <c r="P89" s="69"/>
      <c r="Q89" s="69"/>
      <c r="R89" s="69"/>
      <c r="S89" s="69"/>
      <c r="T89" s="69"/>
      <c r="U89" s="69"/>
      <c r="V89" s="69"/>
      <c r="W89" s="69"/>
      <c r="X89" s="69"/>
      <c r="Y89" s="69"/>
      <c r="Z89" s="69"/>
      <c r="AA89" s="76"/>
      <c r="AB89" s="76"/>
      <c r="AC89" s="69"/>
    </row>
    <row r="90" spans="1:29" s="1" customFormat="1" ht="40.15" customHeight="1" x14ac:dyDescent="0.25">
      <c r="A90" s="6"/>
      <c r="B90" s="64" t="s">
        <v>122</v>
      </c>
      <c r="C90" s="65" t="s">
        <v>5</v>
      </c>
      <c r="D90" s="66">
        <v>46230</v>
      </c>
      <c r="E90" s="67">
        <f t="shared" si="2"/>
        <v>0.13043478260869565</v>
      </c>
      <c r="F90" s="65"/>
      <c r="G90" s="69"/>
      <c r="H90" s="69"/>
      <c r="I90" s="69"/>
      <c r="J90" s="68">
        <v>1</v>
      </c>
      <c r="K90" s="68">
        <v>1</v>
      </c>
      <c r="L90" s="69"/>
      <c r="M90" s="69"/>
      <c r="N90" s="69"/>
      <c r="O90" s="68">
        <v>1</v>
      </c>
      <c r="P90" s="69"/>
      <c r="Q90" s="69"/>
      <c r="R90" s="69"/>
      <c r="S90" s="69"/>
      <c r="T90" s="69"/>
      <c r="U90" s="69"/>
      <c r="V90" s="69"/>
      <c r="W90" s="69"/>
      <c r="X90" s="69"/>
      <c r="Y90" s="69"/>
      <c r="Z90" s="69"/>
      <c r="AA90" s="76"/>
      <c r="AB90" s="76"/>
      <c r="AC90" s="69"/>
    </row>
    <row r="91" spans="1:29" s="1" customFormat="1" ht="40.15" customHeight="1" x14ac:dyDescent="0.25">
      <c r="A91" s="6"/>
      <c r="B91" s="64" t="s">
        <v>123</v>
      </c>
      <c r="C91" s="65" t="s">
        <v>5</v>
      </c>
      <c r="D91" s="66">
        <v>46230</v>
      </c>
      <c r="E91" s="67">
        <f t="shared" si="2"/>
        <v>0.13043478260869565</v>
      </c>
      <c r="F91" s="65"/>
      <c r="G91" s="69"/>
      <c r="H91" s="69"/>
      <c r="I91" s="69"/>
      <c r="J91" s="68">
        <v>1</v>
      </c>
      <c r="K91" s="68">
        <v>1</v>
      </c>
      <c r="L91" s="69"/>
      <c r="M91" s="69"/>
      <c r="N91" s="69"/>
      <c r="O91" s="68">
        <v>1</v>
      </c>
      <c r="P91" s="69"/>
      <c r="Q91" s="69"/>
      <c r="R91" s="69"/>
      <c r="S91" s="69"/>
      <c r="T91" s="69"/>
      <c r="U91" s="69"/>
      <c r="V91" s="69"/>
      <c r="W91" s="69"/>
      <c r="X91" s="69"/>
      <c r="Y91" s="69"/>
      <c r="Z91" s="69"/>
      <c r="AA91" s="76"/>
      <c r="AB91" s="76"/>
      <c r="AC91" s="69"/>
    </row>
    <row r="92" spans="1:29" s="1" customFormat="1" ht="40.15" customHeight="1" x14ac:dyDescent="0.25">
      <c r="A92" s="6"/>
      <c r="B92" s="64" t="s">
        <v>124</v>
      </c>
      <c r="C92" s="65" t="s">
        <v>5</v>
      </c>
      <c r="D92" s="66">
        <v>46230</v>
      </c>
      <c r="E92" s="67">
        <f t="shared" si="2"/>
        <v>0.13043478260869565</v>
      </c>
      <c r="F92" s="65"/>
      <c r="G92" s="69"/>
      <c r="H92" s="69"/>
      <c r="I92" s="69"/>
      <c r="J92" s="68">
        <v>1</v>
      </c>
      <c r="K92" s="68">
        <v>1</v>
      </c>
      <c r="L92" s="69"/>
      <c r="M92" s="69"/>
      <c r="N92" s="69"/>
      <c r="O92" s="68">
        <v>1</v>
      </c>
      <c r="P92" s="69"/>
      <c r="Q92" s="69"/>
      <c r="R92" s="69"/>
      <c r="S92" s="69"/>
      <c r="T92" s="69"/>
      <c r="U92" s="69"/>
      <c r="V92" s="69"/>
      <c r="W92" s="69"/>
      <c r="X92" s="69"/>
      <c r="Y92" s="69"/>
      <c r="Z92" s="69"/>
      <c r="AA92" s="76"/>
      <c r="AB92" s="76"/>
      <c r="AC92" s="69"/>
    </row>
    <row r="93" spans="1:29" s="1" customFormat="1" ht="40.15" customHeight="1" x14ac:dyDescent="0.25">
      <c r="A93" s="6"/>
      <c r="B93" s="64" t="s">
        <v>125</v>
      </c>
      <c r="C93" s="65" t="s">
        <v>5</v>
      </c>
      <c r="D93" s="66">
        <v>46230</v>
      </c>
      <c r="E93" s="67">
        <f t="shared" ref="E93:E156" si="3">COUNT(G93:AC93)/23</f>
        <v>0.13043478260869565</v>
      </c>
      <c r="F93" s="65"/>
      <c r="G93" s="69"/>
      <c r="H93" s="69"/>
      <c r="I93" s="69"/>
      <c r="J93" s="68">
        <v>1</v>
      </c>
      <c r="K93" s="68">
        <v>1</v>
      </c>
      <c r="L93" s="69"/>
      <c r="M93" s="69"/>
      <c r="N93" s="69"/>
      <c r="O93" s="68">
        <v>1</v>
      </c>
      <c r="P93" s="69"/>
      <c r="Q93" s="69"/>
      <c r="R93" s="69"/>
      <c r="S93" s="69"/>
      <c r="T93" s="69"/>
      <c r="U93" s="69"/>
      <c r="V93" s="69"/>
      <c r="W93" s="69"/>
      <c r="X93" s="69"/>
      <c r="Y93" s="69"/>
      <c r="Z93" s="69"/>
      <c r="AA93" s="76"/>
      <c r="AB93" s="76"/>
      <c r="AC93" s="69"/>
    </row>
    <row r="94" spans="1:29" s="1" customFormat="1" ht="40.15" customHeight="1" x14ac:dyDescent="0.25">
      <c r="A94" s="6"/>
      <c r="B94" s="64" t="s">
        <v>126</v>
      </c>
      <c r="C94" s="65" t="s">
        <v>5</v>
      </c>
      <c r="D94" s="66">
        <v>46230</v>
      </c>
      <c r="E94" s="67">
        <f t="shared" si="3"/>
        <v>0.13043478260869565</v>
      </c>
      <c r="F94" s="65"/>
      <c r="G94" s="69"/>
      <c r="H94" s="69"/>
      <c r="I94" s="69"/>
      <c r="J94" s="68">
        <v>1</v>
      </c>
      <c r="K94" s="68">
        <v>1</v>
      </c>
      <c r="L94" s="69"/>
      <c r="M94" s="69"/>
      <c r="N94" s="69"/>
      <c r="O94" s="68">
        <v>1</v>
      </c>
      <c r="P94" s="69"/>
      <c r="Q94" s="69"/>
      <c r="R94" s="69"/>
      <c r="S94" s="69"/>
      <c r="T94" s="69"/>
      <c r="U94" s="69"/>
      <c r="V94" s="69"/>
      <c r="W94" s="69"/>
      <c r="X94" s="69"/>
      <c r="Y94" s="69"/>
      <c r="Z94" s="69"/>
      <c r="AA94" s="76"/>
      <c r="AB94" s="76"/>
      <c r="AC94" s="69"/>
    </row>
    <row r="95" spans="1:29" s="1" customFormat="1" ht="40.15" customHeight="1" x14ac:dyDescent="0.25">
      <c r="A95" s="6"/>
      <c r="B95" s="64" t="s">
        <v>127</v>
      </c>
      <c r="C95" s="65" t="s">
        <v>5</v>
      </c>
      <c r="D95" s="66">
        <v>46230</v>
      </c>
      <c r="E95" s="67">
        <f t="shared" si="3"/>
        <v>0.13043478260869565</v>
      </c>
      <c r="F95" s="65"/>
      <c r="G95" s="69"/>
      <c r="H95" s="69"/>
      <c r="I95" s="69"/>
      <c r="J95" s="68">
        <v>1</v>
      </c>
      <c r="K95" s="68">
        <v>1</v>
      </c>
      <c r="L95" s="69"/>
      <c r="M95" s="69"/>
      <c r="N95" s="69"/>
      <c r="O95" s="68">
        <v>1</v>
      </c>
      <c r="P95" s="69"/>
      <c r="Q95" s="69"/>
      <c r="R95" s="69"/>
      <c r="S95" s="69"/>
      <c r="T95" s="69"/>
      <c r="U95" s="69"/>
      <c r="V95" s="69"/>
      <c r="W95" s="69"/>
      <c r="X95" s="69"/>
      <c r="Y95" s="69"/>
      <c r="Z95" s="69"/>
      <c r="AA95" s="76"/>
      <c r="AB95" s="76"/>
      <c r="AC95" s="69"/>
    </row>
    <row r="96" spans="1:29" s="1" customFormat="1" ht="40.15" customHeight="1" x14ac:dyDescent="0.25">
      <c r="A96" s="6"/>
      <c r="B96" s="64" t="s">
        <v>128</v>
      </c>
      <c r="C96" s="65" t="s">
        <v>5</v>
      </c>
      <c r="D96" s="66">
        <v>46230</v>
      </c>
      <c r="E96" s="67">
        <f t="shared" si="3"/>
        <v>0.13043478260869565</v>
      </c>
      <c r="F96" s="65"/>
      <c r="G96" s="69"/>
      <c r="H96" s="69"/>
      <c r="I96" s="69"/>
      <c r="J96" s="68">
        <v>1</v>
      </c>
      <c r="K96" s="68">
        <v>1</v>
      </c>
      <c r="L96" s="69"/>
      <c r="M96" s="69"/>
      <c r="N96" s="69"/>
      <c r="O96" s="68">
        <v>1</v>
      </c>
      <c r="P96" s="69"/>
      <c r="Q96" s="69"/>
      <c r="R96" s="69"/>
      <c r="S96" s="69"/>
      <c r="T96" s="69"/>
      <c r="U96" s="69"/>
      <c r="V96" s="69"/>
      <c r="W96" s="69"/>
      <c r="X96" s="69"/>
      <c r="Y96" s="69"/>
      <c r="Z96" s="69"/>
      <c r="AA96" s="76"/>
      <c r="AB96" s="76"/>
      <c r="AC96" s="69"/>
    </row>
    <row r="97" spans="1:29" s="1" customFormat="1" ht="40.15" customHeight="1" x14ac:dyDescent="0.25">
      <c r="A97" s="6"/>
      <c r="B97" s="64" t="s">
        <v>129</v>
      </c>
      <c r="C97" s="65" t="s">
        <v>5</v>
      </c>
      <c r="D97" s="66">
        <v>46230</v>
      </c>
      <c r="E97" s="67">
        <f t="shared" si="3"/>
        <v>0.13043478260869565</v>
      </c>
      <c r="F97" s="65"/>
      <c r="G97" s="69"/>
      <c r="H97" s="69"/>
      <c r="I97" s="69"/>
      <c r="J97" s="68">
        <v>1</v>
      </c>
      <c r="K97" s="68">
        <v>1</v>
      </c>
      <c r="L97" s="69"/>
      <c r="M97" s="69"/>
      <c r="N97" s="69"/>
      <c r="O97" s="68">
        <v>1</v>
      </c>
      <c r="P97" s="69"/>
      <c r="Q97" s="69"/>
      <c r="R97" s="69"/>
      <c r="S97" s="69"/>
      <c r="T97" s="69"/>
      <c r="U97" s="69"/>
      <c r="V97" s="69"/>
      <c r="W97" s="69"/>
      <c r="X97" s="69"/>
      <c r="Y97" s="69"/>
      <c r="Z97" s="69"/>
      <c r="AA97" s="76"/>
      <c r="AB97" s="76"/>
      <c r="AC97" s="69"/>
    </row>
    <row r="98" spans="1:29" s="1" customFormat="1" ht="40.15" customHeight="1" x14ac:dyDescent="0.25">
      <c r="A98" s="6"/>
      <c r="B98" s="64" t="s">
        <v>130</v>
      </c>
      <c r="C98" s="65" t="s">
        <v>5</v>
      </c>
      <c r="D98" s="66">
        <v>46230</v>
      </c>
      <c r="E98" s="67">
        <f t="shared" si="3"/>
        <v>0.13043478260869565</v>
      </c>
      <c r="F98" s="65"/>
      <c r="G98" s="69"/>
      <c r="H98" s="69"/>
      <c r="I98" s="69"/>
      <c r="J98" s="68">
        <v>1</v>
      </c>
      <c r="K98" s="68">
        <v>1</v>
      </c>
      <c r="L98" s="69"/>
      <c r="M98" s="69"/>
      <c r="N98" s="69"/>
      <c r="O98" s="68">
        <v>1</v>
      </c>
      <c r="P98" s="69"/>
      <c r="Q98" s="69"/>
      <c r="R98" s="69"/>
      <c r="S98" s="69"/>
      <c r="T98" s="69"/>
      <c r="U98" s="69"/>
      <c r="V98" s="69"/>
      <c r="W98" s="69"/>
      <c r="X98" s="69"/>
      <c r="Y98" s="69"/>
      <c r="Z98" s="69"/>
      <c r="AA98" s="76"/>
      <c r="AB98" s="76"/>
      <c r="AC98" s="69"/>
    </row>
    <row r="99" spans="1:29" s="1" customFormat="1" ht="40.15" customHeight="1" x14ac:dyDescent="0.25">
      <c r="A99" s="6"/>
      <c r="B99" s="64" t="s">
        <v>131</v>
      </c>
      <c r="C99" s="65" t="s">
        <v>5</v>
      </c>
      <c r="D99" s="66">
        <v>46230</v>
      </c>
      <c r="E99" s="67">
        <f t="shared" si="3"/>
        <v>0.13043478260869565</v>
      </c>
      <c r="F99" s="65"/>
      <c r="G99" s="69"/>
      <c r="H99" s="69"/>
      <c r="I99" s="69"/>
      <c r="J99" s="68">
        <v>1</v>
      </c>
      <c r="K99" s="68">
        <v>1</v>
      </c>
      <c r="L99" s="69"/>
      <c r="M99" s="69"/>
      <c r="N99" s="69"/>
      <c r="O99" s="68">
        <v>1</v>
      </c>
      <c r="P99" s="69"/>
      <c r="Q99" s="69"/>
      <c r="R99" s="69"/>
      <c r="S99" s="69"/>
      <c r="T99" s="69"/>
      <c r="U99" s="69"/>
      <c r="V99" s="69"/>
      <c r="W99" s="69"/>
      <c r="X99" s="69"/>
      <c r="Y99" s="69"/>
      <c r="Z99" s="69"/>
      <c r="AA99" s="76"/>
      <c r="AB99" s="76"/>
      <c r="AC99" s="69"/>
    </row>
    <row r="100" spans="1:29" s="1" customFormat="1" ht="40.15" customHeight="1" x14ac:dyDescent="0.25">
      <c r="A100" s="6"/>
      <c r="B100" s="64" t="s">
        <v>132</v>
      </c>
      <c r="C100" s="65" t="s">
        <v>5</v>
      </c>
      <c r="D100" s="66">
        <v>46230</v>
      </c>
      <c r="E100" s="67">
        <f t="shared" si="3"/>
        <v>0.13043478260869565</v>
      </c>
      <c r="F100" s="65"/>
      <c r="G100" s="69"/>
      <c r="H100" s="69"/>
      <c r="I100" s="69"/>
      <c r="J100" s="68">
        <v>1</v>
      </c>
      <c r="K100" s="68">
        <v>1</v>
      </c>
      <c r="L100" s="69"/>
      <c r="M100" s="69"/>
      <c r="N100" s="69"/>
      <c r="O100" s="68">
        <v>1</v>
      </c>
      <c r="P100" s="69"/>
      <c r="Q100" s="69"/>
      <c r="R100" s="69"/>
      <c r="S100" s="69"/>
      <c r="T100" s="69"/>
      <c r="U100" s="69"/>
      <c r="V100" s="69"/>
      <c r="W100" s="69"/>
      <c r="X100" s="69"/>
      <c r="Y100" s="69"/>
      <c r="Z100" s="69"/>
      <c r="AA100" s="76"/>
      <c r="AB100" s="76"/>
      <c r="AC100" s="69"/>
    </row>
    <row r="101" spans="1:29" s="1" customFormat="1" ht="40.15" customHeight="1" x14ac:dyDescent="0.25">
      <c r="A101" s="6"/>
      <c r="B101" s="64" t="s">
        <v>133</v>
      </c>
      <c r="C101" s="65" t="s">
        <v>5</v>
      </c>
      <c r="D101" s="66">
        <v>46230</v>
      </c>
      <c r="E101" s="67">
        <f t="shared" si="3"/>
        <v>0.13043478260869565</v>
      </c>
      <c r="F101" s="65"/>
      <c r="G101" s="69"/>
      <c r="H101" s="69"/>
      <c r="I101" s="69"/>
      <c r="J101" s="68">
        <v>1</v>
      </c>
      <c r="K101" s="68">
        <v>1</v>
      </c>
      <c r="L101" s="69"/>
      <c r="M101" s="69"/>
      <c r="N101" s="69"/>
      <c r="O101" s="68">
        <v>1</v>
      </c>
      <c r="P101" s="69"/>
      <c r="Q101" s="69"/>
      <c r="R101" s="69"/>
      <c r="S101" s="69"/>
      <c r="T101" s="69"/>
      <c r="U101" s="69"/>
      <c r="V101" s="69"/>
      <c r="W101" s="69"/>
      <c r="X101" s="69"/>
      <c r="Y101" s="69"/>
      <c r="Z101" s="69"/>
      <c r="AA101" s="76"/>
      <c r="AB101" s="76"/>
      <c r="AC101" s="69"/>
    </row>
    <row r="102" spans="1:29" s="1" customFormat="1" ht="40.15" customHeight="1" thickBot="1" x14ac:dyDescent="0.3">
      <c r="A102" s="60"/>
      <c r="B102" s="64" t="s">
        <v>134</v>
      </c>
      <c r="C102" s="65" t="s">
        <v>5</v>
      </c>
      <c r="D102" s="66">
        <v>46230</v>
      </c>
      <c r="E102" s="67">
        <f t="shared" si="3"/>
        <v>0.13043478260869565</v>
      </c>
      <c r="F102" s="65"/>
      <c r="G102" s="69"/>
      <c r="H102" s="69"/>
      <c r="I102" s="69"/>
      <c r="J102" s="68">
        <v>1</v>
      </c>
      <c r="K102" s="68">
        <v>1</v>
      </c>
      <c r="L102" s="69"/>
      <c r="M102" s="69"/>
      <c r="N102" s="69"/>
      <c r="O102" s="68">
        <v>1</v>
      </c>
      <c r="P102" s="69"/>
      <c r="Q102" s="69"/>
      <c r="R102" s="69"/>
      <c r="S102" s="69"/>
      <c r="T102" s="69"/>
      <c r="U102" s="69"/>
      <c r="V102" s="69"/>
      <c r="W102" s="69"/>
      <c r="X102" s="69"/>
      <c r="Y102" s="69"/>
      <c r="Z102" s="69"/>
      <c r="AA102" s="76"/>
      <c r="AB102" s="76"/>
      <c r="AC102" s="69"/>
    </row>
    <row r="103" spans="1:29" s="1" customFormat="1" ht="40.15" customHeight="1" x14ac:dyDescent="0.25">
      <c r="A103" s="6"/>
      <c r="B103" s="64" t="s">
        <v>135</v>
      </c>
      <c r="C103" s="65" t="s">
        <v>5</v>
      </c>
      <c r="D103" s="66">
        <v>46265</v>
      </c>
      <c r="E103" s="67">
        <f t="shared" si="3"/>
        <v>0.13043478260869565</v>
      </c>
      <c r="F103" s="65"/>
      <c r="G103" s="69"/>
      <c r="H103" s="69"/>
      <c r="I103" s="69"/>
      <c r="J103" s="68">
        <v>1</v>
      </c>
      <c r="K103" s="68">
        <v>1</v>
      </c>
      <c r="L103" s="69"/>
      <c r="M103" s="69"/>
      <c r="N103" s="69"/>
      <c r="O103" s="68">
        <v>1</v>
      </c>
      <c r="P103" s="69"/>
      <c r="Q103" s="69"/>
      <c r="R103" s="69"/>
      <c r="S103" s="69"/>
      <c r="T103" s="69"/>
      <c r="U103" s="69"/>
      <c r="V103" s="69"/>
      <c r="W103" s="69"/>
      <c r="X103" s="69"/>
      <c r="Y103" s="69"/>
      <c r="Z103" s="69"/>
      <c r="AA103" s="76"/>
      <c r="AB103" s="76"/>
      <c r="AC103" s="69"/>
    </row>
    <row r="104" spans="1:29" s="1" customFormat="1" ht="40.15" customHeight="1" x14ac:dyDescent="0.25">
      <c r="A104" s="6"/>
      <c r="B104" s="64" t="s">
        <v>136</v>
      </c>
      <c r="C104" s="65" t="s">
        <v>5</v>
      </c>
      <c r="D104" s="66">
        <v>46265</v>
      </c>
      <c r="E104" s="67">
        <f t="shared" si="3"/>
        <v>0.13043478260869565</v>
      </c>
      <c r="F104" s="65"/>
      <c r="G104" s="69"/>
      <c r="H104" s="69"/>
      <c r="I104" s="69"/>
      <c r="J104" s="68">
        <v>1</v>
      </c>
      <c r="K104" s="68">
        <v>1</v>
      </c>
      <c r="L104" s="69"/>
      <c r="M104" s="69"/>
      <c r="N104" s="69"/>
      <c r="O104" s="68">
        <v>1</v>
      </c>
      <c r="P104" s="69"/>
      <c r="Q104" s="69"/>
      <c r="R104" s="69"/>
      <c r="S104" s="69"/>
      <c r="T104" s="69"/>
      <c r="U104" s="69"/>
      <c r="V104" s="69"/>
      <c r="W104" s="69"/>
      <c r="X104" s="69"/>
      <c r="Y104" s="69"/>
      <c r="Z104" s="69"/>
      <c r="AA104" s="76"/>
      <c r="AB104" s="75"/>
      <c r="AC104" s="69"/>
    </row>
    <row r="105" spans="1:29" s="1" customFormat="1" ht="40.15" customHeight="1" x14ac:dyDescent="0.25">
      <c r="A105" s="6"/>
      <c r="B105" s="64" t="s">
        <v>137</v>
      </c>
      <c r="C105" s="65" t="s">
        <v>5</v>
      </c>
      <c r="D105" s="66">
        <v>46265</v>
      </c>
      <c r="E105" s="67">
        <f t="shared" si="3"/>
        <v>0.13043478260869565</v>
      </c>
      <c r="F105" s="65"/>
      <c r="G105" s="69"/>
      <c r="H105" s="69"/>
      <c r="I105" s="69"/>
      <c r="J105" s="68">
        <v>1</v>
      </c>
      <c r="K105" s="68">
        <v>1</v>
      </c>
      <c r="L105" s="69"/>
      <c r="M105" s="69"/>
      <c r="N105" s="69"/>
      <c r="O105" s="68">
        <v>1</v>
      </c>
      <c r="P105" s="69"/>
      <c r="Q105" s="69"/>
      <c r="R105" s="69"/>
      <c r="S105" s="69"/>
      <c r="T105" s="69"/>
      <c r="U105" s="69"/>
      <c r="V105" s="69"/>
      <c r="W105" s="69"/>
      <c r="X105" s="69"/>
      <c r="Y105" s="69"/>
      <c r="Z105" s="69"/>
      <c r="AA105" s="76"/>
      <c r="AB105" s="75"/>
      <c r="AC105" s="69"/>
    </row>
    <row r="106" spans="1:29" s="1" customFormat="1" ht="40.15" customHeight="1" x14ac:dyDescent="0.25">
      <c r="A106" s="6"/>
      <c r="B106" s="64" t="s">
        <v>138</v>
      </c>
      <c r="C106" s="65" t="s">
        <v>5</v>
      </c>
      <c r="D106" s="66">
        <v>46265</v>
      </c>
      <c r="E106" s="67">
        <f t="shared" si="3"/>
        <v>0.13043478260869565</v>
      </c>
      <c r="F106" s="65"/>
      <c r="G106" s="69"/>
      <c r="H106" s="69"/>
      <c r="I106" s="69"/>
      <c r="J106" s="68">
        <v>1</v>
      </c>
      <c r="K106" s="68">
        <v>1</v>
      </c>
      <c r="L106" s="69"/>
      <c r="M106" s="69"/>
      <c r="N106" s="69"/>
      <c r="O106" s="68">
        <v>1</v>
      </c>
      <c r="P106" s="69"/>
      <c r="Q106" s="69"/>
      <c r="R106" s="69"/>
      <c r="S106" s="69"/>
      <c r="T106" s="69"/>
      <c r="U106" s="69"/>
      <c r="V106" s="69"/>
      <c r="W106" s="69"/>
      <c r="X106" s="69"/>
      <c r="Y106" s="69"/>
      <c r="Z106" s="69"/>
      <c r="AA106" s="76"/>
      <c r="AB106" s="75"/>
      <c r="AC106" s="69"/>
    </row>
    <row r="107" spans="1:29" s="1" customFormat="1" ht="40.15" customHeight="1" x14ac:dyDescent="0.25">
      <c r="A107" s="6"/>
      <c r="B107" s="64" t="s">
        <v>139</v>
      </c>
      <c r="C107" s="65" t="s">
        <v>5</v>
      </c>
      <c r="D107" s="66">
        <v>46265</v>
      </c>
      <c r="E107" s="67">
        <f t="shared" si="3"/>
        <v>0.13043478260869565</v>
      </c>
      <c r="F107" s="65"/>
      <c r="G107" s="69"/>
      <c r="H107" s="69"/>
      <c r="I107" s="69"/>
      <c r="J107" s="68">
        <v>1</v>
      </c>
      <c r="K107" s="68">
        <v>1</v>
      </c>
      <c r="L107" s="69"/>
      <c r="M107" s="69"/>
      <c r="N107" s="69"/>
      <c r="O107" s="68">
        <v>1</v>
      </c>
      <c r="P107" s="69"/>
      <c r="Q107" s="69"/>
      <c r="R107" s="69"/>
      <c r="S107" s="69"/>
      <c r="T107" s="69"/>
      <c r="U107" s="69"/>
      <c r="V107" s="69"/>
      <c r="W107" s="69"/>
      <c r="X107" s="69"/>
      <c r="Y107" s="69"/>
      <c r="Z107" s="69"/>
      <c r="AA107" s="76"/>
      <c r="AB107" s="75"/>
      <c r="AC107" s="69"/>
    </row>
    <row r="108" spans="1:29" s="1" customFormat="1" ht="40.15" customHeight="1" x14ac:dyDescent="0.25">
      <c r="A108" s="6"/>
      <c r="B108" s="64" t="s">
        <v>140</v>
      </c>
      <c r="C108" s="65" t="s">
        <v>5</v>
      </c>
      <c r="D108" s="66">
        <v>46265</v>
      </c>
      <c r="E108" s="67">
        <f t="shared" si="3"/>
        <v>0.13043478260869565</v>
      </c>
      <c r="F108" s="65"/>
      <c r="G108" s="69"/>
      <c r="H108" s="69"/>
      <c r="I108" s="69"/>
      <c r="J108" s="68">
        <v>1</v>
      </c>
      <c r="K108" s="68">
        <v>1</v>
      </c>
      <c r="L108" s="69"/>
      <c r="M108" s="69"/>
      <c r="N108" s="69"/>
      <c r="O108" s="68">
        <v>1</v>
      </c>
      <c r="P108" s="69"/>
      <c r="Q108" s="69"/>
      <c r="R108" s="69"/>
      <c r="S108" s="69"/>
      <c r="T108" s="69"/>
      <c r="U108" s="69"/>
      <c r="V108" s="69"/>
      <c r="W108" s="69"/>
      <c r="X108" s="69"/>
      <c r="Y108" s="69"/>
      <c r="Z108" s="69"/>
      <c r="AA108" s="76"/>
      <c r="AB108" s="75"/>
      <c r="AC108" s="69"/>
    </row>
    <row r="109" spans="1:29" s="1" customFormat="1" ht="40.15" customHeight="1" x14ac:dyDescent="0.25">
      <c r="A109" s="6"/>
      <c r="B109" s="64" t="s">
        <v>141</v>
      </c>
      <c r="C109" s="65" t="s">
        <v>5</v>
      </c>
      <c r="D109" s="66">
        <v>46265</v>
      </c>
      <c r="E109" s="67">
        <f t="shared" si="3"/>
        <v>0.13043478260869565</v>
      </c>
      <c r="F109" s="65"/>
      <c r="G109" s="69"/>
      <c r="H109" s="69"/>
      <c r="I109" s="69"/>
      <c r="J109" s="68">
        <v>1</v>
      </c>
      <c r="K109" s="68">
        <v>1</v>
      </c>
      <c r="L109" s="69"/>
      <c r="M109" s="69"/>
      <c r="N109" s="69"/>
      <c r="O109" s="68">
        <v>1</v>
      </c>
      <c r="P109" s="69"/>
      <c r="Q109" s="69"/>
      <c r="R109" s="69"/>
      <c r="S109" s="69"/>
      <c r="T109" s="69"/>
      <c r="U109" s="69"/>
      <c r="V109" s="69"/>
      <c r="W109" s="69"/>
      <c r="X109" s="69"/>
      <c r="Y109" s="69"/>
      <c r="Z109" s="69"/>
      <c r="AA109" s="76"/>
      <c r="AB109" s="75"/>
      <c r="AC109" s="69"/>
    </row>
    <row r="110" spans="1:29" s="1" customFormat="1" ht="40.15" customHeight="1" x14ac:dyDescent="0.25">
      <c r="A110" s="6"/>
      <c r="B110" s="64" t="s">
        <v>142</v>
      </c>
      <c r="C110" s="65" t="s">
        <v>5</v>
      </c>
      <c r="D110" s="66">
        <v>46265</v>
      </c>
      <c r="E110" s="67">
        <f t="shared" si="3"/>
        <v>0.13043478260869565</v>
      </c>
      <c r="F110" s="65"/>
      <c r="G110" s="69"/>
      <c r="H110" s="69"/>
      <c r="I110" s="69"/>
      <c r="J110" s="68">
        <v>1</v>
      </c>
      <c r="K110" s="68">
        <v>1</v>
      </c>
      <c r="L110" s="69"/>
      <c r="M110" s="69"/>
      <c r="N110" s="69"/>
      <c r="O110" s="68">
        <v>1</v>
      </c>
      <c r="P110" s="69"/>
      <c r="Q110" s="69"/>
      <c r="R110" s="69"/>
      <c r="S110" s="69"/>
      <c r="T110" s="69"/>
      <c r="U110" s="69"/>
      <c r="V110" s="69"/>
      <c r="W110" s="69"/>
      <c r="X110" s="69"/>
      <c r="Y110" s="69"/>
      <c r="Z110" s="69"/>
      <c r="AA110" s="76"/>
      <c r="AB110" s="75"/>
      <c r="AC110" s="69"/>
    </row>
    <row r="111" spans="1:29" s="1" customFormat="1" ht="40.15" customHeight="1" x14ac:dyDescent="0.25">
      <c r="A111" s="6"/>
      <c r="B111" s="64" t="s">
        <v>143</v>
      </c>
      <c r="C111" s="65" t="s">
        <v>5</v>
      </c>
      <c r="D111" s="66">
        <v>46265</v>
      </c>
      <c r="E111" s="67">
        <f t="shared" si="3"/>
        <v>0.13043478260869565</v>
      </c>
      <c r="F111" s="65"/>
      <c r="G111" s="69"/>
      <c r="H111" s="69"/>
      <c r="I111" s="69"/>
      <c r="J111" s="68">
        <v>1</v>
      </c>
      <c r="K111" s="68">
        <v>1</v>
      </c>
      <c r="L111" s="69"/>
      <c r="M111" s="69"/>
      <c r="N111" s="69"/>
      <c r="O111" s="68">
        <v>1</v>
      </c>
      <c r="P111" s="69"/>
      <c r="Q111" s="69"/>
      <c r="R111" s="69"/>
      <c r="S111" s="69"/>
      <c r="T111" s="69"/>
      <c r="U111" s="69"/>
      <c r="V111" s="69"/>
      <c r="W111" s="69"/>
      <c r="X111" s="69"/>
      <c r="Y111" s="69"/>
      <c r="Z111" s="69"/>
      <c r="AA111" s="76"/>
      <c r="AB111" s="75"/>
      <c r="AC111" s="69"/>
    </row>
    <row r="112" spans="1:29" s="1" customFormat="1" ht="40.15" customHeight="1" x14ac:dyDescent="0.25">
      <c r="A112" s="6"/>
      <c r="B112" s="64" t="s">
        <v>144</v>
      </c>
      <c r="C112" s="65" t="s">
        <v>5</v>
      </c>
      <c r="D112" s="66">
        <v>46265</v>
      </c>
      <c r="E112" s="67">
        <f t="shared" si="3"/>
        <v>0.13043478260869565</v>
      </c>
      <c r="F112" s="65"/>
      <c r="G112" s="69"/>
      <c r="H112" s="69"/>
      <c r="I112" s="69"/>
      <c r="J112" s="68">
        <v>1</v>
      </c>
      <c r="K112" s="68">
        <v>1</v>
      </c>
      <c r="L112" s="69"/>
      <c r="M112" s="69"/>
      <c r="N112" s="69"/>
      <c r="O112" s="68">
        <v>1</v>
      </c>
      <c r="P112" s="69"/>
      <c r="Q112" s="69"/>
      <c r="R112" s="69"/>
      <c r="S112" s="69"/>
      <c r="T112" s="69"/>
      <c r="U112" s="69"/>
      <c r="V112" s="69"/>
      <c r="W112" s="69"/>
      <c r="X112" s="69"/>
      <c r="Y112" s="69"/>
      <c r="Z112" s="69"/>
      <c r="AA112" s="76"/>
      <c r="AB112" s="75"/>
      <c r="AC112" s="69"/>
    </row>
    <row r="113" spans="1:29" s="1" customFormat="1" ht="40.15" customHeight="1" x14ac:dyDescent="0.25">
      <c r="A113" s="6"/>
      <c r="B113" s="64" t="s">
        <v>145</v>
      </c>
      <c r="C113" s="65" t="s">
        <v>5</v>
      </c>
      <c r="D113" s="66">
        <v>46265</v>
      </c>
      <c r="E113" s="67">
        <f t="shared" si="3"/>
        <v>0.13043478260869565</v>
      </c>
      <c r="F113" s="65"/>
      <c r="G113" s="69"/>
      <c r="H113" s="69"/>
      <c r="I113" s="69"/>
      <c r="J113" s="68">
        <v>1</v>
      </c>
      <c r="K113" s="68">
        <v>1</v>
      </c>
      <c r="L113" s="69"/>
      <c r="M113" s="69"/>
      <c r="N113" s="69"/>
      <c r="O113" s="68">
        <v>1</v>
      </c>
      <c r="P113" s="69"/>
      <c r="Q113" s="69"/>
      <c r="R113" s="69"/>
      <c r="S113" s="69"/>
      <c r="T113" s="69"/>
      <c r="U113" s="69"/>
      <c r="V113" s="69"/>
      <c r="W113" s="69"/>
      <c r="X113" s="69"/>
      <c r="Y113" s="69"/>
      <c r="Z113" s="69"/>
      <c r="AA113" s="76"/>
      <c r="AB113" s="75"/>
      <c r="AC113" s="69"/>
    </row>
    <row r="114" spans="1:29" s="1" customFormat="1" ht="40.15" customHeight="1" x14ac:dyDescent="0.25">
      <c r="A114" s="6"/>
      <c r="B114" s="64" t="s">
        <v>146</v>
      </c>
      <c r="C114" s="65" t="s">
        <v>5</v>
      </c>
      <c r="D114" s="66">
        <v>46265</v>
      </c>
      <c r="E114" s="67">
        <f t="shared" si="3"/>
        <v>0.13043478260869565</v>
      </c>
      <c r="F114" s="65"/>
      <c r="G114" s="69"/>
      <c r="H114" s="69"/>
      <c r="I114" s="69"/>
      <c r="J114" s="68">
        <v>1</v>
      </c>
      <c r="K114" s="68">
        <v>1</v>
      </c>
      <c r="L114" s="69"/>
      <c r="M114" s="69"/>
      <c r="N114" s="69"/>
      <c r="O114" s="68">
        <v>1</v>
      </c>
      <c r="P114" s="69"/>
      <c r="Q114" s="69"/>
      <c r="R114" s="69"/>
      <c r="S114" s="69"/>
      <c r="T114" s="69"/>
      <c r="U114" s="69"/>
      <c r="V114" s="69"/>
      <c r="W114" s="69"/>
      <c r="X114" s="69"/>
      <c r="Y114" s="69"/>
      <c r="Z114" s="69"/>
      <c r="AA114" s="76"/>
      <c r="AB114" s="75"/>
      <c r="AC114" s="69"/>
    </row>
    <row r="115" spans="1:29" s="1" customFormat="1" ht="40.15" customHeight="1" x14ac:dyDescent="0.25">
      <c r="A115" s="6"/>
      <c r="B115" s="64" t="s">
        <v>147</v>
      </c>
      <c r="C115" s="65" t="s">
        <v>5</v>
      </c>
      <c r="D115" s="66">
        <v>46265</v>
      </c>
      <c r="E115" s="67">
        <f t="shared" si="3"/>
        <v>0.13043478260869565</v>
      </c>
      <c r="F115" s="65"/>
      <c r="G115" s="69"/>
      <c r="H115" s="69"/>
      <c r="I115" s="69"/>
      <c r="J115" s="68">
        <v>1</v>
      </c>
      <c r="K115" s="68">
        <v>1</v>
      </c>
      <c r="L115" s="69"/>
      <c r="M115" s="69"/>
      <c r="N115" s="69"/>
      <c r="O115" s="68">
        <v>1</v>
      </c>
      <c r="P115" s="69"/>
      <c r="Q115" s="69"/>
      <c r="R115" s="69"/>
      <c r="S115" s="69"/>
      <c r="T115" s="69"/>
      <c r="U115" s="69"/>
      <c r="V115" s="69"/>
      <c r="W115" s="69"/>
      <c r="X115" s="69"/>
      <c r="Y115" s="69"/>
      <c r="Z115" s="69"/>
      <c r="AA115" s="76"/>
      <c r="AB115" s="75"/>
      <c r="AC115" s="69"/>
    </row>
    <row r="116" spans="1:29" s="1" customFormat="1" ht="40.15" customHeight="1" x14ac:dyDescent="0.25">
      <c r="A116" s="6"/>
      <c r="B116" s="64" t="s">
        <v>148</v>
      </c>
      <c r="C116" s="65" t="s">
        <v>5</v>
      </c>
      <c r="D116" s="66">
        <v>46265</v>
      </c>
      <c r="E116" s="67">
        <f t="shared" si="3"/>
        <v>0.13043478260869565</v>
      </c>
      <c r="F116" s="65"/>
      <c r="G116" s="69"/>
      <c r="H116" s="69"/>
      <c r="I116" s="69"/>
      <c r="J116" s="68">
        <v>1</v>
      </c>
      <c r="K116" s="68">
        <v>1</v>
      </c>
      <c r="L116" s="69"/>
      <c r="M116" s="69"/>
      <c r="N116" s="69"/>
      <c r="O116" s="68">
        <v>1</v>
      </c>
      <c r="P116" s="69"/>
      <c r="Q116" s="69"/>
      <c r="R116" s="69"/>
      <c r="S116" s="69"/>
      <c r="T116" s="69"/>
      <c r="U116" s="69"/>
      <c r="V116" s="69"/>
      <c r="W116" s="69"/>
      <c r="X116" s="69"/>
      <c r="Y116" s="69"/>
      <c r="Z116" s="69"/>
      <c r="AA116" s="76"/>
      <c r="AB116" s="75"/>
      <c r="AC116" s="69"/>
    </row>
    <row r="117" spans="1:29" s="1" customFormat="1" ht="40.15" customHeight="1" x14ac:dyDescent="0.25">
      <c r="A117" s="6"/>
      <c r="B117" s="64" t="s">
        <v>149</v>
      </c>
      <c r="C117" s="65" t="s">
        <v>5</v>
      </c>
      <c r="D117" s="66">
        <v>46265</v>
      </c>
      <c r="E117" s="67">
        <f t="shared" si="3"/>
        <v>0.13043478260869565</v>
      </c>
      <c r="F117" s="65"/>
      <c r="G117" s="69"/>
      <c r="H117" s="69"/>
      <c r="I117" s="69"/>
      <c r="J117" s="68">
        <v>1</v>
      </c>
      <c r="K117" s="68">
        <v>1</v>
      </c>
      <c r="L117" s="69"/>
      <c r="M117" s="69"/>
      <c r="N117" s="69"/>
      <c r="O117" s="68">
        <v>1</v>
      </c>
      <c r="P117" s="69"/>
      <c r="Q117" s="69"/>
      <c r="R117" s="69"/>
      <c r="S117" s="69"/>
      <c r="T117" s="69"/>
      <c r="U117" s="69"/>
      <c r="V117" s="69"/>
      <c r="W117" s="69"/>
      <c r="X117" s="69"/>
      <c r="Y117" s="69"/>
      <c r="Z117" s="69"/>
      <c r="AA117" s="76"/>
      <c r="AB117" s="75"/>
      <c r="AC117" s="69"/>
    </row>
    <row r="118" spans="1:29" s="1" customFormat="1" ht="40.15" customHeight="1" x14ac:dyDescent="0.25">
      <c r="A118" s="6"/>
      <c r="B118" s="64" t="s">
        <v>150</v>
      </c>
      <c r="C118" s="65" t="s">
        <v>5</v>
      </c>
      <c r="D118" s="66">
        <v>46265</v>
      </c>
      <c r="E118" s="67">
        <f t="shared" si="3"/>
        <v>0.13043478260869565</v>
      </c>
      <c r="F118" s="65"/>
      <c r="G118" s="69"/>
      <c r="H118" s="69"/>
      <c r="I118" s="69"/>
      <c r="J118" s="68">
        <v>1</v>
      </c>
      <c r="K118" s="68">
        <v>1</v>
      </c>
      <c r="L118" s="69"/>
      <c r="M118" s="69"/>
      <c r="N118" s="69"/>
      <c r="O118" s="68">
        <v>1</v>
      </c>
      <c r="P118" s="69"/>
      <c r="Q118" s="69"/>
      <c r="R118" s="69"/>
      <c r="S118" s="69"/>
      <c r="T118" s="69"/>
      <c r="U118" s="69"/>
      <c r="V118" s="69"/>
      <c r="W118" s="69"/>
      <c r="X118" s="69"/>
      <c r="Y118" s="69"/>
      <c r="Z118" s="69"/>
      <c r="AA118" s="76"/>
      <c r="AB118" s="75"/>
      <c r="AC118" s="69"/>
    </row>
    <row r="119" spans="1:29" s="1" customFormat="1" ht="40.15" customHeight="1" x14ac:dyDescent="0.25">
      <c r="A119" s="6"/>
      <c r="B119" s="64" t="s">
        <v>151</v>
      </c>
      <c r="C119" s="65" t="s">
        <v>5</v>
      </c>
      <c r="D119" s="66">
        <v>46265</v>
      </c>
      <c r="E119" s="67">
        <f t="shared" si="3"/>
        <v>0.13043478260869565</v>
      </c>
      <c r="F119" s="65"/>
      <c r="G119" s="69"/>
      <c r="H119" s="69"/>
      <c r="I119" s="69"/>
      <c r="J119" s="68">
        <v>1</v>
      </c>
      <c r="K119" s="68">
        <v>1</v>
      </c>
      <c r="L119" s="69"/>
      <c r="M119" s="69"/>
      <c r="N119" s="69"/>
      <c r="O119" s="68">
        <v>1</v>
      </c>
      <c r="P119" s="69"/>
      <c r="Q119" s="69"/>
      <c r="R119" s="69"/>
      <c r="S119" s="69"/>
      <c r="T119" s="69"/>
      <c r="U119" s="69"/>
      <c r="V119" s="69"/>
      <c r="W119" s="69"/>
      <c r="X119" s="69"/>
      <c r="Y119" s="69"/>
      <c r="Z119" s="69"/>
      <c r="AA119" s="76"/>
      <c r="AB119" s="75"/>
      <c r="AC119" s="69"/>
    </row>
    <row r="120" spans="1:29" s="1" customFormat="1" ht="40.15" customHeight="1" x14ac:dyDescent="0.25">
      <c r="A120" s="6"/>
      <c r="B120" s="64" t="s">
        <v>152</v>
      </c>
      <c r="C120" s="65" t="s">
        <v>5</v>
      </c>
      <c r="D120" s="66">
        <v>46265</v>
      </c>
      <c r="E120" s="67">
        <f t="shared" si="3"/>
        <v>0.13043478260869565</v>
      </c>
      <c r="F120" s="65"/>
      <c r="G120" s="69"/>
      <c r="H120" s="69"/>
      <c r="I120" s="69"/>
      <c r="J120" s="68">
        <v>1</v>
      </c>
      <c r="K120" s="68">
        <v>1</v>
      </c>
      <c r="L120" s="69"/>
      <c r="M120" s="69"/>
      <c r="N120" s="69"/>
      <c r="O120" s="68">
        <v>1</v>
      </c>
      <c r="P120" s="69"/>
      <c r="Q120" s="69"/>
      <c r="R120" s="69"/>
      <c r="S120" s="69"/>
      <c r="T120" s="69"/>
      <c r="U120" s="69"/>
      <c r="V120" s="69"/>
      <c r="W120" s="69"/>
      <c r="X120" s="69"/>
      <c r="Y120" s="69"/>
      <c r="Z120" s="69"/>
      <c r="AA120" s="76"/>
      <c r="AB120" s="75"/>
      <c r="AC120" s="69"/>
    </row>
    <row r="121" spans="1:29" s="1" customFormat="1" ht="40.15" customHeight="1" x14ac:dyDescent="0.25">
      <c r="A121" s="6"/>
      <c r="B121" s="64" t="s">
        <v>153</v>
      </c>
      <c r="C121" s="65" t="s">
        <v>5</v>
      </c>
      <c r="D121" s="66">
        <v>46265</v>
      </c>
      <c r="E121" s="67">
        <f t="shared" si="3"/>
        <v>0.13043478260869565</v>
      </c>
      <c r="F121" s="65"/>
      <c r="G121" s="69"/>
      <c r="H121" s="69"/>
      <c r="I121" s="69"/>
      <c r="J121" s="68">
        <v>1</v>
      </c>
      <c r="K121" s="68">
        <v>1</v>
      </c>
      <c r="L121" s="69"/>
      <c r="M121" s="69"/>
      <c r="N121" s="69"/>
      <c r="O121" s="68">
        <v>1</v>
      </c>
      <c r="P121" s="69"/>
      <c r="Q121" s="69"/>
      <c r="R121" s="69"/>
      <c r="S121" s="69"/>
      <c r="T121" s="69"/>
      <c r="U121" s="69"/>
      <c r="V121" s="69"/>
      <c r="W121" s="69"/>
      <c r="X121" s="69"/>
      <c r="Y121" s="69"/>
      <c r="Z121" s="69"/>
      <c r="AA121" s="76"/>
      <c r="AB121" s="75"/>
      <c r="AC121" s="69"/>
    </row>
    <row r="122" spans="1:29" s="1" customFormat="1" ht="40.15" customHeight="1" x14ac:dyDescent="0.25">
      <c r="A122" s="6"/>
      <c r="B122" s="64" t="s">
        <v>154</v>
      </c>
      <c r="C122" s="65" t="s">
        <v>5</v>
      </c>
      <c r="D122" s="66">
        <v>46265</v>
      </c>
      <c r="E122" s="67">
        <f t="shared" si="3"/>
        <v>0.13043478260869565</v>
      </c>
      <c r="F122" s="65"/>
      <c r="G122" s="69"/>
      <c r="H122" s="69"/>
      <c r="I122" s="69"/>
      <c r="J122" s="68">
        <v>1</v>
      </c>
      <c r="K122" s="68">
        <v>1</v>
      </c>
      <c r="L122" s="69"/>
      <c r="M122" s="69"/>
      <c r="N122" s="69"/>
      <c r="O122" s="68">
        <v>1</v>
      </c>
      <c r="P122" s="69"/>
      <c r="Q122" s="69"/>
      <c r="R122" s="69"/>
      <c r="S122" s="69"/>
      <c r="T122" s="69"/>
      <c r="U122" s="69"/>
      <c r="V122" s="69"/>
      <c r="W122" s="69"/>
      <c r="X122" s="69"/>
      <c r="Y122" s="69"/>
      <c r="Z122" s="69"/>
      <c r="AA122" s="76"/>
      <c r="AB122" s="75"/>
      <c r="AC122" s="69"/>
    </row>
    <row r="123" spans="1:29" s="1" customFormat="1" ht="40.15" customHeight="1" x14ac:dyDescent="0.25">
      <c r="A123" s="6"/>
      <c r="B123" s="64" t="s">
        <v>155</v>
      </c>
      <c r="C123" s="65" t="s">
        <v>5</v>
      </c>
      <c r="D123" s="66">
        <v>46265</v>
      </c>
      <c r="E123" s="67">
        <f t="shared" si="3"/>
        <v>0.13043478260869565</v>
      </c>
      <c r="F123" s="65"/>
      <c r="G123" s="69"/>
      <c r="H123" s="69"/>
      <c r="I123" s="69"/>
      <c r="J123" s="68">
        <v>1</v>
      </c>
      <c r="K123" s="68">
        <v>1</v>
      </c>
      <c r="L123" s="69"/>
      <c r="M123" s="69"/>
      <c r="N123" s="69"/>
      <c r="O123" s="68">
        <v>1</v>
      </c>
      <c r="P123" s="69"/>
      <c r="Q123" s="69"/>
      <c r="R123" s="69"/>
      <c r="S123" s="69"/>
      <c r="T123" s="69"/>
      <c r="U123" s="69"/>
      <c r="V123" s="69"/>
      <c r="W123" s="69"/>
      <c r="X123" s="69"/>
      <c r="Y123" s="69"/>
      <c r="Z123" s="69"/>
      <c r="AA123" s="76"/>
      <c r="AB123" s="75"/>
      <c r="AC123" s="69"/>
    </row>
    <row r="124" spans="1:29" s="1" customFormat="1" ht="40.15" customHeight="1" x14ac:dyDescent="0.25">
      <c r="A124" s="6"/>
      <c r="B124" s="64" t="s">
        <v>177</v>
      </c>
      <c r="C124" s="65" t="s">
        <v>5</v>
      </c>
      <c r="D124" s="66">
        <v>46265</v>
      </c>
      <c r="E124" s="67">
        <f t="shared" si="3"/>
        <v>0.13043478260869565</v>
      </c>
      <c r="F124" s="65"/>
      <c r="G124" s="69"/>
      <c r="H124" s="69"/>
      <c r="I124" s="69"/>
      <c r="J124" s="68">
        <v>1</v>
      </c>
      <c r="K124" s="68">
        <v>1</v>
      </c>
      <c r="L124" s="69"/>
      <c r="M124" s="69"/>
      <c r="N124" s="69"/>
      <c r="O124" s="68">
        <v>1</v>
      </c>
      <c r="P124" s="69"/>
      <c r="Q124" s="69"/>
      <c r="R124" s="69"/>
      <c r="S124" s="69"/>
      <c r="T124" s="69"/>
      <c r="U124" s="69"/>
      <c r="V124" s="69"/>
      <c r="W124" s="69"/>
      <c r="X124" s="69"/>
      <c r="Y124" s="69"/>
      <c r="Z124" s="69"/>
      <c r="AA124" s="76"/>
      <c r="AB124" s="75"/>
      <c r="AC124" s="69"/>
    </row>
    <row r="125" spans="1:29" s="1" customFormat="1" ht="40.15" customHeight="1" x14ac:dyDescent="0.25">
      <c r="A125" s="6"/>
      <c r="B125" s="64" t="s">
        <v>178</v>
      </c>
      <c r="C125" s="65" t="s">
        <v>5</v>
      </c>
      <c r="D125" s="66">
        <v>46265</v>
      </c>
      <c r="E125" s="67">
        <f t="shared" si="3"/>
        <v>8.6956521739130432E-2</v>
      </c>
      <c r="F125" s="65"/>
      <c r="G125" s="69"/>
      <c r="H125" s="69"/>
      <c r="I125" s="69"/>
      <c r="J125" s="68">
        <v>1</v>
      </c>
      <c r="K125" s="69"/>
      <c r="L125" s="69"/>
      <c r="M125" s="69"/>
      <c r="N125" s="69"/>
      <c r="O125" s="68">
        <v>1</v>
      </c>
      <c r="P125" s="69"/>
      <c r="Q125" s="69"/>
      <c r="R125" s="69"/>
      <c r="S125" s="69"/>
      <c r="T125" s="69"/>
      <c r="U125" s="69"/>
      <c r="V125" s="69"/>
      <c r="W125" s="69"/>
      <c r="X125" s="69"/>
      <c r="Y125" s="69"/>
      <c r="Z125" s="69"/>
      <c r="AA125" s="76"/>
      <c r="AB125" s="75"/>
      <c r="AC125" s="69"/>
    </row>
    <row r="126" spans="1:29" s="1" customFormat="1" ht="40.15" customHeight="1" x14ac:dyDescent="0.25">
      <c r="A126" s="6"/>
      <c r="B126" s="64" t="s">
        <v>179</v>
      </c>
      <c r="C126" s="65" t="s">
        <v>5</v>
      </c>
      <c r="D126" s="66">
        <v>46265</v>
      </c>
      <c r="E126" s="67">
        <f t="shared" si="3"/>
        <v>8.6956521739130432E-2</v>
      </c>
      <c r="F126" s="65"/>
      <c r="G126" s="69"/>
      <c r="H126" s="69"/>
      <c r="I126" s="69"/>
      <c r="J126" s="68">
        <v>1</v>
      </c>
      <c r="K126" s="69"/>
      <c r="L126" s="69"/>
      <c r="M126" s="69"/>
      <c r="N126" s="69"/>
      <c r="O126" s="68">
        <v>1</v>
      </c>
      <c r="P126" s="69"/>
      <c r="Q126" s="69"/>
      <c r="R126" s="69"/>
      <c r="S126" s="69"/>
      <c r="T126" s="69"/>
      <c r="U126" s="69"/>
      <c r="V126" s="69"/>
      <c r="W126" s="69"/>
      <c r="X126" s="69"/>
      <c r="Y126" s="69"/>
      <c r="Z126" s="69"/>
      <c r="AA126" s="76"/>
      <c r="AB126" s="75"/>
      <c r="AC126" s="69"/>
    </row>
    <row r="127" spans="1:29" s="1" customFormat="1" ht="40.15" customHeight="1" x14ac:dyDescent="0.25">
      <c r="A127" s="6"/>
      <c r="B127" s="64" t="s">
        <v>180</v>
      </c>
      <c r="C127" s="65" t="s">
        <v>5</v>
      </c>
      <c r="D127" s="66">
        <v>46265</v>
      </c>
      <c r="E127" s="67">
        <f t="shared" si="3"/>
        <v>8.6956521739130432E-2</v>
      </c>
      <c r="F127" s="65"/>
      <c r="G127" s="69"/>
      <c r="H127" s="69"/>
      <c r="I127" s="69"/>
      <c r="J127" s="68">
        <v>1</v>
      </c>
      <c r="K127" s="69"/>
      <c r="L127" s="69"/>
      <c r="M127" s="69"/>
      <c r="N127" s="69"/>
      <c r="O127" s="68">
        <v>1</v>
      </c>
      <c r="P127" s="69"/>
      <c r="Q127" s="69"/>
      <c r="R127" s="69"/>
      <c r="S127" s="69"/>
      <c r="T127" s="69"/>
      <c r="U127" s="69"/>
      <c r="V127" s="69"/>
      <c r="W127" s="69"/>
      <c r="X127" s="69"/>
      <c r="Y127" s="69"/>
      <c r="Z127" s="69"/>
      <c r="AA127" s="76"/>
      <c r="AB127" s="75"/>
      <c r="AC127" s="69"/>
    </row>
    <row r="128" spans="1:29" s="1" customFormat="1" ht="40.15" customHeight="1" x14ac:dyDescent="0.25">
      <c r="A128" s="6"/>
      <c r="B128" s="64" t="s">
        <v>181</v>
      </c>
      <c r="C128" s="65" t="s">
        <v>5</v>
      </c>
      <c r="D128" s="66">
        <v>46265</v>
      </c>
      <c r="E128" s="67">
        <f t="shared" si="3"/>
        <v>8.6956521739130432E-2</v>
      </c>
      <c r="F128" s="65"/>
      <c r="G128" s="69"/>
      <c r="H128" s="69"/>
      <c r="I128" s="69"/>
      <c r="J128" s="68">
        <v>1</v>
      </c>
      <c r="K128" s="69"/>
      <c r="L128" s="69"/>
      <c r="M128" s="69"/>
      <c r="N128" s="69"/>
      <c r="O128" s="68">
        <v>1</v>
      </c>
      <c r="P128" s="69"/>
      <c r="Q128" s="69"/>
      <c r="R128" s="69"/>
      <c r="S128" s="69"/>
      <c r="T128" s="69"/>
      <c r="U128" s="69"/>
      <c r="V128" s="69"/>
      <c r="W128" s="69"/>
      <c r="X128" s="69"/>
      <c r="Y128" s="69"/>
      <c r="Z128" s="69"/>
      <c r="AA128" s="76"/>
      <c r="AB128" s="75"/>
      <c r="AC128" s="69"/>
    </row>
    <row r="129" spans="1:29" s="1" customFormat="1" ht="40.15" customHeight="1" x14ac:dyDescent="0.25">
      <c r="A129" s="6"/>
      <c r="B129" s="64" t="s">
        <v>182</v>
      </c>
      <c r="C129" s="65" t="s">
        <v>5</v>
      </c>
      <c r="D129" s="66">
        <v>46265</v>
      </c>
      <c r="E129" s="67">
        <f t="shared" si="3"/>
        <v>8.6956521739130432E-2</v>
      </c>
      <c r="F129" s="65"/>
      <c r="G129" s="69"/>
      <c r="H129" s="69"/>
      <c r="I129" s="69"/>
      <c r="J129" s="68">
        <v>1</v>
      </c>
      <c r="K129" s="69"/>
      <c r="L129" s="69"/>
      <c r="M129" s="69"/>
      <c r="N129" s="69"/>
      <c r="O129" s="68">
        <v>1</v>
      </c>
      <c r="P129" s="69"/>
      <c r="Q129" s="69"/>
      <c r="R129" s="69"/>
      <c r="S129" s="69"/>
      <c r="T129" s="69"/>
      <c r="U129" s="69"/>
      <c r="V129" s="69"/>
      <c r="W129" s="69"/>
      <c r="X129" s="69"/>
      <c r="Y129" s="69"/>
      <c r="Z129" s="69"/>
      <c r="AA129" s="76"/>
      <c r="AB129" s="75"/>
      <c r="AC129" s="69"/>
    </row>
    <row r="130" spans="1:29" s="1" customFormat="1" ht="40.15" customHeight="1" thickBot="1" x14ac:dyDescent="0.3">
      <c r="A130" s="60"/>
      <c r="B130" s="64" t="s">
        <v>183</v>
      </c>
      <c r="C130" s="65" t="s">
        <v>5</v>
      </c>
      <c r="D130" s="66">
        <v>46265</v>
      </c>
      <c r="E130" s="67">
        <f t="shared" si="3"/>
        <v>8.6956521739130432E-2</v>
      </c>
      <c r="F130" s="65"/>
      <c r="G130" s="69"/>
      <c r="H130" s="69"/>
      <c r="I130" s="69"/>
      <c r="J130" s="68">
        <v>1</v>
      </c>
      <c r="K130" s="69"/>
      <c r="L130" s="69"/>
      <c r="M130" s="69"/>
      <c r="N130" s="69"/>
      <c r="O130" s="68">
        <v>1</v>
      </c>
      <c r="P130" s="69"/>
      <c r="Q130" s="69"/>
      <c r="R130" s="69"/>
      <c r="S130" s="69"/>
      <c r="T130" s="69"/>
      <c r="U130" s="69"/>
      <c r="V130" s="69"/>
      <c r="W130" s="69"/>
      <c r="X130" s="69"/>
      <c r="Y130" s="69"/>
      <c r="Z130" s="69"/>
      <c r="AA130" s="76"/>
      <c r="AB130" s="75"/>
      <c r="AC130" s="69"/>
    </row>
    <row r="131" spans="1:29" s="1" customFormat="1" ht="40.15" customHeight="1" x14ac:dyDescent="0.25">
      <c r="A131" s="6"/>
      <c r="B131" s="64" t="s">
        <v>184</v>
      </c>
      <c r="C131" s="65" t="s">
        <v>5</v>
      </c>
      <c r="D131" s="66">
        <v>46328</v>
      </c>
      <c r="E131" s="67">
        <f t="shared" si="3"/>
        <v>8.6956521739130432E-2</v>
      </c>
      <c r="F131" s="65"/>
      <c r="G131" s="73"/>
      <c r="H131" s="73"/>
      <c r="I131" s="73"/>
      <c r="J131" s="68">
        <v>1</v>
      </c>
      <c r="K131" s="73"/>
      <c r="L131" s="73"/>
      <c r="M131" s="73"/>
      <c r="N131" s="73"/>
      <c r="O131" s="68">
        <v>1</v>
      </c>
      <c r="P131" s="73"/>
      <c r="Q131" s="73"/>
      <c r="R131" s="73"/>
      <c r="S131" s="73"/>
      <c r="T131" s="73"/>
      <c r="U131" s="73"/>
      <c r="V131" s="73"/>
      <c r="W131" s="73"/>
      <c r="X131" s="73"/>
      <c r="Y131" s="73"/>
      <c r="Z131" s="73"/>
      <c r="AA131" s="76"/>
      <c r="AB131" s="76"/>
      <c r="AC131" s="73"/>
    </row>
    <row r="132" spans="1:29" s="1" customFormat="1" ht="40.15" customHeight="1" x14ac:dyDescent="0.25">
      <c r="A132" s="6"/>
      <c r="B132" s="64" t="s">
        <v>185</v>
      </c>
      <c r="C132" s="65" t="s">
        <v>5</v>
      </c>
      <c r="D132" s="66">
        <v>46328</v>
      </c>
      <c r="E132" s="67">
        <f t="shared" si="3"/>
        <v>8.6956521739130432E-2</v>
      </c>
      <c r="F132" s="65"/>
      <c r="G132" s="73"/>
      <c r="H132" s="73"/>
      <c r="I132" s="73"/>
      <c r="J132" s="68">
        <v>1</v>
      </c>
      <c r="K132" s="73"/>
      <c r="L132" s="73"/>
      <c r="M132" s="73"/>
      <c r="N132" s="73"/>
      <c r="O132" s="68">
        <v>1</v>
      </c>
      <c r="P132" s="73"/>
      <c r="Q132" s="73"/>
      <c r="R132" s="73"/>
      <c r="S132" s="73"/>
      <c r="T132" s="73"/>
      <c r="U132" s="73"/>
      <c r="V132" s="73"/>
      <c r="W132" s="73"/>
      <c r="X132" s="73"/>
      <c r="Y132" s="73"/>
      <c r="Z132" s="73"/>
      <c r="AA132" s="76"/>
      <c r="AB132" s="76"/>
      <c r="AC132" s="73"/>
    </row>
    <row r="133" spans="1:29" s="1" customFormat="1" ht="40.15" customHeight="1" x14ac:dyDescent="0.25">
      <c r="A133" s="6"/>
      <c r="B133" s="64" t="s">
        <v>186</v>
      </c>
      <c r="C133" s="65" t="s">
        <v>5</v>
      </c>
      <c r="D133" s="66">
        <v>46328</v>
      </c>
      <c r="E133" s="67">
        <f t="shared" si="3"/>
        <v>8.6956521739130432E-2</v>
      </c>
      <c r="F133" s="65"/>
      <c r="G133" s="73"/>
      <c r="H133" s="73"/>
      <c r="I133" s="73"/>
      <c r="J133" s="68">
        <v>1</v>
      </c>
      <c r="K133" s="73"/>
      <c r="L133" s="73"/>
      <c r="M133" s="73"/>
      <c r="N133" s="73"/>
      <c r="O133" s="68">
        <v>1</v>
      </c>
      <c r="P133" s="73"/>
      <c r="Q133" s="73"/>
      <c r="R133" s="73"/>
      <c r="S133" s="73"/>
      <c r="T133" s="73"/>
      <c r="U133" s="73"/>
      <c r="V133" s="73"/>
      <c r="W133" s="73"/>
      <c r="X133" s="73"/>
      <c r="Y133" s="73"/>
      <c r="Z133" s="73"/>
      <c r="AA133" s="76"/>
      <c r="AB133" s="76"/>
      <c r="AC133" s="73"/>
    </row>
    <row r="134" spans="1:29" s="1" customFormat="1" ht="40.15" customHeight="1" x14ac:dyDescent="0.25">
      <c r="A134" s="6"/>
      <c r="B134" s="64" t="s">
        <v>187</v>
      </c>
      <c r="C134" s="65" t="s">
        <v>5</v>
      </c>
      <c r="D134" s="66">
        <v>46328</v>
      </c>
      <c r="E134" s="67">
        <f t="shared" si="3"/>
        <v>8.6956521739130432E-2</v>
      </c>
      <c r="F134" s="65"/>
      <c r="G134" s="73"/>
      <c r="H134" s="73"/>
      <c r="I134" s="73"/>
      <c r="J134" s="68">
        <v>1</v>
      </c>
      <c r="K134" s="73"/>
      <c r="L134" s="73"/>
      <c r="M134" s="73"/>
      <c r="N134" s="73"/>
      <c r="O134" s="68">
        <v>1</v>
      </c>
      <c r="P134" s="73"/>
      <c r="Q134" s="73"/>
      <c r="R134" s="73"/>
      <c r="S134" s="73"/>
      <c r="T134" s="73"/>
      <c r="U134" s="73"/>
      <c r="V134" s="73"/>
      <c r="W134" s="73"/>
      <c r="X134" s="73"/>
      <c r="Y134" s="73"/>
      <c r="Z134" s="73"/>
      <c r="AA134" s="76"/>
      <c r="AB134" s="76"/>
      <c r="AC134" s="73"/>
    </row>
    <row r="135" spans="1:29" s="1" customFormat="1" ht="40.15" customHeight="1" x14ac:dyDescent="0.25">
      <c r="A135" s="6"/>
      <c r="B135" s="64" t="s">
        <v>188</v>
      </c>
      <c r="C135" s="65" t="s">
        <v>5</v>
      </c>
      <c r="D135" s="66">
        <v>46328</v>
      </c>
      <c r="E135" s="67">
        <f t="shared" si="3"/>
        <v>8.6956521739130432E-2</v>
      </c>
      <c r="F135" s="65"/>
      <c r="G135" s="73"/>
      <c r="H135" s="73"/>
      <c r="I135" s="73"/>
      <c r="J135" s="68">
        <v>1</v>
      </c>
      <c r="K135" s="73"/>
      <c r="L135" s="73"/>
      <c r="M135" s="73"/>
      <c r="N135" s="73"/>
      <c r="O135" s="68">
        <v>1</v>
      </c>
      <c r="P135" s="73"/>
      <c r="Q135" s="73"/>
      <c r="R135" s="73"/>
      <c r="S135" s="73"/>
      <c r="T135" s="73"/>
      <c r="U135" s="73"/>
      <c r="V135" s="73"/>
      <c r="W135" s="73"/>
      <c r="X135" s="73"/>
      <c r="Y135" s="73"/>
      <c r="Z135" s="73"/>
      <c r="AA135" s="76"/>
      <c r="AB135" s="76"/>
      <c r="AC135" s="73"/>
    </row>
    <row r="136" spans="1:29" s="1" customFormat="1" ht="40.15" customHeight="1" x14ac:dyDescent="0.25">
      <c r="A136" s="6"/>
      <c r="B136" s="64" t="s">
        <v>189</v>
      </c>
      <c r="C136" s="65" t="s">
        <v>5</v>
      </c>
      <c r="D136" s="66">
        <v>46328</v>
      </c>
      <c r="E136" s="67">
        <f t="shared" si="3"/>
        <v>8.6956521739130432E-2</v>
      </c>
      <c r="F136" s="65"/>
      <c r="G136" s="73"/>
      <c r="H136" s="73"/>
      <c r="I136" s="73"/>
      <c r="J136" s="68">
        <v>1</v>
      </c>
      <c r="K136" s="73"/>
      <c r="L136" s="73"/>
      <c r="M136" s="73"/>
      <c r="N136" s="73"/>
      <c r="O136" s="68">
        <v>1</v>
      </c>
      <c r="P136" s="73"/>
      <c r="Q136" s="73"/>
      <c r="R136" s="73"/>
      <c r="S136" s="73"/>
      <c r="T136" s="73"/>
      <c r="U136" s="73"/>
      <c r="V136" s="73"/>
      <c r="W136" s="73"/>
      <c r="X136" s="73"/>
      <c r="Y136" s="73"/>
      <c r="Z136" s="73"/>
      <c r="AA136" s="76"/>
      <c r="AB136" s="76"/>
      <c r="AC136" s="73"/>
    </row>
    <row r="137" spans="1:29" s="1" customFormat="1" ht="40.15" customHeight="1" x14ac:dyDescent="0.25">
      <c r="A137" s="6"/>
      <c r="B137" s="64" t="s">
        <v>190</v>
      </c>
      <c r="C137" s="65" t="s">
        <v>5</v>
      </c>
      <c r="D137" s="66">
        <v>46328</v>
      </c>
      <c r="E137" s="67">
        <f t="shared" si="3"/>
        <v>8.6956521739130432E-2</v>
      </c>
      <c r="F137" s="65"/>
      <c r="G137" s="73"/>
      <c r="H137" s="73"/>
      <c r="I137" s="73"/>
      <c r="J137" s="68">
        <v>1</v>
      </c>
      <c r="K137" s="73"/>
      <c r="L137" s="73"/>
      <c r="M137" s="73"/>
      <c r="N137" s="73"/>
      <c r="O137" s="68">
        <v>1</v>
      </c>
      <c r="P137" s="73"/>
      <c r="Q137" s="73"/>
      <c r="R137" s="73"/>
      <c r="S137" s="73"/>
      <c r="T137" s="73"/>
      <c r="U137" s="73"/>
      <c r="V137" s="73"/>
      <c r="W137" s="73"/>
      <c r="X137" s="73"/>
      <c r="Y137" s="73"/>
      <c r="Z137" s="73"/>
      <c r="AA137" s="76"/>
      <c r="AB137" s="76"/>
      <c r="AC137" s="73"/>
    </row>
    <row r="138" spans="1:29" s="1" customFormat="1" ht="40.15" customHeight="1" x14ac:dyDescent="0.25">
      <c r="A138" s="6"/>
      <c r="B138" s="64" t="s">
        <v>191</v>
      </c>
      <c r="C138" s="65" t="s">
        <v>5</v>
      </c>
      <c r="D138" s="66">
        <v>46328</v>
      </c>
      <c r="E138" s="67">
        <f t="shared" si="3"/>
        <v>8.6956521739130432E-2</v>
      </c>
      <c r="F138" s="65"/>
      <c r="G138" s="73"/>
      <c r="H138" s="73"/>
      <c r="I138" s="73"/>
      <c r="J138" s="68">
        <v>1</v>
      </c>
      <c r="K138" s="73"/>
      <c r="L138" s="73"/>
      <c r="M138" s="73"/>
      <c r="N138" s="73"/>
      <c r="O138" s="68">
        <v>1</v>
      </c>
      <c r="P138" s="73"/>
      <c r="Q138" s="73"/>
      <c r="R138" s="73"/>
      <c r="S138" s="73"/>
      <c r="T138" s="73"/>
      <c r="U138" s="73"/>
      <c r="V138" s="73"/>
      <c r="W138" s="73"/>
      <c r="X138" s="73"/>
      <c r="Y138" s="73"/>
      <c r="Z138" s="73"/>
      <c r="AA138" s="76"/>
      <c r="AB138" s="76"/>
      <c r="AC138" s="73"/>
    </row>
    <row r="139" spans="1:29" s="1" customFormat="1" ht="40.15" customHeight="1" x14ac:dyDescent="0.25">
      <c r="A139" s="6"/>
      <c r="B139" s="64" t="s">
        <v>192</v>
      </c>
      <c r="C139" s="65" t="s">
        <v>5</v>
      </c>
      <c r="D139" s="66">
        <v>46328</v>
      </c>
      <c r="E139" s="67">
        <f t="shared" si="3"/>
        <v>8.6956521739130432E-2</v>
      </c>
      <c r="F139" s="65"/>
      <c r="G139" s="73"/>
      <c r="H139" s="73"/>
      <c r="I139" s="73"/>
      <c r="J139" s="68">
        <v>1</v>
      </c>
      <c r="K139" s="73"/>
      <c r="L139" s="73"/>
      <c r="M139" s="73"/>
      <c r="N139" s="73"/>
      <c r="O139" s="68">
        <v>1</v>
      </c>
      <c r="P139" s="73"/>
      <c r="Q139" s="73"/>
      <c r="R139" s="73"/>
      <c r="S139" s="73"/>
      <c r="T139" s="73"/>
      <c r="U139" s="73"/>
      <c r="V139" s="73"/>
      <c r="W139" s="73"/>
      <c r="X139" s="73"/>
      <c r="Y139" s="73"/>
      <c r="Z139" s="73"/>
      <c r="AA139" s="76"/>
      <c r="AB139" s="76"/>
      <c r="AC139" s="73"/>
    </row>
    <row r="140" spans="1:29" s="1" customFormat="1" ht="40.15" customHeight="1" x14ac:dyDescent="0.25">
      <c r="A140" s="6"/>
      <c r="B140" s="64" t="s">
        <v>193</v>
      </c>
      <c r="C140" s="65" t="s">
        <v>5</v>
      </c>
      <c r="D140" s="66">
        <v>46328</v>
      </c>
      <c r="E140" s="67">
        <f t="shared" si="3"/>
        <v>8.6956521739130432E-2</v>
      </c>
      <c r="F140" s="65"/>
      <c r="G140" s="73"/>
      <c r="H140" s="73"/>
      <c r="I140" s="73"/>
      <c r="J140" s="68">
        <v>1</v>
      </c>
      <c r="K140" s="73"/>
      <c r="L140" s="73"/>
      <c r="M140" s="73"/>
      <c r="N140" s="73"/>
      <c r="O140" s="68">
        <v>1</v>
      </c>
      <c r="P140" s="73"/>
      <c r="Q140" s="73"/>
      <c r="R140" s="73"/>
      <c r="S140" s="73"/>
      <c r="T140" s="73"/>
      <c r="U140" s="73"/>
      <c r="V140" s="73"/>
      <c r="W140" s="73"/>
      <c r="X140" s="73"/>
      <c r="Y140" s="73"/>
      <c r="Z140" s="73"/>
      <c r="AA140" s="76"/>
      <c r="AB140" s="76"/>
      <c r="AC140" s="73"/>
    </row>
    <row r="141" spans="1:29" s="1" customFormat="1" ht="40.15" customHeight="1" x14ac:dyDescent="0.25">
      <c r="A141" s="6"/>
      <c r="B141" s="64" t="s">
        <v>194</v>
      </c>
      <c r="C141" s="65" t="s">
        <v>5</v>
      </c>
      <c r="D141" s="66">
        <v>46328</v>
      </c>
      <c r="E141" s="67">
        <f t="shared" si="3"/>
        <v>8.6956521739130432E-2</v>
      </c>
      <c r="F141" s="65"/>
      <c r="G141" s="73"/>
      <c r="H141" s="73"/>
      <c r="I141" s="73"/>
      <c r="J141" s="68">
        <v>1</v>
      </c>
      <c r="K141" s="73"/>
      <c r="L141" s="73"/>
      <c r="M141" s="73"/>
      <c r="N141" s="73"/>
      <c r="O141" s="68">
        <v>1</v>
      </c>
      <c r="P141" s="73"/>
      <c r="Q141" s="73"/>
      <c r="R141" s="73"/>
      <c r="S141" s="73"/>
      <c r="T141" s="73"/>
      <c r="U141" s="73"/>
      <c r="V141" s="73"/>
      <c r="W141" s="73"/>
      <c r="X141" s="73"/>
      <c r="Y141" s="73"/>
      <c r="Z141" s="73"/>
      <c r="AA141" s="76"/>
      <c r="AB141" s="76"/>
      <c r="AC141" s="73"/>
    </row>
    <row r="142" spans="1:29" s="1" customFormat="1" ht="40.15" customHeight="1" x14ac:dyDescent="0.25">
      <c r="A142" s="6"/>
      <c r="B142" s="64" t="s">
        <v>195</v>
      </c>
      <c r="C142" s="65" t="s">
        <v>5</v>
      </c>
      <c r="D142" s="66">
        <v>46328</v>
      </c>
      <c r="E142" s="67">
        <f t="shared" si="3"/>
        <v>8.6956521739130432E-2</v>
      </c>
      <c r="F142" s="65"/>
      <c r="G142" s="73"/>
      <c r="H142" s="73"/>
      <c r="I142" s="73"/>
      <c r="J142" s="68">
        <v>1</v>
      </c>
      <c r="K142" s="73"/>
      <c r="L142" s="73"/>
      <c r="M142" s="73"/>
      <c r="N142" s="73"/>
      <c r="O142" s="68">
        <v>1</v>
      </c>
      <c r="P142" s="73"/>
      <c r="Q142" s="73"/>
      <c r="R142" s="73"/>
      <c r="S142" s="73"/>
      <c r="T142" s="73"/>
      <c r="U142" s="73"/>
      <c r="V142" s="73"/>
      <c r="W142" s="73"/>
      <c r="X142" s="73"/>
      <c r="Y142" s="73"/>
      <c r="Z142" s="73"/>
      <c r="AA142" s="76"/>
      <c r="AB142" s="76"/>
      <c r="AC142" s="73"/>
    </row>
    <row r="143" spans="1:29" s="1" customFormat="1" ht="40.15" customHeight="1" x14ac:dyDescent="0.25">
      <c r="A143" s="6"/>
      <c r="B143" s="64" t="s">
        <v>196</v>
      </c>
      <c r="C143" s="65" t="s">
        <v>5</v>
      </c>
      <c r="D143" s="66">
        <v>46328</v>
      </c>
      <c r="E143" s="67">
        <f t="shared" si="3"/>
        <v>8.6956521739130432E-2</v>
      </c>
      <c r="F143" s="65"/>
      <c r="G143" s="73"/>
      <c r="H143" s="73"/>
      <c r="I143" s="73"/>
      <c r="J143" s="68">
        <v>1</v>
      </c>
      <c r="K143" s="73"/>
      <c r="L143" s="73"/>
      <c r="M143" s="73"/>
      <c r="N143" s="73"/>
      <c r="O143" s="68">
        <v>1</v>
      </c>
      <c r="P143" s="73"/>
      <c r="Q143" s="73"/>
      <c r="R143" s="73"/>
      <c r="S143" s="73"/>
      <c r="T143" s="73"/>
      <c r="U143" s="73"/>
      <c r="V143" s="73"/>
      <c r="W143" s="73"/>
      <c r="X143" s="73"/>
      <c r="Y143" s="73"/>
      <c r="Z143" s="73"/>
      <c r="AA143" s="76"/>
      <c r="AB143" s="76"/>
      <c r="AC143" s="73"/>
    </row>
    <row r="144" spans="1:29" s="1" customFormat="1" ht="40.15" customHeight="1" x14ac:dyDescent="0.25">
      <c r="A144" s="6"/>
      <c r="B144" s="64" t="s">
        <v>197</v>
      </c>
      <c r="C144" s="65" t="s">
        <v>5</v>
      </c>
      <c r="D144" s="66">
        <v>46328</v>
      </c>
      <c r="E144" s="67">
        <f t="shared" si="3"/>
        <v>8.6956521739130432E-2</v>
      </c>
      <c r="F144" s="65"/>
      <c r="G144" s="73"/>
      <c r="H144" s="73"/>
      <c r="I144" s="73"/>
      <c r="J144" s="68">
        <v>1</v>
      </c>
      <c r="K144" s="73"/>
      <c r="L144" s="73"/>
      <c r="M144" s="73"/>
      <c r="N144" s="73"/>
      <c r="O144" s="68">
        <v>1</v>
      </c>
      <c r="P144" s="73"/>
      <c r="Q144" s="73"/>
      <c r="R144" s="73"/>
      <c r="S144" s="73"/>
      <c r="T144" s="73"/>
      <c r="U144" s="73"/>
      <c r="V144" s="73"/>
      <c r="W144" s="73"/>
      <c r="X144" s="73"/>
      <c r="Y144" s="73"/>
      <c r="Z144" s="73"/>
      <c r="AA144" s="76"/>
      <c r="AB144" s="76"/>
      <c r="AC144" s="73"/>
    </row>
    <row r="145" spans="1:29" s="1" customFormat="1" ht="40.15" customHeight="1" x14ac:dyDescent="0.25">
      <c r="A145" s="6"/>
      <c r="B145" s="64" t="s">
        <v>198</v>
      </c>
      <c r="C145" s="65" t="s">
        <v>5</v>
      </c>
      <c r="D145" s="66">
        <v>46328</v>
      </c>
      <c r="E145" s="67">
        <f t="shared" si="3"/>
        <v>8.6956521739130432E-2</v>
      </c>
      <c r="F145" s="65"/>
      <c r="G145" s="73"/>
      <c r="H145" s="73"/>
      <c r="I145" s="73"/>
      <c r="J145" s="68">
        <v>1</v>
      </c>
      <c r="K145" s="73"/>
      <c r="L145" s="73"/>
      <c r="M145" s="73"/>
      <c r="N145" s="73"/>
      <c r="O145" s="68">
        <v>1</v>
      </c>
      <c r="P145" s="73"/>
      <c r="Q145" s="73"/>
      <c r="R145" s="73"/>
      <c r="S145" s="73"/>
      <c r="T145" s="73"/>
      <c r="U145" s="73"/>
      <c r="V145" s="73"/>
      <c r="W145" s="73"/>
      <c r="X145" s="73"/>
      <c r="Y145" s="73"/>
      <c r="Z145" s="73"/>
      <c r="AA145" s="76"/>
      <c r="AB145" s="76"/>
      <c r="AC145" s="73"/>
    </row>
    <row r="146" spans="1:29" s="1" customFormat="1" ht="40.15" customHeight="1" x14ac:dyDescent="0.25">
      <c r="A146" s="6"/>
      <c r="B146" s="64" t="s">
        <v>199</v>
      </c>
      <c r="C146" s="65" t="s">
        <v>5</v>
      </c>
      <c r="D146" s="66">
        <v>46328</v>
      </c>
      <c r="E146" s="67">
        <f t="shared" si="3"/>
        <v>8.6956521739130432E-2</v>
      </c>
      <c r="F146" s="65"/>
      <c r="G146" s="73"/>
      <c r="H146" s="73"/>
      <c r="I146" s="73"/>
      <c r="J146" s="68">
        <v>1</v>
      </c>
      <c r="K146" s="73"/>
      <c r="L146" s="73"/>
      <c r="M146" s="73"/>
      <c r="N146" s="73"/>
      <c r="O146" s="68">
        <v>1</v>
      </c>
      <c r="P146" s="73"/>
      <c r="Q146" s="73"/>
      <c r="R146" s="73"/>
      <c r="S146" s="73"/>
      <c r="T146" s="73"/>
      <c r="U146" s="73"/>
      <c r="V146" s="73"/>
      <c r="W146" s="73"/>
      <c r="X146" s="73"/>
      <c r="Y146" s="73"/>
      <c r="Z146" s="73"/>
      <c r="AA146" s="76"/>
      <c r="AB146" s="76"/>
      <c r="AC146" s="73"/>
    </row>
    <row r="147" spans="1:29" s="1" customFormat="1" ht="40.15" customHeight="1" x14ac:dyDescent="0.25">
      <c r="A147" s="6"/>
      <c r="B147" s="64" t="s">
        <v>200</v>
      </c>
      <c r="C147" s="65" t="s">
        <v>5</v>
      </c>
      <c r="D147" s="66">
        <v>46328</v>
      </c>
      <c r="E147" s="67">
        <f t="shared" si="3"/>
        <v>8.6956521739130432E-2</v>
      </c>
      <c r="F147" s="65"/>
      <c r="G147" s="73"/>
      <c r="H147" s="73"/>
      <c r="I147" s="73"/>
      <c r="J147" s="68">
        <v>1</v>
      </c>
      <c r="K147" s="73"/>
      <c r="L147" s="73"/>
      <c r="M147" s="73"/>
      <c r="N147" s="73"/>
      <c r="O147" s="68">
        <v>1</v>
      </c>
      <c r="P147" s="73"/>
      <c r="Q147" s="73"/>
      <c r="R147" s="73"/>
      <c r="S147" s="73"/>
      <c r="T147" s="73"/>
      <c r="U147" s="73"/>
      <c r="V147" s="73"/>
      <c r="W147" s="73"/>
      <c r="X147" s="73"/>
      <c r="Y147" s="73"/>
      <c r="Z147" s="73"/>
      <c r="AA147" s="76"/>
      <c r="AB147" s="76"/>
      <c r="AC147" s="73"/>
    </row>
    <row r="148" spans="1:29" s="1" customFormat="1" ht="40.15" customHeight="1" x14ac:dyDescent="0.25">
      <c r="A148" s="6"/>
      <c r="B148" s="64" t="s">
        <v>201</v>
      </c>
      <c r="C148" s="65" t="s">
        <v>5</v>
      </c>
      <c r="D148" s="66">
        <v>46328</v>
      </c>
      <c r="E148" s="67">
        <f t="shared" si="3"/>
        <v>8.6956521739130432E-2</v>
      </c>
      <c r="F148" s="65"/>
      <c r="G148" s="73"/>
      <c r="H148" s="73"/>
      <c r="I148" s="73"/>
      <c r="J148" s="68">
        <v>1</v>
      </c>
      <c r="K148" s="73"/>
      <c r="L148" s="73"/>
      <c r="M148" s="73"/>
      <c r="N148" s="73"/>
      <c r="O148" s="68">
        <v>1</v>
      </c>
      <c r="P148" s="73"/>
      <c r="Q148" s="73"/>
      <c r="R148" s="73"/>
      <c r="S148" s="73"/>
      <c r="T148" s="73"/>
      <c r="U148" s="73"/>
      <c r="V148" s="73"/>
      <c r="W148" s="73"/>
      <c r="X148" s="73"/>
      <c r="Y148" s="73"/>
      <c r="Z148" s="73"/>
      <c r="AA148" s="76"/>
      <c r="AB148" s="76"/>
      <c r="AC148" s="73"/>
    </row>
    <row r="149" spans="1:29" s="1" customFormat="1" ht="40.15" customHeight="1" x14ac:dyDescent="0.25">
      <c r="A149" s="6"/>
      <c r="B149" s="64" t="s">
        <v>202</v>
      </c>
      <c r="C149" s="65" t="s">
        <v>5</v>
      </c>
      <c r="D149" s="66">
        <v>46328</v>
      </c>
      <c r="E149" s="67">
        <f t="shared" si="3"/>
        <v>8.6956521739130432E-2</v>
      </c>
      <c r="F149" s="65"/>
      <c r="G149" s="73"/>
      <c r="H149" s="73"/>
      <c r="I149" s="73"/>
      <c r="J149" s="68">
        <v>1</v>
      </c>
      <c r="K149" s="73"/>
      <c r="L149" s="73"/>
      <c r="M149" s="73"/>
      <c r="N149" s="73"/>
      <c r="O149" s="68">
        <v>1</v>
      </c>
      <c r="P149" s="73"/>
      <c r="Q149" s="73"/>
      <c r="R149" s="73"/>
      <c r="S149" s="73"/>
      <c r="T149" s="73"/>
      <c r="U149" s="73"/>
      <c r="V149" s="73"/>
      <c r="W149" s="73"/>
      <c r="X149" s="73"/>
      <c r="Y149" s="73"/>
      <c r="Z149" s="73"/>
      <c r="AA149" s="76"/>
      <c r="AB149" s="76"/>
      <c r="AC149" s="73"/>
    </row>
    <row r="150" spans="1:29" s="1" customFormat="1" ht="40.15" customHeight="1" x14ac:dyDescent="0.25">
      <c r="A150" s="6"/>
      <c r="B150" s="64" t="s">
        <v>203</v>
      </c>
      <c r="C150" s="65" t="s">
        <v>5</v>
      </c>
      <c r="D150" s="66">
        <v>46328</v>
      </c>
      <c r="E150" s="67">
        <f t="shared" si="3"/>
        <v>8.6956521739130432E-2</v>
      </c>
      <c r="F150" s="65"/>
      <c r="G150" s="73"/>
      <c r="H150" s="73"/>
      <c r="I150" s="73"/>
      <c r="J150" s="68">
        <v>1</v>
      </c>
      <c r="K150" s="73"/>
      <c r="L150" s="73"/>
      <c r="M150" s="73"/>
      <c r="N150" s="73"/>
      <c r="O150" s="68">
        <v>1</v>
      </c>
      <c r="P150" s="73"/>
      <c r="Q150" s="73"/>
      <c r="R150" s="73"/>
      <c r="S150" s="73"/>
      <c r="T150" s="73"/>
      <c r="U150" s="73"/>
      <c r="V150" s="73"/>
      <c r="W150" s="73"/>
      <c r="X150" s="73"/>
      <c r="Y150" s="73"/>
      <c r="Z150" s="73"/>
      <c r="AA150" s="76"/>
      <c r="AB150" s="76"/>
      <c r="AC150" s="73"/>
    </row>
    <row r="151" spans="1:29" s="1" customFormat="1" ht="40.15" customHeight="1" x14ac:dyDescent="0.25">
      <c r="A151" s="6"/>
      <c r="B151" s="64" t="s">
        <v>204</v>
      </c>
      <c r="C151" s="65" t="s">
        <v>5</v>
      </c>
      <c r="D151" s="66">
        <v>46328</v>
      </c>
      <c r="E151" s="67">
        <f t="shared" si="3"/>
        <v>8.6956521739130432E-2</v>
      </c>
      <c r="F151" s="65"/>
      <c r="G151" s="73"/>
      <c r="H151" s="73"/>
      <c r="I151" s="73"/>
      <c r="J151" s="68">
        <v>1</v>
      </c>
      <c r="K151" s="73"/>
      <c r="L151" s="73"/>
      <c r="M151" s="73"/>
      <c r="N151" s="73"/>
      <c r="O151" s="68">
        <v>1</v>
      </c>
      <c r="P151" s="73"/>
      <c r="Q151" s="73"/>
      <c r="R151" s="73"/>
      <c r="S151" s="73"/>
      <c r="T151" s="73"/>
      <c r="U151" s="73"/>
      <c r="V151" s="73"/>
      <c r="W151" s="73"/>
      <c r="X151" s="73"/>
      <c r="Y151" s="73"/>
      <c r="Z151" s="73"/>
      <c r="AA151" s="76"/>
      <c r="AB151" s="76"/>
      <c r="AC151" s="73"/>
    </row>
    <row r="152" spans="1:29" s="1" customFormat="1" ht="40.15" customHeight="1" x14ac:dyDescent="0.25">
      <c r="A152" s="6"/>
      <c r="B152" s="64" t="s">
        <v>205</v>
      </c>
      <c r="C152" s="65" t="s">
        <v>5</v>
      </c>
      <c r="D152" s="66">
        <v>46328</v>
      </c>
      <c r="E152" s="67">
        <f t="shared" si="3"/>
        <v>8.6956521739130432E-2</v>
      </c>
      <c r="F152" s="65"/>
      <c r="G152" s="73"/>
      <c r="H152" s="73"/>
      <c r="I152" s="73"/>
      <c r="J152" s="68">
        <v>1</v>
      </c>
      <c r="K152" s="73"/>
      <c r="L152" s="73"/>
      <c r="M152" s="73"/>
      <c r="N152" s="73"/>
      <c r="O152" s="68">
        <v>1</v>
      </c>
      <c r="P152" s="73"/>
      <c r="Q152" s="73"/>
      <c r="R152" s="73"/>
      <c r="S152" s="73"/>
      <c r="T152" s="73"/>
      <c r="U152" s="73"/>
      <c r="V152" s="73"/>
      <c r="W152" s="73"/>
      <c r="X152" s="73"/>
      <c r="Y152" s="73"/>
      <c r="Z152" s="73"/>
      <c r="AA152" s="76"/>
      <c r="AB152" s="76"/>
      <c r="AC152" s="73"/>
    </row>
    <row r="153" spans="1:29" s="1" customFormat="1" ht="40.15" customHeight="1" x14ac:dyDescent="0.25">
      <c r="A153" s="6"/>
      <c r="B153" s="64" t="s">
        <v>206</v>
      </c>
      <c r="C153" s="65" t="s">
        <v>5</v>
      </c>
      <c r="D153" s="66">
        <v>46328</v>
      </c>
      <c r="E153" s="67">
        <f t="shared" si="3"/>
        <v>8.6956521739130432E-2</v>
      </c>
      <c r="F153" s="65"/>
      <c r="G153" s="73"/>
      <c r="H153" s="73"/>
      <c r="I153" s="73"/>
      <c r="J153" s="68">
        <v>1</v>
      </c>
      <c r="K153" s="73"/>
      <c r="L153" s="73"/>
      <c r="M153" s="73"/>
      <c r="N153" s="73"/>
      <c r="O153" s="68">
        <v>1</v>
      </c>
      <c r="P153" s="73"/>
      <c r="Q153" s="73"/>
      <c r="R153" s="73"/>
      <c r="S153" s="73"/>
      <c r="T153" s="73"/>
      <c r="U153" s="73"/>
      <c r="V153" s="73"/>
      <c r="W153" s="73"/>
      <c r="X153" s="73"/>
      <c r="Y153" s="73"/>
      <c r="Z153" s="73"/>
      <c r="AA153" s="76"/>
      <c r="AB153" s="76"/>
      <c r="AC153" s="73"/>
    </row>
    <row r="154" spans="1:29" s="1" customFormat="1" ht="40.15" customHeight="1" x14ac:dyDescent="0.25">
      <c r="A154" s="6"/>
      <c r="B154" s="64" t="s">
        <v>207</v>
      </c>
      <c r="C154" s="65" t="s">
        <v>5</v>
      </c>
      <c r="D154" s="66">
        <v>46328</v>
      </c>
      <c r="E154" s="67">
        <f t="shared" si="3"/>
        <v>8.6956521739130432E-2</v>
      </c>
      <c r="F154" s="65"/>
      <c r="G154" s="73"/>
      <c r="H154" s="73"/>
      <c r="I154" s="73"/>
      <c r="J154" s="68">
        <v>1</v>
      </c>
      <c r="K154" s="73"/>
      <c r="L154" s="73"/>
      <c r="M154" s="73"/>
      <c r="N154" s="73"/>
      <c r="O154" s="68">
        <v>1</v>
      </c>
      <c r="P154" s="73"/>
      <c r="Q154" s="73"/>
      <c r="R154" s="73"/>
      <c r="S154" s="73"/>
      <c r="T154" s="73"/>
      <c r="U154" s="73"/>
      <c r="V154" s="73"/>
      <c r="W154" s="73"/>
      <c r="X154" s="73"/>
      <c r="Y154" s="73"/>
      <c r="Z154" s="73"/>
      <c r="AA154" s="76"/>
      <c r="AB154" s="76"/>
      <c r="AC154" s="73"/>
    </row>
    <row r="155" spans="1:29" s="1" customFormat="1" ht="40.15" customHeight="1" x14ac:dyDescent="0.25">
      <c r="A155" s="6"/>
      <c r="B155" s="64" t="s">
        <v>208</v>
      </c>
      <c r="C155" s="65" t="s">
        <v>5</v>
      </c>
      <c r="D155" s="66">
        <v>46328</v>
      </c>
      <c r="E155" s="67">
        <f t="shared" si="3"/>
        <v>8.6956521739130432E-2</v>
      </c>
      <c r="F155" s="65"/>
      <c r="G155" s="73"/>
      <c r="H155" s="73"/>
      <c r="I155" s="73"/>
      <c r="J155" s="68">
        <v>1</v>
      </c>
      <c r="K155" s="73"/>
      <c r="L155" s="73"/>
      <c r="M155" s="73"/>
      <c r="N155" s="73"/>
      <c r="O155" s="68">
        <v>1</v>
      </c>
      <c r="P155" s="73"/>
      <c r="Q155" s="73"/>
      <c r="R155" s="73"/>
      <c r="S155" s="73"/>
      <c r="T155" s="73"/>
      <c r="U155" s="73"/>
      <c r="V155" s="73"/>
      <c r="W155" s="73"/>
      <c r="X155" s="73"/>
      <c r="Y155" s="73"/>
      <c r="Z155" s="73"/>
      <c r="AA155" s="76"/>
      <c r="AB155" s="76"/>
      <c r="AC155" s="73"/>
    </row>
    <row r="156" spans="1:29" s="1" customFormat="1" ht="40.15" customHeight="1" x14ac:dyDescent="0.25">
      <c r="A156" s="6"/>
      <c r="B156" s="64" t="s">
        <v>209</v>
      </c>
      <c r="C156" s="65" t="s">
        <v>5</v>
      </c>
      <c r="D156" s="66">
        <v>46328</v>
      </c>
      <c r="E156" s="67">
        <f t="shared" si="3"/>
        <v>8.6956521739130432E-2</v>
      </c>
      <c r="F156" s="65"/>
      <c r="G156" s="73"/>
      <c r="H156" s="73"/>
      <c r="I156" s="73"/>
      <c r="J156" s="68">
        <v>1</v>
      </c>
      <c r="K156" s="73"/>
      <c r="L156" s="73"/>
      <c r="M156" s="73"/>
      <c r="N156" s="73"/>
      <c r="O156" s="68">
        <v>1</v>
      </c>
      <c r="P156" s="73"/>
      <c r="Q156" s="73"/>
      <c r="R156" s="73"/>
      <c r="S156" s="73"/>
      <c r="T156" s="73"/>
      <c r="U156" s="73"/>
      <c r="V156" s="73"/>
      <c r="W156" s="73"/>
      <c r="X156" s="73"/>
      <c r="Y156" s="73"/>
      <c r="Z156" s="73"/>
      <c r="AA156" s="76"/>
      <c r="AB156" s="76"/>
      <c r="AC156" s="73"/>
    </row>
    <row r="157" spans="1:29" s="1" customFormat="1" ht="40.15" customHeight="1" x14ac:dyDescent="0.25">
      <c r="A157" s="6"/>
      <c r="B157" s="64" t="s">
        <v>210</v>
      </c>
      <c r="C157" s="65" t="s">
        <v>5</v>
      </c>
      <c r="D157" s="66">
        <v>46328</v>
      </c>
      <c r="E157" s="67">
        <f t="shared" ref="E157:E220" si="4">COUNT(G157:AC157)/23</f>
        <v>8.6956521739130432E-2</v>
      </c>
      <c r="F157" s="65"/>
      <c r="G157" s="73"/>
      <c r="H157" s="73"/>
      <c r="I157" s="73"/>
      <c r="J157" s="68">
        <v>1</v>
      </c>
      <c r="K157" s="73"/>
      <c r="L157" s="73"/>
      <c r="M157" s="73"/>
      <c r="N157" s="73"/>
      <c r="O157" s="68">
        <v>1</v>
      </c>
      <c r="P157" s="73"/>
      <c r="Q157" s="73"/>
      <c r="R157" s="73"/>
      <c r="S157" s="73"/>
      <c r="T157" s="73"/>
      <c r="U157" s="73"/>
      <c r="V157" s="73"/>
      <c r="W157" s="73"/>
      <c r="X157" s="73"/>
      <c r="Y157" s="73"/>
      <c r="Z157" s="73"/>
      <c r="AA157" s="76"/>
      <c r="AB157" s="76"/>
      <c r="AC157" s="73"/>
    </row>
    <row r="158" spans="1:29" s="1" customFormat="1" ht="40.15" customHeight="1" x14ac:dyDescent="0.25">
      <c r="A158" s="6"/>
      <c r="B158" s="64" t="s">
        <v>211</v>
      </c>
      <c r="C158" s="65" t="s">
        <v>5</v>
      </c>
      <c r="D158" s="66">
        <v>46328</v>
      </c>
      <c r="E158" s="67">
        <f t="shared" si="4"/>
        <v>8.6956521739130432E-2</v>
      </c>
      <c r="F158" s="65"/>
      <c r="G158" s="73"/>
      <c r="H158" s="73"/>
      <c r="I158" s="73"/>
      <c r="J158" s="68">
        <v>1</v>
      </c>
      <c r="K158" s="73"/>
      <c r="L158" s="73"/>
      <c r="M158" s="73"/>
      <c r="N158" s="73"/>
      <c r="O158" s="68">
        <v>1</v>
      </c>
      <c r="P158" s="73"/>
      <c r="Q158" s="73"/>
      <c r="R158" s="73"/>
      <c r="S158" s="73"/>
      <c r="T158" s="73"/>
      <c r="U158" s="73"/>
      <c r="V158" s="73"/>
      <c r="W158" s="73"/>
      <c r="X158" s="73"/>
      <c r="Y158" s="73"/>
      <c r="Z158" s="73"/>
      <c r="AA158" s="76"/>
      <c r="AB158" s="76"/>
      <c r="AC158" s="73"/>
    </row>
    <row r="159" spans="1:29" s="1" customFormat="1" ht="40.15" customHeight="1" x14ac:dyDescent="0.25">
      <c r="A159" s="6"/>
      <c r="B159" s="64" t="s">
        <v>212</v>
      </c>
      <c r="C159" s="65" t="s">
        <v>5</v>
      </c>
      <c r="D159" s="66">
        <v>46328</v>
      </c>
      <c r="E159" s="67">
        <f t="shared" si="4"/>
        <v>8.6956521739130432E-2</v>
      </c>
      <c r="F159" s="65"/>
      <c r="G159" s="73"/>
      <c r="H159" s="73"/>
      <c r="I159" s="73"/>
      <c r="J159" s="68">
        <v>1</v>
      </c>
      <c r="K159" s="73"/>
      <c r="L159" s="73"/>
      <c r="M159" s="73"/>
      <c r="N159" s="73"/>
      <c r="O159" s="68">
        <v>1</v>
      </c>
      <c r="P159" s="73"/>
      <c r="Q159" s="73"/>
      <c r="R159" s="73"/>
      <c r="S159" s="73"/>
      <c r="T159" s="73"/>
      <c r="U159" s="73"/>
      <c r="V159" s="73"/>
      <c r="W159" s="73"/>
      <c r="X159" s="73"/>
      <c r="Y159" s="73"/>
      <c r="Z159" s="73"/>
      <c r="AA159" s="76"/>
      <c r="AB159" s="76"/>
      <c r="AC159" s="73"/>
    </row>
    <row r="160" spans="1:29" s="1" customFormat="1" ht="40.15" customHeight="1" x14ac:dyDescent="0.25">
      <c r="A160" s="6"/>
      <c r="B160" s="64" t="s">
        <v>213</v>
      </c>
      <c r="C160" s="65" t="s">
        <v>5</v>
      </c>
      <c r="D160" s="66">
        <v>46328</v>
      </c>
      <c r="E160" s="67">
        <f t="shared" si="4"/>
        <v>8.6956521739130432E-2</v>
      </c>
      <c r="F160" s="65"/>
      <c r="G160" s="73"/>
      <c r="H160" s="73"/>
      <c r="I160" s="73"/>
      <c r="J160" s="68">
        <v>1</v>
      </c>
      <c r="K160" s="73"/>
      <c r="L160" s="73"/>
      <c r="M160" s="73"/>
      <c r="N160" s="73"/>
      <c r="O160" s="68">
        <v>1</v>
      </c>
      <c r="P160" s="73"/>
      <c r="Q160" s="73"/>
      <c r="R160" s="73"/>
      <c r="S160" s="73"/>
      <c r="T160" s="73"/>
      <c r="U160" s="73"/>
      <c r="V160" s="73"/>
      <c r="W160" s="73"/>
      <c r="X160" s="73"/>
      <c r="Y160" s="73"/>
      <c r="Z160" s="73"/>
      <c r="AA160" s="76"/>
      <c r="AB160" s="76"/>
      <c r="AC160" s="73"/>
    </row>
    <row r="161" spans="1:29" s="1" customFormat="1" ht="40.15" customHeight="1" x14ac:dyDescent="0.25">
      <c r="A161" s="6"/>
      <c r="B161" s="64" t="s">
        <v>214</v>
      </c>
      <c r="C161" s="65" t="s">
        <v>5</v>
      </c>
      <c r="D161" s="66">
        <v>46328</v>
      </c>
      <c r="E161" s="67">
        <f t="shared" si="4"/>
        <v>8.6956521739130432E-2</v>
      </c>
      <c r="F161" s="65"/>
      <c r="G161" s="73"/>
      <c r="H161" s="73"/>
      <c r="I161" s="73"/>
      <c r="J161" s="68">
        <v>1</v>
      </c>
      <c r="K161" s="73"/>
      <c r="L161" s="73"/>
      <c r="M161" s="73"/>
      <c r="N161" s="73"/>
      <c r="O161" s="68">
        <v>1</v>
      </c>
      <c r="P161" s="73"/>
      <c r="Q161" s="73"/>
      <c r="R161" s="73"/>
      <c r="S161" s="73"/>
      <c r="T161" s="73"/>
      <c r="U161" s="73"/>
      <c r="V161" s="73"/>
      <c r="W161" s="73"/>
      <c r="X161" s="73"/>
      <c r="Y161" s="73"/>
      <c r="Z161" s="73"/>
      <c r="AA161" s="76"/>
      <c r="AB161" s="76"/>
      <c r="AC161" s="73"/>
    </row>
    <row r="162" spans="1:29" s="1" customFormat="1" ht="40.15" customHeight="1" thickBot="1" x14ac:dyDescent="0.3">
      <c r="A162" s="60"/>
      <c r="B162" s="64" t="s">
        <v>215</v>
      </c>
      <c r="C162" s="65" t="s">
        <v>5</v>
      </c>
      <c r="D162" s="66">
        <v>46328</v>
      </c>
      <c r="E162" s="67">
        <f t="shared" si="4"/>
        <v>8.6956521739130432E-2</v>
      </c>
      <c r="F162" s="65"/>
      <c r="G162" s="73"/>
      <c r="H162" s="73"/>
      <c r="I162" s="73"/>
      <c r="J162" s="68">
        <v>1</v>
      </c>
      <c r="K162" s="73"/>
      <c r="L162" s="73"/>
      <c r="M162" s="73"/>
      <c r="N162" s="73"/>
      <c r="O162" s="68">
        <v>1</v>
      </c>
      <c r="P162" s="73"/>
      <c r="Q162" s="73"/>
      <c r="R162" s="73"/>
      <c r="S162" s="73"/>
      <c r="T162" s="73"/>
      <c r="U162" s="73"/>
      <c r="V162" s="73"/>
      <c r="W162" s="73"/>
      <c r="X162" s="73"/>
      <c r="Y162" s="73"/>
      <c r="Z162" s="73"/>
      <c r="AA162" s="76"/>
      <c r="AB162" s="76"/>
      <c r="AC162" s="73"/>
    </row>
    <row r="163" spans="1:29" s="1" customFormat="1" ht="40.15" customHeight="1" x14ac:dyDescent="0.25">
      <c r="A163" s="6"/>
      <c r="B163" s="64" t="s">
        <v>216</v>
      </c>
      <c r="C163" s="65" t="s">
        <v>5</v>
      </c>
      <c r="D163" s="66">
        <v>46377</v>
      </c>
      <c r="E163" s="67">
        <f t="shared" si="4"/>
        <v>8.6956521739130432E-2</v>
      </c>
      <c r="F163" s="65"/>
      <c r="G163" s="73"/>
      <c r="H163" s="73"/>
      <c r="I163" s="73"/>
      <c r="J163" s="68">
        <v>1</v>
      </c>
      <c r="K163" s="73"/>
      <c r="L163" s="73"/>
      <c r="M163" s="73"/>
      <c r="N163" s="73"/>
      <c r="O163" s="68">
        <v>1</v>
      </c>
      <c r="P163" s="73"/>
      <c r="Q163" s="73"/>
      <c r="R163" s="73"/>
      <c r="S163" s="73"/>
      <c r="T163" s="73"/>
      <c r="U163" s="73"/>
      <c r="V163" s="73"/>
      <c r="W163" s="73"/>
      <c r="X163" s="73"/>
      <c r="Y163" s="73"/>
      <c r="Z163" s="73"/>
      <c r="AA163" s="76"/>
      <c r="AB163" s="75"/>
      <c r="AC163" s="73"/>
    </row>
    <row r="164" spans="1:29" s="1" customFormat="1" ht="40.15" customHeight="1" x14ac:dyDescent="0.25">
      <c r="A164" s="6"/>
      <c r="B164" s="64" t="s">
        <v>217</v>
      </c>
      <c r="C164" s="65" t="s">
        <v>5</v>
      </c>
      <c r="D164" s="66">
        <v>46377</v>
      </c>
      <c r="E164" s="67">
        <f t="shared" si="4"/>
        <v>8.6956521739130432E-2</v>
      </c>
      <c r="F164" s="65"/>
      <c r="G164" s="73"/>
      <c r="H164" s="73"/>
      <c r="I164" s="73"/>
      <c r="J164" s="68">
        <v>1</v>
      </c>
      <c r="K164" s="73"/>
      <c r="L164" s="73"/>
      <c r="M164" s="73"/>
      <c r="N164" s="73"/>
      <c r="O164" s="68">
        <v>1</v>
      </c>
      <c r="P164" s="73"/>
      <c r="Q164" s="73"/>
      <c r="R164" s="73"/>
      <c r="S164" s="73"/>
      <c r="T164" s="73"/>
      <c r="U164" s="73"/>
      <c r="V164" s="73"/>
      <c r="W164" s="73"/>
      <c r="X164" s="73"/>
      <c r="Y164" s="73"/>
      <c r="Z164" s="73"/>
      <c r="AA164" s="76"/>
      <c r="AB164" s="75"/>
      <c r="AC164" s="73"/>
    </row>
    <row r="165" spans="1:29" s="1" customFormat="1" ht="40.15" customHeight="1" x14ac:dyDescent="0.25">
      <c r="A165" s="6"/>
      <c r="B165" s="64" t="s">
        <v>218</v>
      </c>
      <c r="C165" s="65" t="s">
        <v>5</v>
      </c>
      <c r="D165" s="66">
        <v>46377</v>
      </c>
      <c r="E165" s="67">
        <f t="shared" si="4"/>
        <v>8.6956521739130432E-2</v>
      </c>
      <c r="F165" s="65"/>
      <c r="G165" s="73"/>
      <c r="H165" s="73"/>
      <c r="I165" s="73"/>
      <c r="J165" s="68">
        <v>1</v>
      </c>
      <c r="K165" s="73"/>
      <c r="L165" s="73"/>
      <c r="M165" s="73"/>
      <c r="N165" s="73"/>
      <c r="O165" s="68">
        <v>1</v>
      </c>
      <c r="P165" s="73"/>
      <c r="Q165" s="73"/>
      <c r="R165" s="73"/>
      <c r="S165" s="73"/>
      <c r="T165" s="73"/>
      <c r="U165" s="73"/>
      <c r="V165" s="73"/>
      <c r="W165" s="73"/>
      <c r="X165" s="73"/>
      <c r="Y165" s="73"/>
      <c r="Z165" s="73"/>
      <c r="AA165" s="76"/>
      <c r="AB165" s="75"/>
      <c r="AC165" s="73"/>
    </row>
    <row r="166" spans="1:29" s="1" customFormat="1" ht="40.15" customHeight="1" x14ac:dyDescent="0.25">
      <c r="A166" s="6"/>
      <c r="B166" s="64" t="s">
        <v>219</v>
      </c>
      <c r="C166" s="65" t="s">
        <v>5</v>
      </c>
      <c r="D166" s="66">
        <v>46377</v>
      </c>
      <c r="E166" s="67">
        <f t="shared" si="4"/>
        <v>8.6956521739130432E-2</v>
      </c>
      <c r="F166" s="65"/>
      <c r="G166" s="73"/>
      <c r="H166" s="73"/>
      <c r="I166" s="73"/>
      <c r="J166" s="68">
        <v>1</v>
      </c>
      <c r="K166" s="73"/>
      <c r="L166" s="73"/>
      <c r="M166" s="73"/>
      <c r="N166" s="73"/>
      <c r="O166" s="68">
        <v>1</v>
      </c>
      <c r="P166" s="73"/>
      <c r="Q166" s="73"/>
      <c r="R166" s="73"/>
      <c r="S166" s="73"/>
      <c r="T166" s="73"/>
      <c r="U166" s="73"/>
      <c r="V166" s="73"/>
      <c r="W166" s="73"/>
      <c r="X166" s="73"/>
      <c r="Y166" s="73"/>
      <c r="Z166" s="73"/>
      <c r="AA166" s="76"/>
      <c r="AB166" s="75"/>
      <c r="AC166" s="73"/>
    </row>
    <row r="167" spans="1:29" s="1" customFormat="1" ht="40.15" customHeight="1" x14ac:dyDescent="0.25">
      <c r="A167" s="6"/>
      <c r="B167" s="64" t="s">
        <v>220</v>
      </c>
      <c r="C167" s="65" t="s">
        <v>5</v>
      </c>
      <c r="D167" s="66">
        <v>46377</v>
      </c>
      <c r="E167" s="67">
        <f t="shared" si="4"/>
        <v>8.6956521739130432E-2</v>
      </c>
      <c r="F167" s="65"/>
      <c r="G167" s="73"/>
      <c r="H167" s="73"/>
      <c r="I167" s="73"/>
      <c r="J167" s="68">
        <v>1</v>
      </c>
      <c r="K167" s="73"/>
      <c r="L167" s="73"/>
      <c r="M167" s="73"/>
      <c r="N167" s="73"/>
      <c r="O167" s="68">
        <v>1</v>
      </c>
      <c r="P167" s="73"/>
      <c r="Q167" s="73"/>
      <c r="R167" s="73"/>
      <c r="S167" s="73"/>
      <c r="T167" s="73"/>
      <c r="U167" s="73"/>
      <c r="V167" s="73"/>
      <c r="W167" s="73"/>
      <c r="X167" s="73"/>
      <c r="Y167" s="73"/>
      <c r="Z167" s="73"/>
      <c r="AA167" s="76"/>
      <c r="AB167" s="75"/>
      <c r="AC167" s="73"/>
    </row>
    <row r="168" spans="1:29" s="1" customFormat="1" ht="40.15" customHeight="1" x14ac:dyDescent="0.25">
      <c r="A168" s="6"/>
      <c r="B168" s="64" t="s">
        <v>221</v>
      </c>
      <c r="C168" s="65" t="s">
        <v>5</v>
      </c>
      <c r="D168" s="66">
        <v>46377</v>
      </c>
      <c r="E168" s="67">
        <f t="shared" si="4"/>
        <v>8.6956521739130432E-2</v>
      </c>
      <c r="F168" s="65"/>
      <c r="G168" s="73"/>
      <c r="H168" s="73"/>
      <c r="I168" s="73"/>
      <c r="J168" s="68">
        <v>1</v>
      </c>
      <c r="K168" s="73"/>
      <c r="L168" s="73"/>
      <c r="M168" s="73"/>
      <c r="N168" s="73"/>
      <c r="O168" s="68">
        <v>1</v>
      </c>
      <c r="P168" s="73"/>
      <c r="Q168" s="73"/>
      <c r="R168" s="73"/>
      <c r="S168" s="73"/>
      <c r="T168" s="73"/>
      <c r="U168" s="73"/>
      <c r="V168" s="73"/>
      <c r="W168" s="73"/>
      <c r="X168" s="73"/>
      <c r="Y168" s="73"/>
      <c r="Z168" s="73"/>
      <c r="AA168" s="76"/>
      <c r="AB168" s="75"/>
      <c r="AC168" s="73"/>
    </row>
    <row r="169" spans="1:29" s="1" customFormat="1" ht="40.15" customHeight="1" x14ac:dyDescent="0.25">
      <c r="A169" s="6"/>
      <c r="B169" s="64" t="s">
        <v>222</v>
      </c>
      <c r="C169" s="65" t="s">
        <v>5</v>
      </c>
      <c r="D169" s="66">
        <v>46377</v>
      </c>
      <c r="E169" s="67">
        <f t="shared" si="4"/>
        <v>8.6956521739130432E-2</v>
      </c>
      <c r="F169" s="65"/>
      <c r="G169" s="73"/>
      <c r="H169" s="73"/>
      <c r="I169" s="73"/>
      <c r="J169" s="68">
        <v>1</v>
      </c>
      <c r="K169" s="73"/>
      <c r="L169" s="73"/>
      <c r="M169" s="73"/>
      <c r="N169" s="73"/>
      <c r="O169" s="68">
        <v>1</v>
      </c>
      <c r="P169" s="73"/>
      <c r="Q169" s="73"/>
      <c r="R169" s="73"/>
      <c r="S169" s="73"/>
      <c r="T169" s="73"/>
      <c r="U169" s="73"/>
      <c r="V169" s="73"/>
      <c r="W169" s="73"/>
      <c r="X169" s="73"/>
      <c r="Y169" s="73"/>
      <c r="Z169" s="73"/>
      <c r="AA169" s="76"/>
      <c r="AB169" s="75"/>
      <c r="AC169" s="73"/>
    </row>
    <row r="170" spans="1:29" s="1" customFormat="1" ht="40.15" customHeight="1" x14ac:dyDescent="0.25">
      <c r="A170" s="6"/>
      <c r="B170" s="64" t="s">
        <v>223</v>
      </c>
      <c r="C170" s="65" t="s">
        <v>5</v>
      </c>
      <c r="D170" s="66">
        <v>46377</v>
      </c>
      <c r="E170" s="67">
        <f t="shared" si="4"/>
        <v>8.6956521739130432E-2</v>
      </c>
      <c r="F170" s="65"/>
      <c r="G170" s="73"/>
      <c r="H170" s="73"/>
      <c r="I170" s="73"/>
      <c r="J170" s="68">
        <v>1</v>
      </c>
      <c r="K170" s="73"/>
      <c r="L170" s="73"/>
      <c r="M170" s="73"/>
      <c r="N170" s="73"/>
      <c r="O170" s="68">
        <v>1</v>
      </c>
      <c r="P170" s="73"/>
      <c r="Q170" s="73"/>
      <c r="R170" s="73"/>
      <c r="S170" s="73"/>
      <c r="T170" s="73"/>
      <c r="U170" s="73"/>
      <c r="V170" s="73"/>
      <c r="W170" s="73"/>
      <c r="X170" s="73"/>
      <c r="Y170" s="73"/>
      <c r="Z170" s="73"/>
      <c r="AA170" s="76"/>
      <c r="AB170" s="75"/>
      <c r="AC170" s="73"/>
    </row>
    <row r="171" spans="1:29" s="1" customFormat="1" ht="40.15" customHeight="1" x14ac:dyDescent="0.25">
      <c r="A171" s="6"/>
      <c r="B171" s="64" t="s">
        <v>224</v>
      </c>
      <c r="C171" s="65" t="s">
        <v>5</v>
      </c>
      <c r="D171" s="66">
        <v>46377</v>
      </c>
      <c r="E171" s="67">
        <f t="shared" si="4"/>
        <v>8.6956521739130432E-2</v>
      </c>
      <c r="F171" s="65"/>
      <c r="G171" s="73"/>
      <c r="H171" s="73"/>
      <c r="I171" s="73"/>
      <c r="J171" s="68">
        <v>1</v>
      </c>
      <c r="K171" s="73"/>
      <c r="L171" s="73"/>
      <c r="M171" s="73"/>
      <c r="N171" s="73"/>
      <c r="O171" s="68">
        <v>1</v>
      </c>
      <c r="P171" s="73"/>
      <c r="Q171" s="73"/>
      <c r="R171" s="73"/>
      <c r="S171" s="73"/>
      <c r="T171" s="73"/>
      <c r="U171" s="73"/>
      <c r="V171" s="73"/>
      <c r="W171" s="73"/>
      <c r="X171" s="73"/>
      <c r="Y171" s="73"/>
      <c r="Z171" s="73"/>
      <c r="AA171" s="76"/>
      <c r="AB171" s="75"/>
      <c r="AC171" s="73"/>
    </row>
    <row r="172" spans="1:29" s="1" customFormat="1" ht="40.15" customHeight="1" x14ac:dyDescent="0.25">
      <c r="A172" s="6"/>
      <c r="B172" s="64" t="s">
        <v>225</v>
      </c>
      <c r="C172" s="65" t="s">
        <v>5</v>
      </c>
      <c r="D172" s="66">
        <v>46377</v>
      </c>
      <c r="E172" s="67">
        <f t="shared" si="4"/>
        <v>8.6956521739130432E-2</v>
      </c>
      <c r="F172" s="65"/>
      <c r="G172" s="73"/>
      <c r="H172" s="73"/>
      <c r="I172" s="73"/>
      <c r="J172" s="68">
        <v>1</v>
      </c>
      <c r="K172" s="73"/>
      <c r="L172" s="73"/>
      <c r="M172" s="73"/>
      <c r="N172" s="73"/>
      <c r="O172" s="68">
        <v>1</v>
      </c>
      <c r="P172" s="73"/>
      <c r="Q172" s="73"/>
      <c r="R172" s="73"/>
      <c r="S172" s="73"/>
      <c r="T172" s="73"/>
      <c r="U172" s="73"/>
      <c r="V172" s="73"/>
      <c r="W172" s="73"/>
      <c r="X172" s="73"/>
      <c r="Y172" s="73"/>
      <c r="Z172" s="73"/>
      <c r="AA172" s="76"/>
      <c r="AB172" s="75"/>
      <c r="AC172" s="73"/>
    </row>
    <row r="173" spans="1:29" s="1" customFormat="1" ht="40.15" customHeight="1" x14ac:dyDescent="0.25">
      <c r="A173" s="6"/>
      <c r="B173" s="64" t="s">
        <v>226</v>
      </c>
      <c r="C173" s="65" t="s">
        <v>5</v>
      </c>
      <c r="D173" s="66">
        <v>46377</v>
      </c>
      <c r="E173" s="67">
        <f t="shared" si="4"/>
        <v>8.6956521739130432E-2</v>
      </c>
      <c r="F173" s="65"/>
      <c r="G173" s="73"/>
      <c r="H173" s="73"/>
      <c r="I173" s="73"/>
      <c r="J173" s="68">
        <v>1</v>
      </c>
      <c r="K173" s="73"/>
      <c r="L173" s="73"/>
      <c r="M173" s="73"/>
      <c r="N173" s="73"/>
      <c r="O173" s="68">
        <v>1</v>
      </c>
      <c r="P173" s="73"/>
      <c r="Q173" s="73"/>
      <c r="R173" s="73"/>
      <c r="S173" s="73"/>
      <c r="T173" s="73"/>
      <c r="U173" s="73"/>
      <c r="V173" s="73"/>
      <c r="W173" s="73"/>
      <c r="X173" s="73"/>
      <c r="Y173" s="73"/>
      <c r="Z173" s="73"/>
      <c r="AA173" s="76"/>
      <c r="AB173" s="75"/>
      <c r="AC173" s="73"/>
    </row>
    <row r="174" spans="1:29" s="1" customFormat="1" ht="40.15" customHeight="1" x14ac:dyDescent="0.25">
      <c r="A174" s="6"/>
      <c r="B174" s="64" t="s">
        <v>227</v>
      </c>
      <c r="C174" s="65" t="s">
        <v>5</v>
      </c>
      <c r="D174" s="66">
        <v>46377</v>
      </c>
      <c r="E174" s="67">
        <f t="shared" si="4"/>
        <v>8.6956521739130432E-2</v>
      </c>
      <c r="F174" s="65"/>
      <c r="G174" s="73"/>
      <c r="H174" s="73"/>
      <c r="I174" s="73"/>
      <c r="J174" s="68">
        <v>1</v>
      </c>
      <c r="K174" s="73"/>
      <c r="L174" s="73"/>
      <c r="M174" s="73"/>
      <c r="N174" s="73"/>
      <c r="O174" s="68">
        <v>1</v>
      </c>
      <c r="P174" s="73"/>
      <c r="Q174" s="73"/>
      <c r="R174" s="73"/>
      <c r="S174" s="73"/>
      <c r="T174" s="73"/>
      <c r="U174" s="73"/>
      <c r="V174" s="73"/>
      <c r="W174" s="73"/>
      <c r="X174" s="73"/>
      <c r="Y174" s="73"/>
      <c r="Z174" s="73"/>
      <c r="AA174" s="76"/>
      <c r="AB174" s="75"/>
      <c r="AC174" s="73"/>
    </row>
    <row r="175" spans="1:29" s="1" customFormat="1" ht="40.15" customHeight="1" x14ac:dyDescent="0.25">
      <c r="A175" s="6"/>
      <c r="B175" s="64" t="s">
        <v>228</v>
      </c>
      <c r="C175" s="65" t="s">
        <v>5</v>
      </c>
      <c r="D175" s="66">
        <v>46377</v>
      </c>
      <c r="E175" s="67">
        <f t="shared" si="4"/>
        <v>8.6956521739130432E-2</v>
      </c>
      <c r="F175" s="65"/>
      <c r="G175" s="73"/>
      <c r="H175" s="73"/>
      <c r="I175" s="73"/>
      <c r="J175" s="68">
        <v>1</v>
      </c>
      <c r="K175" s="73"/>
      <c r="L175" s="73"/>
      <c r="M175" s="73"/>
      <c r="N175" s="73"/>
      <c r="O175" s="68">
        <v>1</v>
      </c>
      <c r="P175" s="73"/>
      <c r="Q175" s="73"/>
      <c r="R175" s="73"/>
      <c r="S175" s="73"/>
      <c r="T175" s="73"/>
      <c r="U175" s="73"/>
      <c r="V175" s="73"/>
      <c r="W175" s="73"/>
      <c r="X175" s="73"/>
      <c r="Y175" s="73"/>
      <c r="Z175" s="73"/>
      <c r="AA175" s="76"/>
      <c r="AB175" s="75"/>
      <c r="AC175" s="73"/>
    </row>
    <row r="176" spans="1:29" s="1" customFormat="1" ht="40.15" customHeight="1" x14ac:dyDescent="0.25">
      <c r="A176" s="6"/>
      <c r="B176" s="64" t="s">
        <v>229</v>
      </c>
      <c r="C176" s="65" t="s">
        <v>5</v>
      </c>
      <c r="D176" s="66">
        <v>46377</v>
      </c>
      <c r="E176" s="67">
        <f t="shared" si="4"/>
        <v>8.6956521739130432E-2</v>
      </c>
      <c r="F176" s="65"/>
      <c r="G176" s="73"/>
      <c r="H176" s="73"/>
      <c r="I176" s="73"/>
      <c r="J176" s="68">
        <v>1</v>
      </c>
      <c r="K176" s="73"/>
      <c r="L176" s="73"/>
      <c r="M176" s="73"/>
      <c r="N176" s="73"/>
      <c r="O176" s="68">
        <v>1</v>
      </c>
      <c r="P176" s="73"/>
      <c r="Q176" s="73"/>
      <c r="R176" s="73"/>
      <c r="S176" s="73"/>
      <c r="T176" s="73"/>
      <c r="U176" s="73"/>
      <c r="V176" s="73"/>
      <c r="W176" s="73"/>
      <c r="X176" s="73"/>
      <c r="Y176" s="73"/>
      <c r="Z176" s="73"/>
      <c r="AA176" s="76"/>
      <c r="AB176" s="75"/>
      <c r="AC176" s="73"/>
    </row>
    <row r="177" spans="1:29" s="1" customFormat="1" ht="40.15" customHeight="1" x14ac:dyDescent="0.25">
      <c r="A177" s="6"/>
      <c r="B177" s="64" t="s">
        <v>230</v>
      </c>
      <c r="C177" s="65" t="s">
        <v>5</v>
      </c>
      <c r="D177" s="66">
        <v>46377</v>
      </c>
      <c r="E177" s="67">
        <f t="shared" si="4"/>
        <v>8.6956521739130432E-2</v>
      </c>
      <c r="F177" s="65"/>
      <c r="G177" s="73"/>
      <c r="H177" s="73"/>
      <c r="I177" s="73"/>
      <c r="J177" s="68">
        <v>1</v>
      </c>
      <c r="K177" s="73"/>
      <c r="L177" s="73"/>
      <c r="M177" s="73"/>
      <c r="N177" s="73"/>
      <c r="O177" s="68">
        <v>1</v>
      </c>
      <c r="P177" s="73"/>
      <c r="Q177" s="73"/>
      <c r="R177" s="73"/>
      <c r="S177" s="73"/>
      <c r="T177" s="73"/>
      <c r="U177" s="73"/>
      <c r="V177" s="73"/>
      <c r="W177" s="73"/>
      <c r="X177" s="73"/>
      <c r="Y177" s="73"/>
      <c r="Z177" s="73"/>
      <c r="AA177" s="76"/>
      <c r="AB177" s="75"/>
      <c r="AC177" s="73"/>
    </row>
    <row r="178" spans="1:29" s="1" customFormat="1" ht="40.15" customHeight="1" x14ac:dyDescent="0.25">
      <c r="A178" s="6"/>
      <c r="B178" s="64" t="s">
        <v>231</v>
      </c>
      <c r="C178" s="65" t="s">
        <v>5</v>
      </c>
      <c r="D178" s="66">
        <v>46377</v>
      </c>
      <c r="E178" s="67">
        <f t="shared" si="4"/>
        <v>8.6956521739130432E-2</v>
      </c>
      <c r="F178" s="65"/>
      <c r="G178" s="73"/>
      <c r="H178" s="73"/>
      <c r="I178" s="73"/>
      <c r="J178" s="68">
        <v>1</v>
      </c>
      <c r="K178" s="73"/>
      <c r="L178" s="73"/>
      <c r="M178" s="73"/>
      <c r="N178" s="73"/>
      <c r="O178" s="68">
        <v>1</v>
      </c>
      <c r="P178" s="73"/>
      <c r="Q178" s="73"/>
      <c r="R178" s="73"/>
      <c r="S178" s="73"/>
      <c r="T178" s="73"/>
      <c r="U178" s="73"/>
      <c r="V178" s="73"/>
      <c r="W178" s="73"/>
      <c r="X178" s="73"/>
      <c r="Y178" s="73"/>
      <c r="Z178" s="73"/>
      <c r="AA178" s="76"/>
      <c r="AB178" s="75"/>
      <c r="AC178" s="73"/>
    </row>
    <row r="179" spans="1:29" s="1" customFormat="1" ht="40.15" customHeight="1" x14ac:dyDescent="0.25">
      <c r="A179" s="6"/>
      <c r="B179" s="64" t="s">
        <v>232</v>
      </c>
      <c r="C179" s="65" t="s">
        <v>5</v>
      </c>
      <c r="D179" s="66">
        <v>46377</v>
      </c>
      <c r="E179" s="67">
        <f t="shared" si="4"/>
        <v>8.6956521739130432E-2</v>
      </c>
      <c r="F179" s="65"/>
      <c r="G179" s="73"/>
      <c r="H179" s="73"/>
      <c r="I179" s="73"/>
      <c r="J179" s="68">
        <v>1</v>
      </c>
      <c r="K179" s="73"/>
      <c r="L179" s="73"/>
      <c r="M179" s="73"/>
      <c r="N179" s="73"/>
      <c r="O179" s="68">
        <v>1</v>
      </c>
      <c r="P179" s="73"/>
      <c r="Q179" s="73"/>
      <c r="R179" s="73"/>
      <c r="S179" s="73"/>
      <c r="T179" s="73"/>
      <c r="U179" s="73"/>
      <c r="V179" s="73"/>
      <c r="W179" s="73"/>
      <c r="X179" s="73"/>
      <c r="Y179" s="73"/>
      <c r="Z179" s="73"/>
      <c r="AA179" s="76"/>
      <c r="AB179" s="75"/>
      <c r="AC179" s="73"/>
    </row>
    <row r="180" spans="1:29" s="1" customFormat="1" ht="40.15" customHeight="1" x14ac:dyDescent="0.25">
      <c r="A180" s="6"/>
      <c r="B180" s="64" t="s">
        <v>233</v>
      </c>
      <c r="C180" s="65" t="s">
        <v>5</v>
      </c>
      <c r="D180" s="66">
        <v>46377</v>
      </c>
      <c r="E180" s="67">
        <f t="shared" si="4"/>
        <v>8.6956521739130432E-2</v>
      </c>
      <c r="F180" s="65"/>
      <c r="G180" s="73"/>
      <c r="H180" s="73"/>
      <c r="I180" s="73"/>
      <c r="J180" s="68">
        <v>1</v>
      </c>
      <c r="K180" s="73"/>
      <c r="L180" s="73"/>
      <c r="M180" s="73"/>
      <c r="N180" s="73"/>
      <c r="O180" s="68">
        <v>1</v>
      </c>
      <c r="P180" s="73"/>
      <c r="Q180" s="73"/>
      <c r="R180" s="73"/>
      <c r="S180" s="73"/>
      <c r="T180" s="73"/>
      <c r="U180" s="73"/>
      <c r="V180" s="73"/>
      <c r="W180" s="73"/>
      <c r="X180" s="73"/>
      <c r="Y180" s="73"/>
      <c r="Z180" s="73"/>
      <c r="AA180" s="76"/>
      <c r="AB180" s="75"/>
      <c r="AC180" s="73"/>
    </row>
    <row r="181" spans="1:29" s="1" customFormat="1" ht="40.15" customHeight="1" x14ac:dyDescent="0.25">
      <c r="A181" s="6"/>
      <c r="B181" s="64" t="s">
        <v>234</v>
      </c>
      <c r="C181" s="65" t="s">
        <v>5</v>
      </c>
      <c r="D181" s="66">
        <v>46377</v>
      </c>
      <c r="E181" s="67">
        <f t="shared" si="4"/>
        <v>8.6956521739130432E-2</v>
      </c>
      <c r="F181" s="65"/>
      <c r="G181" s="73"/>
      <c r="H181" s="73"/>
      <c r="I181" s="73"/>
      <c r="J181" s="68">
        <v>1</v>
      </c>
      <c r="K181" s="73"/>
      <c r="L181" s="73"/>
      <c r="M181" s="73"/>
      <c r="N181" s="73"/>
      <c r="O181" s="68">
        <v>1</v>
      </c>
      <c r="P181" s="73"/>
      <c r="Q181" s="73"/>
      <c r="R181" s="73"/>
      <c r="S181" s="73"/>
      <c r="T181" s="73"/>
      <c r="U181" s="73"/>
      <c r="V181" s="73"/>
      <c r="W181" s="73"/>
      <c r="X181" s="73"/>
      <c r="Y181" s="73"/>
      <c r="Z181" s="73"/>
      <c r="AA181" s="76"/>
      <c r="AB181" s="75"/>
      <c r="AC181" s="73"/>
    </row>
    <row r="182" spans="1:29" s="1" customFormat="1" ht="40.15" customHeight="1" x14ac:dyDescent="0.25">
      <c r="A182" s="6"/>
      <c r="B182" s="64" t="s">
        <v>235</v>
      </c>
      <c r="C182" s="65" t="s">
        <v>5</v>
      </c>
      <c r="D182" s="66">
        <v>46377</v>
      </c>
      <c r="E182" s="67">
        <f t="shared" si="4"/>
        <v>8.6956521739130432E-2</v>
      </c>
      <c r="F182" s="65"/>
      <c r="G182" s="73"/>
      <c r="H182" s="73"/>
      <c r="I182" s="73"/>
      <c r="J182" s="68">
        <v>1</v>
      </c>
      <c r="K182" s="73"/>
      <c r="L182" s="73"/>
      <c r="M182" s="73"/>
      <c r="N182" s="73"/>
      <c r="O182" s="68">
        <v>1</v>
      </c>
      <c r="P182" s="73"/>
      <c r="Q182" s="73"/>
      <c r="R182" s="73"/>
      <c r="S182" s="73"/>
      <c r="T182" s="73"/>
      <c r="U182" s="73"/>
      <c r="V182" s="73"/>
      <c r="W182" s="73"/>
      <c r="X182" s="73"/>
      <c r="Y182" s="73"/>
      <c r="Z182" s="73"/>
      <c r="AA182" s="76"/>
      <c r="AB182" s="75"/>
      <c r="AC182" s="73"/>
    </row>
    <row r="183" spans="1:29" s="1" customFormat="1" ht="40.15" customHeight="1" x14ac:dyDescent="0.25">
      <c r="A183" s="6"/>
      <c r="B183" s="64" t="s">
        <v>236</v>
      </c>
      <c r="C183" s="65" t="s">
        <v>5</v>
      </c>
      <c r="D183" s="66">
        <v>46377</v>
      </c>
      <c r="E183" s="67">
        <f t="shared" si="4"/>
        <v>8.6956521739130432E-2</v>
      </c>
      <c r="F183" s="65"/>
      <c r="G183" s="73"/>
      <c r="H183" s="73"/>
      <c r="I183" s="73"/>
      <c r="J183" s="68">
        <v>1</v>
      </c>
      <c r="K183" s="73"/>
      <c r="L183" s="73"/>
      <c r="M183" s="73"/>
      <c r="N183" s="73"/>
      <c r="O183" s="68">
        <v>1</v>
      </c>
      <c r="P183" s="73"/>
      <c r="Q183" s="73"/>
      <c r="R183" s="73"/>
      <c r="S183" s="73"/>
      <c r="T183" s="73"/>
      <c r="U183" s="73"/>
      <c r="V183" s="73"/>
      <c r="W183" s="73"/>
      <c r="X183" s="73"/>
      <c r="Y183" s="73"/>
      <c r="Z183" s="73"/>
      <c r="AA183" s="76"/>
      <c r="AB183" s="75"/>
      <c r="AC183" s="73"/>
    </row>
    <row r="184" spans="1:29" s="1" customFormat="1" ht="40.15" customHeight="1" x14ac:dyDescent="0.25">
      <c r="A184" s="6"/>
      <c r="B184" s="64" t="s">
        <v>237</v>
      </c>
      <c r="C184" s="65" t="s">
        <v>5</v>
      </c>
      <c r="D184" s="66">
        <v>46377</v>
      </c>
      <c r="E184" s="67">
        <f t="shared" si="4"/>
        <v>8.6956521739130432E-2</v>
      </c>
      <c r="F184" s="65"/>
      <c r="G184" s="73"/>
      <c r="H184" s="73"/>
      <c r="I184" s="73"/>
      <c r="J184" s="68">
        <v>1</v>
      </c>
      <c r="K184" s="73"/>
      <c r="L184" s="73"/>
      <c r="M184" s="73"/>
      <c r="N184" s="73"/>
      <c r="O184" s="68">
        <v>1</v>
      </c>
      <c r="P184" s="73"/>
      <c r="Q184" s="73"/>
      <c r="R184" s="73"/>
      <c r="S184" s="73"/>
      <c r="T184" s="73"/>
      <c r="U184" s="73"/>
      <c r="V184" s="73"/>
      <c r="W184" s="73"/>
      <c r="X184" s="73"/>
      <c r="Y184" s="73"/>
      <c r="Z184" s="73"/>
      <c r="AA184" s="76"/>
      <c r="AB184" s="75"/>
      <c r="AC184" s="73"/>
    </row>
    <row r="185" spans="1:29" s="1" customFormat="1" ht="40.15" customHeight="1" x14ac:dyDescent="0.25">
      <c r="A185" s="6"/>
      <c r="B185" s="64" t="s">
        <v>238</v>
      </c>
      <c r="C185" s="65" t="s">
        <v>5</v>
      </c>
      <c r="D185" s="66">
        <v>46377</v>
      </c>
      <c r="E185" s="67">
        <f t="shared" si="4"/>
        <v>8.6956521739130432E-2</v>
      </c>
      <c r="F185" s="65"/>
      <c r="G185" s="73"/>
      <c r="H185" s="73"/>
      <c r="I185" s="73"/>
      <c r="J185" s="68">
        <v>1</v>
      </c>
      <c r="K185" s="73"/>
      <c r="L185" s="73"/>
      <c r="M185" s="73"/>
      <c r="N185" s="73"/>
      <c r="O185" s="68">
        <v>1</v>
      </c>
      <c r="P185" s="73"/>
      <c r="Q185" s="73"/>
      <c r="R185" s="73"/>
      <c r="S185" s="73"/>
      <c r="T185" s="73"/>
      <c r="U185" s="73"/>
      <c r="V185" s="73"/>
      <c r="W185" s="73"/>
      <c r="X185" s="73"/>
      <c r="Y185" s="73"/>
      <c r="Z185" s="73"/>
      <c r="AA185" s="76"/>
      <c r="AB185" s="75"/>
      <c r="AC185" s="73"/>
    </row>
    <row r="186" spans="1:29" s="1" customFormat="1" ht="40.15" customHeight="1" x14ac:dyDescent="0.25">
      <c r="A186" s="6"/>
      <c r="B186" s="64" t="s">
        <v>239</v>
      </c>
      <c r="C186" s="65" t="s">
        <v>5</v>
      </c>
      <c r="D186" s="66">
        <v>46377</v>
      </c>
      <c r="E186" s="67">
        <f t="shared" si="4"/>
        <v>8.6956521739130432E-2</v>
      </c>
      <c r="F186" s="65"/>
      <c r="G186" s="73"/>
      <c r="H186" s="73"/>
      <c r="I186" s="73"/>
      <c r="J186" s="68">
        <v>1</v>
      </c>
      <c r="K186" s="73"/>
      <c r="L186" s="73"/>
      <c r="M186" s="73"/>
      <c r="N186" s="73"/>
      <c r="O186" s="68">
        <v>1</v>
      </c>
      <c r="P186" s="73"/>
      <c r="Q186" s="73"/>
      <c r="R186" s="73"/>
      <c r="S186" s="73"/>
      <c r="T186" s="73"/>
      <c r="U186" s="73"/>
      <c r="V186" s="73"/>
      <c r="W186" s="73"/>
      <c r="X186" s="73"/>
      <c r="Y186" s="73"/>
      <c r="Z186" s="73"/>
      <c r="AA186" s="76"/>
      <c r="AB186" s="75"/>
      <c r="AC186" s="73"/>
    </row>
    <row r="187" spans="1:29" s="1" customFormat="1" ht="40.15" customHeight="1" x14ac:dyDescent="0.25">
      <c r="A187" s="6"/>
      <c r="B187" s="64" t="s">
        <v>240</v>
      </c>
      <c r="C187" s="65" t="s">
        <v>5</v>
      </c>
      <c r="D187" s="66">
        <v>46377</v>
      </c>
      <c r="E187" s="67">
        <f t="shared" si="4"/>
        <v>8.6956521739130432E-2</v>
      </c>
      <c r="F187" s="65"/>
      <c r="G187" s="73"/>
      <c r="H187" s="73"/>
      <c r="I187" s="73"/>
      <c r="J187" s="68">
        <v>1</v>
      </c>
      <c r="K187" s="73"/>
      <c r="L187" s="73"/>
      <c r="M187" s="73"/>
      <c r="N187" s="73"/>
      <c r="O187" s="68">
        <v>1</v>
      </c>
      <c r="P187" s="73"/>
      <c r="Q187" s="73"/>
      <c r="R187" s="73"/>
      <c r="S187" s="73"/>
      <c r="T187" s="73"/>
      <c r="U187" s="73"/>
      <c r="V187" s="73"/>
      <c r="W187" s="73"/>
      <c r="X187" s="73"/>
      <c r="Y187" s="73"/>
      <c r="Z187" s="73"/>
      <c r="AA187" s="76"/>
      <c r="AB187" s="75"/>
      <c r="AC187" s="73"/>
    </row>
    <row r="188" spans="1:29" s="1" customFormat="1" ht="40.15" customHeight="1" x14ac:dyDescent="0.25">
      <c r="A188" s="6"/>
      <c r="B188" s="64" t="s">
        <v>241</v>
      </c>
      <c r="C188" s="65" t="s">
        <v>5</v>
      </c>
      <c r="D188" s="66">
        <v>46377</v>
      </c>
      <c r="E188" s="67">
        <f t="shared" si="4"/>
        <v>8.6956521739130432E-2</v>
      </c>
      <c r="F188" s="65"/>
      <c r="G188" s="73"/>
      <c r="H188" s="73"/>
      <c r="I188" s="73"/>
      <c r="J188" s="68">
        <v>1</v>
      </c>
      <c r="K188" s="73"/>
      <c r="L188" s="73"/>
      <c r="M188" s="73"/>
      <c r="N188" s="73"/>
      <c r="O188" s="68">
        <v>1</v>
      </c>
      <c r="P188" s="73"/>
      <c r="Q188" s="73"/>
      <c r="R188" s="73"/>
      <c r="S188" s="73"/>
      <c r="T188" s="73"/>
      <c r="U188" s="73"/>
      <c r="V188" s="73"/>
      <c r="W188" s="73"/>
      <c r="X188" s="73"/>
      <c r="Y188" s="73"/>
      <c r="Z188" s="73"/>
      <c r="AA188" s="76"/>
      <c r="AB188" s="75"/>
      <c r="AC188" s="73"/>
    </row>
    <row r="189" spans="1:29" s="1" customFormat="1" ht="40.15" customHeight="1" x14ac:dyDescent="0.25">
      <c r="A189" s="6"/>
      <c r="B189" s="64" t="s">
        <v>242</v>
      </c>
      <c r="C189" s="65" t="s">
        <v>5</v>
      </c>
      <c r="D189" s="66">
        <v>46377</v>
      </c>
      <c r="E189" s="67">
        <f t="shared" si="4"/>
        <v>8.6956521739130432E-2</v>
      </c>
      <c r="F189" s="65"/>
      <c r="G189" s="73"/>
      <c r="H189" s="73"/>
      <c r="I189" s="73"/>
      <c r="J189" s="68">
        <v>1</v>
      </c>
      <c r="K189" s="73"/>
      <c r="L189" s="73"/>
      <c r="M189" s="73"/>
      <c r="N189" s="73"/>
      <c r="O189" s="68">
        <v>1</v>
      </c>
      <c r="P189" s="73"/>
      <c r="Q189" s="73"/>
      <c r="R189" s="73"/>
      <c r="S189" s="73"/>
      <c r="T189" s="73"/>
      <c r="U189" s="73"/>
      <c r="V189" s="73"/>
      <c r="W189" s="73"/>
      <c r="X189" s="73"/>
      <c r="Y189" s="73"/>
      <c r="Z189" s="73"/>
      <c r="AA189" s="76"/>
      <c r="AB189" s="75"/>
      <c r="AC189" s="73"/>
    </row>
    <row r="190" spans="1:29" s="1" customFormat="1" ht="40.15" customHeight="1" thickBot="1" x14ac:dyDescent="0.3">
      <c r="A190" s="60"/>
      <c r="B190" s="64" t="s">
        <v>243</v>
      </c>
      <c r="C190" s="65" t="s">
        <v>5</v>
      </c>
      <c r="D190" s="66">
        <v>46377</v>
      </c>
      <c r="E190" s="67">
        <f t="shared" si="4"/>
        <v>8.6956521739130432E-2</v>
      </c>
      <c r="F190" s="65"/>
      <c r="G190" s="73"/>
      <c r="H190" s="73"/>
      <c r="I190" s="73"/>
      <c r="J190" s="68">
        <v>1</v>
      </c>
      <c r="K190" s="73"/>
      <c r="L190" s="73"/>
      <c r="M190" s="73"/>
      <c r="N190" s="73"/>
      <c r="O190" s="68">
        <v>1</v>
      </c>
      <c r="P190" s="73"/>
      <c r="Q190" s="73"/>
      <c r="R190" s="73"/>
      <c r="S190" s="73"/>
      <c r="T190" s="73"/>
      <c r="U190" s="73"/>
      <c r="V190" s="73"/>
      <c r="W190" s="73"/>
      <c r="X190" s="73"/>
      <c r="Y190" s="73"/>
      <c r="Z190" s="73"/>
      <c r="AA190" s="76"/>
      <c r="AB190" s="75"/>
      <c r="AC190" s="73"/>
    </row>
    <row r="191" spans="1:29" s="1" customFormat="1" ht="40.15" customHeight="1" x14ac:dyDescent="0.25">
      <c r="A191" s="6"/>
      <c r="B191" s="64" t="s">
        <v>244</v>
      </c>
      <c r="C191" s="65" t="s">
        <v>5</v>
      </c>
      <c r="D191" s="66">
        <v>46412</v>
      </c>
      <c r="E191" s="67">
        <f t="shared" si="4"/>
        <v>8.6956521739130432E-2</v>
      </c>
      <c r="F191" s="65"/>
      <c r="G191" s="73"/>
      <c r="H191" s="73"/>
      <c r="I191" s="73"/>
      <c r="J191" s="68">
        <v>1</v>
      </c>
      <c r="K191" s="73"/>
      <c r="L191" s="73"/>
      <c r="M191" s="73"/>
      <c r="N191" s="73"/>
      <c r="O191" s="68">
        <v>1</v>
      </c>
      <c r="P191" s="73"/>
      <c r="Q191" s="73"/>
      <c r="R191" s="73"/>
      <c r="S191" s="73"/>
      <c r="T191" s="73"/>
      <c r="U191" s="73"/>
      <c r="V191" s="73"/>
      <c r="W191" s="73"/>
      <c r="X191" s="73"/>
      <c r="Y191" s="73"/>
      <c r="Z191" s="73"/>
      <c r="AA191" s="76"/>
      <c r="AB191" s="75"/>
      <c r="AC191" s="73"/>
    </row>
    <row r="192" spans="1:29" s="1" customFormat="1" ht="40.15" customHeight="1" x14ac:dyDescent="0.25">
      <c r="A192" s="6"/>
      <c r="B192" s="64" t="s">
        <v>245</v>
      </c>
      <c r="C192" s="65" t="s">
        <v>5</v>
      </c>
      <c r="D192" s="66">
        <v>46412</v>
      </c>
      <c r="E192" s="67">
        <f t="shared" si="4"/>
        <v>8.6956521739130432E-2</v>
      </c>
      <c r="F192" s="65"/>
      <c r="G192" s="73"/>
      <c r="H192" s="73"/>
      <c r="I192" s="73"/>
      <c r="J192" s="68">
        <v>1</v>
      </c>
      <c r="K192" s="73"/>
      <c r="L192" s="73"/>
      <c r="M192" s="73"/>
      <c r="N192" s="73"/>
      <c r="O192" s="68">
        <v>1</v>
      </c>
      <c r="P192" s="73"/>
      <c r="Q192" s="73"/>
      <c r="R192" s="73"/>
      <c r="S192" s="73"/>
      <c r="T192" s="73"/>
      <c r="U192" s="73"/>
      <c r="V192" s="73"/>
      <c r="W192" s="73"/>
      <c r="X192" s="73"/>
      <c r="Y192" s="73"/>
      <c r="Z192" s="73"/>
      <c r="AA192" s="76"/>
      <c r="AB192" s="75"/>
      <c r="AC192" s="73"/>
    </row>
    <row r="193" spans="1:29" s="1" customFormat="1" ht="40.15" customHeight="1" x14ac:dyDescent="0.25">
      <c r="A193" s="6"/>
      <c r="B193" s="64" t="s">
        <v>246</v>
      </c>
      <c r="C193" s="65" t="s">
        <v>5</v>
      </c>
      <c r="D193" s="66">
        <v>46412</v>
      </c>
      <c r="E193" s="67">
        <f t="shared" si="4"/>
        <v>8.6956521739130432E-2</v>
      </c>
      <c r="F193" s="65"/>
      <c r="G193" s="73"/>
      <c r="H193" s="73"/>
      <c r="I193" s="73"/>
      <c r="J193" s="68">
        <v>1</v>
      </c>
      <c r="K193" s="73"/>
      <c r="L193" s="73"/>
      <c r="M193" s="73"/>
      <c r="N193" s="73"/>
      <c r="O193" s="68">
        <v>1</v>
      </c>
      <c r="P193" s="73"/>
      <c r="Q193" s="73"/>
      <c r="R193" s="73"/>
      <c r="S193" s="73"/>
      <c r="T193" s="73"/>
      <c r="U193" s="73"/>
      <c r="V193" s="73"/>
      <c r="W193" s="73"/>
      <c r="X193" s="73"/>
      <c r="Y193" s="73"/>
      <c r="Z193" s="73"/>
      <c r="AA193" s="76"/>
      <c r="AB193" s="75"/>
      <c r="AC193" s="73"/>
    </row>
    <row r="194" spans="1:29" s="1" customFormat="1" ht="40.15" customHeight="1" x14ac:dyDescent="0.25">
      <c r="A194" s="6"/>
      <c r="B194" s="64" t="s">
        <v>247</v>
      </c>
      <c r="C194" s="65" t="s">
        <v>5</v>
      </c>
      <c r="D194" s="66">
        <v>46412</v>
      </c>
      <c r="E194" s="67">
        <f t="shared" si="4"/>
        <v>8.6956521739130432E-2</v>
      </c>
      <c r="F194" s="65"/>
      <c r="G194" s="73"/>
      <c r="H194" s="73"/>
      <c r="I194" s="73"/>
      <c r="J194" s="68">
        <v>1</v>
      </c>
      <c r="K194" s="73"/>
      <c r="L194" s="73"/>
      <c r="M194" s="73"/>
      <c r="N194" s="73"/>
      <c r="O194" s="68">
        <v>1</v>
      </c>
      <c r="P194" s="73"/>
      <c r="Q194" s="73"/>
      <c r="R194" s="73"/>
      <c r="S194" s="73"/>
      <c r="T194" s="73"/>
      <c r="U194" s="73"/>
      <c r="V194" s="73"/>
      <c r="W194" s="73"/>
      <c r="X194" s="73"/>
      <c r="Y194" s="73"/>
      <c r="Z194" s="73"/>
      <c r="AA194" s="76"/>
      <c r="AB194" s="75"/>
      <c r="AC194" s="73"/>
    </row>
    <row r="195" spans="1:29" s="1" customFormat="1" ht="40.15" customHeight="1" x14ac:dyDescent="0.25">
      <c r="A195" s="6"/>
      <c r="B195" s="64" t="s">
        <v>248</v>
      </c>
      <c r="C195" s="65" t="s">
        <v>5</v>
      </c>
      <c r="D195" s="66">
        <v>46412</v>
      </c>
      <c r="E195" s="67">
        <f t="shared" si="4"/>
        <v>8.6956521739130432E-2</v>
      </c>
      <c r="F195" s="65"/>
      <c r="G195" s="73"/>
      <c r="H195" s="73"/>
      <c r="I195" s="73"/>
      <c r="J195" s="68">
        <v>1</v>
      </c>
      <c r="K195" s="73"/>
      <c r="L195" s="73"/>
      <c r="M195" s="73"/>
      <c r="N195" s="73"/>
      <c r="O195" s="68">
        <v>1</v>
      </c>
      <c r="P195" s="73"/>
      <c r="Q195" s="73"/>
      <c r="R195" s="73"/>
      <c r="S195" s="73"/>
      <c r="T195" s="73"/>
      <c r="U195" s="73"/>
      <c r="V195" s="73"/>
      <c r="W195" s="73"/>
      <c r="X195" s="73"/>
      <c r="Y195" s="73"/>
      <c r="Z195" s="73"/>
      <c r="AA195" s="76"/>
      <c r="AB195" s="75"/>
      <c r="AC195" s="73"/>
    </row>
    <row r="196" spans="1:29" s="1" customFormat="1" ht="40.15" customHeight="1" x14ac:dyDescent="0.25">
      <c r="A196" s="6"/>
      <c r="B196" s="64" t="s">
        <v>249</v>
      </c>
      <c r="C196" s="65" t="s">
        <v>5</v>
      </c>
      <c r="D196" s="66">
        <v>46412</v>
      </c>
      <c r="E196" s="67">
        <f t="shared" si="4"/>
        <v>8.6956521739130432E-2</v>
      </c>
      <c r="F196" s="65"/>
      <c r="G196" s="73"/>
      <c r="H196" s="73"/>
      <c r="I196" s="73"/>
      <c r="J196" s="68">
        <v>1</v>
      </c>
      <c r="K196" s="73"/>
      <c r="L196" s="73"/>
      <c r="M196" s="73"/>
      <c r="N196" s="73"/>
      <c r="O196" s="68">
        <v>1</v>
      </c>
      <c r="P196" s="73"/>
      <c r="Q196" s="73"/>
      <c r="R196" s="73"/>
      <c r="S196" s="73"/>
      <c r="T196" s="73"/>
      <c r="U196" s="73"/>
      <c r="V196" s="73"/>
      <c r="W196" s="73"/>
      <c r="X196" s="73"/>
      <c r="Y196" s="73"/>
      <c r="Z196" s="73"/>
      <c r="AA196" s="76"/>
      <c r="AB196" s="75"/>
      <c r="AC196" s="73"/>
    </row>
    <row r="197" spans="1:29" s="1" customFormat="1" ht="40.15" customHeight="1" x14ac:dyDescent="0.25">
      <c r="A197" s="6"/>
      <c r="B197" s="64" t="s">
        <v>250</v>
      </c>
      <c r="C197" s="65" t="s">
        <v>5</v>
      </c>
      <c r="D197" s="66">
        <v>46412</v>
      </c>
      <c r="E197" s="67">
        <f t="shared" si="4"/>
        <v>8.6956521739130432E-2</v>
      </c>
      <c r="F197" s="65"/>
      <c r="G197" s="73"/>
      <c r="H197" s="73"/>
      <c r="I197" s="73"/>
      <c r="J197" s="68">
        <v>1</v>
      </c>
      <c r="K197" s="73"/>
      <c r="L197" s="73"/>
      <c r="M197" s="73"/>
      <c r="N197" s="73"/>
      <c r="O197" s="68">
        <v>1</v>
      </c>
      <c r="P197" s="73"/>
      <c r="Q197" s="73"/>
      <c r="R197" s="73"/>
      <c r="S197" s="73"/>
      <c r="T197" s="73"/>
      <c r="U197" s="73"/>
      <c r="V197" s="73"/>
      <c r="W197" s="73"/>
      <c r="X197" s="73"/>
      <c r="Y197" s="73"/>
      <c r="Z197" s="73"/>
      <c r="AA197" s="76"/>
      <c r="AB197" s="75"/>
      <c r="AC197" s="73"/>
    </row>
    <row r="198" spans="1:29" s="1" customFormat="1" ht="40.15" customHeight="1" x14ac:dyDescent="0.25">
      <c r="A198" s="6"/>
      <c r="B198" s="64" t="s">
        <v>251</v>
      </c>
      <c r="C198" s="65" t="s">
        <v>5</v>
      </c>
      <c r="D198" s="66">
        <v>46412</v>
      </c>
      <c r="E198" s="67">
        <f t="shared" si="4"/>
        <v>8.6956521739130432E-2</v>
      </c>
      <c r="F198" s="65"/>
      <c r="G198" s="73"/>
      <c r="H198" s="73"/>
      <c r="I198" s="73"/>
      <c r="J198" s="68">
        <v>1</v>
      </c>
      <c r="K198" s="73"/>
      <c r="L198" s="73"/>
      <c r="M198" s="73"/>
      <c r="N198" s="73"/>
      <c r="O198" s="68">
        <v>1</v>
      </c>
      <c r="P198" s="73"/>
      <c r="Q198" s="73"/>
      <c r="R198" s="73"/>
      <c r="S198" s="73"/>
      <c r="T198" s="73"/>
      <c r="U198" s="73"/>
      <c r="V198" s="73"/>
      <c r="W198" s="73"/>
      <c r="X198" s="73"/>
      <c r="Y198" s="73"/>
      <c r="Z198" s="73"/>
      <c r="AA198" s="76"/>
      <c r="AB198" s="75"/>
      <c r="AC198" s="73"/>
    </row>
    <row r="199" spans="1:29" s="1" customFormat="1" ht="40.15" customHeight="1" x14ac:dyDescent="0.25">
      <c r="A199" s="6"/>
      <c r="B199" s="64" t="s">
        <v>252</v>
      </c>
      <c r="C199" s="65" t="s">
        <v>5</v>
      </c>
      <c r="D199" s="66">
        <v>46412</v>
      </c>
      <c r="E199" s="67">
        <f t="shared" si="4"/>
        <v>8.6956521739130432E-2</v>
      </c>
      <c r="F199" s="65"/>
      <c r="G199" s="73"/>
      <c r="H199" s="73"/>
      <c r="I199" s="73"/>
      <c r="J199" s="68">
        <v>1</v>
      </c>
      <c r="K199" s="73"/>
      <c r="L199" s="73"/>
      <c r="M199" s="73"/>
      <c r="N199" s="73"/>
      <c r="O199" s="68">
        <v>1</v>
      </c>
      <c r="P199" s="73"/>
      <c r="Q199" s="73"/>
      <c r="R199" s="73"/>
      <c r="S199" s="73"/>
      <c r="T199" s="73"/>
      <c r="U199" s="73"/>
      <c r="V199" s="73"/>
      <c r="W199" s="73"/>
      <c r="X199" s="73"/>
      <c r="Y199" s="73"/>
      <c r="Z199" s="73"/>
      <c r="AA199" s="76"/>
      <c r="AB199" s="75"/>
      <c r="AC199" s="73"/>
    </row>
    <row r="200" spans="1:29" s="1" customFormat="1" ht="40.15" customHeight="1" x14ac:dyDescent="0.25">
      <c r="A200" s="6"/>
      <c r="B200" s="64" t="s">
        <v>253</v>
      </c>
      <c r="C200" s="65" t="s">
        <v>5</v>
      </c>
      <c r="D200" s="66">
        <v>46412</v>
      </c>
      <c r="E200" s="67">
        <f t="shared" si="4"/>
        <v>8.6956521739130432E-2</v>
      </c>
      <c r="F200" s="65"/>
      <c r="G200" s="73"/>
      <c r="H200" s="73"/>
      <c r="I200" s="73"/>
      <c r="J200" s="68">
        <v>1</v>
      </c>
      <c r="K200" s="73"/>
      <c r="L200" s="73"/>
      <c r="M200" s="73"/>
      <c r="N200" s="73"/>
      <c r="O200" s="68">
        <v>1</v>
      </c>
      <c r="P200" s="73"/>
      <c r="Q200" s="73"/>
      <c r="R200" s="73"/>
      <c r="S200" s="73"/>
      <c r="T200" s="73"/>
      <c r="U200" s="73"/>
      <c r="V200" s="73"/>
      <c r="W200" s="73"/>
      <c r="X200" s="73"/>
      <c r="Y200" s="73"/>
      <c r="Z200" s="73"/>
      <c r="AA200" s="76"/>
      <c r="AB200" s="75"/>
      <c r="AC200" s="73"/>
    </row>
    <row r="201" spans="1:29" s="1" customFormat="1" ht="40.15" customHeight="1" x14ac:dyDescent="0.25">
      <c r="A201" s="6"/>
      <c r="B201" s="64" t="s">
        <v>254</v>
      </c>
      <c r="C201" s="65" t="s">
        <v>5</v>
      </c>
      <c r="D201" s="66">
        <v>46412</v>
      </c>
      <c r="E201" s="67">
        <f t="shared" si="4"/>
        <v>8.6956521739130432E-2</v>
      </c>
      <c r="F201" s="65"/>
      <c r="G201" s="73"/>
      <c r="H201" s="73"/>
      <c r="I201" s="73"/>
      <c r="J201" s="68">
        <v>1</v>
      </c>
      <c r="K201" s="73"/>
      <c r="L201" s="73"/>
      <c r="M201" s="73"/>
      <c r="N201" s="73"/>
      <c r="O201" s="68">
        <v>1</v>
      </c>
      <c r="P201" s="73"/>
      <c r="Q201" s="73"/>
      <c r="R201" s="73"/>
      <c r="S201" s="73"/>
      <c r="T201" s="73"/>
      <c r="U201" s="73"/>
      <c r="V201" s="73"/>
      <c r="W201" s="73"/>
      <c r="X201" s="73"/>
      <c r="Y201" s="73"/>
      <c r="Z201" s="73"/>
      <c r="AA201" s="76"/>
      <c r="AB201" s="75"/>
      <c r="AC201" s="73"/>
    </row>
    <row r="202" spans="1:29" s="1" customFormat="1" ht="40.15" customHeight="1" x14ac:dyDescent="0.25">
      <c r="A202" s="6"/>
      <c r="B202" s="64" t="s">
        <v>255</v>
      </c>
      <c r="C202" s="65" t="s">
        <v>5</v>
      </c>
      <c r="D202" s="66">
        <v>46412</v>
      </c>
      <c r="E202" s="67">
        <f t="shared" si="4"/>
        <v>8.6956521739130432E-2</v>
      </c>
      <c r="F202" s="65"/>
      <c r="G202" s="73"/>
      <c r="H202" s="73"/>
      <c r="I202" s="73"/>
      <c r="J202" s="68">
        <v>1</v>
      </c>
      <c r="K202" s="73"/>
      <c r="L202" s="73"/>
      <c r="M202" s="73"/>
      <c r="N202" s="73"/>
      <c r="O202" s="68">
        <v>1</v>
      </c>
      <c r="P202" s="73"/>
      <c r="Q202" s="73"/>
      <c r="R202" s="73"/>
      <c r="S202" s="73"/>
      <c r="T202" s="73"/>
      <c r="U202" s="73"/>
      <c r="V202" s="73"/>
      <c r="W202" s="73"/>
      <c r="X202" s="73"/>
      <c r="Y202" s="73"/>
      <c r="Z202" s="73"/>
      <c r="AA202" s="76"/>
      <c r="AB202" s="75"/>
      <c r="AC202" s="73"/>
    </row>
    <row r="203" spans="1:29" s="1" customFormat="1" ht="40.15" customHeight="1" x14ac:dyDescent="0.25">
      <c r="A203" s="6"/>
      <c r="B203" s="64" t="s">
        <v>256</v>
      </c>
      <c r="C203" s="65" t="s">
        <v>5</v>
      </c>
      <c r="D203" s="66">
        <v>46412</v>
      </c>
      <c r="E203" s="67">
        <f t="shared" si="4"/>
        <v>8.6956521739130432E-2</v>
      </c>
      <c r="F203" s="65"/>
      <c r="G203" s="73"/>
      <c r="H203" s="73"/>
      <c r="I203" s="73"/>
      <c r="J203" s="68">
        <v>1</v>
      </c>
      <c r="K203" s="73"/>
      <c r="L203" s="73"/>
      <c r="M203" s="73"/>
      <c r="N203" s="73"/>
      <c r="O203" s="68">
        <v>1</v>
      </c>
      <c r="P203" s="73"/>
      <c r="Q203" s="73"/>
      <c r="R203" s="73"/>
      <c r="S203" s="73"/>
      <c r="T203" s="73"/>
      <c r="U203" s="73"/>
      <c r="V203" s="73"/>
      <c r="W203" s="73"/>
      <c r="X203" s="73"/>
      <c r="Y203" s="73"/>
      <c r="Z203" s="73"/>
      <c r="AA203" s="76"/>
      <c r="AB203" s="75"/>
      <c r="AC203" s="73"/>
    </row>
    <row r="204" spans="1:29" s="1" customFormat="1" ht="40.15" customHeight="1" x14ac:dyDescent="0.25">
      <c r="A204" s="6"/>
      <c r="B204" s="64" t="s">
        <v>257</v>
      </c>
      <c r="C204" s="65" t="s">
        <v>5</v>
      </c>
      <c r="D204" s="66">
        <v>46412</v>
      </c>
      <c r="E204" s="67">
        <f t="shared" si="4"/>
        <v>8.6956521739130432E-2</v>
      </c>
      <c r="F204" s="65"/>
      <c r="G204" s="73"/>
      <c r="H204" s="73"/>
      <c r="I204" s="73"/>
      <c r="J204" s="68">
        <v>1</v>
      </c>
      <c r="K204" s="73"/>
      <c r="L204" s="73"/>
      <c r="M204" s="73"/>
      <c r="N204" s="73"/>
      <c r="O204" s="68">
        <v>1</v>
      </c>
      <c r="P204" s="73"/>
      <c r="Q204" s="73"/>
      <c r="R204" s="73"/>
      <c r="S204" s="73"/>
      <c r="T204" s="73"/>
      <c r="U204" s="73"/>
      <c r="V204" s="73"/>
      <c r="W204" s="73"/>
      <c r="X204" s="73"/>
      <c r="Y204" s="73"/>
      <c r="Z204" s="73"/>
      <c r="AA204" s="76"/>
      <c r="AB204" s="75"/>
      <c r="AC204" s="73"/>
    </row>
    <row r="205" spans="1:29" s="1" customFormat="1" ht="40.15" customHeight="1" x14ac:dyDescent="0.25">
      <c r="A205" s="6"/>
      <c r="B205" s="64" t="s">
        <v>258</v>
      </c>
      <c r="C205" s="65" t="s">
        <v>5</v>
      </c>
      <c r="D205" s="66">
        <v>46412</v>
      </c>
      <c r="E205" s="67">
        <f t="shared" si="4"/>
        <v>8.6956521739130432E-2</v>
      </c>
      <c r="F205" s="65"/>
      <c r="G205" s="73"/>
      <c r="H205" s="73"/>
      <c r="I205" s="73"/>
      <c r="J205" s="68">
        <v>1</v>
      </c>
      <c r="K205" s="73"/>
      <c r="L205" s="73"/>
      <c r="M205" s="73"/>
      <c r="N205" s="73"/>
      <c r="O205" s="68">
        <v>1</v>
      </c>
      <c r="P205" s="73"/>
      <c r="Q205" s="73"/>
      <c r="R205" s="73"/>
      <c r="S205" s="73"/>
      <c r="T205" s="73"/>
      <c r="U205" s="73"/>
      <c r="V205" s="73"/>
      <c r="W205" s="73"/>
      <c r="X205" s="73"/>
      <c r="Y205" s="73"/>
      <c r="Z205" s="73"/>
      <c r="AA205" s="76"/>
      <c r="AB205" s="75"/>
      <c r="AC205" s="73"/>
    </row>
    <row r="206" spans="1:29" s="1" customFormat="1" ht="40.15" customHeight="1" x14ac:dyDescent="0.25">
      <c r="A206" s="6"/>
      <c r="B206" s="64" t="s">
        <v>259</v>
      </c>
      <c r="C206" s="65" t="s">
        <v>5</v>
      </c>
      <c r="D206" s="66">
        <v>46412</v>
      </c>
      <c r="E206" s="67">
        <f t="shared" si="4"/>
        <v>8.6956521739130432E-2</v>
      </c>
      <c r="F206" s="65"/>
      <c r="G206" s="73"/>
      <c r="H206" s="73"/>
      <c r="I206" s="73"/>
      <c r="J206" s="68">
        <v>1</v>
      </c>
      <c r="K206" s="73"/>
      <c r="L206" s="73"/>
      <c r="M206" s="73"/>
      <c r="N206" s="73"/>
      <c r="O206" s="68">
        <v>1</v>
      </c>
      <c r="P206" s="73"/>
      <c r="Q206" s="73"/>
      <c r="R206" s="73"/>
      <c r="S206" s="73"/>
      <c r="T206" s="73"/>
      <c r="U206" s="73"/>
      <c r="V206" s="73"/>
      <c r="W206" s="73"/>
      <c r="X206" s="73"/>
      <c r="Y206" s="73"/>
      <c r="Z206" s="73"/>
      <c r="AA206" s="76"/>
      <c r="AB206" s="75"/>
      <c r="AC206" s="73"/>
    </row>
    <row r="207" spans="1:29" s="1" customFormat="1" ht="40.15" customHeight="1" x14ac:dyDescent="0.25">
      <c r="A207" s="6"/>
      <c r="B207" s="64" t="s">
        <v>260</v>
      </c>
      <c r="C207" s="65" t="s">
        <v>5</v>
      </c>
      <c r="D207" s="66">
        <v>46412</v>
      </c>
      <c r="E207" s="67">
        <f t="shared" si="4"/>
        <v>8.6956521739130432E-2</v>
      </c>
      <c r="F207" s="65"/>
      <c r="G207" s="73"/>
      <c r="H207" s="73"/>
      <c r="I207" s="73"/>
      <c r="J207" s="68">
        <v>1</v>
      </c>
      <c r="K207" s="73"/>
      <c r="L207" s="73"/>
      <c r="M207" s="73"/>
      <c r="N207" s="73"/>
      <c r="O207" s="68">
        <v>1</v>
      </c>
      <c r="P207" s="73"/>
      <c r="Q207" s="73"/>
      <c r="R207" s="73"/>
      <c r="S207" s="73"/>
      <c r="T207" s="73"/>
      <c r="U207" s="73"/>
      <c r="V207" s="73"/>
      <c r="W207" s="73"/>
      <c r="X207" s="73"/>
      <c r="Y207" s="73"/>
      <c r="Z207" s="73"/>
      <c r="AA207" s="76"/>
      <c r="AB207" s="75"/>
      <c r="AC207" s="73"/>
    </row>
    <row r="208" spans="1:29" s="1" customFormat="1" ht="40.15" customHeight="1" x14ac:dyDescent="0.25">
      <c r="A208" s="6"/>
      <c r="B208" s="64" t="s">
        <v>261</v>
      </c>
      <c r="C208" s="65" t="s">
        <v>5</v>
      </c>
      <c r="D208" s="66">
        <v>46412</v>
      </c>
      <c r="E208" s="67">
        <f t="shared" si="4"/>
        <v>8.6956521739130432E-2</v>
      </c>
      <c r="F208" s="65"/>
      <c r="G208" s="73"/>
      <c r="H208" s="73"/>
      <c r="I208" s="73"/>
      <c r="J208" s="68">
        <v>1</v>
      </c>
      <c r="K208" s="73"/>
      <c r="L208" s="73"/>
      <c r="M208" s="73"/>
      <c r="N208" s="73"/>
      <c r="O208" s="68">
        <v>1</v>
      </c>
      <c r="P208" s="73"/>
      <c r="Q208" s="73"/>
      <c r="R208" s="73"/>
      <c r="S208" s="73"/>
      <c r="T208" s="73"/>
      <c r="U208" s="73"/>
      <c r="V208" s="73"/>
      <c r="W208" s="73"/>
      <c r="X208" s="73"/>
      <c r="Y208" s="73"/>
      <c r="Z208" s="73"/>
      <c r="AA208" s="76"/>
      <c r="AB208" s="75"/>
      <c r="AC208" s="73"/>
    </row>
    <row r="209" spans="1:29" s="1" customFormat="1" ht="40.15" customHeight="1" x14ac:dyDescent="0.25">
      <c r="A209" s="6"/>
      <c r="B209" s="64" t="s">
        <v>262</v>
      </c>
      <c r="C209" s="65" t="s">
        <v>5</v>
      </c>
      <c r="D209" s="66">
        <v>46412</v>
      </c>
      <c r="E209" s="67">
        <f t="shared" si="4"/>
        <v>8.6956521739130432E-2</v>
      </c>
      <c r="F209" s="65"/>
      <c r="G209" s="73"/>
      <c r="H209" s="73"/>
      <c r="I209" s="73"/>
      <c r="J209" s="68">
        <v>1</v>
      </c>
      <c r="K209" s="73"/>
      <c r="L209" s="73"/>
      <c r="M209" s="73"/>
      <c r="N209" s="73"/>
      <c r="O209" s="68">
        <v>1</v>
      </c>
      <c r="P209" s="73"/>
      <c r="Q209" s="73"/>
      <c r="R209" s="73"/>
      <c r="S209" s="73"/>
      <c r="T209" s="73"/>
      <c r="U209" s="73"/>
      <c r="V209" s="73"/>
      <c r="W209" s="73"/>
      <c r="X209" s="73"/>
      <c r="Y209" s="73"/>
      <c r="Z209" s="73"/>
      <c r="AA209" s="76"/>
      <c r="AB209" s="75"/>
      <c r="AC209" s="73"/>
    </row>
    <row r="210" spans="1:29" s="1" customFormat="1" ht="40.15" customHeight="1" x14ac:dyDescent="0.25">
      <c r="A210" s="6"/>
      <c r="B210" s="64" t="s">
        <v>263</v>
      </c>
      <c r="C210" s="65" t="s">
        <v>5</v>
      </c>
      <c r="D210" s="66">
        <v>46412</v>
      </c>
      <c r="E210" s="67">
        <f t="shared" si="4"/>
        <v>8.6956521739130432E-2</v>
      </c>
      <c r="F210" s="65"/>
      <c r="G210" s="73"/>
      <c r="H210" s="73"/>
      <c r="I210" s="73"/>
      <c r="J210" s="68">
        <v>1</v>
      </c>
      <c r="K210" s="73"/>
      <c r="L210" s="73"/>
      <c r="M210" s="73"/>
      <c r="N210" s="73"/>
      <c r="O210" s="68">
        <v>1</v>
      </c>
      <c r="P210" s="73"/>
      <c r="Q210" s="73"/>
      <c r="R210" s="73"/>
      <c r="S210" s="73"/>
      <c r="T210" s="73"/>
      <c r="U210" s="73"/>
      <c r="V210" s="73"/>
      <c r="W210" s="73"/>
      <c r="X210" s="73"/>
      <c r="Y210" s="73"/>
      <c r="Z210" s="73"/>
      <c r="AA210" s="76"/>
      <c r="AB210" s="75"/>
      <c r="AC210" s="73"/>
    </row>
    <row r="211" spans="1:29" s="1" customFormat="1" ht="40.15" customHeight="1" x14ac:dyDescent="0.25">
      <c r="A211" s="6"/>
      <c r="B211" s="64" t="s">
        <v>264</v>
      </c>
      <c r="C211" s="65" t="s">
        <v>5</v>
      </c>
      <c r="D211" s="66">
        <v>46412</v>
      </c>
      <c r="E211" s="67">
        <f t="shared" si="4"/>
        <v>8.6956521739130432E-2</v>
      </c>
      <c r="F211" s="65"/>
      <c r="G211" s="73"/>
      <c r="H211" s="73"/>
      <c r="I211" s="73"/>
      <c r="J211" s="68">
        <v>1</v>
      </c>
      <c r="K211" s="73"/>
      <c r="L211" s="73"/>
      <c r="M211" s="73"/>
      <c r="N211" s="73"/>
      <c r="O211" s="68">
        <v>1</v>
      </c>
      <c r="P211" s="73"/>
      <c r="Q211" s="73"/>
      <c r="R211" s="73"/>
      <c r="S211" s="73"/>
      <c r="T211" s="73"/>
      <c r="U211" s="73"/>
      <c r="V211" s="73"/>
      <c r="W211" s="73"/>
      <c r="X211" s="73"/>
      <c r="Y211" s="73"/>
      <c r="Z211" s="73"/>
      <c r="AA211" s="76"/>
      <c r="AB211" s="75"/>
      <c r="AC211" s="73"/>
    </row>
    <row r="212" spans="1:29" s="1" customFormat="1" ht="40.15" customHeight="1" x14ac:dyDescent="0.25">
      <c r="A212" s="6"/>
      <c r="B212" s="64" t="s">
        <v>265</v>
      </c>
      <c r="C212" s="65" t="s">
        <v>5</v>
      </c>
      <c r="D212" s="66">
        <v>46412</v>
      </c>
      <c r="E212" s="67">
        <f t="shared" si="4"/>
        <v>8.6956521739130432E-2</v>
      </c>
      <c r="F212" s="65"/>
      <c r="G212" s="73"/>
      <c r="H212" s="73"/>
      <c r="I212" s="73"/>
      <c r="J212" s="68">
        <v>1</v>
      </c>
      <c r="K212" s="73"/>
      <c r="L212" s="73"/>
      <c r="M212" s="73"/>
      <c r="N212" s="73"/>
      <c r="O212" s="68">
        <v>1</v>
      </c>
      <c r="P212" s="73"/>
      <c r="Q212" s="73"/>
      <c r="R212" s="73"/>
      <c r="S212" s="73"/>
      <c r="T212" s="73"/>
      <c r="U212" s="73"/>
      <c r="V212" s="73"/>
      <c r="W212" s="73"/>
      <c r="X212" s="73"/>
      <c r="Y212" s="73"/>
      <c r="Z212" s="73"/>
      <c r="AA212" s="76"/>
      <c r="AB212" s="75"/>
      <c r="AC212" s="73"/>
    </row>
    <row r="213" spans="1:29" s="1" customFormat="1" ht="40.15" customHeight="1" x14ac:dyDescent="0.25">
      <c r="A213" s="6"/>
      <c r="B213" s="64" t="s">
        <v>266</v>
      </c>
      <c r="C213" s="65" t="s">
        <v>5</v>
      </c>
      <c r="D213" s="66">
        <v>46412</v>
      </c>
      <c r="E213" s="67">
        <f t="shared" si="4"/>
        <v>8.6956521739130432E-2</v>
      </c>
      <c r="F213" s="65"/>
      <c r="G213" s="73"/>
      <c r="H213" s="73"/>
      <c r="I213" s="73"/>
      <c r="J213" s="68">
        <v>1</v>
      </c>
      <c r="K213" s="73"/>
      <c r="L213" s="73"/>
      <c r="M213" s="73"/>
      <c r="N213" s="73"/>
      <c r="O213" s="68">
        <v>1</v>
      </c>
      <c r="P213" s="73"/>
      <c r="Q213" s="73"/>
      <c r="R213" s="73"/>
      <c r="S213" s="73"/>
      <c r="T213" s="73"/>
      <c r="U213" s="73"/>
      <c r="V213" s="73"/>
      <c r="W213" s="73"/>
      <c r="X213" s="73"/>
      <c r="Y213" s="73"/>
      <c r="Z213" s="73"/>
      <c r="AA213" s="76"/>
      <c r="AB213" s="75"/>
      <c r="AC213" s="73"/>
    </row>
    <row r="214" spans="1:29" s="1" customFormat="1" ht="40.15" customHeight="1" thickBot="1" x14ac:dyDescent="0.3">
      <c r="A214" s="60"/>
      <c r="B214" s="64" t="s">
        <v>267</v>
      </c>
      <c r="C214" s="65" t="s">
        <v>5</v>
      </c>
      <c r="D214" s="66">
        <v>46412</v>
      </c>
      <c r="E214" s="67">
        <f t="shared" si="4"/>
        <v>8.6956521739130432E-2</v>
      </c>
      <c r="F214" s="65"/>
      <c r="G214" s="73"/>
      <c r="H214" s="73"/>
      <c r="I214" s="73"/>
      <c r="J214" s="68">
        <v>1</v>
      </c>
      <c r="K214" s="73"/>
      <c r="L214" s="73"/>
      <c r="M214" s="73"/>
      <c r="N214" s="73"/>
      <c r="O214" s="68">
        <v>1</v>
      </c>
      <c r="P214" s="73"/>
      <c r="Q214" s="73"/>
      <c r="R214" s="73"/>
      <c r="S214" s="73"/>
      <c r="T214" s="73"/>
      <c r="U214" s="73"/>
      <c r="V214" s="73"/>
      <c r="W214" s="73"/>
      <c r="X214" s="73"/>
      <c r="Y214" s="73"/>
      <c r="Z214" s="73"/>
      <c r="AA214" s="76"/>
      <c r="AB214" s="75"/>
      <c r="AC214" s="73"/>
    </row>
    <row r="215" spans="1:29" s="1" customFormat="1" ht="40.15" customHeight="1" x14ac:dyDescent="0.25">
      <c r="A215" s="6"/>
      <c r="B215" s="64" t="s">
        <v>268</v>
      </c>
      <c r="C215" s="65" t="s">
        <v>5</v>
      </c>
      <c r="D215" s="66">
        <v>46426</v>
      </c>
      <c r="E215" s="67">
        <f t="shared" si="4"/>
        <v>8.6956521739130432E-2</v>
      </c>
      <c r="F215" s="65"/>
      <c r="G215" s="73"/>
      <c r="H215" s="73"/>
      <c r="I215" s="73"/>
      <c r="J215" s="68">
        <v>1</v>
      </c>
      <c r="K215" s="73"/>
      <c r="L215" s="73"/>
      <c r="M215" s="73"/>
      <c r="N215" s="73"/>
      <c r="O215" s="68">
        <v>1</v>
      </c>
      <c r="P215" s="73"/>
      <c r="Q215" s="73"/>
      <c r="R215" s="73"/>
      <c r="S215" s="73"/>
      <c r="T215" s="73"/>
      <c r="U215" s="73"/>
      <c r="V215" s="73"/>
      <c r="W215" s="73"/>
      <c r="X215" s="73"/>
      <c r="Y215" s="73"/>
      <c r="Z215" s="73"/>
      <c r="AA215" s="71"/>
      <c r="AB215" s="75"/>
      <c r="AC215" s="73"/>
    </row>
    <row r="216" spans="1:29" s="1" customFormat="1" ht="40.15" customHeight="1" x14ac:dyDescent="0.25">
      <c r="A216" s="6"/>
      <c r="B216" s="64" t="s">
        <v>269</v>
      </c>
      <c r="C216" s="65" t="s">
        <v>5</v>
      </c>
      <c r="D216" s="66">
        <v>46426</v>
      </c>
      <c r="E216" s="67">
        <f t="shared" si="4"/>
        <v>8.6956521739130432E-2</v>
      </c>
      <c r="F216" s="65"/>
      <c r="G216" s="73"/>
      <c r="H216" s="73"/>
      <c r="I216" s="73"/>
      <c r="J216" s="68">
        <v>1</v>
      </c>
      <c r="K216" s="73"/>
      <c r="L216" s="73"/>
      <c r="M216" s="73"/>
      <c r="N216" s="73"/>
      <c r="O216" s="68">
        <v>1</v>
      </c>
      <c r="P216" s="73"/>
      <c r="Q216" s="73"/>
      <c r="R216" s="73"/>
      <c r="S216" s="73"/>
      <c r="T216" s="73"/>
      <c r="U216" s="73"/>
      <c r="V216" s="73"/>
      <c r="W216" s="73"/>
      <c r="X216" s="73"/>
      <c r="Y216" s="73"/>
      <c r="Z216" s="73"/>
      <c r="AA216" s="71"/>
      <c r="AB216" s="75"/>
      <c r="AC216" s="73"/>
    </row>
    <row r="217" spans="1:29" s="1" customFormat="1" ht="40.15" customHeight="1" x14ac:dyDescent="0.25">
      <c r="A217" s="6"/>
      <c r="B217" s="64" t="s">
        <v>270</v>
      </c>
      <c r="C217" s="65" t="s">
        <v>5</v>
      </c>
      <c r="D217" s="66">
        <v>46426</v>
      </c>
      <c r="E217" s="67">
        <f t="shared" si="4"/>
        <v>8.6956521739130432E-2</v>
      </c>
      <c r="F217" s="65"/>
      <c r="G217" s="73"/>
      <c r="H217" s="73"/>
      <c r="I217" s="73"/>
      <c r="J217" s="68">
        <v>1</v>
      </c>
      <c r="K217" s="73"/>
      <c r="L217" s="73"/>
      <c r="M217" s="73"/>
      <c r="N217" s="73"/>
      <c r="O217" s="68">
        <v>1</v>
      </c>
      <c r="P217" s="73"/>
      <c r="Q217" s="73"/>
      <c r="R217" s="73"/>
      <c r="S217" s="73"/>
      <c r="T217" s="73"/>
      <c r="U217" s="73"/>
      <c r="V217" s="73"/>
      <c r="W217" s="73"/>
      <c r="X217" s="73"/>
      <c r="Y217" s="73"/>
      <c r="Z217" s="73"/>
      <c r="AA217" s="71"/>
      <c r="AB217" s="75"/>
      <c r="AC217" s="73"/>
    </row>
    <row r="218" spans="1:29" s="1" customFormat="1" ht="40.15" customHeight="1" x14ac:dyDescent="0.25">
      <c r="A218" s="6"/>
      <c r="B218" s="64" t="s">
        <v>271</v>
      </c>
      <c r="C218" s="65" t="s">
        <v>5</v>
      </c>
      <c r="D218" s="66">
        <v>46426</v>
      </c>
      <c r="E218" s="67">
        <f t="shared" si="4"/>
        <v>8.6956521739130432E-2</v>
      </c>
      <c r="F218" s="65"/>
      <c r="G218" s="73"/>
      <c r="H218" s="73"/>
      <c r="I218" s="73"/>
      <c r="J218" s="68">
        <v>1</v>
      </c>
      <c r="K218" s="73"/>
      <c r="L218" s="73"/>
      <c r="M218" s="73"/>
      <c r="N218" s="73"/>
      <c r="O218" s="68">
        <v>1</v>
      </c>
      <c r="P218" s="73"/>
      <c r="Q218" s="73"/>
      <c r="R218" s="73"/>
      <c r="S218" s="73"/>
      <c r="T218" s="73"/>
      <c r="U218" s="73"/>
      <c r="V218" s="73"/>
      <c r="W218" s="73"/>
      <c r="X218" s="73"/>
      <c r="Y218" s="73"/>
      <c r="Z218" s="73"/>
      <c r="AA218" s="71"/>
      <c r="AB218" s="75"/>
      <c r="AC218" s="73"/>
    </row>
    <row r="219" spans="1:29" s="1" customFormat="1" ht="40.15" customHeight="1" x14ac:dyDescent="0.25">
      <c r="A219" s="6"/>
      <c r="B219" s="64" t="s">
        <v>272</v>
      </c>
      <c r="C219" s="65" t="s">
        <v>5</v>
      </c>
      <c r="D219" s="66">
        <v>46426</v>
      </c>
      <c r="E219" s="67">
        <f t="shared" si="4"/>
        <v>8.6956521739130432E-2</v>
      </c>
      <c r="F219" s="65"/>
      <c r="G219" s="73"/>
      <c r="H219" s="73"/>
      <c r="I219" s="73"/>
      <c r="J219" s="68">
        <v>1</v>
      </c>
      <c r="K219" s="73"/>
      <c r="L219" s="73"/>
      <c r="M219" s="73"/>
      <c r="N219" s="73"/>
      <c r="O219" s="68">
        <v>1</v>
      </c>
      <c r="P219" s="73"/>
      <c r="Q219" s="73"/>
      <c r="R219" s="73"/>
      <c r="S219" s="73"/>
      <c r="T219" s="73"/>
      <c r="U219" s="73"/>
      <c r="V219" s="73"/>
      <c r="W219" s="73"/>
      <c r="X219" s="73"/>
      <c r="Y219" s="73"/>
      <c r="Z219" s="73"/>
      <c r="AA219" s="71"/>
      <c r="AB219" s="75"/>
      <c r="AC219" s="73"/>
    </row>
    <row r="220" spans="1:29" s="1" customFormat="1" ht="40.15" customHeight="1" x14ac:dyDescent="0.25">
      <c r="A220" s="6"/>
      <c r="B220" s="64" t="s">
        <v>273</v>
      </c>
      <c r="C220" s="65" t="s">
        <v>5</v>
      </c>
      <c r="D220" s="66">
        <v>46426</v>
      </c>
      <c r="E220" s="67">
        <f t="shared" si="4"/>
        <v>8.6956521739130432E-2</v>
      </c>
      <c r="F220" s="65"/>
      <c r="G220" s="73"/>
      <c r="H220" s="73"/>
      <c r="I220" s="73"/>
      <c r="J220" s="68">
        <v>1</v>
      </c>
      <c r="K220" s="73"/>
      <c r="L220" s="73"/>
      <c r="M220" s="73"/>
      <c r="N220" s="73"/>
      <c r="O220" s="68">
        <v>1</v>
      </c>
      <c r="P220" s="73"/>
      <c r="Q220" s="73"/>
      <c r="R220" s="73"/>
      <c r="S220" s="73"/>
      <c r="T220" s="73"/>
      <c r="U220" s="73"/>
      <c r="V220" s="73"/>
      <c r="W220" s="73"/>
      <c r="X220" s="73"/>
      <c r="Y220" s="73"/>
      <c r="Z220" s="73"/>
      <c r="AA220" s="71"/>
      <c r="AB220" s="75"/>
      <c r="AC220" s="73"/>
    </row>
    <row r="221" spans="1:29" s="1" customFormat="1" ht="40.15" customHeight="1" x14ac:dyDescent="0.25">
      <c r="A221" s="6"/>
      <c r="B221" s="64" t="s">
        <v>274</v>
      </c>
      <c r="C221" s="65" t="s">
        <v>5</v>
      </c>
      <c r="D221" s="66">
        <v>46426</v>
      </c>
      <c r="E221" s="67">
        <f t="shared" ref="E221:E226" si="5">COUNT(G221:AC221)/23</f>
        <v>8.6956521739130432E-2</v>
      </c>
      <c r="F221" s="65"/>
      <c r="G221" s="73"/>
      <c r="H221" s="73"/>
      <c r="I221" s="73"/>
      <c r="J221" s="68">
        <v>1</v>
      </c>
      <c r="K221" s="73"/>
      <c r="L221" s="73"/>
      <c r="M221" s="73"/>
      <c r="N221" s="73"/>
      <c r="O221" s="68">
        <v>1</v>
      </c>
      <c r="P221" s="73"/>
      <c r="Q221" s="73"/>
      <c r="R221" s="73"/>
      <c r="S221" s="73"/>
      <c r="T221" s="73"/>
      <c r="U221" s="73"/>
      <c r="V221" s="73"/>
      <c r="W221" s="73"/>
      <c r="X221" s="73"/>
      <c r="Y221" s="73"/>
      <c r="Z221" s="73"/>
      <c r="AA221" s="71"/>
      <c r="AB221" s="75"/>
      <c r="AC221" s="73"/>
    </row>
    <row r="222" spans="1:29" s="1" customFormat="1" ht="40.15" customHeight="1" x14ac:dyDescent="0.25">
      <c r="A222" s="6"/>
      <c r="B222" s="64" t="s">
        <v>275</v>
      </c>
      <c r="C222" s="65" t="s">
        <v>5</v>
      </c>
      <c r="D222" s="66">
        <v>46426</v>
      </c>
      <c r="E222" s="67">
        <f t="shared" si="5"/>
        <v>8.6956521739130432E-2</v>
      </c>
      <c r="F222" s="65"/>
      <c r="G222" s="73"/>
      <c r="H222" s="73"/>
      <c r="I222" s="73"/>
      <c r="J222" s="68">
        <v>1</v>
      </c>
      <c r="K222" s="73"/>
      <c r="L222" s="73"/>
      <c r="M222" s="73"/>
      <c r="N222" s="73"/>
      <c r="O222" s="68">
        <v>1</v>
      </c>
      <c r="P222" s="73"/>
      <c r="Q222" s="73"/>
      <c r="R222" s="73"/>
      <c r="S222" s="73"/>
      <c r="T222" s="73"/>
      <c r="U222" s="73"/>
      <c r="V222" s="73"/>
      <c r="W222" s="73"/>
      <c r="X222" s="73"/>
      <c r="Y222" s="73"/>
      <c r="Z222" s="73"/>
      <c r="AA222" s="71"/>
      <c r="AB222" s="75"/>
      <c r="AC222" s="73"/>
    </row>
    <row r="223" spans="1:29" s="1" customFormat="1" ht="40.15" customHeight="1" x14ac:dyDescent="0.25">
      <c r="A223" s="6"/>
      <c r="B223" s="64" t="s">
        <v>276</v>
      </c>
      <c r="C223" s="65" t="s">
        <v>5</v>
      </c>
      <c r="D223" s="66">
        <v>46426</v>
      </c>
      <c r="E223" s="67">
        <f t="shared" si="5"/>
        <v>8.6956521739130432E-2</v>
      </c>
      <c r="F223" s="65"/>
      <c r="G223" s="73"/>
      <c r="H223" s="73"/>
      <c r="I223" s="73"/>
      <c r="J223" s="68">
        <v>1</v>
      </c>
      <c r="K223" s="73"/>
      <c r="L223" s="73"/>
      <c r="M223" s="73"/>
      <c r="N223" s="73"/>
      <c r="O223" s="68">
        <v>1</v>
      </c>
      <c r="P223" s="73"/>
      <c r="Q223" s="73"/>
      <c r="R223" s="73"/>
      <c r="S223" s="73"/>
      <c r="T223" s="73"/>
      <c r="U223" s="73"/>
      <c r="V223" s="73"/>
      <c r="W223" s="73"/>
      <c r="X223" s="73"/>
      <c r="Y223" s="73"/>
      <c r="Z223" s="73"/>
      <c r="AA223" s="71"/>
      <c r="AB223" s="75"/>
      <c r="AC223" s="73"/>
    </row>
    <row r="224" spans="1:29" s="1" customFormat="1" ht="40.15" customHeight="1" x14ac:dyDescent="0.25">
      <c r="A224" s="6"/>
      <c r="B224" s="64" t="s">
        <v>277</v>
      </c>
      <c r="C224" s="65" t="s">
        <v>5</v>
      </c>
      <c r="D224" s="66">
        <v>46426</v>
      </c>
      <c r="E224" s="67">
        <f t="shared" si="5"/>
        <v>8.6956521739130432E-2</v>
      </c>
      <c r="F224" s="65"/>
      <c r="G224" s="73"/>
      <c r="H224" s="73"/>
      <c r="I224" s="73"/>
      <c r="J224" s="68">
        <v>1</v>
      </c>
      <c r="K224" s="73"/>
      <c r="L224" s="73"/>
      <c r="M224" s="73"/>
      <c r="N224" s="73"/>
      <c r="O224" s="68">
        <v>1</v>
      </c>
      <c r="P224" s="73"/>
      <c r="Q224" s="73"/>
      <c r="R224" s="73"/>
      <c r="S224" s="73"/>
      <c r="T224" s="73"/>
      <c r="U224" s="73"/>
      <c r="V224" s="73"/>
      <c r="W224" s="73"/>
      <c r="X224" s="73"/>
      <c r="Y224" s="73"/>
      <c r="Z224" s="73"/>
      <c r="AA224" s="71"/>
      <c r="AB224" s="75"/>
      <c r="AC224" s="73"/>
    </row>
    <row r="225" spans="1:29" s="1" customFormat="1" ht="40.15" customHeight="1" x14ac:dyDescent="0.25">
      <c r="A225" s="6"/>
      <c r="B225" s="64" t="s">
        <v>278</v>
      </c>
      <c r="C225" s="65" t="s">
        <v>5</v>
      </c>
      <c r="D225" s="66">
        <v>46426</v>
      </c>
      <c r="E225" s="67">
        <f t="shared" si="5"/>
        <v>8.6956521739130432E-2</v>
      </c>
      <c r="F225" s="65"/>
      <c r="G225" s="73"/>
      <c r="H225" s="73"/>
      <c r="I225" s="73"/>
      <c r="J225" s="68">
        <v>1</v>
      </c>
      <c r="K225" s="73"/>
      <c r="L225" s="73"/>
      <c r="M225" s="73"/>
      <c r="N225" s="73"/>
      <c r="O225" s="68">
        <v>1</v>
      </c>
      <c r="P225" s="73"/>
      <c r="Q225" s="73"/>
      <c r="R225" s="73"/>
      <c r="S225" s="73"/>
      <c r="T225" s="73"/>
      <c r="U225" s="73"/>
      <c r="V225" s="73"/>
      <c r="W225" s="73"/>
      <c r="X225" s="73"/>
      <c r="Y225" s="73"/>
      <c r="Z225" s="73"/>
      <c r="AA225" s="71"/>
      <c r="AB225" s="75"/>
      <c r="AC225" s="73"/>
    </row>
    <row r="226" spans="1:29" s="1" customFormat="1" ht="40.15" customHeight="1" thickBot="1" x14ac:dyDescent="0.3">
      <c r="A226" s="60"/>
      <c r="B226" s="64" t="s">
        <v>279</v>
      </c>
      <c r="C226" s="65" t="s">
        <v>5</v>
      </c>
      <c r="D226" s="66">
        <v>46426</v>
      </c>
      <c r="E226" s="67">
        <f t="shared" si="5"/>
        <v>8.6956521739130432E-2</v>
      </c>
      <c r="F226" s="65"/>
      <c r="G226" s="73"/>
      <c r="H226" s="73"/>
      <c r="I226" s="73"/>
      <c r="J226" s="68">
        <v>1</v>
      </c>
      <c r="K226" s="73"/>
      <c r="L226" s="73"/>
      <c r="M226" s="73"/>
      <c r="N226" s="73"/>
      <c r="O226" s="68">
        <v>1</v>
      </c>
      <c r="P226" s="73"/>
      <c r="Q226" s="73"/>
      <c r="R226" s="73"/>
      <c r="S226" s="73"/>
      <c r="T226" s="73"/>
      <c r="U226" s="73"/>
      <c r="V226" s="73"/>
      <c r="W226" s="73"/>
      <c r="X226" s="73"/>
      <c r="Y226" s="73"/>
      <c r="Z226" s="73"/>
      <c r="AA226" s="71"/>
      <c r="AB226" s="75"/>
      <c r="AC226" s="73"/>
    </row>
  </sheetData>
  <mergeCells count="5">
    <mergeCell ref="G1:J1"/>
    <mergeCell ref="L1:O1"/>
    <mergeCell ref="W1:X1"/>
    <mergeCell ref="Q1:R1"/>
    <mergeCell ref="T1:U1"/>
  </mergeCells>
  <phoneticPr fontId="24" type="noConversion"/>
  <conditionalFormatting sqref="E2:E226">
    <cfRule type="dataBar" priority="19">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G3:O3 T3:Y3 AA3:AB3 AB4:AB10 Z7:Z26 Y27 W28:Y29 V30:Y33 U34:Y34 T35:Y226 G41:G57 I41:I57 L55:L67 G58:I226 L68:N135 K125:K135 K136:N226">
    <cfRule type="expression" dxfId="37" priority="15">
      <formula>AND(TODAY()&gt;=G$2,TODAY()&lt;H$2)</formula>
    </cfRule>
  </conditionalFormatting>
  <conditionalFormatting sqref="G3:AC3">
    <cfRule type="expression" dxfId="36" priority="162" stopIfTrue="1">
      <formula>AND(#REF!="Low Risk",G$2&gt;=#REF!,G$2&lt;=#REF!+#REF!-1)</formula>
    </cfRule>
    <cfRule type="expression" dxfId="35" priority="163" stopIfTrue="1">
      <formula>AND(#REF!="High Risk",G$2&gt;=#REF!,G$2&lt;=#REF!+#REF!-1)</formula>
    </cfRule>
    <cfRule type="expression" dxfId="34" priority="164" stopIfTrue="1">
      <formula>AND(#REF!="On Track",G$2&gt;=#REF!,G$2&lt;=#REF!+#REF!-1)</formula>
    </cfRule>
    <cfRule type="expression" dxfId="33" priority="165" stopIfTrue="1">
      <formula>AND(#REF!="Med Risk",G$2&gt;=#REF!,G$2&lt;=#REF!+#REF!-1)</formula>
    </cfRule>
    <cfRule type="expression" dxfId="32" priority="166" stopIfTrue="1">
      <formula>AND(LEN(#REF!)=0,G$2&gt;=#REF!,G$2&lt;=#REF!+#REF!-1)</formula>
    </cfRule>
  </conditionalFormatting>
  <conditionalFormatting sqref="P3:S3 S37 Q38:S47 P48:S226">
    <cfRule type="expression" dxfId="31" priority="123">
      <formula>AND(TODAY()&gt;=P$2,TODAY()&lt;R$2)</formula>
    </cfRule>
  </conditionalFormatting>
  <conditionalFormatting sqref="Z3:Z226 AC3:AC226">
    <cfRule type="expression" dxfId="30" priority="77">
      <formula>AND(TODAY()&gt;=Z$2,TODAY()&lt;#REF!)</formula>
    </cfRule>
  </conditionalFormatting>
  <conditionalFormatting sqref="AA59:AA130 AB59:AB103">
    <cfRule type="expression" dxfId="29" priority="3" stopIfTrue="1">
      <formula>AND($C58="Low Risk",AA$2&gt;=#REF!,AA$2&lt;=#REF!+#REF!-1)</formula>
    </cfRule>
    <cfRule type="expression" dxfId="28" priority="4" stopIfTrue="1">
      <formula>AND($C58="High Risk",AA$2&gt;=#REF!,AA$2&lt;=#REF!+#REF!-1)</formula>
    </cfRule>
    <cfRule type="expression" dxfId="27" priority="5" stopIfTrue="1">
      <formula>AND($C58="On Track",AA$2&gt;=#REF!,AA$2&lt;=#REF!+#REF!-1)</formula>
    </cfRule>
    <cfRule type="expression" dxfId="26" priority="6" stopIfTrue="1">
      <formula>AND($C58="Med Risk",AA$2&gt;=#REF!,AA$2&lt;=#REF!+#REF!-1)</formula>
    </cfRule>
    <cfRule type="expression" dxfId="25" priority="7" stopIfTrue="1">
      <formula>AND(LEN($C58)=0,AA$2&gt;=#REF!,AA$2&lt;=#REF!+#REF!-1)</formula>
    </cfRule>
  </conditionalFormatting>
  <conditionalFormatting sqref="AA59:AA214 AB59:AB226">
    <cfRule type="expression" dxfId="24" priority="1">
      <formula>AND(TODAY()&gt;=AA$2,TODAY()&lt;AB$2)</formula>
    </cfRule>
  </conditionalFormatting>
  <conditionalFormatting sqref="AA131:AA214">
    <cfRule type="expression" dxfId="23" priority="10" stopIfTrue="1">
      <formula>AND($C130="Low Risk",AA$2&gt;=#REF!,AA$2&lt;=#REF!+#REF!-1)</formula>
    </cfRule>
    <cfRule type="expression" dxfId="22" priority="11" stopIfTrue="1">
      <formula>AND($C130="High Risk",AA$2&gt;=#REF!,AA$2&lt;=#REF!+#REF!-1)</formula>
    </cfRule>
    <cfRule type="expression" dxfId="21" priority="12" stopIfTrue="1">
      <formula>AND($C130="On Track",AA$2&gt;=#REF!,AA$2&lt;=#REF!+#REF!-1)</formula>
    </cfRule>
    <cfRule type="expression" dxfId="20" priority="13" stopIfTrue="1">
      <formula>AND($C130="Med Risk",AA$2&gt;=#REF!,AA$2&lt;=#REF!+#REF!-1)</formula>
    </cfRule>
    <cfRule type="expression" dxfId="19" priority="14" stopIfTrue="1">
      <formula>AND(LEN($C130)=0,AA$2&gt;=#REF!,AA$2&lt;=#REF!+#REF!-1)</formula>
    </cfRule>
  </conditionalFormatting>
  <conditionalFormatting sqref="AB4:AC10 Z4:Z26 AC11:AC103 Y27:Z27 W28:Z29 V30:Z33 U34:Z34 T35:Z36 S37:Z37 Q38:Z47 G41:G57 I41:I57 P48:Z226 L55:L67 G58:I226 L68:N135 AB104:AC226 K125:K135 K136:N226">
    <cfRule type="expression" dxfId="18" priority="198" stopIfTrue="1">
      <formula>AND($C3="Low Risk",G$2&gt;=#REF!,G$2&lt;=#REF!+#REF!-1)</formula>
    </cfRule>
    <cfRule type="expression" dxfId="17" priority="199" stopIfTrue="1">
      <formula>AND($C3="High Risk",G$2&gt;=#REF!,G$2&lt;=#REF!+#REF!-1)</formula>
    </cfRule>
    <cfRule type="expression" dxfId="16" priority="200" stopIfTrue="1">
      <formula>AND($C3="On Track",G$2&gt;=#REF!,G$2&lt;=#REF!+#REF!-1)</formula>
    </cfRule>
    <cfRule type="expression" dxfId="15" priority="201" stopIfTrue="1">
      <formula>AND($C3="Med Risk",G$2&gt;=#REF!,G$2&lt;=#REF!+#REF!-1)</formula>
    </cfRule>
    <cfRule type="expression" dxfId="14" priority="202" stopIfTrue="1">
      <formula>AND(LEN($C3)=0,G$2&gt;=#REF!,G$2&lt;=#REF!+#REF!-1)</formula>
    </cfRule>
  </conditionalFormatting>
  <dataValidations count="4">
    <dataValidation type="list" allowBlank="1" showInputMessage="1" showErrorMessage="1" sqref="C4:C226" xr:uid="{A8CFFA66-BA13-4963-ABE3-DD76F5716C76}">
      <formula1>"Goal,Milestone,On Track, Low Risk, Med Risk, High Risk"</formula1>
    </dataValidation>
    <dataValidation allowBlank="1" showInputMessage="1" showErrorMessage="1" prompt="Cells I9 through BL9 contain the day number of the month for the Month represented in the cell block above each date cell and are auto calculated._x000a_Do not modify these cells._x000a_" sqref="A2" xr:uid="{4842210D-BF55-4A86-A4C6-842F795F4B74}"/>
    <dataValidation allowBlank="1" showInputMessage="1" showErrorMessage="1" prompt="Enter Company Name in cell B4._x000a_A legend is in cells I4 through AC4.  The Legend label is in cell G4." sqref="A1" xr:uid="{80AAC854-89E1-4DDF-A7BB-5345D03244F7}"/>
    <dataValidation type="list" allowBlank="1" showInputMessage="1" showErrorMessage="1" sqref="C3:D3" xr:uid="{BF844C37-8298-4179-AD9F-3FA16AEF59A3}">
      <formula1>"Complete,In Process,@ Risk,Late,To Start"</formula1>
    </dataValidation>
  </dataValidations>
  <printOptions horizontalCentered="1"/>
  <pageMargins left="0.25" right="0.25" top="0.75" bottom="0.75" header="0.3" footer="0.3"/>
  <pageSetup paperSize="3" scale="42" fitToHeight="6"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12" r:id="rId4" name="Scroll Bar 4">
              <controlPr defaultSize="0" autoPict="0" altText="Scroll bar to scroll through the Ghantt project timeline.">
                <anchor moveWithCells="1">
                  <from>
                    <xdr:col>6</xdr:col>
                    <xdr:colOff>76200</xdr:colOff>
                    <xdr:row>1</xdr:row>
                    <xdr:rowOff>0</xdr:rowOff>
                  </from>
                  <to>
                    <xdr:col>29</xdr:col>
                    <xdr:colOff>0</xdr:colOff>
                    <xdr:row>1</xdr:row>
                    <xdr:rowOff>200025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E2:E226</xm:sqref>
        </x14:conditionalFormatting>
        <x14:conditionalFormatting xmlns:xm="http://schemas.microsoft.com/office/excel/2006/main">
          <x14:cfRule type="iconSet" priority="161"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G3:AC3</xm:sqref>
        </x14:conditionalFormatting>
        <x14:conditionalFormatting xmlns:xm="http://schemas.microsoft.com/office/excel/2006/main">
          <x14:cfRule type="iconSet" priority="2" id="{4D2F4A76-B609-4354-B8C9-3DD19FADE10E}">
            <x14:iconSet iconSet="3Stars" showValue="0" custom="1">
              <x14:cfvo type="percent">
                <xm:f>0</xm:f>
              </x14:cfvo>
              <x14:cfvo type="num">
                <xm:f>1</xm:f>
              </x14:cfvo>
              <x14:cfvo type="num">
                <xm:f>2</xm:f>
              </x14:cfvo>
              <x14:cfIcon iconSet="NoIcons" iconId="0"/>
              <x14:cfIcon iconSet="3Flags" iconId="1"/>
              <x14:cfIcon iconSet="3Signs" iconId="0"/>
            </x14:iconSet>
          </x14:cfRule>
          <xm:sqref>AA59:AA130 AB59:AB103</xm:sqref>
        </x14:conditionalFormatting>
        <x14:conditionalFormatting xmlns:xm="http://schemas.microsoft.com/office/excel/2006/main">
          <x14:cfRule type="iconSet" priority="9" id="{DA9145F8-A5BF-4242-AAC8-42FD645F58EF}">
            <x14:iconSet iconSet="3Stars" showValue="0" custom="1">
              <x14:cfvo type="percent">
                <xm:f>0</xm:f>
              </x14:cfvo>
              <x14:cfvo type="num">
                <xm:f>1</xm:f>
              </x14:cfvo>
              <x14:cfvo type="num">
                <xm:f>2</xm:f>
              </x14:cfvo>
              <x14:cfIcon iconSet="NoIcons" iconId="0"/>
              <x14:cfIcon iconSet="3Flags" iconId="1"/>
              <x14:cfIcon iconSet="3Signs" iconId="0"/>
            </x14:iconSet>
          </x14:cfRule>
          <xm:sqref>AA131:AA214</xm:sqref>
        </x14:conditionalFormatting>
        <x14:conditionalFormatting xmlns:xm="http://schemas.microsoft.com/office/excel/2006/main">
          <x14:cfRule type="iconSet" priority="197"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AB4:AC10 AC11:AC103 AB104:AC226 Z4:Z26 G58:I226 L68:N135 K125:K135 K136:N226 L55:L67 P48:Z226 Q38:Z47 V30:Z33 T35:Z36 Y27:Z27 W28:Z29 U34:Z34 S37:Z37 G41:G57 I41:I57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FAFCD-025C-47A5-B6E8-CAA7E237ED56}">
  <dimension ref="A1:B18"/>
  <sheetViews>
    <sheetView workbookViewId="0">
      <selection activeCell="E8" sqref="E8"/>
    </sheetView>
  </sheetViews>
  <sheetFormatPr defaultRowHeight="15" x14ac:dyDescent="0.25"/>
  <cols>
    <col min="1" max="1" width="28" bestFit="1" customWidth="1"/>
  </cols>
  <sheetData>
    <row r="1" spans="1:2" ht="29.25" customHeight="1" x14ac:dyDescent="0.25">
      <c r="A1" s="62" t="s">
        <v>23</v>
      </c>
      <c r="B1" s="63"/>
    </row>
    <row r="2" spans="1:2" ht="29.25" customHeight="1" x14ac:dyDescent="0.25">
      <c r="A2" s="62" t="s">
        <v>168</v>
      </c>
      <c r="B2" s="63"/>
    </row>
    <row r="3" spans="1:2" ht="29.25" customHeight="1" x14ac:dyDescent="0.25">
      <c r="A3" s="62" t="s">
        <v>24</v>
      </c>
      <c r="B3" s="63"/>
    </row>
    <row r="4" spans="1:2" ht="29.25" customHeight="1" x14ac:dyDescent="0.25">
      <c r="A4" s="62" t="s">
        <v>167</v>
      </c>
      <c r="B4" s="63"/>
    </row>
    <row r="5" spans="1:2" ht="29.25" customHeight="1" x14ac:dyDescent="0.25">
      <c r="A5" s="62" t="s">
        <v>163</v>
      </c>
      <c r="B5" s="63"/>
    </row>
    <row r="6" spans="1:2" ht="29.25" customHeight="1" x14ac:dyDescent="0.25">
      <c r="A6" s="62" t="s">
        <v>26</v>
      </c>
      <c r="B6" s="63"/>
    </row>
    <row r="7" spans="1:2" ht="29.25" customHeight="1" x14ac:dyDescent="0.25">
      <c r="A7" s="62" t="s">
        <v>162</v>
      </c>
      <c r="B7" s="63"/>
    </row>
    <row r="8" spans="1:2" ht="29.25" customHeight="1" x14ac:dyDescent="0.25">
      <c r="A8" s="62" t="s">
        <v>27</v>
      </c>
      <c r="B8" s="63"/>
    </row>
    <row r="9" spans="1:2" ht="29.25" customHeight="1" x14ac:dyDescent="0.25">
      <c r="A9" s="62" t="s">
        <v>164</v>
      </c>
      <c r="B9" s="63"/>
    </row>
    <row r="10" spans="1:2" ht="29.25" customHeight="1" x14ac:dyDescent="0.25">
      <c r="A10" s="62" t="s">
        <v>294</v>
      </c>
      <c r="B10" s="63"/>
    </row>
    <row r="11" spans="1:2" ht="29.25" customHeight="1" x14ac:dyDescent="0.25">
      <c r="A11" s="62" t="s">
        <v>176</v>
      </c>
      <c r="B11" s="63"/>
    </row>
    <row r="12" spans="1:2" ht="29.25" customHeight="1" x14ac:dyDescent="0.25">
      <c r="A12" s="62" t="s">
        <v>165</v>
      </c>
      <c r="B12" s="63"/>
    </row>
    <row r="13" spans="1:2" ht="29.25" customHeight="1" x14ac:dyDescent="0.25">
      <c r="A13" s="62" t="s">
        <v>175</v>
      </c>
      <c r="B13" s="63"/>
    </row>
    <row r="14" spans="1:2" ht="29.25" customHeight="1" x14ac:dyDescent="0.25">
      <c r="A14" s="62" t="s">
        <v>166</v>
      </c>
      <c r="B14" s="63"/>
    </row>
    <row r="15" spans="1:2" ht="29.25" customHeight="1" x14ac:dyDescent="0.25">
      <c r="A15" s="62" t="s">
        <v>169</v>
      </c>
      <c r="B15" s="63"/>
    </row>
    <row r="16" spans="1:2" ht="29.25" customHeight="1" x14ac:dyDescent="0.25">
      <c r="A16" s="62" t="s">
        <v>293</v>
      </c>
      <c r="B16" s="63"/>
    </row>
    <row r="17" spans="1:2" ht="29.25" customHeight="1" x14ac:dyDescent="0.25">
      <c r="A17" s="62" t="s">
        <v>31</v>
      </c>
      <c r="B17" s="63"/>
    </row>
    <row r="18" spans="1:2" ht="29.25" customHeight="1" x14ac:dyDescent="0.25">
      <c r="A18" s="62" t="s">
        <v>170</v>
      </c>
      <c r="B18" s="6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81B04-E432-4B72-84BA-4186E7FEF559}">
  <sheetPr>
    <pageSetUpPr fitToPage="1"/>
  </sheetPr>
  <dimension ref="A1:BP59"/>
  <sheetViews>
    <sheetView showGridLines="0" showRuler="0" zoomScale="85" zoomScaleNormal="85" zoomScalePageLayoutView="70" workbookViewId="0">
      <pane xSplit="8" ySplit="6" topLeftCell="I7" activePane="bottomRight" state="frozen"/>
      <selection pane="topRight" activeCell="I1" sqref="I1"/>
      <selection pane="bottomLeft" activeCell="A11" sqref="A11"/>
      <selection pane="bottomRight" activeCell="BL45" sqref="B1:BL45"/>
    </sheetView>
  </sheetViews>
  <sheetFormatPr defaultColWidth="8.85546875" defaultRowHeight="30" customHeight="1" x14ac:dyDescent="0.25"/>
  <cols>
    <col min="1" max="1" width="4.7109375" style="6" customWidth="1"/>
    <col min="2" max="2" width="30.7109375" customWidth="1"/>
    <col min="3" max="3" width="13.28515625" bestFit="1"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0.25" customHeight="1" x14ac:dyDescent="0.25">
      <c r="A1" s="7"/>
      <c r="B1" s="21" t="s">
        <v>280</v>
      </c>
      <c r="C1" s="22"/>
      <c r="D1" s="23"/>
      <c r="E1" s="24"/>
      <c r="F1" s="25"/>
      <c r="G1" s="26" t="s">
        <v>7</v>
      </c>
      <c r="H1" s="24"/>
      <c r="I1" s="77" t="s">
        <v>12</v>
      </c>
      <c r="J1" s="77"/>
      <c r="K1" s="77"/>
      <c r="L1" s="77"/>
      <c r="N1" s="78" t="s">
        <v>13</v>
      </c>
      <c r="O1" s="78"/>
      <c r="P1" s="78"/>
      <c r="Q1" s="78"/>
      <c r="S1" s="84" t="s">
        <v>14</v>
      </c>
      <c r="T1" s="84"/>
      <c r="U1" s="84"/>
      <c r="V1" s="84"/>
      <c r="X1" s="81" t="s">
        <v>15</v>
      </c>
      <c r="Y1" s="81"/>
      <c r="Z1" s="81"/>
      <c r="AA1" s="81"/>
      <c r="AC1" s="79" t="s">
        <v>8</v>
      </c>
      <c r="AD1" s="79"/>
      <c r="AE1" s="79"/>
      <c r="AF1" s="79"/>
    </row>
    <row r="2" spans="1:68" ht="19.5" customHeight="1" x14ac:dyDescent="0.35">
      <c r="A2" s="7"/>
      <c r="B2" s="27" t="s">
        <v>20</v>
      </c>
      <c r="C2" s="28">
        <v>46062</v>
      </c>
      <c r="D2" s="29"/>
      <c r="E2" s="24"/>
      <c r="F2" s="25"/>
      <c r="G2" s="24"/>
      <c r="H2" s="24"/>
      <c r="I2" s="34" t="str">
        <f ca="1">TEXT(I3,"mmmm")</f>
        <v>March</v>
      </c>
      <c r="J2" s="34"/>
      <c r="K2" s="34"/>
      <c r="L2" s="34"/>
      <c r="M2" s="34"/>
      <c r="N2" s="34"/>
      <c r="O2" s="34"/>
      <c r="P2" s="34" t="str">
        <f ca="1">IF(TEXT(P3,"mmmm")=I2,"",TEXT(P3,"mmmm"))</f>
        <v/>
      </c>
      <c r="Q2" s="34"/>
      <c r="R2" s="34"/>
      <c r="S2" s="34"/>
      <c r="T2" s="34"/>
      <c r="U2" s="34"/>
      <c r="V2" s="34"/>
      <c r="W2" s="34" t="str">
        <f ca="1">IF(OR(TEXT(W3,"mmmm")=P2,TEXT(W3,"mmmm")=I2),"",TEXT(W3,"mmmm"))</f>
        <v/>
      </c>
      <c r="X2" s="34"/>
      <c r="Y2" s="34"/>
      <c r="Z2" s="34"/>
      <c r="AA2" s="34"/>
      <c r="AB2" s="34"/>
      <c r="AC2" s="34"/>
      <c r="AD2" s="34" t="str">
        <f ca="1">IF(OR(TEXT(AD3,"mmmm")=W2,TEXT(AD3,"mmmm")=P2,TEXT(AD3,"mmmm")=I2),"",TEXT(AD3,"mmmm"))</f>
        <v/>
      </c>
      <c r="AE2" s="34"/>
      <c r="AF2" s="34"/>
      <c r="AG2" s="34"/>
      <c r="AH2" s="34"/>
      <c r="AI2" s="34"/>
      <c r="AJ2" s="34"/>
      <c r="AK2" s="34" t="str">
        <f ca="1">IF(OR(TEXT(AK3,"mmmm")=AD2,TEXT(AK3,"mmmm")=W2,TEXT(AK3,"mmmm")=P2,TEXT(AK3,"mmmm")=I2),"",TEXT(AK3,"mmmm"))</f>
        <v>April</v>
      </c>
      <c r="AL2" s="34"/>
      <c r="AM2" s="34"/>
      <c r="AN2" s="34"/>
      <c r="AO2" s="34"/>
      <c r="AP2" s="34"/>
      <c r="AQ2" s="34"/>
      <c r="AR2" s="34" t="str">
        <f ca="1">IF(OR(TEXT(AR3,"mmmm")=AK2,TEXT(AR3,"mmmm")=AD2,TEXT(AR3,"mmmm")=W2,TEXT(AR3,"mmmm")=P2),"",TEXT(AR3,"mmmm"))</f>
        <v/>
      </c>
      <c r="AS2" s="34"/>
      <c r="AT2" s="34"/>
      <c r="AU2" s="34"/>
      <c r="AV2" s="34"/>
      <c r="AW2" s="34"/>
      <c r="AX2" s="35"/>
      <c r="AY2" s="35" t="str">
        <f ca="1">IF(OR(TEXT(AY3,"mmmm")=AR2,TEXT(AY3,"mmmm")=AK2,TEXT(AY3,"mmmm")=AD2,TEXT(AY3,"mmmm")=W2),"",TEXT(AY3,"mmmm"))</f>
        <v/>
      </c>
      <c r="AZ2" s="35"/>
      <c r="BA2" s="35"/>
      <c r="BB2" s="36"/>
      <c r="BC2" s="33"/>
      <c r="BD2" s="33"/>
      <c r="BE2" s="33"/>
      <c r="BF2" s="33" t="str">
        <f ca="1">IF(OR(TEXT(BF3,"mmmm")=AY2,TEXT(BF3,"mmmm")=AR2,TEXT(BF3,"mmmm")=AK2,TEXT(BF3,"mmmm")=AD2),"",TEXT(BF3,"mmmm"))</f>
        <v/>
      </c>
      <c r="BG2" s="33"/>
      <c r="BH2" s="33"/>
      <c r="BI2" s="33"/>
      <c r="BJ2" s="33"/>
      <c r="BK2" s="33"/>
      <c r="BL2" s="33"/>
    </row>
    <row r="3" spans="1:68" ht="17.25" customHeight="1" x14ac:dyDescent="0.25">
      <c r="A3" s="7"/>
      <c r="B3" s="27" t="s">
        <v>21</v>
      </c>
      <c r="C3" s="30">
        <v>28</v>
      </c>
      <c r="D3" s="23"/>
      <c r="E3" s="24"/>
      <c r="F3" s="24"/>
      <c r="G3" s="24"/>
      <c r="H3" s="31"/>
      <c r="I3" s="37">
        <f ca="1">IFERROR(Project_Start+Scrolling_Increment,TODAY())</f>
        <v>46090</v>
      </c>
      <c r="J3" s="38">
        <f ca="1">I3+1</f>
        <v>46091</v>
      </c>
      <c r="K3" s="38">
        <f t="shared" ref="K3:AX3" ca="1" si="0">J3+1</f>
        <v>46092</v>
      </c>
      <c r="L3" s="38">
        <f t="shared" ca="1" si="0"/>
        <v>46093</v>
      </c>
      <c r="M3" s="38">
        <f t="shared" ca="1" si="0"/>
        <v>46094</v>
      </c>
      <c r="N3" s="38">
        <f t="shared" ca="1" si="0"/>
        <v>46095</v>
      </c>
      <c r="O3" s="39">
        <f t="shared" ca="1" si="0"/>
        <v>46096</v>
      </c>
      <c r="P3" s="38">
        <f ca="1">O3+1</f>
        <v>46097</v>
      </c>
      <c r="Q3" s="38">
        <f ca="1">P3+1</f>
        <v>46098</v>
      </c>
      <c r="R3" s="38">
        <f t="shared" ca="1" si="0"/>
        <v>46099</v>
      </c>
      <c r="S3" s="38">
        <f t="shared" ca="1" si="0"/>
        <v>46100</v>
      </c>
      <c r="T3" s="38">
        <f t="shared" ca="1" si="0"/>
        <v>46101</v>
      </c>
      <c r="U3" s="38">
        <f t="shared" ca="1" si="0"/>
        <v>46102</v>
      </c>
      <c r="V3" s="39">
        <f t="shared" ca="1" si="0"/>
        <v>46103</v>
      </c>
      <c r="W3" s="38">
        <f ca="1">V3+1</f>
        <v>46104</v>
      </c>
      <c r="X3" s="38">
        <f ca="1">W3+1</f>
        <v>46105</v>
      </c>
      <c r="Y3" s="38">
        <f t="shared" ca="1" si="0"/>
        <v>46106</v>
      </c>
      <c r="Z3" s="38">
        <f t="shared" ca="1" si="0"/>
        <v>46107</v>
      </c>
      <c r="AA3" s="38">
        <f t="shared" ca="1" si="0"/>
        <v>46108</v>
      </c>
      <c r="AB3" s="38">
        <f t="shared" ca="1" si="0"/>
        <v>46109</v>
      </c>
      <c r="AC3" s="39">
        <f t="shared" ca="1" si="0"/>
        <v>46110</v>
      </c>
      <c r="AD3" s="38">
        <f ca="1">AC3+1</f>
        <v>46111</v>
      </c>
      <c r="AE3" s="38">
        <f ca="1">AD3+1</f>
        <v>46112</v>
      </c>
      <c r="AF3" s="38">
        <f t="shared" ca="1" si="0"/>
        <v>46113</v>
      </c>
      <c r="AG3" s="38">
        <f t="shared" ca="1" si="0"/>
        <v>46114</v>
      </c>
      <c r="AH3" s="38">
        <f t="shared" ca="1" si="0"/>
        <v>46115</v>
      </c>
      <c r="AI3" s="38">
        <f t="shared" ca="1" si="0"/>
        <v>46116</v>
      </c>
      <c r="AJ3" s="39">
        <f t="shared" ca="1" si="0"/>
        <v>46117</v>
      </c>
      <c r="AK3" s="38">
        <f ca="1">AJ3+1</f>
        <v>46118</v>
      </c>
      <c r="AL3" s="38">
        <f ca="1">AK3+1</f>
        <v>46119</v>
      </c>
      <c r="AM3" s="38">
        <f t="shared" ca="1" si="0"/>
        <v>46120</v>
      </c>
      <c r="AN3" s="38">
        <f t="shared" ca="1" si="0"/>
        <v>46121</v>
      </c>
      <c r="AO3" s="38">
        <f t="shared" ca="1" si="0"/>
        <v>46122</v>
      </c>
      <c r="AP3" s="38">
        <f t="shared" ca="1" si="0"/>
        <v>46123</v>
      </c>
      <c r="AQ3" s="39">
        <f t="shared" ca="1" si="0"/>
        <v>46124</v>
      </c>
      <c r="AR3" s="38">
        <f ca="1">AQ3+1</f>
        <v>46125</v>
      </c>
      <c r="AS3" s="38">
        <f ca="1">AR3+1</f>
        <v>46126</v>
      </c>
      <c r="AT3" s="38">
        <f t="shared" ca="1" si="0"/>
        <v>46127</v>
      </c>
      <c r="AU3" s="38">
        <f t="shared" ca="1" si="0"/>
        <v>46128</v>
      </c>
      <c r="AV3" s="38">
        <f t="shared" ca="1" si="0"/>
        <v>46129</v>
      </c>
      <c r="AW3" s="38">
        <f t="shared" ca="1" si="0"/>
        <v>46130</v>
      </c>
      <c r="AX3" s="39">
        <f t="shared" ca="1" si="0"/>
        <v>46131</v>
      </c>
      <c r="AY3" s="38">
        <f ca="1">AX3+1</f>
        <v>46132</v>
      </c>
      <c r="AZ3" s="38">
        <f ca="1">AY3+1</f>
        <v>46133</v>
      </c>
      <c r="BA3" s="38">
        <f t="shared" ref="BA3:BE3" ca="1" si="1">AZ3+1</f>
        <v>46134</v>
      </c>
      <c r="BB3" s="38">
        <f t="shared" ca="1" si="1"/>
        <v>46135</v>
      </c>
      <c r="BC3" s="38">
        <f t="shared" ca="1" si="1"/>
        <v>46136</v>
      </c>
      <c r="BD3" s="38">
        <f t="shared" ca="1" si="1"/>
        <v>46137</v>
      </c>
      <c r="BE3" s="39">
        <f t="shared" ca="1" si="1"/>
        <v>46138</v>
      </c>
      <c r="BF3" s="38">
        <f ca="1">BE3+1</f>
        <v>46139</v>
      </c>
      <c r="BG3" s="38">
        <f ca="1">BF3+1</f>
        <v>46140</v>
      </c>
      <c r="BH3" s="38">
        <f t="shared" ref="BH3:BL3" ca="1" si="2">BG3+1</f>
        <v>46141</v>
      </c>
      <c r="BI3" s="38">
        <f t="shared" ca="1" si="2"/>
        <v>46142</v>
      </c>
      <c r="BJ3" s="38">
        <f t="shared" ca="1" si="2"/>
        <v>46143</v>
      </c>
      <c r="BK3" s="38">
        <f t="shared" ca="1" si="2"/>
        <v>46144</v>
      </c>
      <c r="BL3" s="39">
        <f t="shared" ca="1" si="2"/>
        <v>46145</v>
      </c>
    </row>
    <row r="4" spans="1:68" ht="19.899999999999999" customHeight="1" x14ac:dyDescent="0.25">
      <c r="A4" s="7"/>
      <c r="B4" s="23"/>
      <c r="C4" s="23"/>
      <c r="D4" s="23"/>
      <c r="E4" s="24"/>
      <c r="F4" s="24"/>
      <c r="G4" s="24"/>
      <c r="H4" s="31"/>
      <c r="I4" s="40"/>
      <c r="J4" s="41"/>
      <c r="K4" s="41"/>
      <c r="L4" s="41"/>
      <c r="M4" s="41"/>
      <c r="N4" s="41"/>
      <c r="O4" s="41"/>
      <c r="P4" s="42"/>
      <c r="Q4" s="41"/>
      <c r="R4" s="41"/>
      <c r="S4" s="41"/>
      <c r="T4" s="41"/>
      <c r="U4" s="41"/>
      <c r="V4" s="43"/>
      <c r="W4" s="41"/>
      <c r="X4" s="41"/>
      <c r="Y4" s="41"/>
      <c r="Z4" s="41"/>
      <c r="AA4" s="41"/>
      <c r="AB4" s="41"/>
      <c r="AC4" s="43"/>
      <c r="AD4" s="41"/>
      <c r="AE4" s="41"/>
      <c r="AF4" s="41"/>
      <c r="AG4" s="41"/>
      <c r="AH4" s="41"/>
      <c r="AI4" s="41"/>
      <c r="AJ4" s="43"/>
      <c r="AK4" s="41"/>
      <c r="AL4" s="41"/>
      <c r="AM4" s="41"/>
      <c r="AN4" s="41"/>
      <c r="AO4" s="41"/>
      <c r="AP4" s="41"/>
      <c r="AQ4" s="43"/>
      <c r="AR4" s="41"/>
      <c r="AS4" s="41"/>
      <c r="AT4" s="41"/>
      <c r="AU4" s="41"/>
      <c r="AV4" s="41"/>
      <c r="AW4" s="41"/>
      <c r="AX4" s="43"/>
      <c r="AY4" s="41"/>
      <c r="AZ4" s="41"/>
      <c r="BA4" s="41"/>
      <c r="BB4" s="41"/>
      <c r="BC4" s="41"/>
      <c r="BD4" s="41"/>
      <c r="BE4" s="43"/>
      <c r="BF4" s="41"/>
      <c r="BG4" s="41"/>
      <c r="BH4" s="41"/>
      <c r="BI4" s="41"/>
      <c r="BJ4" s="41"/>
      <c r="BK4" s="41"/>
      <c r="BL4" s="44"/>
    </row>
    <row r="5" spans="1:68" ht="17.25" customHeight="1" x14ac:dyDescent="0.25">
      <c r="A5" s="7"/>
      <c r="B5" s="53" t="s">
        <v>9</v>
      </c>
      <c r="C5" s="54" t="s">
        <v>0</v>
      </c>
      <c r="D5" s="54" t="s">
        <v>10</v>
      </c>
      <c r="E5" s="54" t="s">
        <v>3</v>
      </c>
      <c r="F5" s="54" t="s">
        <v>4</v>
      </c>
      <c r="G5" s="54" t="s">
        <v>11</v>
      </c>
      <c r="H5" s="32"/>
      <c r="I5" s="45" t="str">
        <f t="shared" ref="I5:BL5" ca="1" si="3">LEFT(TEXT(I3,"ddd"),1)</f>
        <v>M</v>
      </c>
      <c r="J5" s="45" t="str">
        <f t="shared" ca="1" si="3"/>
        <v>T</v>
      </c>
      <c r="K5" s="45" t="str">
        <f t="shared" ca="1" si="3"/>
        <v>W</v>
      </c>
      <c r="L5" s="45" t="str">
        <f t="shared" ca="1" si="3"/>
        <v>T</v>
      </c>
      <c r="M5" s="45" t="str">
        <f t="shared" ca="1" si="3"/>
        <v>F</v>
      </c>
      <c r="N5" s="45" t="str">
        <f t="shared" ca="1" si="3"/>
        <v>S</v>
      </c>
      <c r="O5" s="45" t="str">
        <f t="shared" ca="1" si="3"/>
        <v>S</v>
      </c>
      <c r="P5" s="45" t="str">
        <f t="shared" ca="1" si="3"/>
        <v>M</v>
      </c>
      <c r="Q5" s="45" t="str">
        <f t="shared" ca="1" si="3"/>
        <v>T</v>
      </c>
      <c r="R5" s="45" t="str">
        <f t="shared" ca="1" si="3"/>
        <v>W</v>
      </c>
      <c r="S5" s="45" t="str">
        <f t="shared" ca="1" si="3"/>
        <v>T</v>
      </c>
      <c r="T5" s="45" t="str">
        <f t="shared" ca="1" si="3"/>
        <v>F</v>
      </c>
      <c r="U5" s="45" t="str">
        <f t="shared" ca="1" si="3"/>
        <v>S</v>
      </c>
      <c r="V5" s="45" t="str">
        <f t="shared" ca="1" si="3"/>
        <v>S</v>
      </c>
      <c r="W5" s="45" t="str">
        <f t="shared" ca="1" si="3"/>
        <v>M</v>
      </c>
      <c r="X5" s="45" t="str">
        <f t="shared" ca="1" si="3"/>
        <v>T</v>
      </c>
      <c r="Y5" s="45" t="str">
        <f t="shared" ca="1" si="3"/>
        <v>W</v>
      </c>
      <c r="Z5" s="45" t="str">
        <f t="shared" ca="1" si="3"/>
        <v>T</v>
      </c>
      <c r="AA5" s="45" t="str">
        <f t="shared" ca="1" si="3"/>
        <v>F</v>
      </c>
      <c r="AB5" s="45" t="str">
        <f t="shared" ca="1" si="3"/>
        <v>S</v>
      </c>
      <c r="AC5" s="45" t="str">
        <f t="shared" ca="1" si="3"/>
        <v>S</v>
      </c>
      <c r="AD5" s="45" t="str">
        <f t="shared" ca="1" si="3"/>
        <v>M</v>
      </c>
      <c r="AE5" s="45" t="str">
        <f t="shared" ca="1" si="3"/>
        <v>T</v>
      </c>
      <c r="AF5" s="45" t="str">
        <f t="shared" ca="1" si="3"/>
        <v>W</v>
      </c>
      <c r="AG5" s="45" t="str">
        <f t="shared" ca="1" si="3"/>
        <v>T</v>
      </c>
      <c r="AH5" s="45" t="str">
        <f t="shared" ca="1" si="3"/>
        <v>F</v>
      </c>
      <c r="AI5" s="45" t="str">
        <f t="shared" ca="1" si="3"/>
        <v>S</v>
      </c>
      <c r="AJ5" s="45" t="str">
        <f t="shared" ca="1" si="3"/>
        <v>S</v>
      </c>
      <c r="AK5" s="45" t="str">
        <f t="shared" ca="1" si="3"/>
        <v>M</v>
      </c>
      <c r="AL5" s="45" t="str">
        <f t="shared" ca="1" si="3"/>
        <v>T</v>
      </c>
      <c r="AM5" s="45" t="str">
        <f t="shared" ca="1" si="3"/>
        <v>W</v>
      </c>
      <c r="AN5" s="45" t="str">
        <f t="shared" ca="1" si="3"/>
        <v>T</v>
      </c>
      <c r="AO5" s="45" t="str">
        <f t="shared" ca="1" si="3"/>
        <v>F</v>
      </c>
      <c r="AP5" s="45" t="str">
        <f t="shared" ca="1" si="3"/>
        <v>S</v>
      </c>
      <c r="AQ5" s="45" t="str">
        <f t="shared" ca="1" si="3"/>
        <v>S</v>
      </c>
      <c r="AR5" s="45" t="str">
        <f t="shared" ca="1" si="3"/>
        <v>M</v>
      </c>
      <c r="AS5" s="45" t="str">
        <f t="shared" ca="1" si="3"/>
        <v>T</v>
      </c>
      <c r="AT5" s="45" t="str">
        <f t="shared" ca="1" si="3"/>
        <v>W</v>
      </c>
      <c r="AU5" s="45" t="str">
        <f t="shared" ca="1" si="3"/>
        <v>T</v>
      </c>
      <c r="AV5" s="45" t="str">
        <f t="shared" ca="1" si="3"/>
        <v>F</v>
      </c>
      <c r="AW5" s="45" t="str">
        <f t="shared" ca="1" si="3"/>
        <v>S</v>
      </c>
      <c r="AX5" s="45" t="str">
        <f t="shared" ca="1" si="3"/>
        <v>S</v>
      </c>
      <c r="AY5" s="45" t="str">
        <f t="shared" ca="1" si="3"/>
        <v>M</v>
      </c>
      <c r="AZ5" s="45" t="str">
        <f t="shared" ca="1" si="3"/>
        <v>T</v>
      </c>
      <c r="BA5" s="45" t="str">
        <f t="shared" ca="1" si="3"/>
        <v>W</v>
      </c>
      <c r="BB5" s="45" t="str">
        <f t="shared" ca="1" si="3"/>
        <v>T</v>
      </c>
      <c r="BC5" s="45" t="str">
        <f t="shared" ca="1" si="3"/>
        <v>F</v>
      </c>
      <c r="BD5" s="45" t="str">
        <f t="shared" ca="1" si="3"/>
        <v>S</v>
      </c>
      <c r="BE5" s="45" t="str">
        <f t="shared" ca="1" si="3"/>
        <v>S</v>
      </c>
      <c r="BF5" s="45" t="str">
        <f t="shared" ca="1" si="3"/>
        <v>M</v>
      </c>
      <c r="BG5" s="45" t="str">
        <f t="shared" ca="1" si="3"/>
        <v>T</v>
      </c>
      <c r="BH5" s="45" t="str">
        <f t="shared" ca="1" si="3"/>
        <v>W</v>
      </c>
      <c r="BI5" s="45" t="str">
        <f t="shared" ca="1" si="3"/>
        <v>T</v>
      </c>
      <c r="BJ5" s="45" t="str">
        <f t="shared" ca="1" si="3"/>
        <v>F</v>
      </c>
      <c r="BK5" s="45" t="str">
        <f t="shared" ca="1" si="3"/>
        <v>S</v>
      </c>
      <c r="BL5" s="45" t="str">
        <f t="shared" ca="1" si="3"/>
        <v>S</v>
      </c>
    </row>
    <row r="6" spans="1:68" ht="30" hidden="1" customHeight="1" x14ac:dyDescent="0.25">
      <c r="B6" s="12"/>
      <c r="C6" s="9"/>
      <c r="D6" s="8"/>
      <c r="E6" s="9"/>
      <c r="F6" s="10"/>
      <c r="G6" s="11"/>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row>
    <row r="7" spans="1:68" s="1" customFormat="1" ht="16.5" customHeight="1" x14ac:dyDescent="0.25">
      <c r="A7" s="7"/>
      <c r="B7" s="61" t="s">
        <v>28</v>
      </c>
      <c r="C7" s="16">
        <v>24</v>
      </c>
      <c r="D7" s="16"/>
      <c r="E7" s="17"/>
      <c r="F7" s="18"/>
      <c r="G7" s="19"/>
      <c r="H7" s="16"/>
      <c r="I7" s="13" t="str">
        <f t="shared" ref="I7:X28" ca="1" si="4">IF(AND($C7="Goal",I$3&gt;=$F7,I$3&lt;=$F7+$G7-1),2,IF(AND($C7="Milestone",I$3&gt;=$F7,I$3&lt;=$F7+$G7-1),1,""))</f>
        <v/>
      </c>
      <c r="J7" s="13" t="str">
        <f t="shared" ca="1" si="4"/>
        <v/>
      </c>
      <c r="K7" s="13" t="str">
        <f t="shared" ca="1" si="4"/>
        <v/>
      </c>
      <c r="L7" s="13" t="str">
        <f t="shared" ca="1" si="4"/>
        <v/>
      </c>
      <c r="M7" s="13" t="str">
        <f t="shared" ca="1" si="4"/>
        <v/>
      </c>
      <c r="N7" s="13" t="str">
        <f t="shared" ca="1" si="4"/>
        <v/>
      </c>
      <c r="O7" s="13" t="str">
        <f t="shared" ca="1" si="4"/>
        <v/>
      </c>
      <c r="P7" s="13" t="str">
        <f t="shared" ca="1" si="4"/>
        <v/>
      </c>
      <c r="Q7" s="13" t="str">
        <f t="shared" ca="1" si="4"/>
        <v/>
      </c>
      <c r="R7" s="13" t="str">
        <f t="shared" ca="1" si="4"/>
        <v/>
      </c>
      <c r="S7" s="13" t="str">
        <f t="shared" ca="1" si="4"/>
        <v/>
      </c>
      <c r="T7" s="13" t="str">
        <f t="shared" ca="1" si="4"/>
        <v/>
      </c>
      <c r="U7" s="13" t="str">
        <f t="shared" ca="1" si="4"/>
        <v/>
      </c>
      <c r="V7" s="13" t="str">
        <f t="shared" ca="1" si="4"/>
        <v/>
      </c>
      <c r="W7" s="13" t="str">
        <f t="shared" ca="1" si="4"/>
        <v/>
      </c>
      <c r="X7" s="13" t="str">
        <f t="shared" ca="1" si="4"/>
        <v/>
      </c>
      <c r="Y7" s="13" t="str">
        <f t="shared" ref="Y7:AN28" ca="1" si="5">IF(AND($C7="Goal",Y$3&gt;=$F7,Y$3&lt;=$F7+$G7-1),2,IF(AND($C7="Milestone",Y$3&gt;=$F7,Y$3&lt;=$F7+$G7-1),1,""))</f>
        <v/>
      </c>
      <c r="Z7" s="13" t="str">
        <f t="shared" ca="1" si="5"/>
        <v/>
      </c>
      <c r="AA7" s="13" t="str">
        <f t="shared" ca="1" si="5"/>
        <v/>
      </c>
      <c r="AB7" s="13" t="str">
        <f t="shared" ca="1" si="5"/>
        <v/>
      </c>
      <c r="AC7" s="13" t="str">
        <f t="shared" ca="1" si="5"/>
        <v/>
      </c>
      <c r="AD7" s="13" t="str">
        <f t="shared" ca="1" si="5"/>
        <v/>
      </c>
      <c r="AE7" s="13" t="str">
        <f t="shared" ca="1" si="5"/>
        <v/>
      </c>
      <c r="AF7" s="13" t="str">
        <f t="shared" ca="1" si="5"/>
        <v/>
      </c>
      <c r="AG7" s="13" t="str">
        <f t="shared" ca="1" si="5"/>
        <v/>
      </c>
      <c r="AH7" s="13" t="str">
        <f t="shared" ca="1" si="5"/>
        <v/>
      </c>
      <c r="AI7" s="13" t="str">
        <f t="shared" ca="1" si="5"/>
        <v/>
      </c>
      <c r="AJ7" s="13" t="str">
        <f t="shared" ca="1" si="5"/>
        <v/>
      </c>
      <c r="AK7" s="13" t="str">
        <f t="shared" ca="1" si="5"/>
        <v/>
      </c>
      <c r="AL7" s="13" t="str">
        <f t="shared" ca="1" si="5"/>
        <v/>
      </c>
      <c r="AM7" s="13" t="str">
        <f t="shared" ca="1" si="5"/>
        <v/>
      </c>
      <c r="AN7" s="13" t="str">
        <f t="shared" ca="1" si="5"/>
        <v/>
      </c>
      <c r="AO7" s="13" t="str">
        <f t="shared" ref="AO7:BD28" ca="1" si="6">IF(AND($C7="Goal",AO$3&gt;=$F7,AO$3&lt;=$F7+$G7-1),2,IF(AND($C7="Milestone",AO$3&gt;=$F7,AO$3&lt;=$F7+$G7-1),1,""))</f>
        <v/>
      </c>
      <c r="AP7" s="13" t="str">
        <f t="shared" ca="1" si="6"/>
        <v/>
      </c>
      <c r="AQ7" s="13" t="str">
        <f t="shared" ca="1" si="6"/>
        <v/>
      </c>
      <c r="AR7" s="13" t="str">
        <f t="shared" ca="1" si="6"/>
        <v/>
      </c>
      <c r="AS7" s="13" t="str">
        <f t="shared" ca="1" si="6"/>
        <v/>
      </c>
      <c r="AT7" s="13" t="str">
        <f t="shared" ca="1" si="6"/>
        <v/>
      </c>
      <c r="AU7" s="13" t="str">
        <f t="shared" ca="1" si="6"/>
        <v/>
      </c>
      <c r="AV7" s="13" t="str">
        <f t="shared" ca="1" si="6"/>
        <v/>
      </c>
      <c r="AW7" s="13" t="str">
        <f t="shared" ca="1" si="6"/>
        <v/>
      </c>
      <c r="AX7" s="13" t="str">
        <f t="shared" ca="1" si="6"/>
        <v/>
      </c>
      <c r="AY7" s="13" t="str">
        <f t="shared" ca="1" si="6"/>
        <v/>
      </c>
      <c r="AZ7" s="13" t="str">
        <f t="shared" ca="1" si="6"/>
        <v/>
      </c>
      <c r="BA7" s="13" t="str">
        <f t="shared" ca="1" si="6"/>
        <v/>
      </c>
      <c r="BB7" s="13" t="str">
        <f t="shared" ca="1" si="6"/>
        <v/>
      </c>
      <c r="BC7" s="13" t="str">
        <f t="shared" ca="1" si="6"/>
        <v/>
      </c>
      <c r="BD7" s="13" t="str">
        <f t="shared" ca="1" si="6"/>
        <v/>
      </c>
      <c r="BE7" s="13" t="str">
        <f t="shared" ref="BE7:BL11" ca="1" si="7">IF(AND($C7="Goal",BE$3&gt;=$F7,BE$3&lt;=$F7+$G7-1),2,IF(AND($C7="Milestone",BE$3&gt;=$F7,BE$3&lt;=$F7+$G7-1),1,""))</f>
        <v/>
      </c>
      <c r="BF7" s="13" t="str">
        <f t="shared" ca="1" si="7"/>
        <v/>
      </c>
      <c r="BG7" s="13" t="str">
        <f t="shared" ca="1" si="7"/>
        <v/>
      </c>
      <c r="BH7" s="13" t="str">
        <f t="shared" ca="1" si="7"/>
        <v/>
      </c>
      <c r="BI7" s="13" t="str">
        <f t="shared" ca="1" si="7"/>
        <v/>
      </c>
      <c r="BJ7" s="13" t="str">
        <f t="shared" ca="1" si="7"/>
        <v/>
      </c>
      <c r="BK7" s="13" t="str">
        <f t="shared" ca="1" si="7"/>
        <v/>
      </c>
      <c r="BL7" s="13" t="str">
        <f t="shared" ca="1" si="7"/>
        <v/>
      </c>
      <c r="BP7" s="15"/>
    </row>
    <row r="8" spans="1:68" s="1" customFormat="1" ht="40.15" customHeight="1" x14ac:dyDescent="0.25">
      <c r="A8" s="7"/>
      <c r="B8" s="58" t="s">
        <v>23</v>
      </c>
      <c r="C8" s="16" t="s">
        <v>6</v>
      </c>
      <c r="D8" s="16" t="s">
        <v>22</v>
      </c>
      <c r="E8" s="17">
        <v>1</v>
      </c>
      <c r="F8" s="18">
        <v>46070</v>
      </c>
      <c r="G8" s="19">
        <v>3</v>
      </c>
      <c r="H8" s="16"/>
      <c r="I8" s="13" t="str">
        <f ca="1">IF(AND($C8="Goal",I$3&gt;=$F8,I$3&lt;=$F8+$G8-1),2,IF(AND($C8="Milestone",I$3&gt;=$F8,I$3&lt;=$F8+$G8-1),1,""))</f>
        <v/>
      </c>
      <c r="J8" s="13" t="str">
        <f t="shared" ca="1" si="4"/>
        <v/>
      </c>
      <c r="K8" s="13" t="str">
        <f t="shared" ca="1" si="4"/>
        <v/>
      </c>
      <c r="L8" s="13" t="str">
        <f t="shared" ca="1" si="4"/>
        <v/>
      </c>
      <c r="M8" s="13" t="str">
        <f t="shared" ca="1" si="4"/>
        <v/>
      </c>
      <c r="N8" s="13" t="str">
        <f t="shared" ca="1" si="4"/>
        <v/>
      </c>
      <c r="O8" s="13" t="str">
        <f ca="1">IF(AND($C8="Goal",O$3&gt;=$F8,O$3&lt;=$F8+$G8-1),2,IF(AND($C8="Milestone",O$3&gt;=$F8,O$3&lt;=$F8+$G8-1),1,""))</f>
        <v/>
      </c>
      <c r="P8" s="13" t="str">
        <f ca="1">IF(AND($C8="Goal",P$3&gt;=$F8,P$3&lt;=$F8+$G8-1),2,IF(AND($C8="Milestone",P$3&gt;=$F8,P$3&lt;=$F8+$G8-1),1,""))</f>
        <v/>
      </c>
      <c r="Q8" s="13" t="str">
        <f t="shared" ca="1" si="4"/>
        <v/>
      </c>
      <c r="R8" s="13" t="str">
        <f t="shared" ca="1" si="4"/>
        <v/>
      </c>
      <c r="S8" s="13" t="str">
        <f t="shared" ca="1" si="4"/>
        <v/>
      </c>
      <c r="T8" s="13" t="str">
        <f t="shared" ca="1" si="4"/>
        <v/>
      </c>
      <c r="U8" s="13" t="str">
        <f t="shared" ca="1" si="4"/>
        <v/>
      </c>
      <c r="V8" s="13" t="str">
        <f t="shared" ca="1" si="4"/>
        <v/>
      </c>
      <c r="W8" s="13" t="str">
        <f t="shared" ca="1" si="4"/>
        <v/>
      </c>
      <c r="X8" s="13" t="str">
        <f t="shared" ca="1" si="4"/>
        <v/>
      </c>
      <c r="Y8" s="13" t="str">
        <f t="shared" ca="1" si="5"/>
        <v/>
      </c>
      <c r="Z8" s="13" t="str">
        <f t="shared" ca="1" si="5"/>
        <v/>
      </c>
      <c r="AA8" s="13" t="str">
        <f t="shared" ca="1" si="5"/>
        <v/>
      </c>
      <c r="AB8" s="13" t="str">
        <f t="shared" ca="1" si="5"/>
        <v/>
      </c>
      <c r="AC8" s="13" t="str">
        <f t="shared" ca="1" si="5"/>
        <v/>
      </c>
      <c r="AD8" s="13" t="str">
        <f t="shared" ca="1" si="5"/>
        <v/>
      </c>
      <c r="AE8" s="13" t="str">
        <f t="shared" ca="1" si="5"/>
        <v/>
      </c>
      <c r="AF8" s="13" t="str">
        <f t="shared" ca="1" si="5"/>
        <v/>
      </c>
      <c r="AG8" s="13" t="str">
        <f t="shared" ca="1" si="5"/>
        <v/>
      </c>
      <c r="AH8" s="13" t="str">
        <f t="shared" ca="1" si="5"/>
        <v/>
      </c>
      <c r="AI8" s="13" t="str">
        <f t="shared" ca="1" si="5"/>
        <v/>
      </c>
      <c r="AJ8" s="13" t="str">
        <f t="shared" ca="1" si="5"/>
        <v/>
      </c>
      <c r="AK8" s="13" t="str">
        <f t="shared" ca="1" si="5"/>
        <v/>
      </c>
      <c r="AL8" s="13" t="str">
        <f t="shared" ca="1" si="5"/>
        <v/>
      </c>
      <c r="AM8" s="13" t="str">
        <f t="shared" ca="1" si="5"/>
        <v/>
      </c>
      <c r="AN8" s="13" t="str">
        <f t="shared" ca="1" si="5"/>
        <v/>
      </c>
      <c r="AO8" s="13" t="str">
        <f t="shared" ca="1" si="6"/>
        <v/>
      </c>
      <c r="AP8" s="13" t="str">
        <f t="shared" ca="1" si="6"/>
        <v/>
      </c>
      <c r="AQ8" s="13" t="str">
        <f t="shared" ca="1" si="6"/>
        <v/>
      </c>
      <c r="AR8" s="13" t="str">
        <f t="shared" ca="1" si="6"/>
        <v/>
      </c>
      <c r="AS8" s="13" t="str">
        <f t="shared" ca="1" si="6"/>
        <v/>
      </c>
      <c r="AT8" s="13" t="str">
        <f t="shared" ca="1" si="6"/>
        <v/>
      </c>
      <c r="AU8" s="13" t="str">
        <f t="shared" ca="1" si="6"/>
        <v/>
      </c>
      <c r="AV8" s="13" t="str">
        <f t="shared" ca="1" si="6"/>
        <v/>
      </c>
      <c r="AW8" s="13" t="str">
        <f t="shared" ca="1" si="6"/>
        <v/>
      </c>
      <c r="AX8" s="13" t="str">
        <f t="shared" ca="1" si="6"/>
        <v/>
      </c>
      <c r="AY8" s="13" t="str">
        <f t="shared" ca="1" si="6"/>
        <v/>
      </c>
      <c r="AZ8" s="13" t="str">
        <f t="shared" ca="1" si="6"/>
        <v/>
      </c>
      <c r="BA8" s="13" t="str">
        <f t="shared" ca="1" si="6"/>
        <v/>
      </c>
      <c r="BB8" s="13" t="str">
        <f t="shared" ca="1" si="6"/>
        <v/>
      </c>
      <c r="BC8" s="13" t="str">
        <f t="shared" ca="1" si="6"/>
        <v/>
      </c>
      <c r="BD8" s="13" t="str">
        <f t="shared" ca="1" si="6"/>
        <v/>
      </c>
      <c r="BE8" s="13" t="str">
        <f t="shared" ca="1" si="7"/>
        <v/>
      </c>
      <c r="BF8" s="13" t="str">
        <f t="shared" ca="1" si="7"/>
        <v/>
      </c>
      <c r="BG8" s="13" t="str">
        <f t="shared" ca="1" si="7"/>
        <v/>
      </c>
      <c r="BH8" s="13" t="str">
        <f t="shared" ca="1" si="7"/>
        <v/>
      </c>
      <c r="BI8" s="13" t="str">
        <f t="shared" ca="1" si="7"/>
        <v/>
      </c>
      <c r="BJ8" s="13" t="str">
        <f t="shared" ca="1" si="7"/>
        <v/>
      </c>
      <c r="BK8" s="13" t="str">
        <f t="shared" ca="1" si="7"/>
        <v/>
      </c>
      <c r="BL8" s="13" t="str">
        <f t="shared" ca="1" si="7"/>
        <v/>
      </c>
    </row>
    <row r="9" spans="1:68" s="1" customFormat="1" ht="40.15" customHeight="1" x14ac:dyDescent="0.25">
      <c r="A9" s="7"/>
      <c r="B9" s="58" t="s">
        <v>24</v>
      </c>
      <c r="C9" s="16" t="s">
        <v>6</v>
      </c>
      <c r="D9" s="16" t="s">
        <v>22</v>
      </c>
      <c r="E9" s="17">
        <v>1</v>
      </c>
      <c r="F9" s="18">
        <v>46076</v>
      </c>
      <c r="G9" s="19">
        <v>2</v>
      </c>
      <c r="H9" s="16"/>
      <c r="I9" s="13" t="str">
        <f ca="1">IF(AND($C9="Goal",I$3&gt;=$F9,I$3&lt;=$F9+$G9-1),2,IF(AND($C9="Milestone",I$3&gt;=$F9,I$3&lt;=$F9+$G9-1),1,""))</f>
        <v/>
      </c>
      <c r="J9" s="13" t="str">
        <f t="shared" ca="1" si="4"/>
        <v/>
      </c>
      <c r="K9" s="13" t="str">
        <f t="shared" ca="1" si="4"/>
        <v/>
      </c>
      <c r="L9" s="13" t="str">
        <f t="shared" ca="1" si="4"/>
        <v/>
      </c>
      <c r="M9" s="13" t="str">
        <f t="shared" ca="1" si="4"/>
        <v/>
      </c>
      <c r="N9" s="13" t="str">
        <f t="shared" ca="1" si="4"/>
        <v/>
      </c>
      <c r="O9" s="13" t="str">
        <f t="shared" ca="1" si="4"/>
        <v/>
      </c>
      <c r="P9" s="13" t="str">
        <f t="shared" ca="1" si="4"/>
        <v/>
      </c>
      <c r="Q9" s="13" t="str">
        <f t="shared" ca="1" si="4"/>
        <v/>
      </c>
      <c r="R9" s="13" t="str">
        <f t="shared" ca="1" si="4"/>
        <v/>
      </c>
      <c r="S9" s="13" t="str">
        <f t="shared" ca="1" si="4"/>
        <v/>
      </c>
      <c r="T9" s="13" t="str">
        <f t="shared" ca="1" si="4"/>
        <v/>
      </c>
      <c r="U9" s="13" t="str">
        <f t="shared" ca="1" si="4"/>
        <v/>
      </c>
      <c r="V9" s="13" t="str">
        <f t="shared" ca="1" si="4"/>
        <v/>
      </c>
      <c r="W9" s="13" t="str">
        <f t="shared" ca="1" si="4"/>
        <v/>
      </c>
      <c r="X9" s="13" t="str">
        <f t="shared" ca="1" si="4"/>
        <v/>
      </c>
      <c r="Y9" s="13" t="str">
        <f t="shared" ca="1" si="5"/>
        <v/>
      </c>
      <c r="Z9" s="13" t="str">
        <f t="shared" ca="1" si="5"/>
        <v/>
      </c>
      <c r="AA9" s="13" t="str">
        <f t="shared" ca="1" si="5"/>
        <v/>
      </c>
      <c r="AB9" s="13" t="str">
        <f t="shared" ca="1" si="5"/>
        <v/>
      </c>
      <c r="AC9" s="13" t="str">
        <f t="shared" ca="1" si="5"/>
        <v/>
      </c>
      <c r="AD9" s="13" t="str">
        <f t="shared" ca="1" si="5"/>
        <v/>
      </c>
      <c r="AE9" s="13" t="str">
        <f t="shared" ca="1" si="5"/>
        <v/>
      </c>
      <c r="AF9" s="13" t="str">
        <f t="shared" ca="1" si="5"/>
        <v/>
      </c>
      <c r="AG9" s="13" t="str">
        <f t="shared" ca="1" si="5"/>
        <v/>
      </c>
      <c r="AH9" s="13" t="str">
        <f t="shared" ca="1" si="5"/>
        <v/>
      </c>
      <c r="AI9" s="13" t="str">
        <f t="shared" ca="1" si="5"/>
        <v/>
      </c>
      <c r="AJ9" s="13" t="str">
        <f t="shared" ca="1" si="5"/>
        <v/>
      </c>
      <c r="AK9" s="13" t="str">
        <f t="shared" ca="1" si="5"/>
        <v/>
      </c>
      <c r="AL9" s="13" t="str">
        <f t="shared" ca="1" si="5"/>
        <v/>
      </c>
      <c r="AM9" s="13" t="str">
        <f t="shared" ca="1" si="5"/>
        <v/>
      </c>
      <c r="AN9" s="13" t="str">
        <f t="shared" ca="1" si="5"/>
        <v/>
      </c>
      <c r="AO9" s="13" t="str">
        <f t="shared" ca="1" si="6"/>
        <v/>
      </c>
      <c r="AP9" s="13" t="str">
        <f t="shared" ca="1" si="6"/>
        <v/>
      </c>
      <c r="AQ9" s="13" t="str">
        <f t="shared" ca="1" si="6"/>
        <v/>
      </c>
      <c r="AR9" s="13" t="str">
        <f t="shared" ca="1" si="6"/>
        <v/>
      </c>
      <c r="AS9" s="13" t="str">
        <f t="shared" ca="1" si="6"/>
        <v/>
      </c>
      <c r="AT9" s="13" t="str">
        <f t="shared" ca="1" si="6"/>
        <v/>
      </c>
      <c r="AU9" s="13" t="str">
        <f t="shared" ca="1" si="6"/>
        <v/>
      </c>
      <c r="AV9" s="13" t="str">
        <f t="shared" ca="1" si="6"/>
        <v/>
      </c>
      <c r="AW9" s="13" t="str">
        <f t="shared" ca="1" si="6"/>
        <v/>
      </c>
      <c r="AX9" s="13" t="str">
        <f t="shared" ca="1" si="6"/>
        <v/>
      </c>
      <c r="AY9" s="13" t="str">
        <f t="shared" ca="1" si="6"/>
        <v/>
      </c>
      <c r="AZ9" s="13" t="str">
        <f t="shared" ca="1" si="6"/>
        <v/>
      </c>
      <c r="BA9" s="13" t="str">
        <f t="shared" ca="1" si="6"/>
        <v/>
      </c>
      <c r="BB9" s="13" t="str">
        <f t="shared" ca="1" si="6"/>
        <v/>
      </c>
      <c r="BC9" s="13" t="str">
        <f t="shared" ca="1" si="6"/>
        <v/>
      </c>
      <c r="BD9" s="13" t="str">
        <f t="shared" ca="1" si="6"/>
        <v/>
      </c>
      <c r="BE9" s="13" t="str">
        <f t="shared" ca="1" si="7"/>
        <v/>
      </c>
      <c r="BF9" s="13" t="str">
        <f t="shared" ca="1" si="7"/>
        <v/>
      </c>
      <c r="BG9" s="13" t="str">
        <f t="shared" ca="1" si="7"/>
        <v/>
      </c>
      <c r="BH9" s="13" t="str">
        <f t="shared" ca="1" si="7"/>
        <v/>
      </c>
      <c r="BI9" s="13" t="str">
        <f t="shared" ca="1" si="7"/>
        <v/>
      </c>
      <c r="BJ9" s="13" t="str">
        <f t="shared" ca="1" si="7"/>
        <v/>
      </c>
      <c r="BK9" s="13" t="str">
        <f t="shared" ca="1" si="7"/>
        <v/>
      </c>
      <c r="BL9" s="13" t="str">
        <f t="shared" ca="1" si="7"/>
        <v/>
      </c>
    </row>
    <row r="10" spans="1:68" s="1" customFormat="1" ht="40.15" customHeight="1" x14ac:dyDescent="0.25">
      <c r="A10" s="6"/>
      <c r="B10" s="58" t="s">
        <v>26</v>
      </c>
      <c r="C10" s="16" t="s">
        <v>6</v>
      </c>
      <c r="D10" s="16" t="s">
        <v>22</v>
      </c>
      <c r="E10" s="17">
        <v>1</v>
      </c>
      <c r="F10" s="18">
        <v>46077</v>
      </c>
      <c r="G10" s="19">
        <v>1</v>
      </c>
      <c r="H10" s="16"/>
      <c r="I10" s="13" t="str">
        <f ca="1">IF(AND($C10="Goal",I$3&gt;=$F10,I$3&lt;=$F10+$G10-1),2,IF(AND($C10="Milestone",I$3&gt;=$F10,I$3&lt;=$F10+$G10-1),1,""))</f>
        <v/>
      </c>
      <c r="J10" s="13" t="str">
        <f t="shared" ca="1" si="4"/>
        <v/>
      </c>
      <c r="K10" s="13" t="str">
        <f t="shared" ca="1" si="4"/>
        <v/>
      </c>
      <c r="L10" s="13" t="str">
        <f t="shared" ca="1" si="4"/>
        <v/>
      </c>
      <c r="M10" s="13" t="str">
        <f t="shared" ca="1" si="4"/>
        <v/>
      </c>
      <c r="N10" s="13" t="str">
        <f t="shared" ca="1" si="4"/>
        <v/>
      </c>
      <c r="O10" s="13" t="str">
        <f t="shared" ca="1" si="4"/>
        <v/>
      </c>
      <c r="P10" s="13" t="str">
        <f t="shared" ca="1" si="4"/>
        <v/>
      </c>
      <c r="Q10" s="13" t="str">
        <f t="shared" ca="1" si="4"/>
        <v/>
      </c>
      <c r="R10" s="13" t="str">
        <f t="shared" ca="1" si="4"/>
        <v/>
      </c>
      <c r="S10" s="13" t="str">
        <f t="shared" ca="1" si="4"/>
        <v/>
      </c>
      <c r="T10" s="13" t="str">
        <f t="shared" ca="1" si="4"/>
        <v/>
      </c>
      <c r="U10" s="13" t="str">
        <f t="shared" ca="1" si="4"/>
        <v/>
      </c>
      <c r="V10" s="13" t="str">
        <f t="shared" ca="1" si="4"/>
        <v/>
      </c>
      <c r="W10" s="13" t="str">
        <f t="shared" ca="1" si="4"/>
        <v/>
      </c>
      <c r="X10" s="13" t="str">
        <f t="shared" ca="1" si="4"/>
        <v/>
      </c>
      <c r="Y10" s="13" t="str">
        <f t="shared" ca="1" si="5"/>
        <v/>
      </c>
      <c r="Z10" s="13" t="str">
        <f t="shared" ca="1" si="5"/>
        <v/>
      </c>
      <c r="AA10" s="13" t="str">
        <f t="shared" ca="1" si="5"/>
        <v/>
      </c>
      <c r="AB10" s="13" t="str">
        <f t="shared" ca="1" si="5"/>
        <v/>
      </c>
      <c r="AC10" s="13" t="str">
        <f t="shared" ca="1" si="5"/>
        <v/>
      </c>
      <c r="AD10" s="13" t="str">
        <f t="shared" ca="1" si="5"/>
        <v/>
      </c>
      <c r="AE10" s="13" t="str">
        <f t="shared" ca="1" si="5"/>
        <v/>
      </c>
      <c r="AF10" s="13" t="str">
        <f t="shared" ca="1" si="5"/>
        <v/>
      </c>
      <c r="AG10" s="13" t="str">
        <f t="shared" ca="1" si="5"/>
        <v/>
      </c>
      <c r="AH10" s="13" t="str">
        <f t="shared" ca="1" si="5"/>
        <v/>
      </c>
      <c r="AI10" s="13" t="str">
        <f t="shared" ca="1" si="5"/>
        <v/>
      </c>
      <c r="AJ10" s="13" t="str">
        <f t="shared" ca="1" si="5"/>
        <v/>
      </c>
      <c r="AK10" s="13" t="str">
        <f t="shared" ca="1" si="5"/>
        <v/>
      </c>
      <c r="AL10" s="13" t="str">
        <f t="shared" ca="1" si="5"/>
        <v/>
      </c>
      <c r="AM10" s="13" t="str">
        <f t="shared" ca="1" si="5"/>
        <v/>
      </c>
      <c r="AN10" s="13" t="str">
        <f t="shared" ca="1" si="5"/>
        <v/>
      </c>
      <c r="AO10" s="13" t="str">
        <f t="shared" ca="1" si="6"/>
        <v/>
      </c>
      <c r="AP10" s="13" t="str">
        <f t="shared" ca="1" si="6"/>
        <v/>
      </c>
      <c r="AQ10" s="13" t="str">
        <f t="shared" ca="1" si="6"/>
        <v/>
      </c>
      <c r="AR10" s="13" t="str">
        <f t="shared" ca="1" si="6"/>
        <v/>
      </c>
      <c r="AS10" s="13" t="str">
        <f t="shared" ca="1" si="6"/>
        <v/>
      </c>
      <c r="AT10" s="13" t="str">
        <f t="shared" ca="1" si="6"/>
        <v/>
      </c>
      <c r="AU10" s="13" t="str">
        <f t="shared" ca="1" si="6"/>
        <v/>
      </c>
      <c r="AV10" s="13" t="str">
        <f t="shared" ca="1" si="6"/>
        <v/>
      </c>
      <c r="AW10" s="13" t="str">
        <f t="shared" ca="1" si="6"/>
        <v/>
      </c>
      <c r="AX10" s="13" t="str">
        <f t="shared" ca="1" si="6"/>
        <v/>
      </c>
      <c r="AY10" s="13" t="str">
        <f t="shared" ca="1" si="6"/>
        <v/>
      </c>
      <c r="AZ10" s="13" t="str">
        <f t="shared" ca="1" si="6"/>
        <v/>
      </c>
      <c r="BA10" s="13" t="str">
        <f t="shared" ca="1" si="6"/>
        <v/>
      </c>
      <c r="BB10" s="13" t="str">
        <f t="shared" ca="1" si="6"/>
        <v/>
      </c>
      <c r="BC10" s="13" t="str">
        <f t="shared" ca="1" si="6"/>
        <v/>
      </c>
      <c r="BD10" s="13" t="str">
        <f t="shared" ca="1" si="6"/>
        <v/>
      </c>
      <c r="BE10" s="13" t="str">
        <f t="shared" ca="1" si="7"/>
        <v/>
      </c>
      <c r="BF10" s="13" t="str">
        <f t="shared" ca="1" si="7"/>
        <v/>
      </c>
      <c r="BG10" s="13" t="str">
        <f t="shared" ca="1" si="7"/>
        <v/>
      </c>
      <c r="BH10" s="13" t="str">
        <f t="shared" ca="1" si="7"/>
        <v/>
      </c>
      <c r="BI10" s="13" t="str">
        <f t="shared" ca="1" si="7"/>
        <v/>
      </c>
      <c r="BJ10" s="13" t="str">
        <f t="shared" ca="1" si="7"/>
        <v/>
      </c>
      <c r="BK10" s="13" t="str">
        <f t="shared" ca="1" si="7"/>
        <v/>
      </c>
      <c r="BL10" s="13" t="str">
        <f t="shared" ca="1" si="7"/>
        <v/>
      </c>
    </row>
    <row r="11" spans="1:68" s="1" customFormat="1" ht="40.15" customHeight="1" x14ac:dyDescent="0.25">
      <c r="A11" s="6"/>
      <c r="B11" s="58" t="s">
        <v>288</v>
      </c>
      <c r="C11" s="16" t="s">
        <v>6</v>
      </c>
      <c r="D11" s="16" t="s">
        <v>22</v>
      </c>
      <c r="E11" s="17">
        <v>1</v>
      </c>
      <c r="F11" s="18">
        <v>46077</v>
      </c>
      <c r="G11" s="19">
        <v>1</v>
      </c>
      <c r="H11" s="16"/>
      <c r="I11" s="13" t="str">
        <f ca="1">IF(AND($C11="Goal",I$3&gt;=$F11,I$3&lt;=$F11+$G11-1),2,IF(AND($C11="Milestone",I$3&gt;=$F11,I$3&lt;=$F11+$G11-1),1,""))</f>
        <v/>
      </c>
      <c r="J11" s="13" t="str">
        <f t="shared" ca="1" si="4"/>
        <v/>
      </c>
      <c r="K11" s="13" t="str">
        <f t="shared" ca="1" si="4"/>
        <v/>
      </c>
      <c r="L11" s="13" t="str">
        <f t="shared" ca="1" si="4"/>
        <v/>
      </c>
      <c r="M11" s="13" t="str">
        <f t="shared" ca="1" si="4"/>
        <v/>
      </c>
      <c r="N11" s="13" t="str">
        <f t="shared" ca="1" si="4"/>
        <v/>
      </c>
      <c r="O11" s="13" t="str">
        <f t="shared" ca="1" si="4"/>
        <v/>
      </c>
      <c r="P11" s="13" t="str">
        <f t="shared" ca="1" si="4"/>
        <v/>
      </c>
      <c r="Q11" s="13" t="str">
        <f t="shared" ca="1" si="4"/>
        <v/>
      </c>
      <c r="R11" s="13" t="str">
        <f t="shared" ca="1" si="4"/>
        <v/>
      </c>
      <c r="S11" s="13" t="str">
        <f t="shared" ca="1" si="4"/>
        <v/>
      </c>
      <c r="T11" s="13" t="str">
        <f t="shared" ca="1" si="4"/>
        <v/>
      </c>
      <c r="U11" s="13" t="str">
        <f t="shared" ca="1" si="4"/>
        <v/>
      </c>
      <c r="V11" s="13" t="str">
        <f t="shared" ca="1" si="4"/>
        <v/>
      </c>
      <c r="W11" s="13" t="str">
        <f t="shared" ca="1" si="4"/>
        <v/>
      </c>
      <c r="X11" s="13" t="str">
        <f t="shared" ca="1" si="4"/>
        <v/>
      </c>
      <c r="Y11" s="13" t="str">
        <f t="shared" ca="1" si="5"/>
        <v/>
      </c>
      <c r="Z11" s="13" t="str">
        <f t="shared" ca="1" si="5"/>
        <v/>
      </c>
      <c r="AA11" s="13" t="str">
        <f t="shared" ca="1" si="5"/>
        <v/>
      </c>
      <c r="AB11" s="13" t="str">
        <f t="shared" ca="1" si="5"/>
        <v/>
      </c>
      <c r="AC11" s="13" t="str">
        <f t="shared" ca="1" si="5"/>
        <v/>
      </c>
      <c r="AD11" s="13" t="str">
        <f t="shared" ca="1" si="5"/>
        <v/>
      </c>
      <c r="AE11" s="13" t="str">
        <f t="shared" ca="1" si="5"/>
        <v/>
      </c>
      <c r="AF11" s="13" t="str">
        <f t="shared" ca="1" si="5"/>
        <v/>
      </c>
      <c r="AG11" s="13" t="str">
        <f t="shared" ca="1" si="5"/>
        <v/>
      </c>
      <c r="AH11" s="13" t="str">
        <f t="shared" ca="1" si="5"/>
        <v/>
      </c>
      <c r="AI11" s="13" t="str">
        <f t="shared" ca="1" si="5"/>
        <v/>
      </c>
      <c r="AJ11" s="13" t="str">
        <f t="shared" ca="1" si="5"/>
        <v/>
      </c>
      <c r="AK11" s="13" t="str">
        <f t="shared" ca="1" si="5"/>
        <v/>
      </c>
      <c r="AL11" s="13" t="str">
        <f t="shared" ca="1" si="5"/>
        <v/>
      </c>
      <c r="AM11" s="13" t="str">
        <f t="shared" ca="1" si="5"/>
        <v/>
      </c>
      <c r="AN11" s="13" t="str">
        <f t="shared" ca="1" si="5"/>
        <v/>
      </c>
      <c r="AO11" s="13" t="str">
        <f t="shared" ca="1" si="6"/>
        <v/>
      </c>
      <c r="AP11" s="13" t="str">
        <f t="shared" ca="1" si="6"/>
        <v/>
      </c>
      <c r="AQ11" s="13" t="str">
        <f t="shared" ca="1" si="6"/>
        <v/>
      </c>
      <c r="AR11" s="13" t="str">
        <f t="shared" ca="1" si="6"/>
        <v/>
      </c>
      <c r="AS11" s="13" t="str">
        <f t="shared" ca="1" si="6"/>
        <v/>
      </c>
      <c r="AT11" s="13" t="str">
        <f t="shared" ca="1" si="6"/>
        <v/>
      </c>
      <c r="AU11" s="13" t="str">
        <f t="shared" ca="1" si="6"/>
        <v/>
      </c>
      <c r="AV11" s="13" t="str">
        <f t="shared" ca="1" si="6"/>
        <v/>
      </c>
      <c r="AW11" s="13" t="str">
        <f t="shared" ca="1" si="6"/>
        <v/>
      </c>
      <c r="AX11" s="13" t="str">
        <f t="shared" ca="1" si="6"/>
        <v/>
      </c>
      <c r="AY11" s="13" t="str">
        <f t="shared" ca="1" si="6"/>
        <v/>
      </c>
      <c r="AZ11" s="13" t="str">
        <f t="shared" ca="1" si="6"/>
        <v/>
      </c>
      <c r="BA11" s="13" t="str">
        <f t="shared" ca="1" si="6"/>
        <v/>
      </c>
      <c r="BB11" s="13" t="str">
        <f t="shared" ca="1" si="6"/>
        <v/>
      </c>
      <c r="BC11" s="13" t="str">
        <f t="shared" ca="1" si="6"/>
        <v/>
      </c>
      <c r="BD11" s="13" t="str">
        <f t="shared" ca="1" si="6"/>
        <v/>
      </c>
      <c r="BE11" s="13" t="str">
        <f t="shared" ca="1" si="7"/>
        <v/>
      </c>
      <c r="BF11" s="13" t="str">
        <f t="shared" ca="1" si="7"/>
        <v/>
      </c>
      <c r="BG11" s="13" t="str">
        <f t="shared" ca="1" si="7"/>
        <v/>
      </c>
      <c r="BH11" s="13" t="str">
        <f t="shared" ca="1" si="7"/>
        <v/>
      </c>
      <c r="BI11" s="13" t="str">
        <f t="shared" ca="1" si="7"/>
        <v/>
      </c>
      <c r="BJ11" s="13" t="str">
        <f t="shared" ca="1" si="7"/>
        <v/>
      </c>
      <c r="BK11" s="13" t="str">
        <f t="shared" ca="1" si="7"/>
        <v/>
      </c>
      <c r="BL11" s="13" t="str">
        <f t="shared" ca="1" si="7"/>
        <v/>
      </c>
    </row>
    <row r="12" spans="1:68" s="1" customFormat="1" ht="40.15" customHeight="1" x14ac:dyDescent="0.25">
      <c r="A12" s="6"/>
      <c r="B12" s="58" t="s">
        <v>27</v>
      </c>
      <c r="C12" s="16" t="s">
        <v>6</v>
      </c>
      <c r="D12" s="16" t="s">
        <v>22</v>
      </c>
      <c r="E12" s="17">
        <v>1</v>
      </c>
      <c r="F12" s="18">
        <v>46078</v>
      </c>
      <c r="G12" s="19">
        <v>1</v>
      </c>
      <c r="H12" s="16"/>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row>
    <row r="13" spans="1:68" s="1" customFormat="1" ht="40.15" customHeight="1" x14ac:dyDescent="0.25">
      <c r="A13" s="6"/>
      <c r="B13" s="58" t="s">
        <v>287</v>
      </c>
      <c r="C13" s="16" t="s">
        <v>6</v>
      </c>
      <c r="D13" s="16" t="s">
        <v>25</v>
      </c>
      <c r="E13" s="17">
        <v>1</v>
      </c>
      <c r="F13" s="18">
        <v>46078</v>
      </c>
      <c r="G13" s="19">
        <v>1</v>
      </c>
      <c r="H13" s="16"/>
      <c r="I13" s="13" t="str">
        <f t="shared" ref="I13:I19" ca="1" si="8">IF(AND($C13="Goal",I$3&gt;=$F13,I$3&lt;=$F13+$G13-1),2,IF(AND($C13="Milestone",I$3&gt;=$F13,I$3&lt;=$F13+$G13-1),1,""))</f>
        <v/>
      </c>
      <c r="J13" s="13" t="str">
        <f t="shared" ca="1" si="4"/>
        <v/>
      </c>
      <c r="K13" s="13" t="str">
        <f t="shared" ca="1" si="4"/>
        <v/>
      </c>
      <c r="L13" s="13" t="str">
        <f t="shared" ca="1" si="4"/>
        <v/>
      </c>
      <c r="M13" s="13" t="str">
        <f t="shared" ca="1" si="4"/>
        <v/>
      </c>
      <c r="N13" s="13" t="str">
        <f t="shared" ca="1" si="4"/>
        <v/>
      </c>
      <c r="O13" s="13" t="str">
        <f t="shared" ca="1" si="4"/>
        <v/>
      </c>
      <c r="P13" s="13" t="str">
        <f t="shared" ca="1" si="4"/>
        <v/>
      </c>
      <c r="Q13" s="13" t="str">
        <f t="shared" ca="1" si="4"/>
        <v/>
      </c>
      <c r="R13" s="13"/>
      <c r="S13" s="13" t="str">
        <f t="shared" ca="1" si="4"/>
        <v/>
      </c>
      <c r="T13" s="13" t="str">
        <f t="shared" ca="1" si="4"/>
        <v/>
      </c>
      <c r="U13" s="13" t="str">
        <f t="shared" ca="1" si="4"/>
        <v/>
      </c>
      <c r="V13" s="13" t="str">
        <f t="shared" ca="1" si="4"/>
        <v/>
      </c>
      <c r="W13" s="13" t="str">
        <f t="shared" ca="1" si="4"/>
        <v/>
      </c>
      <c r="X13" s="13" t="str">
        <f t="shared" ca="1" si="4"/>
        <v/>
      </c>
      <c r="Y13" s="13" t="str">
        <f t="shared" ca="1" si="5"/>
        <v/>
      </c>
      <c r="Z13" s="13" t="str">
        <f t="shared" ca="1" si="5"/>
        <v/>
      </c>
      <c r="AA13" s="13" t="str">
        <f t="shared" ca="1" si="5"/>
        <v/>
      </c>
      <c r="AB13" s="13" t="str">
        <f t="shared" ca="1" si="5"/>
        <v/>
      </c>
      <c r="AC13" s="13" t="str">
        <f t="shared" ca="1" si="5"/>
        <v/>
      </c>
      <c r="AD13" s="13" t="str">
        <f t="shared" ca="1" si="5"/>
        <v/>
      </c>
      <c r="AE13" s="13" t="str">
        <f t="shared" ca="1" si="5"/>
        <v/>
      </c>
      <c r="AF13" s="13" t="str">
        <f t="shared" ca="1" si="5"/>
        <v/>
      </c>
      <c r="AG13" s="13" t="str">
        <f t="shared" ca="1" si="5"/>
        <v/>
      </c>
      <c r="AH13" s="13" t="str">
        <f t="shared" ca="1" si="5"/>
        <v/>
      </c>
      <c r="AI13" s="13" t="str">
        <f t="shared" ca="1" si="5"/>
        <v/>
      </c>
      <c r="AJ13" s="13" t="str">
        <f t="shared" ca="1" si="5"/>
        <v/>
      </c>
      <c r="AK13" s="13" t="str">
        <f t="shared" ca="1" si="5"/>
        <v/>
      </c>
      <c r="AL13" s="13" t="str">
        <f t="shared" ca="1" si="5"/>
        <v/>
      </c>
      <c r="AM13" s="13" t="str">
        <f t="shared" ca="1" si="5"/>
        <v/>
      </c>
      <c r="AN13" s="13" t="str">
        <f t="shared" ca="1" si="5"/>
        <v/>
      </c>
      <c r="AO13" s="13" t="str">
        <f t="shared" ca="1" si="6"/>
        <v/>
      </c>
      <c r="AP13" s="13" t="str">
        <f t="shared" ca="1" si="6"/>
        <v/>
      </c>
      <c r="AQ13" s="13" t="str">
        <f t="shared" ca="1" si="6"/>
        <v/>
      </c>
      <c r="AR13" s="13" t="str">
        <f t="shared" ca="1" si="6"/>
        <v/>
      </c>
      <c r="AS13" s="13" t="str">
        <f t="shared" ca="1" si="6"/>
        <v/>
      </c>
      <c r="AT13" s="13" t="str">
        <f t="shared" ca="1" si="6"/>
        <v/>
      </c>
      <c r="AU13" s="13" t="str">
        <f t="shared" ca="1" si="6"/>
        <v/>
      </c>
      <c r="AV13" s="13" t="str">
        <f t="shared" ca="1" si="6"/>
        <v/>
      </c>
      <c r="AW13" s="13" t="str">
        <f t="shared" ca="1" si="6"/>
        <v/>
      </c>
      <c r="AX13" s="13" t="str">
        <f t="shared" ca="1" si="6"/>
        <v/>
      </c>
      <c r="AY13" s="13" t="str">
        <f t="shared" ca="1" si="6"/>
        <v/>
      </c>
      <c r="AZ13" s="13" t="str">
        <f t="shared" ca="1" si="6"/>
        <v/>
      </c>
      <c r="BA13" s="13" t="str">
        <f t="shared" ca="1" si="6"/>
        <v/>
      </c>
      <c r="BB13" s="13" t="str">
        <f t="shared" ca="1" si="6"/>
        <v/>
      </c>
      <c r="BC13" s="13" t="str">
        <f t="shared" ca="1" si="6"/>
        <v/>
      </c>
      <c r="BD13" s="13" t="str">
        <f t="shared" ca="1" si="6"/>
        <v/>
      </c>
      <c r="BE13" s="13" t="str">
        <f t="shared" ref="BE13:BL19" ca="1" si="9">IF(AND($C13="Goal",BE$3&gt;=$F13,BE$3&lt;=$F13+$G13-1),2,IF(AND($C13="Milestone",BE$3&gt;=$F13,BE$3&lt;=$F13+$G13-1),1,""))</f>
        <v/>
      </c>
      <c r="BF13" s="13" t="str">
        <f t="shared" ca="1" si="9"/>
        <v/>
      </c>
      <c r="BG13" s="13" t="str">
        <f t="shared" ca="1" si="9"/>
        <v/>
      </c>
      <c r="BH13" s="13" t="str">
        <f t="shared" ca="1" si="9"/>
        <v/>
      </c>
      <c r="BI13" s="13" t="str">
        <f t="shared" ca="1" si="9"/>
        <v/>
      </c>
      <c r="BJ13" s="13" t="str">
        <f t="shared" ca="1" si="9"/>
        <v/>
      </c>
      <c r="BK13" s="13" t="str">
        <f t="shared" ca="1" si="9"/>
        <v/>
      </c>
      <c r="BL13" s="13" t="str">
        <f t="shared" ca="1" si="9"/>
        <v/>
      </c>
    </row>
    <row r="14" spans="1:68" s="1" customFormat="1" ht="40.15" customHeight="1" x14ac:dyDescent="0.25">
      <c r="A14" s="7"/>
      <c r="B14" s="58" t="s">
        <v>289</v>
      </c>
      <c r="C14" s="16" t="s">
        <v>6</v>
      </c>
      <c r="D14" s="16" t="s">
        <v>22</v>
      </c>
      <c r="E14" s="17">
        <v>1</v>
      </c>
      <c r="F14" s="18">
        <v>46079</v>
      </c>
      <c r="G14" s="19">
        <v>2</v>
      </c>
      <c r="H14" s="16"/>
      <c r="I14" s="13" t="str">
        <f t="shared" ca="1" si="8"/>
        <v/>
      </c>
      <c r="J14" s="13" t="str">
        <f t="shared" ca="1" si="4"/>
        <v/>
      </c>
      <c r="K14" s="13" t="str">
        <f t="shared" ca="1" si="4"/>
        <v/>
      </c>
      <c r="L14" s="13" t="str">
        <f t="shared" ca="1" si="4"/>
        <v/>
      </c>
      <c r="M14" s="13" t="str">
        <f t="shared" ca="1" si="4"/>
        <v/>
      </c>
      <c r="N14" s="13" t="str">
        <f t="shared" ca="1" si="4"/>
        <v/>
      </c>
      <c r="O14" s="13" t="str">
        <f t="shared" ca="1" si="4"/>
        <v/>
      </c>
      <c r="P14" s="13" t="str">
        <f t="shared" ca="1" si="4"/>
        <v/>
      </c>
      <c r="Q14" s="13" t="str">
        <f t="shared" ca="1" si="4"/>
        <v/>
      </c>
      <c r="R14" s="13" t="str">
        <f t="shared" ca="1" si="4"/>
        <v/>
      </c>
      <c r="S14" s="13" t="str">
        <f t="shared" ca="1" si="4"/>
        <v/>
      </c>
      <c r="T14" s="13" t="str">
        <f t="shared" ca="1" si="4"/>
        <v/>
      </c>
      <c r="U14" s="13" t="str">
        <f t="shared" ca="1" si="4"/>
        <v/>
      </c>
      <c r="V14" s="13" t="str">
        <f t="shared" ca="1" si="4"/>
        <v/>
      </c>
      <c r="W14" s="13" t="str">
        <f t="shared" ca="1" si="4"/>
        <v/>
      </c>
      <c r="X14" s="13" t="str">
        <f t="shared" ca="1" si="4"/>
        <v/>
      </c>
      <c r="Y14" s="13" t="str">
        <f t="shared" ca="1" si="5"/>
        <v/>
      </c>
      <c r="Z14" s="13" t="str">
        <f t="shared" ca="1" si="5"/>
        <v/>
      </c>
      <c r="AA14" s="13" t="str">
        <f t="shared" ca="1" si="5"/>
        <v/>
      </c>
      <c r="AB14" s="13" t="str">
        <f t="shared" ca="1" si="5"/>
        <v/>
      </c>
      <c r="AC14" s="13" t="str">
        <f t="shared" ca="1" si="5"/>
        <v/>
      </c>
      <c r="AD14" s="13" t="str">
        <f t="shared" ca="1" si="5"/>
        <v/>
      </c>
      <c r="AE14" s="13" t="str">
        <f t="shared" ca="1" si="5"/>
        <v/>
      </c>
      <c r="AF14" s="13" t="str">
        <f t="shared" ca="1" si="5"/>
        <v/>
      </c>
      <c r="AG14" s="13" t="str">
        <f t="shared" ca="1" si="5"/>
        <v/>
      </c>
      <c r="AH14" s="13" t="str">
        <f t="shared" ca="1" si="5"/>
        <v/>
      </c>
      <c r="AI14" s="13" t="str">
        <f t="shared" ca="1" si="5"/>
        <v/>
      </c>
      <c r="AJ14" s="13" t="str">
        <f t="shared" ca="1" si="5"/>
        <v/>
      </c>
      <c r="AK14" s="13" t="str">
        <f t="shared" ca="1" si="5"/>
        <v/>
      </c>
      <c r="AL14" s="13" t="str">
        <f t="shared" ca="1" si="5"/>
        <v/>
      </c>
      <c r="AM14" s="13" t="str">
        <f t="shared" ca="1" si="5"/>
        <v/>
      </c>
      <c r="AN14" s="13" t="str">
        <f t="shared" ca="1" si="5"/>
        <v/>
      </c>
      <c r="AO14" s="13" t="str">
        <f t="shared" ca="1" si="6"/>
        <v/>
      </c>
      <c r="AP14" s="13" t="str">
        <f t="shared" ca="1" si="6"/>
        <v/>
      </c>
      <c r="AQ14" s="13" t="str">
        <f t="shared" ca="1" si="6"/>
        <v/>
      </c>
      <c r="AR14" s="13" t="str">
        <f t="shared" ca="1" si="6"/>
        <v/>
      </c>
      <c r="AS14" s="13" t="str">
        <f t="shared" ca="1" si="6"/>
        <v/>
      </c>
      <c r="AT14" s="13" t="str">
        <f t="shared" ca="1" si="6"/>
        <v/>
      </c>
      <c r="AU14" s="13" t="str">
        <f t="shared" ca="1" si="6"/>
        <v/>
      </c>
      <c r="AV14" s="13" t="str">
        <f t="shared" ca="1" si="6"/>
        <v/>
      </c>
      <c r="AW14" s="13" t="str">
        <f t="shared" ca="1" si="6"/>
        <v/>
      </c>
      <c r="AX14" s="13" t="str">
        <f t="shared" ca="1" si="6"/>
        <v/>
      </c>
      <c r="AY14" s="13" t="str">
        <f t="shared" ca="1" si="6"/>
        <v/>
      </c>
      <c r="AZ14" s="13" t="str">
        <f t="shared" ca="1" si="6"/>
        <v/>
      </c>
      <c r="BA14" s="13" t="str">
        <f t="shared" ca="1" si="6"/>
        <v/>
      </c>
      <c r="BB14" s="13" t="str">
        <f t="shared" ca="1" si="6"/>
        <v/>
      </c>
      <c r="BC14" s="13" t="str">
        <f t="shared" ca="1" si="6"/>
        <v/>
      </c>
      <c r="BD14" s="13" t="str">
        <f t="shared" ca="1" si="6"/>
        <v/>
      </c>
      <c r="BE14" s="13" t="str">
        <f t="shared" ca="1" si="9"/>
        <v/>
      </c>
      <c r="BF14" s="13" t="str">
        <f t="shared" ca="1" si="9"/>
        <v/>
      </c>
      <c r="BG14" s="13" t="str">
        <f t="shared" ca="1" si="9"/>
        <v/>
      </c>
      <c r="BH14" s="13" t="str">
        <f t="shared" ca="1" si="9"/>
        <v/>
      </c>
      <c r="BI14" s="13" t="str">
        <f t="shared" ca="1" si="9"/>
        <v/>
      </c>
      <c r="BJ14" s="13" t="str">
        <f t="shared" ca="1" si="9"/>
        <v/>
      </c>
      <c r="BK14" s="13" t="str">
        <f t="shared" ca="1" si="9"/>
        <v/>
      </c>
      <c r="BL14" s="13" t="str">
        <f t="shared" ca="1" si="9"/>
        <v/>
      </c>
    </row>
    <row r="15" spans="1:68" s="1" customFormat="1" ht="40.15" customHeight="1" x14ac:dyDescent="0.25">
      <c r="A15" s="7"/>
      <c r="B15" s="58" t="s">
        <v>290</v>
      </c>
      <c r="C15" s="16" t="s">
        <v>6</v>
      </c>
      <c r="D15" s="16" t="s">
        <v>25</v>
      </c>
      <c r="E15" s="17">
        <v>1</v>
      </c>
      <c r="F15" s="18">
        <v>46079</v>
      </c>
      <c r="G15" s="19">
        <v>2</v>
      </c>
      <c r="H15" s="16"/>
      <c r="I15" s="13" t="str">
        <f t="shared" ca="1" si="8"/>
        <v/>
      </c>
      <c r="J15" s="13" t="str">
        <f t="shared" ca="1" si="4"/>
        <v/>
      </c>
      <c r="K15" s="13" t="str">
        <f t="shared" ca="1" si="4"/>
        <v/>
      </c>
      <c r="L15" s="13" t="str">
        <f t="shared" ca="1" si="4"/>
        <v/>
      </c>
      <c r="M15" s="13" t="str">
        <f t="shared" ca="1" si="4"/>
        <v/>
      </c>
      <c r="N15" s="13" t="str">
        <f t="shared" ca="1" si="4"/>
        <v/>
      </c>
      <c r="O15" s="13" t="str">
        <f t="shared" ca="1" si="4"/>
        <v/>
      </c>
      <c r="P15" s="13" t="str">
        <f t="shared" ca="1" si="4"/>
        <v/>
      </c>
      <c r="Q15" s="13" t="str">
        <f t="shared" ca="1" si="4"/>
        <v/>
      </c>
      <c r="R15" s="13" t="str">
        <f t="shared" ca="1" si="4"/>
        <v/>
      </c>
      <c r="S15" s="13" t="str">
        <f t="shared" ca="1" si="4"/>
        <v/>
      </c>
      <c r="T15" s="13" t="str">
        <f t="shared" ca="1" si="4"/>
        <v/>
      </c>
      <c r="U15" s="13" t="str">
        <f t="shared" ca="1" si="4"/>
        <v/>
      </c>
      <c r="V15" s="13" t="str">
        <f t="shared" ca="1" si="4"/>
        <v/>
      </c>
      <c r="W15" s="13" t="str">
        <f t="shared" ca="1" si="4"/>
        <v/>
      </c>
      <c r="X15" s="13" t="str">
        <f t="shared" ca="1" si="4"/>
        <v/>
      </c>
      <c r="Y15" s="13" t="str">
        <f t="shared" ca="1" si="5"/>
        <v/>
      </c>
      <c r="Z15" s="13" t="str">
        <f t="shared" ca="1" si="5"/>
        <v/>
      </c>
      <c r="AA15" s="13" t="str">
        <f t="shared" ca="1" si="5"/>
        <v/>
      </c>
      <c r="AB15" s="13" t="str">
        <f t="shared" ca="1" si="5"/>
        <v/>
      </c>
      <c r="AC15" s="13" t="str">
        <f t="shared" ca="1" si="5"/>
        <v/>
      </c>
      <c r="AD15" s="13" t="str">
        <f t="shared" ca="1" si="5"/>
        <v/>
      </c>
      <c r="AE15" s="13" t="str">
        <f t="shared" ca="1" si="5"/>
        <v/>
      </c>
      <c r="AF15" s="13" t="str">
        <f t="shared" ca="1" si="5"/>
        <v/>
      </c>
      <c r="AG15" s="13" t="str">
        <f t="shared" ca="1" si="5"/>
        <v/>
      </c>
      <c r="AH15" s="13" t="str">
        <f t="shared" ca="1" si="5"/>
        <v/>
      </c>
      <c r="AI15" s="13" t="str">
        <f t="shared" ca="1" si="5"/>
        <v/>
      </c>
      <c r="AJ15" s="13" t="str">
        <f t="shared" ca="1" si="5"/>
        <v/>
      </c>
      <c r="AK15" s="13" t="str">
        <f t="shared" ca="1" si="5"/>
        <v/>
      </c>
      <c r="AL15" s="13" t="str">
        <f t="shared" ca="1" si="5"/>
        <v/>
      </c>
      <c r="AM15" s="13" t="str">
        <f t="shared" ca="1" si="5"/>
        <v/>
      </c>
      <c r="AN15" s="13" t="str">
        <f t="shared" ca="1" si="5"/>
        <v/>
      </c>
      <c r="AO15" s="13" t="str">
        <f t="shared" ca="1" si="6"/>
        <v/>
      </c>
      <c r="AP15" s="13" t="str">
        <f t="shared" ca="1" si="6"/>
        <v/>
      </c>
      <c r="AQ15" s="13" t="str">
        <f t="shared" ca="1" si="6"/>
        <v/>
      </c>
      <c r="AR15" s="13" t="str">
        <f t="shared" ca="1" si="6"/>
        <v/>
      </c>
      <c r="AS15" s="13" t="str">
        <f t="shared" ca="1" si="6"/>
        <v/>
      </c>
      <c r="AT15" s="13" t="str">
        <f t="shared" ca="1" si="6"/>
        <v/>
      </c>
      <c r="AU15" s="13" t="str">
        <f t="shared" ca="1" si="6"/>
        <v/>
      </c>
      <c r="AV15" s="13" t="str">
        <f t="shared" ca="1" si="6"/>
        <v/>
      </c>
      <c r="AW15" s="13" t="str">
        <f t="shared" ca="1" si="6"/>
        <v/>
      </c>
      <c r="AX15" s="13" t="str">
        <f t="shared" ca="1" si="6"/>
        <v/>
      </c>
      <c r="AY15" s="13" t="str">
        <f t="shared" ca="1" si="6"/>
        <v/>
      </c>
      <c r="AZ15" s="13" t="str">
        <f t="shared" ca="1" si="6"/>
        <v/>
      </c>
      <c r="BA15" s="13" t="str">
        <f t="shared" ca="1" si="6"/>
        <v/>
      </c>
      <c r="BB15" s="13" t="str">
        <f t="shared" ca="1" si="6"/>
        <v/>
      </c>
      <c r="BC15" s="13" t="str">
        <f t="shared" ca="1" si="6"/>
        <v/>
      </c>
      <c r="BD15" s="13" t="str">
        <f t="shared" ca="1" si="6"/>
        <v/>
      </c>
      <c r="BE15" s="13" t="str">
        <f t="shared" ca="1" si="9"/>
        <v/>
      </c>
      <c r="BF15" s="13" t="str">
        <f t="shared" ca="1" si="9"/>
        <v/>
      </c>
      <c r="BG15" s="13" t="str">
        <f t="shared" ca="1" si="9"/>
        <v/>
      </c>
      <c r="BH15" s="13" t="str">
        <f t="shared" ca="1" si="9"/>
        <v/>
      </c>
      <c r="BI15" s="13" t="str">
        <f t="shared" ca="1" si="9"/>
        <v/>
      </c>
      <c r="BJ15" s="13" t="str">
        <f t="shared" ca="1" si="9"/>
        <v/>
      </c>
      <c r="BK15" s="13" t="str">
        <f t="shared" ca="1" si="9"/>
        <v/>
      </c>
      <c r="BL15" s="13" t="str">
        <f t="shared" ca="1" si="9"/>
        <v/>
      </c>
    </row>
    <row r="16" spans="1:68" s="1" customFormat="1" ht="40.15" customHeight="1" x14ac:dyDescent="0.25">
      <c r="A16" s="7"/>
      <c r="B16" s="58" t="s">
        <v>291</v>
      </c>
      <c r="C16" s="16" t="s">
        <v>6</v>
      </c>
      <c r="D16" s="16" t="s">
        <v>25</v>
      </c>
      <c r="E16" s="17">
        <v>1</v>
      </c>
      <c r="F16" s="18">
        <v>46079</v>
      </c>
      <c r="G16" s="19">
        <v>2</v>
      </c>
      <c r="H16" s="16"/>
      <c r="I16" s="13" t="str">
        <f t="shared" ca="1" si="8"/>
        <v/>
      </c>
      <c r="J16" s="13" t="str">
        <f t="shared" ca="1" si="4"/>
        <v/>
      </c>
      <c r="K16" s="13" t="str">
        <f t="shared" ca="1" si="4"/>
        <v/>
      </c>
      <c r="L16" s="13" t="str">
        <f t="shared" ca="1" si="4"/>
        <v/>
      </c>
      <c r="M16" s="13" t="str">
        <f t="shared" ca="1" si="4"/>
        <v/>
      </c>
      <c r="N16" s="13" t="str">
        <f t="shared" ca="1" si="4"/>
        <v/>
      </c>
      <c r="O16" s="13" t="str">
        <f t="shared" ca="1" si="4"/>
        <v/>
      </c>
      <c r="P16" s="13" t="str">
        <f t="shared" ca="1" si="4"/>
        <v/>
      </c>
      <c r="Q16" s="13" t="str">
        <f t="shared" ca="1" si="4"/>
        <v/>
      </c>
      <c r="R16" s="13" t="str">
        <f t="shared" ca="1" si="4"/>
        <v/>
      </c>
      <c r="S16" s="13" t="str">
        <f t="shared" ca="1" si="4"/>
        <v/>
      </c>
      <c r="T16" s="13" t="str">
        <f t="shared" ca="1" si="4"/>
        <v/>
      </c>
      <c r="U16" s="13" t="str">
        <f t="shared" ca="1" si="4"/>
        <v/>
      </c>
      <c r="V16" s="13" t="str">
        <f t="shared" ca="1" si="4"/>
        <v/>
      </c>
      <c r="W16" s="13" t="str">
        <f t="shared" ca="1" si="4"/>
        <v/>
      </c>
      <c r="X16" s="13" t="str">
        <f t="shared" ca="1" si="4"/>
        <v/>
      </c>
      <c r="Y16" s="13" t="str">
        <f t="shared" ca="1" si="5"/>
        <v/>
      </c>
      <c r="Z16" s="13" t="str">
        <f t="shared" ca="1" si="5"/>
        <v/>
      </c>
      <c r="AA16" s="13" t="str">
        <f t="shared" ca="1" si="5"/>
        <v/>
      </c>
      <c r="AB16" s="13" t="str">
        <f t="shared" ca="1" si="5"/>
        <v/>
      </c>
      <c r="AC16" s="13" t="str">
        <f t="shared" ca="1" si="5"/>
        <v/>
      </c>
      <c r="AD16" s="13" t="str">
        <f t="shared" ca="1" si="5"/>
        <v/>
      </c>
      <c r="AE16" s="13" t="str">
        <f t="shared" ca="1" si="5"/>
        <v/>
      </c>
      <c r="AF16" s="13" t="str">
        <f t="shared" ca="1" si="5"/>
        <v/>
      </c>
      <c r="AG16" s="13" t="str">
        <f t="shared" ca="1" si="5"/>
        <v/>
      </c>
      <c r="AH16" s="13" t="str">
        <f t="shared" ca="1" si="5"/>
        <v/>
      </c>
      <c r="AI16" s="13" t="str">
        <f t="shared" ca="1" si="5"/>
        <v/>
      </c>
      <c r="AJ16" s="13" t="str">
        <f t="shared" ca="1" si="5"/>
        <v/>
      </c>
      <c r="AK16" s="13" t="str">
        <f t="shared" ca="1" si="5"/>
        <v/>
      </c>
      <c r="AL16" s="13" t="str">
        <f t="shared" ca="1" si="5"/>
        <v/>
      </c>
      <c r="AM16" s="13" t="str">
        <f t="shared" ca="1" si="5"/>
        <v/>
      </c>
      <c r="AN16" s="13" t="str">
        <f t="shared" ref="AN16" ca="1" si="10">IF(AND($C16="Goal",AN$3&gt;=$F16,AN$3&lt;=$F16+$G16-1),2,IF(AND($C16="Milestone",AN$3&gt;=$F16,AN$3&lt;=$F16+$G16-1),1,""))</f>
        <v/>
      </c>
      <c r="AO16" s="13" t="str">
        <f t="shared" ca="1" si="6"/>
        <v/>
      </c>
      <c r="AP16" s="13" t="str">
        <f t="shared" ca="1" si="6"/>
        <v/>
      </c>
      <c r="AQ16" s="13" t="str">
        <f t="shared" ca="1" si="6"/>
        <v/>
      </c>
      <c r="AR16" s="13" t="str">
        <f t="shared" ca="1" si="6"/>
        <v/>
      </c>
      <c r="AS16" s="13" t="str">
        <f t="shared" ca="1" si="6"/>
        <v/>
      </c>
      <c r="AT16" s="13" t="str">
        <f t="shared" ca="1" si="6"/>
        <v/>
      </c>
      <c r="AU16" s="13" t="str">
        <f t="shared" ca="1" si="6"/>
        <v/>
      </c>
      <c r="AV16" s="13" t="str">
        <f t="shared" ca="1" si="6"/>
        <v/>
      </c>
      <c r="AW16" s="13" t="str">
        <f t="shared" ca="1" si="6"/>
        <v/>
      </c>
      <c r="AX16" s="13" t="str">
        <f t="shared" ca="1" si="6"/>
        <v/>
      </c>
      <c r="AY16" s="13" t="str">
        <f t="shared" ca="1" si="6"/>
        <v/>
      </c>
      <c r="AZ16" s="13" t="str">
        <f t="shared" ca="1" si="6"/>
        <v/>
      </c>
      <c r="BA16" s="13" t="str">
        <f t="shared" ca="1" si="6"/>
        <v/>
      </c>
      <c r="BB16" s="13" t="str">
        <f t="shared" ca="1" si="6"/>
        <v/>
      </c>
      <c r="BC16" s="13" t="str">
        <f t="shared" ca="1" si="6"/>
        <v/>
      </c>
      <c r="BD16" s="13" t="str">
        <f t="shared" ref="BD16" ca="1" si="11">IF(AND($C16="Goal",BD$3&gt;=$F16,BD$3&lt;=$F16+$G16-1),2,IF(AND($C16="Milestone",BD$3&gt;=$F16,BD$3&lt;=$F16+$G16-1),1,""))</f>
        <v/>
      </c>
      <c r="BE16" s="13" t="str">
        <f t="shared" ca="1" si="9"/>
        <v/>
      </c>
      <c r="BF16" s="13" t="str">
        <f t="shared" ca="1" si="9"/>
        <v/>
      </c>
      <c r="BG16" s="13" t="str">
        <f t="shared" ca="1" si="9"/>
        <v/>
      </c>
      <c r="BH16" s="13" t="str">
        <f t="shared" ca="1" si="9"/>
        <v/>
      </c>
      <c r="BI16" s="13" t="str">
        <f t="shared" ca="1" si="9"/>
        <v/>
      </c>
      <c r="BJ16" s="13" t="str">
        <f t="shared" ca="1" si="9"/>
        <v/>
      </c>
      <c r="BK16" s="13" t="str">
        <f t="shared" ca="1" si="9"/>
        <v/>
      </c>
      <c r="BL16" s="13" t="str">
        <f t="shared" ca="1" si="9"/>
        <v/>
      </c>
    </row>
    <row r="17" spans="1:68" s="1" customFormat="1" ht="40.15" customHeight="1" x14ac:dyDescent="0.25">
      <c r="A17" s="6"/>
      <c r="B17" s="58" t="s">
        <v>292</v>
      </c>
      <c r="C17" s="16" t="s">
        <v>6</v>
      </c>
      <c r="D17" s="16" t="s">
        <v>25</v>
      </c>
      <c r="E17" s="17">
        <v>1</v>
      </c>
      <c r="F17" s="18">
        <v>46083</v>
      </c>
      <c r="G17" s="19">
        <v>4</v>
      </c>
      <c r="H17" s="16"/>
      <c r="I17" s="13" t="str">
        <f t="shared" ca="1" si="8"/>
        <v/>
      </c>
      <c r="J17" s="13" t="str">
        <f t="shared" ca="1" si="4"/>
        <v/>
      </c>
      <c r="K17" s="13" t="str">
        <f t="shared" ca="1" si="4"/>
        <v/>
      </c>
      <c r="L17" s="13" t="str">
        <f t="shared" ca="1" si="4"/>
        <v/>
      </c>
      <c r="M17" s="13" t="str">
        <f t="shared" ca="1" si="4"/>
        <v/>
      </c>
      <c r="N17" s="13" t="str">
        <f t="shared" ca="1" si="4"/>
        <v/>
      </c>
      <c r="O17" s="13" t="str">
        <f t="shared" ca="1" si="4"/>
        <v/>
      </c>
      <c r="P17" s="13" t="str">
        <f t="shared" ca="1" si="4"/>
        <v/>
      </c>
      <c r="Q17" s="13" t="str">
        <f t="shared" ca="1" si="4"/>
        <v/>
      </c>
      <c r="R17" s="13" t="str">
        <f t="shared" ca="1" si="4"/>
        <v/>
      </c>
      <c r="S17" s="13" t="str">
        <f t="shared" ca="1" si="4"/>
        <v/>
      </c>
      <c r="T17" s="13" t="str">
        <f t="shared" ca="1" si="4"/>
        <v/>
      </c>
      <c r="U17" s="13" t="str">
        <f t="shared" ca="1" si="4"/>
        <v/>
      </c>
      <c r="V17" s="13" t="str">
        <f t="shared" ca="1" si="4"/>
        <v/>
      </c>
      <c r="W17" s="13" t="str">
        <f t="shared" ca="1" si="4"/>
        <v/>
      </c>
      <c r="X17" s="13" t="str">
        <f t="shared" ca="1" si="4"/>
        <v/>
      </c>
      <c r="Y17" s="13" t="str">
        <f t="shared" ca="1" si="5"/>
        <v/>
      </c>
      <c r="Z17" s="13" t="str">
        <f t="shared" ca="1" si="5"/>
        <v/>
      </c>
      <c r="AA17" s="13" t="str">
        <f t="shared" ca="1" si="5"/>
        <v/>
      </c>
      <c r="AB17" s="13" t="str">
        <f t="shared" ca="1" si="5"/>
        <v/>
      </c>
      <c r="AC17" s="13" t="str">
        <f t="shared" ca="1" si="5"/>
        <v/>
      </c>
      <c r="AD17" s="13" t="str">
        <f t="shared" ca="1" si="5"/>
        <v/>
      </c>
      <c r="AE17" s="13" t="str">
        <f t="shared" ca="1" si="5"/>
        <v/>
      </c>
      <c r="AF17" s="13" t="str">
        <f t="shared" ca="1" si="5"/>
        <v/>
      </c>
      <c r="AG17" s="13" t="str">
        <f t="shared" ca="1" si="5"/>
        <v/>
      </c>
      <c r="AH17" s="13" t="str">
        <f t="shared" ca="1" si="5"/>
        <v/>
      </c>
      <c r="AI17" s="13" t="str">
        <f t="shared" ca="1" si="5"/>
        <v/>
      </c>
      <c r="AJ17" s="13" t="str">
        <f t="shared" ca="1" si="5"/>
        <v/>
      </c>
      <c r="AK17" s="13" t="str">
        <f t="shared" ca="1" si="5"/>
        <v/>
      </c>
      <c r="AL17" s="13" t="str">
        <f t="shared" ca="1" si="5"/>
        <v/>
      </c>
      <c r="AM17" s="13" t="str">
        <f t="shared" ca="1" si="5"/>
        <v/>
      </c>
      <c r="AN17" s="13" t="str">
        <f t="shared" ca="1" si="5"/>
        <v/>
      </c>
      <c r="AO17" s="13" t="str">
        <f t="shared" ca="1" si="6"/>
        <v/>
      </c>
      <c r="AP17" s="13" t="str">
        <f t="shared" ca="1" si="6"/>
        <v/>
      </c>
      <c r="AQ17" s="13" t="str">
        <f t="shared" ca="1" si="6"/>
        <v/>
      </c>
      <c r="AR17" s="13" t="str">
        <f t="shared" ca="1" si="6"/>
        <v/>
      </c>
      <c r="AS17" s="13" t="str">
        <f t="shared" ca="1" si="6"/>
        <v/>
      </c>
      <c r="AT17" s="13" t="str">
        <f t="shared" ca="1" si="6"/>
        <v/>
      </c>
      <c r="AU17" s="13" t="str">
        <f t="shared" ca="1" si="6"/>
        <v/>
      </c>
      <c r="AV17" s="13" t="str">
        <f t="shared" ca="1" si="6"/>
        <v/>
      </c>
      <c r="AW17" s="13" t="str">
        <f t="shared" ca="1" si="6"/>
        <v/>
      </c>
      <c r="AX17" s="13" t="str">
        <f t="shared" ca="1" si="6"/>
        <v/>
      </c>
      <c r="AY17" s="13" t="str">
        <f t="shared" ca="1" si="6"/>
        <v/>
      </c>
      <c r="AZ17" s="13" t="str">
        <f t="shared" ca="1" si="6"/>
        <v/>
      </c>
      <c r="BA17" s="13" t="str">
        <f t="shared" ca="1" si="6"/>
        <v/>
      </c>
      <c r="BB17" s="13" t="str">
        <f t="shared" ca="1" si="6"/>
        <v/>
      </c>
      <c r="BC17" s="13" t="str">
        <f t="shared" ca="1" si="6"/>
        <v/>
      </c>
      <c r="BD17" s="13" t="str">
        <f t="shared" ca="1" si="6"/>
        <v/>
      </c>
      <c r="BE17" s="13" t="str">
        <f t="shared" ca="1" si="9"/>
        <v/>
      </c>
      <c r="BF17" s="13" t="str">
        <f t="shared" ca="1" si="9"/>
        <v/>
      </c>
      <c r="BG17" s="13" t="str">
        <f t="shared" ca="1" si="9"/>
        <v/>
      </c>
      <c r="BH17" s="13" t="str">
        <f t="shared" ca="1" si="9"/>
        <v/>
      </c>
      <c r="BI17" s="13" t="str">
        <f t="shared" ca="1" si="9"/>
        <v/>
      </c>
      <c r="BJ17" s="13" t="str">
        <f t="shared" ca="1" si="9"/>
        <v/>
      </c>
      <c r="BK17" s="13" t="str">
        <f t="shared" ca="1" si="9"/>
        <v/>
      </c>
      <c r="BL17" s="13" t="str">
        <f t="shared" ca="1" si="9"/>
        <v/>
      </c>
    </row>
    <row r="18" spans="1:68" s="1" customFormat="1" ht="40.15" customHeight="1" x14ac:dyDescent="0.25">
      <c r="A18" s="6"/>
      <c r="B18" s="58" t="s">
        <v>29</v>
      </c>
      <c r="C18" s="16" t="s">
        <v>6</v>
      </c>
      <c r="D18" s="16" t="s">
        <v>25</v>
      </c>
      <c r="E18" s="17">
        <v>1</v>
      </c>
      <c r="F18" s="18">
        <v>46086</v>
      </c>
      <c r="G18" s="19">
        <v>2</v>
      </c>
      <c r="H18" s="16"/>
      <c r="I18" s="13" t="str">
        <f t="shared" ca="1" si="8"/>
        <v/>
      </c>
      <c r="J18" s="13" t="str">
        <f t="shared" ca="1" si="4"/>
        <v/>
      </c>
      <c r="K18" s="13" t="str">
        <f t="shared" ca="1" si="4"/>
        <v/>
      </c>
      <c r="L18" s="13" t="str">
        <f t="shared" ca="1" si="4"/>
        <v/>
      </c>
      <c r="M18" s="13" t="str">
        <f t="shared" ca="1" si="4"/>
        <v/>
      </c>
      <c r="N18" s="13" t="str">
        <f t="shared" ca="1" si="4"/>
        <v/>
      </c>
      <c r="O18" s="13" t="str">
        <f t="shared" ca="1" si="4"/>
        <v/>
      </c>
      <c r="P18" s="13" t="str">
        <f t="shared" ca="1" si="4"/>
        <v/>
      </c>
      <c r="Q18" s="13" t="str">
        <f t="shared" ca="1" si="4"/>
        <v/>
      </c>
      <c r="R18" s="13" t="str">
        <f t="shared" ca="1" si="4"/>
        <v/>
      </c>
      <c r="S18" s="13" t="str">
        <f t="shared" ca="1" si="4"/>
        <v/>
      </c>
      <c r="T18" s="13" t="str">
        <f t="shared" ca="1" si="4"/>
        <v/>
      </c>
      <c r="U18" s="13" t="str">
        <f t="shared" ca="1" si="4"/>
        <v/>
      </c>
      <c r="V18" s="13" t="str">
        <f t="shared" ca="1" si="4"/>
        <v/>
      </c>
      <c r="W18" s="13" t="str">
        <f t="shared" ca="1" si="4"/>
        <v/>
      </c>
      <c r="X18" s="13" t="str">
        <f t="shared" ca="1" si="4"/>
        <v/>
      </c>
      <c r="Y18" s="13" t="str">
        <f t="shared" ca="1" si="5"/>
        <v/>
      </c>
      <c r="Z18" s="13" t="str">
        <f t="shared" ca="1" si="5"/>
        <v/>
      </c>
      <c r="AA18" s="13" t="str">
        <f t="shared" ca="1" si="5"/>
        <v/>
      </c>
      <c r="AB18" s="13" t="str">
        <f t="shared" ca="1" si="5"/>
        <v/>
      </c>
      <c r="AC18" s="13" t="str">
        <f t="shared" ca="1" si="5"/>
        <v/>
      </c>
      <c r="AD18" s="13" t="str">
        <f t="shared" ca="1" si="5"/>
        <v/>
      </c>
      <c r="AE18" s="13" t="str">
        <f t="shared" ca="1" si="5"/>
        <v/>
      </c>
      <c r="AF18" s="13" t="str">
        <f t="shared" ca="1" si="5"/>
        <v/>
      </c>
      <c r="AG18" s="13" t="str">
        <f t="shared" ca="1" si="5"/>
        <v/>
      </c>
      <c r="AH18" s="13" t="str">
        <f t="shared" ca="1" si="5"/>
        <v/>
      </c>
      <c r="AI18" s="13" t="str">
        <f t="shared" ca="1" si="5"/>
        <v/>
      </c>
      <c r="AJ18" s="13" t="str">
        <f t="shared" ca="1" si="5"/>
        <v/>
      </c>
      <c r="AK18" s="13" t="str">
        <f t="shared" ca="1" si="5"/>
        <v/>
      </c>
      <c r="AL18" s="13" t="str">
        <f t="shared" ca="1" si="5"/>
        <v/>
      </c>
      <c r="AM18" s="13" t="str">
        <f t="shared" ca="1" si="5"/>
        <v/>
      </c>
      <c r="AN18" s="13" t="str">
        <f t="shared" ca="1" si="5"/>
        <v/>
      </c>
      <c r="AO18" s="13" t="str">
        <f t="shared" ca="1" si="6"/>
        <v/>
      </c>
      <c r="AP18" s="13" t="str">
        <f t="shared" ca="1" si="6"/>
        <v/>
      </c>
      <c r="AQ18" s="13" t="str">
        <f t="shared" ca="1" si="6"/>
        <v/>
      </c>
      <c r="AR18" s="13" t="str">
        <f t="shared" ca="1" si="6"/>
        <v/>
      </c>
      <c r="AS18" s="13" t="str">
        <f t="shared" ca="1" si="6"/>
        <v/>
      </c>
      <c r="AT18" s="13" t="str">
        <f t="shared" ca="1" si="6"/>
        <v/>
      </c>
      <c r="AU18" s="13" t="str">
        <f t="shared" ca="1" si="6"/>
        <v/>
      </c>
      <c r="AV18" s="13" t="str">
        <f t="shared" ca="1" si="6"/>
        <v/>
      </c>
      <c r="AW18" s="13" t="str">
        <f t="shared" ca="1" si="6"/>
        <v/>
      </c>
      <c r="AX18" s="13" t="str">
        <f t="shared" ca="1" si="6"/>
        <v/>
      </c>
      <c r="AY18" s="13" t="str">
        <f t="shared" ca="1" si="6"/>
        <v/>
      </c>
      <c r="AZ18" s="13" t="str">
        <f t="shared" ca="1" si="6"/>
        <v/>
      </c>
      <c r="BA18" s="13" t="str">
        <f t="shared" ca="1" si="6"/>
        <v/>
      </c>
      <c r="BB18" s="13" t="str">
        <f t="shared" ca="1" si="6"/>
        <v/>
      </c>
      <c r="BC18" s="13" t="str">
        <f t="shared" ca="1" si="6"/>
        <v/>
      </c>
      <c r="BD18" s="13" t="str">
        <f t="shared" ca="1" si="6"/>
        <v/>
      </c>
      <c r="BE18" s="13" t="str">
        <f t="shared" ca="1" si="9"/>
        <v/>
      </c>
      <c r="BF18" s="13" t="str">
        <f t="shared" ca="1" si="9"/>
        <v/>
      </c>
      <c r="BG18" s="13" t="str">
        <f t="shared" ca="1" si="9"/>
        <v/>
      </c>
      <c r="BH18" s="13" t="str">
        <f t="shared" ca="1" si="9"/>
        <v/>
      </c>
      <c r="BI18" s="13" t="str">
        <f t="shared" ca="1" si="9"/>
        <v/>
      </c>
      <c r="BJ18" s="13" t="str">
        <f t="shared" ca="1" si="9"/>
        <v/>
      </c>
      <c r="BK18" s="13" t="str">
        <f t="shared" ca="1" si="9"/>
        <v/>
      </c>
      <c r="BL18" s="13" t="str">
        <f t="shared" ca="1" si="9"/>
        <v/>
      </c>
    </row>
    <row r="19" spans="1:68" s="1" customFormat="1" ht="40.15" customHeight="1" x14ac:dyDescent="0.25">
      <c r="A19" s="6"/>
      <c r="B19" s="58" t="s">
        <v>30</v>
      </c>
      <c r="C19" s="16" t="s">
        <v>6</v>
      </c>
      <c r="D19" s="16" t="s">
        <v>25</v>
      </c>
      <c r="E19" s="17">
        <f>11/24</f>
        <v>0.45833333333333331</v>
      </c>
      <c r="F19" s="18">
        <v>46090</v>
      </c>
      <c r="G19" s="19">
        <v>3</v>
      </c>
      <c r="H19" s="16"/>
      <c r="I19" s="13" t="str">
        <f t="shared" ca="1" si="8"/>
        <v/>
      </c>
      <c r="J19" s="13" t="str">
        <f t="shared" ca="1" si="4"/>
        <v/>
      </c>
      <c r="K19" s="13" t="str">
        <f ca="1">IF(AND($C19="Goal",K$3&gt;=$F19,K$3&lt;=$F19+$G19-1),2,IF(AND($C19="Milestone",K$3&gt;=$F19,K$3&lt;=$F19+$G19-1),1,""))</f>
        <v/>
      </c>
      <c r="L19" s="13" t="str">
        <f t="shared" ca="1" si="4"/>
        <v/>
      </c>
      <c r="M19" s="13" t="str">
        <f t="shared" ca="1" si="4"/>
        <v/>
      </c>
      <c r="N19" s="13" t="str">
        <f t="shared" ca="1" si="4"/>
        <v/>
      </c>
      <c r="O19" s="13" t="str">
        <f t="shared" ca="1" si="4"/>
        <v/>
      </c>
      <c r="P19" s="13" t="str">
        <f t="shared" ca="1" si="4"/>
        <v/>
      </c>
      <c r="Q19" s="13" t="str">
        <f t="shared" ca="1" si="4"/>
        <v/>
      </c>
      <c r="R19" s="13" t="str">
        <f t="shared" ca="1" si="4"/>
        <v/>
      </c>
      <c r="S19" s="13" t="str">
        <f t="shared" ca="1" si="4"/>
        <v/>
      </c>
      <c r="T19" s="13" t="str">
        <f t="shared" ca="1" si="4"/>
        <v/>
      </c>
      <c r="U19" s="13" t="str">
        <f t="shared" ca="1" si="4"/>
        <v/>
      </c>
      <c r="V19" s="13" t="str">
        <f t="shared" ca="1" si="4"/>
        <v/>
      </c>
      <c r="W19" s="13" t="str">
        <f t="shared" ca="1" si="4"/>
        <v/>
      </c>
      <c r="X19" s="13" t="str">
        <f t="shared" ca="1" si="4"/>
        <v/>
      </c>
      <c r="Y19" s="13" t="str">
        <f t="shared" ca="1" si="5"/>
        <v/>
      </c>
      <c r="Z19" s="13" t="str">
        <f t="shared" ca="1" si="5"/>
        <v/>
      </c>
      <c r="AA19" s="13" t="str">
        <f t="shared" ca="1" si="5"/>
        <v/>
      </c>
      <c r="AB19" s="13" t="str">
        <f t="shared" ca="1" si="5"/>
        <v/>
      </c>
      <c r="AC19" s="13" t="str">
        <f t="shared" ca="1" si="5"/>
        <v/>
      </c>
      <c r="AD19" s="13" t="str">
        <f t="shared" ca="1" si="5"/>
        <v/>
      </c>
      <c r="AE19" s="13" t="str">
        <f t="shared" ca="1" si="5"/>
        <v/>
      </c>
      <c r="AF19" s="13" t="str">
        <f t="shared" ca="1" si="5"/>
        <v/>
      </c>
      <c r="AG19" s="13" t="str">
        <f t="shared" ca="1" si="5"/>
        <v/>
      </c>
      <c r="AH19" s="13" t="str">
        <f t="shared" ca="1" si="5"/>
        <v/>
      </c>
      <c r="AI19" s="13" t="str">
        <f t="shared" ca="1" si="5"/>
        <v/>
      </c>
      <c r="AJ19" s="13" t="str">
        <f t="shared" ca="1" si="5"/>
        <v/>
      </c>
      <c r="AK19" s="13" t="str">
        <f t="shared" ca="1" si="5"/>
        <v/>
      </c>
      <c r="AL19" s="13" t="str">
        <f t="shared" ca="1" si="5"/>
        <v/>
      </c>
      <c r="AM19" s="13" t="str">
        <f t="shared" ca="1" si="5"/>
        <v/>
      </c>
      <c r="AN19" s="13" t="str">
        <f t="shared" ca="1" si="5"/>
        <v/>
      </c>
      <c r="AO19" s="13" t="str">
        <f t="shared" ca="1" si="6"/>
        <v/>
      </c>
      <c r="AP19" s="13" t="str">
        <f t="shared" ca="1" si="6"/>
        <v/>
      </c>
      <c r="AQ19" s="13" t="str">
        <f t="shared" ca="1" si="6"/>
        <v/>
      </c>
      <c r="AR19" s="13" t="str">
        <f t="shared" ca="1" si="6"/>
        <v/>
      </c>
      <c r="AS19" s="13" t="str">
        <f t="shared" ca="1" si="6"/>
        <v/>
      </c>
      <c r="AT19" s="13" t="str">
        <f t="shared" ca="1" si="6"/>
        <v/>
      </c>
      <c r="AU19" s="13" t="str">
        <f t="shared" ca="1" si="6"/>
        <v/>
      </c>
      <c r="AV19" s="13" t="str">
        <f t="shared" ca="1" si="6"/>
        <v/>
      </c>
      <c r="AW19" s="13" t="str">
        <f t="shared" ca="1" si="6"/>
        <v/>
      </c>
      <c r="AX19" s="13" t="str">
        <f t="shared" ca="1" si="6"/>
        <v/>
      </c>
      <c r="AY19" s="13" t="str">
        <f t="shared" ca="1" si="6"/>
        <v/>
      </c>
      <c r="AZ19" s="13" t="str">
        <f t="shared" ca="1" si="6"/>
        <v/>
      </c>
      <c r="BA19" s="13" t="str">
        <f t="shared" ca="1" si="6"/>
        <v/>
      </c>
      <c r="BB19" s="13" t="str">
        <f t="shared" ca="1" si="6"/>
        <v/>
      </c>
      <c r="BC19" s="13" t="str">
        <f t="shared" ca="1" si="6"/>
        <v/>
      </c>
      <c r="BD19" s="13" t="str">
        <f t="shared" ca="1" si="6"/>
        <v/>
      </c>
      <c r="BE19" s="13" t="str">
        <f t="shared" ca="1" si="9"/>
        <v/>
      </c>
      <c r="BF19" s="13" t="str">
        <f t="shared" ca="1" si="9"/>
        <v/>
      </c>
      <c r="BG19" s="13" t="str">
        <f t="shared" ca="1" si="9"/>
        <v/>
      </c>
      <c r="BH19" s="13" t="str">
        <f t="shared" ca="1" si="9"/>
        <v/>
      </c>
      <c r="BI19" s="13" t="str">
        <f t="shared" ca="1" si="9"/>
        <v/>
      </c>
      <c r="BJ19" s="13" t="str">
        <f t="shared" ca="1" si="9"/>
        <v/>
      </c>
      <c r="BK19" s="13" t="str">
        <f t="shared" ca="1" si="9"/>
        <v/>
      </c>
      <c r="BL19" s="13" t="str">
        <f t="shared" ca="1" si="9"/>
        <v/>
      </c>
    </row>
    <row r="20" spans="1:68" s="1" customFormat="1" ht="40.15" customHeight="1" x14ac:dyDescent="0.25">
      <c r="A20" s="6"/>
      <c r="B20" s="12" t="s">
        <v>281</v>
      </c>
      <c r="C20" s="16" t="s">
        <v>6</v>
      </c>
      <c r="D20" s="16" t="s">
        <v>25</v>
      </c>
      <c r="E20" s="17">
        <f>3/24</f>
        <v>0.125</v>
      </c>
      <c r="F20" s="18">
        <v>46090</v>
      </c>
      <c r="G20" s="19">
        <v>3</v>
      </c>
      <c r="H20" s="16"/>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row>
    <row r="21" spans="1:68" s="1" customFormat="1" ht="40.15" customHeight="1" x14ac:dyDescent="0.25">
      <c r="A21" s="6"/>
      <c r="B21" s="12" t="s">
        <v>31</v>
      </c>
      <c r="C21" s="16" t="s">
        <v>6</v>
      </c>
      <c r="D21" s="16" t="s">
        <v>25</v>
      </c>
      <c r="E21" s="17">
        <v>4.1666666666666664E-4</v>
      </c>
      <c r="F21" s="18">
        <v>46091</v>
      </c>
      <c r="G21" s="19">
        <v>3</v>
      </c>
      <c r="H21" s="16"/>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row>
    <row r="22" spans="1:68" s="1" customFormat="1" ht="40.15" customHeight="1" x14ac:dyDescent="0.25">
      <c r="A22" s="6"/>
      <c r="B22" s="12" t="s">
        <v>282</v>
      </c>
      <c r="C22" s="16" t="s">
        <v>5</v>
      </c>
      <c r="D22" s="16" t="s">
        <v>283</v>
      </c>
      <c r="E22" s="17">
        <v>0</v>
      </c>
      <c r="F22" s="18">
        <v>46096</v>
      </c>
      <c r="G22" s="19">
        <v>1</v>
      </c>
      <c r="H22" s="16"/>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row>
    <row r="23" spans="1:68" s="1" customFormat="1" ht="40.15" customHeight="1" x14ac:dyDescent="0.25">
      <c r="A23" s="6"/>
      <c r="B23" s="12" t="s">
        <v>284</v>
      </c>
      <c r="C23" s="16" t="s">
        <v>5</v>
      </c>
      <c r="D23" s="16" t="s">
        <v>283</v>
      </c>
      <c r="E23" s="17">
        <v>0</v>
      </c>
      <c r="F23" s="18">
        <v>46104</v>
      </c>
      <c r="G23" s="19">
        <v>1</v>
      </c>
      <c r="H23" s="16"/>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row>
    <row r="24" spans="1:68" s="1" customFormat="1" ht="40.15" customHeight="1" x14ac:dyDescent="0.25">
      <c r="A24" s="6"/>
      <c r="B24" s="58" t="s">
        <v>19</v>
      </c>
      <c r="C24" s="16" t="s">
        <v>1</v>
      </c>
      <c r="D24" s="16" t="s">
        <v>33</v>
      </c>
      <c r="E24" s="17">
        <v>0</v>
      </c>
      <c r="F24" s="18">
        <v>46092</v>
      </c>
      <c r="G24" s="19">
        <v>3</v>
      </c>
      <c r="H24" s="16"/>
      <c r="I24" s="13" t="str">
        <f ca="1">IF(AND($C24="Goal",I$3&gt;=$F24,I$3&lt;=$F24+$G24-1),2,IF(AND($C24="Milestone",I$3&gt;=$F24,I$3&lt;=$F24+$G24-1),1,""))</f>
        <v/>
      </c>
      <c r="J24" s="13" t="str">
        <f t="shared" ca="1" si="4"/>
        <v/>
      </c>
      <c r="K24" s="13">
        <f t="shared" ca="1" si="4"/>
        <v>2</v>
      </c>
      <c r="L24" s="13">
        <f t="shared" ca="1" si="4"/>
        <v>2</v>
      </c>
      <c r="M24" s="13">
        <f t="shared" ca="1" si="4"/>
        <v>2</v>
      </c>
      <c r="N24" s="13" t="str">
        <f t="shared" ca="1" si="4"/>
        <v/>
      </c>
      <c r="O24" s="13" t="str">
        <f t="shared" ca="1" si="4"/>
        <v/>
      </c>
      <c r="P24" s="13" t="str">
        <f t="shared" ca="1" si="4"/>
        <v/>
      </c>
      <c r="Q24" s="13" t="str">
        <f t="shared" ca="1" si="4"/>
        <v/>
      </c>
      <c r="R24" s="13" t="str">
        <f t="shared" ca="1" si="4"/>
        <v/>
      </c>
      <c r="S24" s="13" t="str">
        <f t="shared" ca="1" si="4"/>
        <v/>
      </c>
      <c r="T24" s="13" t="str">
        <f t="shared" ca="1" si="4"/>
        <v/>
      </c>
      <c r="U24" s="13" t="str">
        <f t="shared" ca="1" si="4"/>
        <v/>
      </c>
      <c r="V24" s="13" t="str">
        <f t="shared" ca="1" si="4"/>
        <v/>
      </c>
      <c r="W24" s="13" t="str">
        <f t="shared" ca="1" si="4"/>
        <v/>
      </c>
      <c r="X24" s="13" t="str">
        <f t="shared" ca="1" si="4"/>
        <v/>
      </c>
      <c r="Y24" s="13" t="str">
        <f t="shared" ca="1" si="5"/>
        <v/>
      </c>
      <c r="Z24" s="13" t="str">
        <f t="shared" ca="1" si="5"/>
        <v/>
      </c>
      <c r="AA24" s="13" t="str">
        <f t="shared" ca="1" si="5"/>
        <v/>
      </c>
      <c r="AB24" s="13" t="str">
        <f t="shared" ca="1" si="5"/>
        <v/>
      </c>
      <c r="AC24" s="13" t="str">
        <f t="shared" ca="1" si="5"/>
        <v/>
      </c>
      <c r="AD24" s="13" t="str">
        <f t="shared" ca="1" si="5"/>
        <v/>
      </c>
      <c r="AE24" s="13" t="str">
        <f t="shared" ca="1" si="5"/>
        <v/>
      </c>
      <c r="AF24" s="13" t="str">
        <f t="shared" ca="1" si="5"/>
        <v/>
      </c>
      <c r="AG24" s="13" t="str">
        <f t="shared" ca="1" si="5"/>
        <v/>
      </c>
      <c r="AH24" s="13" t="str">
        <f t="shared" ca="1" si="5"/>
        <v/>
      </c>
      <c r="AI24" s="13" t="str">
        <f t="shared" ca="1" si="5"/>
        <v/>
      </c>
      <c r="AJ24" s="13" t="str">
        <f t="shared" ca="1" si="5"/>
        <v/>
      </c>
      <c r="AK24" s="13" t="str">
        <f t="shared" ca="1" si="5"/>
        <v/>
      </c>
      <c r="AL24" s="13" t="str">
        <f t="shared" ca="1" si="5"/>
        <v/>
      </c>
      <c r="AM24" s="13" t="str">
        <f t="shared" ca="1" si="5"/>
        <v/>
      </c>
      <c r="AN24" s="13" t="str">
        <f t="shared" ca="1" si="5"/>
        <v/>
      </c>
      <c r="AO24" s="13" t="str">
        <f t="shared" ca="1" si="6"/>
        <v/>
      </c>
      <c r="AP24" s="13" t="str">
        <f t="shared" ca="1" si="6"/>
        <v/>
      </c>
      <c r="AQ24" s="13" t="str">
        <f t="shared" ca="1" si="6"/>
        <v/>
      </c>
      <c r="AR24" s="13" t="str">
        <f t="shared" ca="1" si="6"/>
        <v/>
      </c>
      <c r="AS24" s="13" t="str">
        <f t="shared" ca="1" si="6"/>
        <v/>
      </c>
      <c r="AT24" s="13" t="str">
        <f t="shared" ca="1" si="6"/>
        <v/>
      </c>
      <c r="AU24" s="13" t="str">
        <f t="shared" ca="1" si="6"/>
        <v/>
      </c>
      <c r="AV24" s="13" t="str">
        <f t="shared" ca="1" si="6"/>
        <v/>
      </c>
      <c r="AW24" s="13" t="str">
        <f t="shared" ca="1" si="6"/>
        <v/>
      </c>
      <c r="AX24" s="13" t="str">
        <f t="shared" ca="1" si="6"/>
        <v/>
      </c>
      <c r="AY24" s="13" t="str">
        <f t="shared" ca="1" si="6"/>
        <v/>
      </c>
      <c r="AZ24" s="13" t="str">
        <f t="shared" ca="1" si="6"/>
        <v/>
      </c>
      <c r="BA24" s="13" t="str">
        <f t="shared" ca="1" si="6"/>
        <v/>
      </c>
      <c r="BB24" s="13" t="str">
        <f t="shared" ca="1" si="6"/>
        <v/>
      </c>
      <c r="BC24" s="13" t="str">
        <f t="shared" ca="1" si="6"/>
        <v/>
      </c>
      <c r="BD24" s="13" t="str">
        <f t="shared" ca="1" si="6"/>
        <v/>
      </c>
      <c r="BE24" s="13" t="str">
        <f t="shared" ref="BE24:BL31" ca="1" si="12">IF(AND($C24="Goal",BE$3&gt;=$F24,BE$3&lt;=$F24+$G24-1),2,IF(AND($C24="Milestone",BE$3&gt;=$F24,BE$3&lt;=$F24+$G24-1),1,""))</f>
        <v/>
      </c>
      <c r="BF24" s="13" t="str">
        <f t="shared" ca="1" si="12"/>
        <v/>
      </c>
      <c r="BG24" s="13" t="str">
        <f t="shared" ca="1" si="12"/>
        <v/>
      </c>
      <c r="BH24" s="13" t="str">
        <f t="shared" ca="1" si="12"/>
        <v/>
      </c>
      <c r="BI24" s="13" t="str">
        <f t="shared" ca="1" si="12"/>
        <v/>
      </c>
      <c r="BJ24" s="13" t="str">
        <f t="shared" ca="1" si="12"/>
        <v/>
      </c>
      <c r="BK24" s="13" t="str">
        <f t="shared" ca="1" si="12"/>
        <v/>
      </c>
      <c r="BL24" s="13" t="str">
        <f t="shared" ca="1" si="12"/>
        <v/>
      </c>
    </row>
    <row r="25" spans="1:68" s="1" customFormat="1" ht="40.15" customHeight="1" x14ac:dyDescent="0.25">
      <c r="A25" s="6"/>
      <c r="B25" s="58" t="s">
        <v>32</v>
      </c>
      <c r="C25" s="16" t="s">
        <v>1</v>
      </c>
      <c r="D25" s="16" t="s">
        <v>33</v>
      </c>
      <c r="E25" s="17">
        <v>0</v>
      </c>
      <c r="F25" s="18">
        <v>46095</v>
      </c>
      <c r="G25" s="19">
        <v>3</v>
      </c>
      <c r="H25" s="16"/>
      <c r="I25" s="13" t="str">
        <f ca="1">IF(AND($C25="Goal",I$3&gt;=$F25,I$3&lt;=$F25+$G25-1),2,IF(AND($C25="Milestone",I$3&gt;=$F25,I$3&lt;=$F25+$G25-1),1,""))</f>
        <v/>
      </c>
      <c r="J25" s="13" t="str">
        <f t="shared" ca="1" si="4"/>
        <v/>
      </c>
      <c r="K25" s="13" t="str">
        <f t="shared" ca="1" si="4"/>
        <v/>
      </c>
      <c r="L25" s="13" t="str">
        <f t="shared" ca="1" si="4"/>
        <v/>
      </c>
      <c r="M25" s="13" t="str">
        <f t="shared" ca="1" si="4"/>
        <v/>
      </c>
      <c r="N25" s="13">
        <f t="shared" ca="1" si="4"/>
        <v>2</v>
      </c>
      <c r="O25" s="13">
        <f t="shared" ca="1" si="4"/>
        <v>2</v>
      </c>
      <c r="P25" s="13">
        <f t="shared" ca="1" si="4"/>
        <v>2</v>
      </c>
      <c r="Q25" s="13" t="str">
        <f t="shared" ca="1" si="4"/>
        <v/>
      </c>
      <c r="R25" s="13" t="str">
        <f t="shared" ca="1" si="4"/>
        <v/>
      </c>
      <c r="S25" s="13" t="str">
        <f t="shared" ca="1" si="4"/>
        <v/>
      </c>
      <c r="T25" s="13" t="str">
        <f t="shared" ca="1" si="4"/>
        <v/>
      </c>
      <c r="U25" s="13" t="str">
        <f t="shared" ca="1" si="4"/>
        <v/>
      </c>
      <c r="V25" s="13" t="str">
        <f t="shared" ca="1" si="4"/>
        <v/>
      </c>
      <c r="W25" s="13" t="str">
        <f t="shared" ca="1" si="4"/>
        <v/>
      </c>
      <c r="X25" s="13" t="str">
        <f t="shared" ca="1" si="4"/>
        <v/>
      </c>
      <c r="Y25" s="13" t="str">
        <f t="shared" ca="1" si="5"/>
        <v/>
      </c>
      <c r="Z25" s="13" t="str">
        <f t="shared" ca="1" si="5"/>
        <v/>
      </c>
      <c r="AA25" s="13" t="str">
        <f t="shared" ca="1" si="5"/>
        <v/>
      </c>
      <c r="AB25" s="13" t="str">
        <f t="shared" ca="1" si="5"/>
        <v/>
      </c>
      <c r="AC25" s="13" t="str">
        <f t="shared" ca="1" si="5"/>
        <v/>
      </c>
      <c r="AD25" s="13" t="str">
        <f t="shared" ca="1" si="5"/>
        <v/>
      </c>
      <c r="AE25" s="13" t="str">
        <f t="shared" ca="1" si="5"/>
        <v/>
      </c>
      <c r="AF25" s="13" t="str">
        <f t="shared" ca="1" si="5"/>
        <v/>
      </c>
      <c r="AG25" s="13" t="str">
        <f t="shared" ca="1" si="5"/>
        <v/>
      </c>
      <c r="AH25" s="13" t="str">
        <f t="shared" ca="1" si="5"/>
        <v/>
      </c>
      <c r="AI25" s="13" t="str">
        <f t="shared" ca="1" si="5"/>
        <v/>
      </c>
      <c r="AJ25" s="13" t="str">
        <f t="shared" ca="1" si="5"/>
        <v/>
      </c>
      <c r="AK25" s="13" t="str">
        <f t="shared" ca="1" si="5"/>
        <v/>
      </c>
      <c r="AL25" s="13" t="str">
        <f t="shared" ca="1" si="5"/>
        <v/>
      </c>
      <c r="AM25" s="13" t="str">
        <f t="shared" ca="1" si="5"/>
        <v/>
      </c>
      <c r="AN25" s="13" t="str">
        <f t="shared" ca="1" si="5"/>
        <v/>
      </c>
      <c r="AO25" s="13" t="str">
        <f t="shared" ca="1" si="6"/>
        <v/>
      </c>
      <c r="AP25" s="13" t="str">
        <f t="shared" ca="1" si="6"/>
        <v/>
      </c>
      <c r="AQ25" s="13" t="str">
        <f t="shared" ca="1" si="6"/>
        <v/>
      </c>
      <c r="AR25" s="13" t="str">
        <f t="shared" ca="1" si="6"/>
        <v/>
      </c>
      <c r="AS25" s="13" t="str">
        <f t="shared" ca="1" si="6"/>
        <v/>
      </c>
      <c r="AT25" s="13" t="str">
        <f t="shared" ca="1" si="6"/>
        <v/>
      </c>
      <c r="AU25" s="13" t="str">
        <f t="shared" ca="1" si="6"/>
        <v/>
      </c>
      <c r="AV25" s="13" t="str">
        <f t="shared" ca="1" si="6"/>
        <v/>
      </c>
      <c r="AW25" s="13" t="str">
        <f t="shared" ca="1" si="6"/>
        <v/>
      </c>
      <c r="AX25" s="13" t="str">
        <f t="shared" ca="1" si="6"/>
        <v/>
      </c>
      <c r="AY25" s="13" t="str">
        <f t="shared" ca="1" si="6"/>
        <v/>
      </c>
      <c r="AZ25" s="13" t="str">
        <f t="shared" ca="1" si="6"/>
        <v/>
      </c>
      <c r="BA25" s="13" t="str">
        <f t="shared" ca="1" si="6"/>
        <v/>
      </c>
      <c r="BB25" s="13" t="str">
        <f t="shared" ca="1" si="6"/>
        <v/>
      </c>
      <c r="BC25" s="13" t="str">
        <f t="shared" ca="1" si="6"/>
        <v/>
      </c>
      <c r="BD25" s="13" t="str">
        <f t="shared" ca="1" si="6"/>
        <v/>
      </c>
      <c r="BE25" s="13" t="str">
        <f t="shared" ca="1" si="12"/>
        <v/>
      </c>
      <c r="BF25" s="13" t="str">
        <f t="shared" ca="1" si="12"/>
        <v/>
      </c>
      <c r="BG25" s="13" t="str">
        <f t="shared" ca="1" si="12"/>
        <v/>
      </c>
      <c r="BH25" s="13" t="str">
        <f t="shared" ca="1" si="12"/>
        <v/>
      </c>
      <c r="BI25" s="13" t="str">
        <f t="shared" ca="1" si="12"/>
        <v/>
      </c>
      <c r="BJ25" s="13" t="str">
        <f t="shared" ca="1" si="12"/>
        <v/>
      </c>
      <c r="BK25" s="13" t="str">
        <f t="shared" ca="1" si="12"/>
        <v/>
      </c>
      <c r="BL25" s="13" t="str">
        <f t="shared" ca="1" si="12"/>
        <v/>
      </c>
    </row>
    <row r="26" spans="1:68" s="1" customFormat="1" ht="40.15" customHeight="1" x14ac:dyDescent="0.25">
      <c r="A26" s="6"/>
      <c r="B26" s="58" t="s">
        <v>285</v>
      </c>
      <c r="C26" s="16" t="s">
        <v>2</v>
      </c>
      <c r="D26" s="16" t="s">
        <v>286</v>
      </c>
      <c r="E26" s="17">
        <v>1</v>
      </c>
      <c r="F26" s="18">
        <v>46097</v>
      </c>
      <c r="G26" s="19">
        <v>4</v>
      </c>
      <c r="H26" s="16"/>
      <c r="I26" s="13" t="str">
        <f ca="1">IF(AND($C26="Goal",I$3&gt;=$F26,I$3&lt;=$F26+$G26-1),2,IF(AND($C26="Milestone",I$3&gt;=$F26,I$3&lt;=$F26+$G26-1),1,""))</f>
        <v/>
      </c>
      <c r="J26" s="13" t="str">
        <f t="shared" ca="1" si="4"/>
        <v/>
      </c>
      <c r="K26" s="13" t="str">
        <f t="shared" ca="1" si="4"/>
        <v/>
      </c>
      <c r="L26" s="13" t="str">
        <f t="shared" ca="1" si="4"/>
        <v/>
      </c>
      <c r="M26" s="13" t="str">
        <f t="shared" ca="1" si="4"/>
        <v/>
      </c>
      <c r="N26" s="13" t="str">
        <f t="shared" ca="1" si="4"/>
        <v/>
      </c>
      <c r="O26" s="13" t="str">
        <f t="shared" ca="1" si="4"/>
        <v/>
      </c>
      <c r="P26" s="13">
        <f t="shared" ca="1" si="4"/>
        <v>1</v>
      </c>
      <c r="Q26" s="13">
        <f t="shared" ca="1" si="4"/>
        <v>1</v>
      </c>
      <c r="R26" s="13">
        <f t="shared" ca="1" si="4"/>
        <v>1</v>
      </c>
      <c r="S26" s="13">
        <f t="shared" ca="1" si="4"/>
        <v>1</v>
      </c>
      <c r="T26" s="13" t="str">
        <f t="shared" ca="1" si="4"/>
        <v/>
      </c>
      <c r="U26" s="13" t="str">
        <f t="shared" ca="1" si="4"/>
        <v/>
      </c>
      <c r="V26" s="13" t="str">
        <f t="shared" ca="1" si="4"/>
        <v/>
      </c>
      <c r="W26" s="13" t="str">
        <f t="shared" ca="1" si="4"/>
        <v/>
      </c>
      <c r="X26" s="13" t="str">
        <f t="shared" ca="1" si="4"/>
        <v/>
      </c>
      <c r="Y26" s="13" t="str">
        <f t="shared" ca="1" si="5"/>
        <v/>
      </c>
      <c r="Z26" s="13" t="str">
        <f t="shared" ca="1" si="5"/>
        <v/>
      </c>
      <c r="AA26" s="13" t="str">
        <f t="shared" ca="1" si="5"/>
        <v/>
      </c>
      <c r="AB26" s="13" t="str">
        <f t="shared" ca="1" si="5"/>
        <v/>
      </c>
      <c r="AC26" s="13" t="str">
        <f t="shared" ca="1" si="5"/>
        <v/>
      </c>
      <c r="AD26" s="13" t="str">
        <f t="shared" ca="1" si="5"/>
        <v/>
      </c>
      <c r="AE26" s="13" t="str">
        <f t="shared" ca="1" si="5"/>
        <v/>
      </c>
      <c r="AF26" s="13" t="str">
        <f t="shared" ca="1" si="5"/>
        <v/>
      </c>
      <c r="AG26" s="13" t="str">
        <f t="shared" ca="1" si="5"/>
        <v/>
      </c>
      <c r="AH26" s="13" t="str">
        <f t="shared" ca="1" si="5"/>
        <v/>
      </c>
      <c r="AI26" s="13" t="str">
        <f t="shared" ca="1" si="5"/>
        <v/>
      </c>
      <c r="AJ26" s="13" t="str">
        <f t="shared" ca="1" si="5"/>
        <v/>
      </c>
      <c r="AK26" s="13" t="str">
        <f t="shared" ca="1" si="5"/>
        <v/>
      </c>
      <c r="AL26" s="13" t="str">
        <f t="shared" ca="1" si="5"/>
        <v/>
      </c>
      <c r="AM26" s="13" t="str">
        <f t="shared" ca="1" si="5"/>
        <v/>
      </c>
      <c r="AN26" s="13" t="str">
        <f t="shared" ca="1" si="5"/>
        <v/>
      </c>
      <c r="AO26" s="13" t="str">
        <f t="shared" ca="1" si="6"/>
        <v/>
      </c>
      <c r="AP26" s="13" t="str">
        <f t="shared" ca="1" si="6"/>
        <v/>
      </c>
      <c r="AQ26" s="13" t="str">
        <f t="shared" ca="1" si="6"/>
        <v/>
      </c>
      <c r="AR26" s="13" t="str">
        <f t="shared" ca="1" si="6"/>
        <v/>
      </c>
      <c r="AS26" s="13" t="str">
        <f t="shared" ca="1" si="6"/>
        <v/>
      </c>
      <c r="AT26" s="13" t="str">
        <f t="shared" ca="1" si="6"/>
        <v/>
      </c>
      <c r="AU26" s="13" t="str">
        <f t="shared" ca="1" si="6"/>
        <v/>
      </c>
      <c r="AV26" s="13" t="str">
        <f t="shared" ca="1" si="6"/>
        <v/>
      </c>
      <c r="AW26" s="13" t="str">
        <f t="shared" ca="1" si="6"/>
        <v/>
      </c>
      <c r="AX26" s="13" t="str">
        <f t="shared" ca="1" si="6"/>
        <v/>
      </c>
      <c r="AY26" s="13" t="str">
        <f t="shared" ca="1" si="6"/>
        <v/>
      </c>
      <c r="AZ26" s="13" t="str">
        <f t="shared" ca="1" si="6"/>
        <v/>
      </c>
      <c r="BA26" s="13" t="str">
        <f t="shared" ca="1" si="6"/>
        <v/>
      </c>
      <c r="BB26" s="13" t="str">
        <f t="shared" ca="1" si="6"/>
        <v/>
      </c>
      <c r="BC26" s="13" t="str">
        <f t="shared" ca="1" si="6"/>
        <v/>
      </c>
      <c r="BD26" s="13" t="str">
        <f t="shared" ca="1" si="6"/>
        <v/>
      </c>
      <c r="BE26" s="13" t="str">
        <f t="shared" ca="1" si="12"/>
        <v/>
      </c>
      <c r="BF26" s="13" t="str">
        <f t="shared" ca="1" si="12"/>
        <v/>
      </c>
      <c r="BG26" s="13" t="str">
        <f t="shared" ca="1" si="12"/>
        <v/>
      </c>
      <c r="BH26" s="13" t="str">
        <f t="shared" ca="1" si="12"/>
        <v/>
      </c>
      <c r="BI26" s="13" t="str">
        <f t="shared" ca="1" si="12"/>
        <v/>
      </c>
      <c r="BJ26" s="13" t="str">
        <f t="shared" ca="1" si="12"/>
        <v/>
      </c>
      <c r="BK26" s="13" t="str">
        <f t="shared" ca="1" si="12"/>
        <v/>
      </c>
      <c r="BL26" s="13" t="str">
        <f t="shared" ca="1" si="12"/>
        <v/>
      </c>
    </row>
    <row r="27" spans="1:68" s="1" customFormat="1" ht="40.15" customHeight="1" x14ac:dyDescent="0.25">
      <c r="A27" s="7"/>
      <c r="B27" s="57" t="s">
        <v>34</v>
      </c>
      <c r="C27" s="16">
        <v>32</v>
      </c>
      <c r="D27" s="16"/>
      <c r="E27" s="17"/>
      <c r="F27" s="18"/>
      <c r="G27" s="19"/>
      <c r="H27" s="16"/>
      <c r="I27" s="13" t="str">
        <f t="shared" ca="1" si="4"/>
        <v/>
      </c>
      <c r="J27" s="13" t="str">
        <f t="shared" ca="1" si="4"/>
        <v/>
      </c>
      <c r="K27" s="13" t="str">
        <f t="shared" ca="1" si="4"/>
        <v/>
      </c>
      <c r="L27" s="13" t="str">
        <f t="shared" ca="1" si="4"/>
        <v/>
      </c>
      <c r="M27" s="13" t="str">
        <f t="shared" ca="1" si="4"/>
        <v/>
      </c>
      <c r="N27" s="13" t="str">
        <f t="shared" ca="1" si="4"/>
        <v/>
      </c>
      <c r="O27" s="13" t="str">
        <f t="shared" ca="1" si="4"/>
        <v/>
      </c>
      <c r="P27" s="13" t="str">
        <f t="shared" ca="1" si="4"/>
        <v/>
      </c>
      <c r="Q27" s="13" t="str">
        <f t="shared" ca="1" si="4"/>
        <v/>
      </c>
      <c r="R27" s="13" t="str">
        <f t="shared" ca="1" si="4"/>
        <v/>
      </c>
      <c r="S27" s="13" t="str">
        <f t="shared" ca="1" si="4"/>
        <v/>
      </c>
      <c r="T27" s="13" t="str">
        <f t="shared" ca="1" si="4"/>
        <v/>
      </c>
      <c r="U27" s="13" t="str">
        <f t="shared" ca="1" si="4"/>
        <v/>
      </c>
      <c r="V27" s="13" t="str">
        <f t="shared" ca="1" si="4"/>
        <v/>
      </c>
      <c r="W27" s="13" t="str">
        <f t="shared" ca="1" si="4"/>
        <v/>
      </c>
      <c r="X27" s="13" t="str">
        <f t="shared" ca="1" si="4"/>
        <v/>
      </c>
      <c r="Y27" s="13" t="str">
        <f t="shared" ref="Y27:BD27" ca="1" si="13">IF(AND($C27="Goal",Y$3&gt;=$F27,Y$3&lt;=$F27+$G27-1),2,IF(AND($C27="Milestone",Y$3&gt;=$F27,Y$3&lt;=$F27+$G27-1),1,""))</f>
        <v/>
      </c>
      <c r="Z27" s="13" t="str">
        <f t="shared" ca="1" si="13"/>
        <v/>
      </c>
      <c r="AA27" s="13" t="str">
        <f t="shared" ca="1" si="13"/>
        <v/>
      </c>
      <c r="AB27" s="13" t="str">
        <f t="shared" ca="1" si="13"/>
        <v/>
      </c>
      <c r="AC27" s="13" t="str">
        <f t="shared" ca="1" si="13"/>
        <v/>
      </c>
      <c r="AD27" s="13" t="str">
        <f t="shared" ca="1" si="13"/>
        <v/>
      </c>
      <c r="AE27" s="13" t="str">
        <f t="shared" ca="1" si="13"/>
        <v/>
      </c>
      <c r="AF27" s="13" t="str">
        <f t="shared" ca="1" si="13"/>
        <v/>
      </c>
      <c r="AG27" s="13" t="str">
        <f t="shared" ca="1" si="13"/>
        <v/>
      </c>
      <c r="AH27" s="13" t="str">
        <f t="shared" ca="1" si="13"/>
        <v/>
      </c>
      <c r="AI27" s="13" t="str">
        <f t="shared" ca="1" si="13"/>
        <v/>
      </c>
      <c r="AJ27" s="13" t="str">
        <f t="shared" ca="1" si="13"/>
        <v/>
      </c>
      <c r="AK27" s="13" t="str">
        <f t="shared" ca="1" si="13"/>
        <v/>
      </c>
      <c r="AL27" s="13" t="str">
        <f t="shared" ca="1" si="13"/>
        <v/>
      </c>
      <c r="AM27" s="13" t="str">
        <f t="shared" ca="1" si="13"/>
        <v/>
      </c>
      <c r="AN27" s="13" t="str">
        <f t="shared" ca="1" si="13"/>
        <v/>
      </c>
      <c r="AO27" s="13" t="str">
        <f t="shared" ca="1" si="13"/>
        <v/>
      </c>
      <c r="AP27" s="13" t="str">
        <f t="shared" ca="1" si="13"/>
        <v/>
      </c>
      <c r="AQ27" s="13" t="str">
        <f t="shared" ca="1" si="13"/>
        <v/>
      </c>
      <c r="AR27" s="13" t="str">
        <f t="shared" ca="1" si="13"/>
        <v/>
      </c>
      <c r="AS27" s="13" t="str">
        <f t="shared" ca="1" si="13"/>
        <v/>
      </c>
      <c r="AT27" s="13" t="str">
        <f t="shared" ca="1" si="13"/>
        <v/>
      </c>
      <c r="AU27" s="13" t="str">
        <f t="shared" ca="1" si="13"/>
        <v/>
      </c>
      <c r="AV27" s="13" t="str">
        <f t="shared" ca="1" si="13"/>
        <v/>
      </c>
      <c r="AW27" s="13" t="str">
        <f t="shared" ca="1" si="13"/>
        <v/>
      </c>
      <c r="AX27" s="13" t="str">
        <f t="shared" ca="1" si="13"/>
        <v/>
      </c>
      <c r="AY27" s="13" t="str">
        <f t="shared" ca="1" si="13"/>
        <v/>
      </c>
      <c r="AZ27" s="13" t="str">
        <f t="shared" ca="1" si="13"/>
        <v/>
      </c>
      <c r="BA27" s="13" t="str">
        <f t="shared" ca="1" si="13"/>
        <v/>
      </c>
      <c r="BB27" s="13" t="str">
        <f t="shared" ca="1" si="13"/>
        <v/>
      </c>
      <c r="BC27" s="13" t="str">
        <f t="shared" ca="1" si="13"/>
        <v/>
      </c>
      <c r="BD27" s="13" t="str">
        <f t="shared" ca="1" si="13"/>
        <v/>
      </c>
      <c r="BE27" s="13" t="str">
        <f t="shared" ca="1" si="12"/>
        <v/>
      </c>
      <c r="BF27" s="13" t="str">
        <f t="shared" ca="1" si="12"/>
        <v/>
      </c>
      <c r="BG27" s="13" t="str">
        <f t="shared" ca="1" si="12"/>
        <v/>
      </c>
      <c r="BH27" s="13" t="str">
        <f t="shared" ca="1" si="12"/>
        <v/>
      </c>
      <c r="BI27" s="13" t="str">
        <f t="shared" ca="1" si="12"/>
        <v/>
      </c>
      <c r="BJ27" s="13" t="str">
        <f t="shared" ca="1" si="12"/>
        <v/>
      </c>
      <c r="BK27" s="13" t="str">
        <f t="shared" ca="1" si="12"/>
        <v/>
      </c>
      <c r="BL27" s="13" t="str">
        <f t="shared" ca="1" si="12"/>
        <v/>
      </c>
      <c r="BP27" s="15"/>
    </row>
    <row r="28" spans="1:68" s="1" customFormat="1" ht="40.15" customHeight="1" x14ac:dyDescent="0.25">
      <c r="A28" s="7"/>
      <c r="B28" s="58" t="s">
        <v>23</v>
      </c>
      <c r="C28" s="16" t="s">
        <v>6</v>
      </c>
      <c r="D28" s="16" t="s">
        <v>22</v>
      </c>
      <c r="E28" s="17">
        <v>1</v>
      </c>
      <c r="F28" s="18">
        <v>46098</v>
      </c>
      <c r="G28" s="19">
        <v>3</v>
      </c>
      <c r="H28" s="16"/>
      <c r="I28" s="13" t="str">
        <f ca="1">IF(AND($C28="Goal",I$3&gt;=$F28,I$3&lt;=$F28+$G28-1),2,IF(AND($C28="Milestone",I$3&gt;=$F28,I$3&lt;=$F28+$G28-1),1,""))</f>
        <v/>
      </c>
      <c r="J28" s="13" t="str">
        <f t="shared" ca="1" si="4"/>
        <v/>
      </c>
      <c r="K28" s="13" t="str">
        <f t="shared" ca="1" si="4"/>
        <v/>
      </c>
      <c r="L28" s="13" t="str">
        <f t="shared" ca="1" si="4"/>
        <v/>
      </c>
      <c r="M28" s="13" t="str">
        <f t="shared" ca="1" si="4"/>
        <v/>
      </c>
      <c r="N28" s="13" t="str">
        <f t="shared" ca="1" si="4"/>
        <v/>
      </c>
      <c r="O28" s="13" t="str">
        <f t="shared" ref="O28:P32" ca="1" si="14">IF(AND($C28="Goal",O$3&gt;=$F28,O$3&lt;=$F28+$G28-1),2,IF(AND($C28="Milestone",O$3&gt;=$F28,O$3&lt;=$F28+$G28-1),1,""))</f>
        <v/>
      </c>
      <c r="P28" s="13" t="str">
        <f t="shared" ca="1" si="14"/>
        <v/>
      </c>
      <c r="Q28" s="13" t="str">
        <f t="shared" ca="1" si="4"/>
        <v/>
      </c>
      <c r="R28" s="13" t="str">
        <f t="shared" ca="1" si="4"/>
        <v/>
      </c>
      <c r="S28" s="13" t="str">
        <f t="shared" ca="1" si="4"/>
        <v/>
      </c>
      <c r="T28" s="13" t="str">
        <f t="shared" ca="1" si="4"/>
        <v/>
      </c>
      <c r="U28" s="13" t="str">
        <f t="shared" ca="1" si="4"/>
        <v/>
      </c>
      <c r="V28" s="13" t="str">
        <f t="shared" ca="1" si="4"/>
        <v/>
      </c>
      <c r="W28" s="13" t="str">
        <f t="shared" ca="1" si="4"/>
        <v/>
      </c>
      <c r="X28" s="13" t="str">
        <f t="shared" ca="1" si="4"/>
        <v/>
      </c>
      <c r="Y28" s="13" t="str">
        <f t="shared" ca="1" si="5"/>
        <v/>
      </c>
      <c r="Z28" s="13" t="str">
        <f t="shared" ca="1" si="5"/>
        <v/>
      </c>
      <c r="AA28" s="13" t="str">
        <f t="shared" ca="1" si="5"/>
        <v/>
      </c>
      <c r="AB28" s="13" t="str">
        <f t="shared" ca="1" si="5"/>
        <v/>
      </c>
      <c r="AC28" s="13" t="str">
        <f t="shared" ca="1" si="5"/>
        <v/>
      </c>
      <c r="AD28" s="13" t="str">
        <f t="shared" ca="1" si="5"/>
        <v/>
      </c>
      <c r="AE28" s="13" t="str">
        <f t="shared" ca="1" si="5"/>
        <v/>
      </c>
      <c r="AF28" s="13" t="str">
        <f t="shared" ca="1" si="5"/>
        <v/>
      </c>
      <c r="AG28" s="13" t="str">
        <f t="shared" ca="1" si="5"/>
        <v/>
      </c>
      <c r="AH28" s="13" t="str">
        <f t="shared" ca="1" si="5"/>
        <v/>
      </c>
      <c r="AI28" s="13" t="str">
        <f t="shared" ca="1" si="5"/>
        <v/>
      </c>
      <c r="AJ28" s="13" t="str">
        <f t="shared" ca="1" si="5"/>
        <v/>
      </c>
      <c r="AK28" s="13" t="str">
        <f t="shared" ca="1" si="5"/>
        <v/>
      </c>
      <c r="AL28" s="13" t="str">
        <f t="shared" ca="1" si="5"/>
        <v/>
      </c>
      <c r="AM28" s="13" t="str">
        <f t="shared" ca="1" si="5"/>
        <v/>
      </c>
      <c r="AN28" s="13" t="str">
        <f t="shared" ca="1" si="5"/>
        <v/>
      </c>
      <c r="AO28" s="13" t="str">
        <f t="shared" ca="1" si="6"/>
        <v/>
      </c>
      <c r="AP28" s="13" t="str">
        <f t="shared" ca="1" si="6"/>
        <v/>
      </c>
      <c r="AQ28" s="13" t="str">
        <f t="shared" ca="1" si="6"/>
        <v/>
      </c>
      <c r="AR28" s="13" t="str">
        <f t="shared" ca="1" si="6"/>
        <v/>
      </c>
      <c r="AS28" s="13" t="str">
        <f t="shared" ca="1" si="6"/>
        <v/>
      </c>
      <c r="AT28" s="13" t="str">
        <f t="shared" ca="1" si="6"/>
        <v/>
      </c>
      <c r="AU28" s="13" t="str">
        <f t="shared" ca="1" si="6"/>
        <v/>
      </c>
      <c r="AV28" s="13" t="str">
        <f t="shared" ca="1" si="6"/>
        <v/>
      </c>
      <c r="AW28" s="13" t="str">
        <f t="shared" ca="1" si="6"/>
        <v/>
      </c>
      <c r="AX28" s="13" t="str">
        <f t="shared" ca="1" si="6"/>
        <v/>
      </c>
      <c r="AY28" s="13" t="str">
        <f t="shared" ca="1" si="6"/>
        <v/>
      </c>
      <c r="AZ28" s="13" t="str">
        <f t="shared" ca="1" si="6"/>
        <v/>
      </c>
      <c r="BA28" s="13" t="str">
        <f t="shared" ca="1" si="6"/>
        <v/>
      </c>
      <c r="BB28" s="13" t="str">
        <f t="shared" ca="1" si="6"/>
        <v/>
      </c>
      <c r="BC28" s="13" t="str">
        <f t="shared" ca="1" si="6"/>
        <v/>
      </c>
      <c r="BD28" s="13" t="str">
        <f t="shared" ca="1" si="6"/>
        <v/>
      </c>
      <c r="BE28" s="13" t="str">
        <f t="shared" ca="1" si="12"/>
        <v/>
      </c>
      <c r="BF28" s="13" t="str">
        <f t="shared" ca="1" si="12"/>
        <v/>
      </c>
      <c r="BG28" s="13" t="str">
        <f t="shared" ca="1" si="12"/>
        <v/>
      </c>
      <c r="BH28" s="13" t="str">
        <f t="shared" ca="1" si="12"/>
        <v/>
      </c>
      <c r="BI28" s="13" t="str">
        <f t="shared" ca="1" si="12"/>
        <v/>
      </c>
      <c r="BJ28" s="13" t="str">
        <f t="shared" ca="1" si="12"/>
        <v/>
      </c>
      <c r="BK28" s="13" t="str">
        <f t="shared" ca="1" si="12"/>
        <v/>
      </c>
      <c r="BL28" s="13" t="str">
        <f t="shared" ca="1" si="12"/>
        <v/>
      </c>
    </row>
    <row r="29" spans="1:68" s="1" customFormat="1" ht="40.15" customHeight="1" x14ac:dyDescent="0.25">
      <c r="A29" s="7"/>
      <c r="B29" s="58" t="s">
        <v>24</v>
      </c>
      <c r="C29" s="16" t="s">
        <v>6</v>
      </c>
      <c r="D29" s="16" t="s">
        <v>22</v>
      </c>
      <c r="E29" s="17">
        <v>0</v>
      </c>
      <c r="F29" s="18">
        <v>46100</v>
      </c>
      <c r="G29" s="19">
        <v>2</v>
      </c>
      <c r="H29" s="16"/>
      <c r="I29" s="13" t="str">
        <f ca="1">IF(AND($C29="Goal",I$3&gt;=$F29,I$3&lt;=$F29+$G29-1),2,IF(AND($C29="Milestone",I$3&gt;=$F29,I$3&lt;=$F29+$G29-1),1,""))</f>
        <v/>
      </c>
      <c r="J29" s="13" t="str">
        <f t="shared" ref="J29:N32" ca="1" si="15">IF(AND($C29="Goal",J$3&gt;=$F29,J$3&lt;=$F29+$G29-1),2,IF(AND($C29="Milestone",J$3&gt;=$F29,J$3&lt;=$F29+$G29-1),1,""))</f>
        <v/>
      </c>
      <c r="K29" s="13" t="str">
        <f t="shared" ca="1" si="15"/>
        <v/>
      </c>
      <c r="L29" s="13" t="str">
        <f t="shared" ca="1" si="15"/>
        <v/>
      </c>
      <c r="M29" s="13" t="str">
        <f t="shared" ca="1" si="15"/>
        <v/>
      </c>
      <c r="N29" s="13" t="str">
        <f t="shared" ca="1" si="15"/>
        <v/>
      </c>
      <c r="O29" s="13" t="str">
        <f t="shared" ca="1" si="14"/>
        <v/>
      </c>
      <c r="P29" s="13" t="str">
        <f t="shared" ca="1" si="14"/>
        <v/>
      </c>
      <c r="Q29" s="13" t="str">
        <f t="shared" ref="Q29:X32" ca="1" si="16">IF(AND($C29="Goal",Q$3&gt;=$F29,Q$3&lt;=$F29+$G29-1),2,IF(AND($C29="Milestone",Q$3&gt;=$F29,Q$3&lt;=$F29+$G29-1),1,""))</f>
        <v/>
      </c>
      <c r="R29" s="13" t="str">
        <f t="shared" ca="1" si="16"/>
        <v/>
      </c>
      <c r="S29" s="13" t="str">
        <f t="shared" ca="1" si="16"/>
        <v/>
      </c>
      <c r="T29" s="13" t="str">
        <f t="shared" ca="1" si="16"/>
        <v/>
      </c>
      <c r="U29" s="13" t="str">
        <f t="shared" ca="1" si="16"/>
        <v/>
      </c>
      <c r="V29" s="13" t="str">
        <f t="shared" ca="1" si="16"/>
        <v/>
      </c>
      <c r="W29" s="13" t="str">
        <f t="shared" ca="1" si="16"/>
        <v/>
      </c>
      <c r="X29" s="13" t="str">
        <f t="shared" ca="1" si="16"/>
        <v/>
      </c>
      <c r="Y29" s="13" t="str">
        <f t="shared" ref="Y29:AN46" ca="1" si="17">IF(AND($C29="Goal",Y$3&gt;=$F29,Y$3&lt;=$F29+$G29-1),2,IF(AND($C29="Milestone",Y$3&gt;=$F29,Y$3&lt;=$F29+$G29-1),1,""))</f>
        <v/>
      </c>
      <c r="Z29" s="13" t="str">
        <f t="shared" ca="1" si="17"/>
        <v/>
      </c>
      <c r="AA29" s="13" t="str">
        <f t="shared" ca="1" si="17"/>
        <v/>
      </c>
      <c r="AB29" s="13" t="str">
        <f t="shared" ca="1" si="17"/>
        <v/>
      </c>
      <c r="AC29" s="13" t="str">
        <f t="shared" ca="1" si="17"/>
        <v/>
      </c>
      <c r="AD29" s="13" t="str">
        <f t="shared" ca="1" si="17"/>
        <v/>
      </c>
      <c r="AE29" s="13" t="str">
        <f t="shared" ca="1" si="17"/>
        <v/>
      </c>
      <c r="AF29" s="13" t="str">
        <f t="shared" ca="1" si="17"/>
        <v/>
      </c>
      <c r="AG29" s="13" t="str">
        <f t="shared" ca="1" si="17"/>
        <v/>
      </c>
      <c r="AH29" s="13" t="str">
        <f t="shared" ca="1" si="17"/>
        <v/>
      </c>
      <c r="AI29" s="13" t="str">
        <f t="shared" ca="1" si="17"/>
        <v/>
      </c>
      <c r="AJ29" s="13" t="str">
        <f t="shared" ca="1" si="17"/>
        <v/>
      </c>
      <c r="AK29" s="13" t="str">
        <f t="shared" ca="1" si="17"/>
        <v/>
      </c>
      <c r="AL29" s="13" t="str">
        <f t="shared" ca="1" si="17"/>
        <v/>
      </c>
      <c r="AM29" s="13" t="str">
        <f t="shared" ca="1" si="17"/>
        <v/>
      </c>
      <c r="AN29" s="13" t="str">
        <f t="shared" ca="1" si="17"/>
        <v/>
      </c>
      <c r="AO29" s="13" t="str">
        <f t="shared" ref="AO29:BD46" ca="1" si="18">IF(AND($C29="Goal",AO$3&gt;=$F29,AO$3&lt;=$F29+$G29-1),2,IF(AND($C29="Milestone",AO$3&gt;=$F29,AO$3&lt;=$F29+$G29-1),1,""))</f>
        <v/>
      </c>
      <c r="AP29" s="13" t="str">
        <f t="shared" ca="1" si="18"/>
        <v/>
      </c>
      <c r="AQ29" s="13" t="str">
        <f t="shared" ca="1" si="18"/>
        <v/>
      </c>
      <c r="AR29" s="13" t="str">
        <f t="shared" ca="1" si="18"/>
        <v/>
      </c>
      <c r="AS29" s="13" t="str">
        <f t="shared" ca="1" si="18"/>
        <v/>
      </c>
      <c r="AT29" s="13" t="str">
        <f t="shared" ca="1" si="18"/>
        <v/>
      </c>
      <c r="AU29" s="13" t="str">
        <f t="shared" ca="1" si="18"/>
        <v/>
      </c>
      <c r="AV29" s="13" t="str">
        <f t="shared" ca="1" si="18"/>
        <v/>
      </c>
      <c r="AW29" s="13" t="str">
        <f t="shared" ca="1" si="18"/>
        <v/>
      </c>
      <c r="AX29" s="13" t="str">
        <f t="shared" ca="1" si="18"/>
        <v/>
      </c>
      <c r="AY29" s="13" t="str">
        <f t="shared" ca="1" si="18"/>
        <v/>
      </c>
      <c r="AZ29" s="13" t="str">
        <f t="shared" ca="1" si="18"/>
        <v/>
      </c>
      <c r="BA29" s="13" t="str">
        <f t="shared" ca="1" si="18"/>
        <v/>
      </c>
      <c r="BB29" s="13" t="str">
        <f t="shared" ca="1" si="18"/>
        <v/>
      </c>
      <c r="BC29" s="13" t="str">
        <f t="shared" ca="1" si="18"/>
        <v/>
      </c>
      <c r="BD29" s="13" t="str">
        <f t="shared" ca="1" si="18"/>
        <v/>
      </c>
      <c r="BE29" s="13" t="str">
        <f t="shared" ca="1" si="12"/>
        <v/>
      </c>
      <c r="BF29" s="13" t="str">
        <f t="shared" ca="1" si="12"/>
        <v/>
      </c>
      <c r="BG29" s="13" t="str">
        <f t="shared" ca="1" si="12"/>
        <v/>
      </c>
      <c r="BH29" s="13" t="str">
        <f t="shared" ca="1" si="12"/>
        <v/>
      </c>
      <c r="BI29" s="13" t="str">
        <f t="shared" ca="1" si="12"/>
        <v/>
      </c>
      <c r="BJ29" s="13" t="str">
        <f t="shared" ca="1" si="12"/>
        <v/>
      </c>
      <c r="BK29" s="13" t="str">
        <f t="shared" ca="1" si="12"/>
        <v/>
      </c>
      <c r="BL29" s="13" t="str">
        <f t="shared" ca="1" si="12"/>
        <v/>
      </c>
    </row>
    <row r="30" spans="1:68" s="1" customFormat="1" ht="40.15" customHeight="1" x14ac:dyDescent="0.25">
      <c r="A30" s="6"/>
      <c r="B30" s="58" t="s">
        <v>26</v>
      </c>
      <c r="C30" s="16" t="s">
        <v>6</v>
      </c>
      <c r="D30" s="16" t="s">
        <v>22</v>
      </c>
      <c r="E30" s="17">
        <v>0</v>
      </c>
      <c r="F30" s="18">
        <v>46104</v>
      </c>
      <c r="G30" s="19">
        <v>1</v>
      </c>
      <c r="H30" s="16"/>
      <c r="I30" s="13" t="str">
        <f ca="1">IF(AND($C30="Goal",I$3&gt;=$F30,I$3&lt;=$F30+$G30-1),2,IF(AND($C30="Milestone",I$3&gt;=$F30,I$3&lt;=$F30+$G30-1),1,""))</f>
        <v/>
      </c>
      <c r="J30" s="13" t="str">
        <f t="shared" ca="1" si="15"/>
        <v/>
      </c>
      <c r="K30" s="13" t="str">
        <f t="shared" ca="1" si="15"/>
        <v/>
      </c>
      <c r="L30" s="13" t="str">
        <f t="shared" ca="1" si="15"/>
        <v/>
      </c>
      <c r="M30" s="13" t="str">
        <f t="shared" ca="1" si="15"/>
        <v/>
      </c>
      <c r="N30" s="13" t="str">
        <f t="shared" ca="1" si="15"/>
        <v/>
      </c>
      <c r="O30" s="13" t="str">
        <f t="shared" ca="1" si="14"/>
        <v/>
      </c>
      <c r="P30" s="13" t="str">
        <f t="shared" ca="1" si="14"/>
        <v/>
      </c>
      <c r="Q30" s="13" t="str">
        <f t="shared" ca="1" si="16"/>
        <v/>
      </c>
      <c r="R30" s="13" t="str">
        <f t="shared" ca="1" si="16"/>
        <v/>
      </c>
      <c r="S30" s="13" t="str">
        <f t="shared" ca="1" si="16"/>
        <v/>
      </c>
      <c r="T30" s="13" t="str">
        <f t="shared" ca="1" si="16"/>
        <v/>
      </c>
      <c r="U30" s="13" t="str">
        <f t="shared" ca="1" si="16"/>
        <v/>
      </c>
      <c r="V30" s="13" t="str">
        <f t="shared" ca="1" si="16"/>
        <v/>
      </c>
      <c r="W30" s="13" t="str">
        <f t="shared" ca="1" si="16"/>
        <v/>
      </c>
      <c r="X30" s="13" t="str">
        <f t="shared" ca="1" si="16"/>
        <v/>
      </c>
      <c r="Y30" s="13" t="str">
        <f t="shared" ca="1" si="17"/>
        <v/>
      </c>
      <c r="Z30" s="13" t="str">
        <f t="shared" ca="1" si="17"/>
        <v/>
      </c>
      <c r="AA30" s="13" t="str">
        <f t="shared" ca="1" si="17"/>
        <v/>
      </c>
      <c r="AB30" s="13" t="str">
        <f t="shared" ca="1" si="17"/>
        <v/>
      </c>
      <c r="AC30" s="13" t="str">
        <f t="shared" ca="1" si="17"/>
        <v/>
      </c>
      <c r="AD30" s="13" t="str">
        <f t="shared" ca="1" si="17"/>
        <v/>
      </c>
      <c r="AE30" s="13" t="str">
        <f t="shared" ca="1" si="17"/>
        <v/>
      </c>
      <c r="AF30" s="13" t="str">
        <f t="shared" ca="1" si="17"/>
        <v/>
      </c>
      <c r="AG30" s="13" t="str">
        <f t="shared" ca="1" si="17"/>
        <v/>
      </c>
      <c r="AH30" s="13" t="str">
        <f t="shared" ca="1" si="17"/>
        <v/>
      </c>
      <c r="AI30" s="13" t="str">
        <f t="shared" ca="1" si="17"/>
        <v/>
      </c>
      <c r="AJ30" s="13" t="str">
        <f t="shared" ca="1" si="17"/>
        <v/>
      </c>
      <c r="AK30" s="13" t="str">
        <f t="shared" ca="1" si="17"/>
        <v/>
      </c>
      <c r="AL30" s="13" t="str">
        <f t="shared" ca="1" si="17"/>
        <v/>
      </c>
      <c r="AM30" s="13" t="str">
        <f t="shared" ca="1" si="17"/>
        <v/>
      </c>
      <c r="AN30" s="13" t="str">
        <f t="shared" ca="1" si="17"/>
        <v/>
      </c>
      <c r="AO30" s="13" t="str">
        <f t="shared" ca="1" si="18"/>
        <v/>
      </c>
      <c r="AP30" s="13" t="str">
        <f t="shared" ca="1" si="18"/>
        <v/>
      </c>
      <c r="AQ30" s="13" t="str">
        <f t="shared" ca="1" si="18"/>
        <v/>
      </c>
      <c r="AR30" s="13" t="str">
        <f t="shared" ca="1" si="18"/>
        <v/>
      </c>
      <c r="AS30" s="13" t="str">
        <f t="shared" ca="1" si="18"/>
        <v/>
      </c>
      <c r="AT30" s="13" t="str">
        <f t="shared" ca="1" si="18"/>
        <v/>
      </c>
      <c r="AU30" s="13" t="str">
        <f t="shared" ca="1" si="18"/>
        <v/>
      </c>
      <c r="AV30" s="13" t="str">
        <f t="shared" ca="1" si="18"/>
        <v/>
      </c>
      <c r="AW30" s="13" t="str">
        <f t="shared" ca="1" si="18"/>
        <v/>
      </c>
      <c r="AX30" s="13" t="str">
        <f t="shared" ca="1" si="18"/>
        <v/>
      </c>
      <c r="AY30" s="13" t="str">
        <f t="shared" ca="1" si="18"/>
        <v/>
      </c>
      <c r="AZ30" s="13" t="str">
        <f t="shared" ca="1" si="18"/>
        <v/>
      </c>
      <c r="BA30" s="13" t="str">
        <f t="shared" ca="1" si="18"/>
        <v/>
      </c>
      <c r="BB30" s="13" t="str">
        <f t="shared" ca="1" si="18"/>
        <v/>
      </c>
      <c r="BC30" s="13" t="str">
        <f t="shared" ca="1" si="18"/>
        <v/>
      </c>
      <c r="BD30" s="13" t="str">
        <f t="shared" ca="1" si="18"/>
        <v/>
      </c>
      <c r="BE30" s="13" t="str">
        <f t="shared" ca="1" si="12"/>
        <v/>
      </c>
      <c r="BF30" s="13" t="str">
        <f t="shared" ca="1" si="12"/>
        <v/>
      </c>
      <c r="BG30" s="13" t="str">
        <f t="shared" ca="1" si="12"/>
        <v/>
      </c>
      <c r="BH30" s="13" t="str">
        <f t="shared" ca="1" si="12"/>
        <v/>
      </c>
      <c r="BI30" s="13" t="str">
        <f t="shared" ca="1" si="12"/>
        <v/>
      </c>
      <c r="BJ30" s="13" t="str">
        <f t="shared" ca="1" si="12"/>
        <v/>
      </c>
      <c r="BK30" s="13" t="str">
        <f t="shared" ca="1" si="12"/>
        <v/>
      </c>
      <c r="BL30" s="13" t="str">
        <f t="shared" ca="1" si="12"/>
        <v/>
      </c>
    </row>
    <row r="31" spans="1:68" s="1" customFormat="1" ht="40.15" customHeight="1" x14ac:dyDescent="0.25">
      <c r="A31" s="6"/>
      <c r="B31" s="58" t="s">
        <v>288</v>
      </c>
      <c r="C31" s="16" t="s">
        <v>6</v>
      </c>
      <c r="D31" s="16" t="s">
        <v>22</v>
      </c>
      <c r="E31" s="17">
        <v>0</v>
      </c>
      <c r="F31" s="18">
        <v>46106</v>
      </c>
      <c r="G31" s="19">
        <v>1</v>
      </c>
      <c r="H31" s="16"/>
      <c r="I31" s="13" t="str">
        <f ca="1">IF(AND($C31="Goal",I$3&gt;=$F31,I$3&lt;=$F31+$G31-1),2,IF(AND($C31="Milestone",I$3&gt;=$F31,I$3&lt;=$F31+$G31-1),1,""))</f>
        <v/>
      </c>
      <c r="J31" s="13" t="str">
        <f t="shared" ca="1" si="15"/>
        <v/>
      </c>
      <c r="K31" s="13" t="str">
        <f t="shared" ca="1" si="15"/>
        <v/>
      </c>
      <c r="L31" s="13" t="str">
        <f t="shared" ca="1" si="15"/>
        <v/>
      </c>
      <c r="M31" s="13" t="str">
        <f t="shared" ca="1" si="15"/>
        <v/>
      </c>
      <c r="N31" s="13" t="str">
        <f t="shared" ca="1" si="15"/>
        <v/>
      </c>
      <c r="O31" s="13" t="str">
        <f t="shared" ca="1" si="14"/>
        <v/>
      </c>
      <c r="P31" s="13" t="str">
        <f t="shared" ca="1" si="14"/>
        <v/>
      </c>
      <c r="Q31" s="13" t="str">
        <f t="shared" ca="1" si="16"/>
        <v/>
      </c>
      <c r="R31" s="13" t="str">
        <f t="shared" ca="1" si="16"/>
        <v/>
      </c>
      <c r="S31" s="13" t="str">
        <f t="shared" ca="1" si="16"/>
        <v/>
      </c>
      <c r="T31" s="13" t="str">
        <f t="shared" ca="1" si="16"/>
        <v/>
      </c>
      <c r="U31" s="13" t="str">
        <f t="shared" ca="1" si="16"/>
        <v/>
      </c>
      <c r="V31" s="13" t="str">
        <f t="shared" ca="1" si="16"/>
        <v/>
      </c>
      <c r="W31" s="13" t="str">
        <f t="shared" ca="1" si="16"/>
        <v/>
      </c>
      <c r="X31" s="13" t="str">
        <f t="shared" ca="1" si="16"/>
        <v/>
      </c>
      <c r="Y31" s="13" t="str">
        <f t="shared" ca="1" si="17"/>
        <v/>
      </c>
      <c r="Z31" s="13" t="str">
        <f t="shared" ca="1" si="17"/>
        <v/>
      </c>
      <c r="AA31" s="13" t="str">
        <f t="shared" ca="1" si="17"/>
        <v/>
      </c>
      <c r="AB31" s="13" t="str">
        <f t="shared" ca="1" si="17"/>
        <v/>
      </c>
      <c r="AC31" s="13" t="str">
        <f t="shared" ca="1" si="17"/>
        <v/>
      </c>
      <c r="AD31" s="13" t="str">
        <f t="shared" ca="1" si="17"/>
        <v/>
      </c>
      <c r="AE31" s="13" t="str">
        <f t="shared" ca="1" si="17"/>
        <v/>
      </c>
      <c r="AF31" s="13" t="str">
        <f t="shared" ca="1" si="17"/>
        <v/>
      </c>
      <c r="AG31" s="13" t="str">
        <f t="shared" ca="1" si="17"/>
        <v/>
      </c>
      <c r="AH31" s="13" t="str">
        <f t="shared" ca="1" si="17"/>
        <v/>
      </c>
      <c r="AI31" s="13" t="str">
        <f t="shared" ca="1" si="17"/>
        <v/>
      </c>
      <c r="AJ31" s="13" t="str">
        <f t="shared" ca="1" si="17"/>
        <v/>
      </c>
      <c r="AK31" s="13" t="str">
        <f t="shared" ca="1" si="17"/>
        <v/>
      </c>
      <c r="AL31" s="13" t="str">
        <f t="shared" ca="1" si="17"/>
        <v/>
      </c>
      <c r="AM31" s="13" t="str">
        <f t="shared" ca="1" si="17"/>
        <v/>
      </c>
      <c r="AN31" s="13" t="str">
        <f t="shared" ca="1" si="17"/>
        <v/>
      </c>
      <c r="AO31" s="13" t="str">
        <f t="shared" ca="1" si="18"/>
        <v/>
      </c>
      <c r="AP31" s="13" t="str">
        <f t="shared" ca="1" si="18"/>
        <v/>
      </c>
      <c r="AQ31" s="13" t="str">
        <f t="shared" ca="1" si="18"/>
        <v/>
      </c>
      <c r="AR31" s="13" t="str">
        <f t="shared" ca="1" si="18"/>
        <v/>
      </c>
      <c r="AS31" s="13" t="str">
        <f t="shared" ca="1" si="18"/>
        <v/>
      </c>
      <c r="AT31" s="13" t="str">
        <f t="shared" ca="1" si="18"/>
        <v/>
      </c>
      <c r="AU31" s="13" t="str">
        <f t="shared" ca="1" si="18"/>
        <v/>
      </c>
      <c r="AV31" s="13" t="str">
        <f t="shared" ca="1" si="18"/>
        <v/>
      </c>
      <c r="AW31" s="13" t="str">
        <f t="shared" ca="1" si="18"/>
        <v/>
      </c>
      <c r="AX31" s="13" t="str">
        <f t="shared" ca="1" si="18"/>
        <v/>
      </c>
      <c r="AY31" s="13" t="str">
        <f t="shared" ca="1" si="18"/>
        <v/>
      </c>
      <c r="AZ31" s="13" t="str">
        <f t="shared" ca="1" si="18"/>
        <v/>
      </c>
      <c r="BA31" s="13" t="str">
        <f t="shared" ca="1" si="18"/>
        <v/>
      </c>
      <c r="BB31" s="13" t="str">
        <f t="shared" ca="1" si="18"/>
        <v/>
      </c>
      <c r="BC31" s="13" t="str">
        <f t="shared" ca="1" si="18"/>
        <v/>
      </c>
      <c r="BD31" s="13" t="str">
        <f t="shared" ca="1" si="18"/>
        <v/>
      </c>
      <c r="BE31" s="13" t="str">
        <f t="shared" ca="1" si="12"/>
        <v/>
      </c>
      <c r="BF31" s="13" t="str">
        <f t="shared" ca="1" si="12"/>
        <v/>
      </c>
      <c r="BG31" s="13" t="str">
        <f t="shared" ca="1" si="12"/>
        <v/>
      </c>
      <c r="BH31" s="13" t="str">
        <f t="shared" ca="1" si="12"/>
        <v/>
      </c>
      <c r="BI31" s="13" t="str">
        <f t="shared" ca="1" si="12"/>
        <v/>
      </c>
      <c r="BJ31" s="13" t="str">
        <f t="shared" ca="1" si="12"/>
        <v/>
      </c>
      <c r="BK31" s="13" t="str">
        <f t="shared" ca="1" si="12"/>
        <v/>
      </c>
      <c r="BL31" s="13" t="str">
        <f t="shared" ca="1" si="12"/>
        <v/>
      </c>
    </row>
    <row r="32" spans="1:68" s="1" customFormat="1" ht="40.15" customHeight="1" x14ac:dyDescent="0.25">
      <c r="A32" s="6"/>
      <c r="B32" s="58" t="s">
        <v>27</v>
      </c>
      <c r="C32" s="16" t="s">
        <v>6</v>
      </c>
      <c r="D32" s="16" t="s">
        <v>22</v>
      </c>
      <c r="E32" s="17">
        <v>0</v>
      </c>
      <c r="F32" s="18">
        <v>46107</v>
      </c>
      <c r="G32" s="19">
        <v>2</v>
      </c>
      <c r="H32" s="16"/>
      <c r="I32" s="13" t="str">
        <f ca="1">IF(AND($C32="Goal",I$3&gt;=$F32,I$3&lt;=$F32+$G32-1),2,IF(AND($C32="Milestone",I$3&gt;=$F32,I$3&lt;=$F32+$G32-1),1,""))</f>
        <v/>
      </c>
      <c r="J32" s="13" t="str">
        <f t="shared" ca="1" si="15"/>
        <v/>
      </c>
      <c r="K32" s="13" t="str">
        <f t="shared" ca="1" si="15"/>
        <v/>
      </c>
      <c r="L32" s="13" t="str">
        <f t="shared" ca="1" si="15"/>
        <v/>
      </c>
      <c r="M32" s="13" t="str">
        <f t="shared" ca="1" si="15"/>
        <v/>
      </c>
      <c r="N32" s="13" t="str">
        <f t="shared" ca="1" si="15"/>
        <v/>
      </c>
      <c r="O32" s="13" t="str">
        <f t="shared" ca="1" si="14"/>
        <v/>
      </c>
      <c r="P32" s="13" t="str">
        <f t="shared" ca="1" si="14"/>
        <v/>
      </c>
      <c r="Q32" s="13" t="str">
        <f t="shared" ca="1" si="16"/>
        <v/>
      </c>
      <c r="R32" s="13" t="str">
        <f t="shared" ca="1" si="16"/>
        <v/>
      </c>
      <c r="S32" s="13" t="str">
        <f t="shared" ca="1" si="16"/>
        <v/>
      </c>
      <c r="T32" s="13" t="str">
        <f t="shared" ca="1" si="16"/>
        <v/>
      </c>
      <c r="U32" s="13" t="str">
        <f t="shared" ca="1" si="16"/>
        <v/>
      </c>
      <c r="V32" s="13" t="str">
        <f t="shared" ca="1" si="16"/>
        <v/>
      </c>
      <c r="W32" s="13" t="str">
        <f t="shared" ca="1" si="16"/>
        <v/>
      </c>
      <c r="X32" s="13" t="str">
        <f t="shared" ca="1" si="16"/>
        <v/>
      </c>
      <c r="Y32" s="13" t="str">
        <f t="shared" ca="1" si="17"/>
        <v/>
      </c>
      <c r="Z32" s="13" t="str">
        <f t="shared" ca="1" si="17"/>
        <v/>
      </c>
      <c r="AA32" s="13" t="str">
        <f t="shared" ca="1" si="17"/>
        <v/>
      </c>
      <c r="AB32" s="13" t="str">
        <f t="shared" ca="1" si="17"/>
        <v/>
      </c>
      <c r="AC32" s="13" t="str">
        <f t="shared" ca="1" si="17"/>
        <v/>
      </c>
      <c r="AD32" s="13" t="str">
        <f t="shared" ca="1" si="17"/>
        <v/>
      </c>
      <c r="AE32" s="13" t="str">
        <f t="shared" ca="1" si="17"/>
        <v/>
      </c>
      <c r="AF32" s="13" t="str">
        <f t="shared" ca="1" si="17"/>
        <v/>
      </c>
      <c r="AG32" s="13" t="str">
        <f t="shared" ca="1" si="17"/>
        <v/>
      </c>
      <c r="AH32" s="13" t="str">
        <f t="shared" ca="1" si="17"/>
        <v/>
      </c>
      <c r="AI32" s="13" t="str">
        <f t="shared" ca="1" si="17"/>
        <v/>
      </c>
      <c r="AJ32" s="13" t="str">
        <f t="shared" ca="1" si="17"/>
        <v/>
      </c>
      <c r="AK32" s="13" t="str">
        <f t="shared" ca="1" si="17"/>
        <v/>
      </c>
      <c r="AL32" s="13" t="str">
        <f t="shared" ca="1" si="17"/>
        <v/>
      </c>
      <c r="AM32" s="13" t="str">
        <f t="shared" ca="1" si="17"/>
        <v/>
      </c>
      <c r="AN32" s="13" t="str">
        <f t="shared" ca="1" si="17"/>
        <v/>
      </c>
      <c r="AO32" s="13" t="str">
        <f t="shared" ca="1" si="18"/>
        <v/>
      </c>
      <c r="AP32" s="13" t="str">
        <f t="shared" ca="1" si="18"/>
        <v/>
      </c>
      <c r="AQ32" s="13" t="str">
        <f t="shared" ca="1" si="18"/>
        <v/>
      </c>
      <c r="AR32" s="13" t="str">
        <f t="shared" ca="1" si="18"/>
        <v/>
      </c>
      <c r="AS32" s="13" t="str">
        <f t="shared" ca="1" si="18"/>
        <v/>
      </c>
      <c r="AT32" s="13" t="str">
        <f t="shared" ca="1" si="18"/>
        <v/>
      </c>
      <c r="AU32" s="13" t="str">
        <f t="shared" ca="1" si="18"/>
        <v/>
      </c>
      <c r="AV32" s="13" t="str">
        <f t="shared" ca="1" si="18"/>
        <v/>
      </c>
      <c r="AW32" s="13" t="str">
        <f t="shared" ca="1" si="18"/>
        <v/>
      </c>
      <c r="AX32" s="13" t="str">
        <f t="shared" ca="1" si="18"/>
        <v/>
      </c>
      <c r="AY32" s="13" t="str">
        <f t="shared" ca="1" si="18"/>
        <v/>
      </c>
      <c r="AZ32" s="13" t="str">
        <f t="shared" ca="1" si="18"/>
        <v/>
      </c>
      <c r="BA32" s="13" t="str">
        <f t="shared" ca="1" si="18"/>
        <v/>
      </c>
      <c r="BB32" s="13" t="str">
        <f t="shared" ca="1" si="18"/>
        <v/>
      </c>
      <c r="BC32" s="13" t="str">
        <f t="shared" ca="1" si="18"/>
        <v/>
      </c>
      <c r="BD32" s="13" t="str">
        <f t="shared" ca="1" si="18"/>
        <v/>
      </c>
      <c r="BE32" s="13" t="str">
        <f t="shared" ref="BE32:BL46" ca="1" si="19">IF(AND($C32="Goal",BE$3&gt;=$F32,BE$3&lt;=$F32+$G32-1),2,IF(AND($C32="Milestone",BE$3&gt;=$F32,BE$3&lt;=$F32+$G32-1),1,""))</f>
        <v/>
      </c>
      <c r="BF32" s="13" t="str">
        <f t="shared" ca="1" si="19"/>
        <v/>
      </c>
      <c r="BG32" s="13" t="str">
        <f t="shared" ca="1" si="19"/>
        <v/>
      </c>
      <c r="BH32" s="13" t="str">
        <f t="shared" ca="1" si="19"/>
        <v/>
      </c>
      <c r="BI32" s="13" t="str">
        <f t="shared" ca="1" si="19"/>
        <v/>
      </c>
      <c r="BJ32" s="13" t="str">
        <f t="shared" ca="1" si="19"/>
        <v/>
      </c>
      <c r="BK32" s="13" t="str">
        <f t="shared" ca="1" si="19"/>
        <v/>
      </c>
      <c r="BL32" s="13" t="str">
        <f t="shared" ca="1" si="19"/>
        <v/>
      </c>
    </row>
    <row r="33" spans="1:64" s="1" customFormat="1" ht="40.15" customHeight="1" x14ac:dyDescent="0.25">
      <c r="A33" s="6"/>
      <c r="B33" s="58" t="s">
        <v>287</v>
      </c>
      <c r="C33" s="16" t="s">
        <v>6</v>
      </c>
      <c r="D33" s="16" t="s">
        <v>25</v>
      </c>
      <c r="E33" s="17">
        <v>0</v>
      </c>
      <c r="F33" s="18">
        <v>46111</v>
      </c>
      <c r="G33" s="19">
        <v>2</v>
      </c>
      <c r="H33" s="16"/>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row>
    <row r="34" spans="1:64" s="1" customFormat="1" ht="40.15" customHeight="1" x14ac:dyDescent="0.25">
      <c r="A34" s="6"/>
      <c r="B34" s="58" t="s">
        <v>289</v>
      </c>
      <c r="C34" s="16" t="s">
        <v>6</v>
      </c>
      <c r="D34" s="16" t="s">
        <v>22</v>
      </c>
      <c r="E34" s="17">
        <v>0</v>
      </c>
      <c r="F34" s="18">
        <v>46112</v>
      </c>
      <c r="G34" s="19">
        <v>2</v>
      </c>
      <c r="H34" s="16"/>
      <c r="I34" s="13" t="str">
        <f t="shared" ref="I34:X46" ca="1" si="20">IF(AND($C34="Goal",I$3&gt;=$F34,I$3&lt;=$F34+$G34-1),2,IF(AND($C34="Milestone",I$3&gt;=$F34,I$3&lt;=$F34+$G34-1),1,""))</f>
        <v/>
      </c>
      <c r="J34" s="13" t="str">
        <f t="shared" ca="1" si="20"/>
        <v/>
      </c>
      <c r="K34" s="13" t="str">
        <f t="shared" ca="1" si="20"/>
        <v/>
      </c>
      <c r="L34" s="13" t="str">
        <f t="shared" ca="1" si="20"/>
        <v/>
      </c>
      <c r="M34" s="13" t="str">
        <f t="shared" ca="1" si="20"/>
        <v/>
      </c>
      <c r="N34" s="13" t="str">
        <f t="shared" ca="1" si="20"/>
        <v/>
      </c>
      <c r="O34" s="13" t="str">
        <f t="shared" ca="1" si="20"/>
        <v/>
      </c>
      <c r="P34" s="13" t="str">
        <f t="shared" ca="1" si="20"/>
        <v/>
      </c>
      <c r="Q34" s="13" t="str">
        <f t="shared" ca="1" si="20"/>
        <v/>
      </c>
      <c r="R34" s="13"/>
      <c r="S34" s="13" t="str">
        <f t="shared" ca="1" si="20"/>
        <v/>
      </c>
      <c r="T34" s="13" t="str">
        <f t="shared" ca="1" si="20"/>
        <v/>
      </c>
      <c r="U34" s="13" t="str">
        <f t="shared" ca="1" si="20"/>
        <v/>
      </c>
      <c r="V34" s="13" t="str">
        <f t="shared" ca="1" si="20"/>
        <v/>
      </c>
      <c r="W34" s="13" t="str">
        <f t="shared" ca="1" si="20"/>
        <v/>
      </c>
      <c r="X34" s="13" t="str">
        <f t="shared" ca="1" si="20"/>
        <v/>
      </c>
      <c r="Y34" s="13" t="str">
        <f t="shared" ca="1" si="17"/>
        <v/>
      </c>
      <c r="Z34" s="13" t="str">
        <f t="shared" ca="1" si="17"/>
        <v/>
      </c>
      <c r="AA34" s="13" t="str">
        <f t="shared" ca="1" si="17"/>
        <v/>
      </c>
      <c r="AB34" s="13" t="str">
        <f t="shared" ca="1" si="17"/>
        <v/>
      </c>
      <c r="AC34" s="13" t="str">
        <f t="shared" ca="1" si="17"/>
        <v/>
      </c>
      <c r="AD34" s="13" t="str">
        <f t="shared" ca="1" si="17"/>
        <v/>
      </c>
      <c r="AE34" s="13" t="str">
        <f t="shared" ca="1" si="17"/>
        <v/>
      </c>
      <c r="AF34" s="13" t="str">
        <f t="shared" ca="1" si="17"/>
        <v/>
      </c>
      <c r="AG34" s="13" t="str">
        <f t="shared" ca="1" si="17"/>
        <v/>
      </c>
      <c r="AH34" s="13" t="str">
        <f t="shared" ca="1" si="17"/>
        <v/>
      </c>
      <c r="AI34" s="13" t="str">
        <f t="shared" ca="1" si="17"/>
        <v/>
      </c>
      <c r="AJ34" s="13" t="str">
        <f t="shared" ca="1" si="17"/>
        <v/>
      </c>
      <c r="AK34" s="13" t="str">
        <f t="shared" ca="1" si="17"/>
        <v/>
      </c>
      <c r="AL34" s="13" t="str">
        <f t="shared" ca="1" si="17"/>
        <v/>
      </c>
      <c r="AM34" s="13" t="str">
        <f t="shared" ca="1" si="17"/>
        <v/>
      </c>
      <c r="AN34" s="13" t="str">
        <f t="shared" ca="1" si="17"/>
        <v/>
      </c>
      <c r="AO34" s="13" t="str">
        <f t="shared" ca="1" si="18"/>
        <v/>
      </c>
      <c r="AP34" s="13" t="str">
        <f t="shared" ca="1" si="18"/>
        <v/>
      </c>
      <c r="AQ34" s="13" t="str">
        <f t="shared" ca="1" si="18"/>
        <v/>
      </c>
      <c r="AR34" s="13" t="str">
        <f t="shared" ca="1" si="18"/>
        <v/>
      </c>
      <c r="AS34" s="13" t="str">
        <f t="shared" ca="1" si="18"/>
        <v/>
      </c>
      <c r="AT34" s="13" t="str">
        <f t="shared" ca="1" si="18"/>
        <v/>
      </c>
      <c r="AU34" s="13" t="str">
        <f t="shared" ca="1" si="18"/>
        <v/>
      </c>
      <c r="AV34" s="13" t="str">
        <f t="shared" ca="1" si="18"/>
        <v/>
      </c>
      <c r="AW34" s="13" t="str">
        <f t="shared" ca="1" si="18"/>
        <v/>
      </c>
      <c r="AX34" s="13" t="str">
        <f t="shared" ca="1" si="18"/>
        <v/>
      </c>
      <c r="AY34" s="13" t="str">
        <f t="shared" ca="1" si="18"/>
        <v/>
      </c>
      <c r="AZ34" s="13" t="str">
        <f t="shared" ca="1" si="18"/>
        <v/>
      </c>
      <c r="BA34" s="13" t="str">
        <f t="shared" ca="1" si="18"/>
        <v/>
      </c>
      <c r="BB34" s="13" t="str">
        <f t="shared" ca="1" si="18"/>
        <v/>
      </c>
      <c r="BC34" s="13" t="str">
        <f t="shared" ca="1" si="18"/>
        <v/>
      </c>
      <c r="BD34" s="13" t="str">
        <f t="shared" ca="1" si="18"/>
        <v/>
      </c>
      <c r="BE34" s="13" t="str">
        <f t="shared" ca="1" si="19"/>
        <v/>
      </c>
      <c r="BF34" s="13" t="str">
        <f t="shared" ca="1" si="19"/>
        <v/>
      </c>
      <c r="BG34" s="13" t="str">
        <f t="shared" ca="1" si="19"/>
        <v/>
      </c>
      <c r="BH34" s="13" t="str">
        <f t="shared" ca="1" si="19"/>
        <v/>
      </c>
      <c r="BI34" s="13" t="str">
        <f t="shared" ca="1" si="19"/>
        <v/>
      </c>
      <c r="BJ34" s="13" t="str">
        <f t="shared" ca="1" si="19"/>
        <v/>
      </c>
      <c r="BK34" s="13" t="str">
        <f t="shared" ca="1" si="19"/>
        <v/>
      </c>
      <c r="BL34" s="13" t="str">
        <f t="shared" ca="1" si="19"/>
        <v/>
      </c>
    </row>
    <row r="35" spans="1:64" s="1" customFormat="1" ht="40.15" customHeight="1" x14ac:dyDescent="0.25">
      <c r="A35" s="7"/>
      <c r="B35" s="58" t="s">
        <v>290</v>
      </c>
      <c r="C35" s="16" t="s">
        <v>6</v>
      </c>
      <c r="D35" s="16" t="s">
        <v>25</v>
      </c>
      <c r="E35" s="17">
        <v>0</v>
      </c>
      <c r="F35" s="18">
        <v>46115</v>
      </c>
      <c r="G35" s="19">
        <v>2</v>
      </c>
      <c r="H35" s="16"/>
      <c r="I35" s="13" t="str">
        <f t="shared" ca="1" si="20"/>
        <v/>
      </c>
      <c r="J35" s="13" t="str">
        <f t="shared" ca="1" si="20"/>
        <v/>
      </c>
      <c r="K35" s="13" t="str">
        <f t="shared" ca="1" si="20"/>
        <v/>
      </c>
      <c r="L35" s="13" t="str">
        <f t="shared" ca="1" si="20"/>
        <v/>
      </c>
      <c r="M35" s="13" t="str">
        <f t="shared" ca="1" si="20"/>
        <v/>
      </c>
      <c r="N35" s="13" t="str">
        <f t="shared" ca="1" si="20"/>
        <v/>
      </c>
      <c r="O35" s="13" t="str">
        <f t="shared" ca="1" si="20"/>
        <v/>
      </c>
      <c r="P35" s="13" t="str">
        <f t="shared" ca="1" si="20"/>
        <v/>
      </c>
      <c r="Q35" s="13" t="str">
        <f t="shared" ca="1" si="20"/>
        <v/>
      </c>
      <c r="R35" s="13" t="str">
        <f t="shared" ca="1" si="20"/>
        <v/>
      </c>
      <c r="S35" s="13" t="str">
        <f t="shared" ca="1" si="20"/>
        <v/>
      </c>
      <c r="T35" s="13" t="str">
        <f t="shared" ca="1" si="20"/>
        <v/>
      </c>
      <c r="U35" s="13" t="str">
        <f t="shared" ca="1" si="20"/>
        <v/>
      </c>
      <c r="V35" s="13" t="str">
        <f t="shared" ca="1" si="20"/>
        <v/>
      </c>
      <c r="W35" s="13" t="str">
        <f t="shared" ca="1" si="20"/>
        <v/>
      </c>
      <c r="X35" s="13" t="str">
        <f t="shared" ca="1" si="20"/>
        <v/>
      </c>
      <c r="Y35" s="13" t="str">
        <f t="shared" ca="1" si="17"/>
        <v/>
      </c>
      <c r="Z35" s="13" t="str">
        <f t="shared" ca="1" si="17"/>
        <v/>
      </c>
      <c r="AA35" s="13" t="str">
        <f t="shared" ca="1" si="17"/>
        <v/>
      </c>
      <c r="AB35" s="13" t="str">
        <f t="shared" ca="1" si="17"/>
        <v/>
      </c>
      <c r="AC35" s="13" t="str">
        <f t="shared" ca="1" si="17"/>
        <v/>
      </c>
      <c r="AD35" s="13" t="str">
        <f t="shared" ca="1" si="17"/>
        <v/>
      </c>
      <c r="AE35" s="13" t="str">
        <f t="shared" ca="1" si="17"/>
        <v/>
      </c>
      <c r="AF35" s="13" t="str">
        <f t="shared" ca="1" si="17"/>
        <v/>
      </c>
      <c r="AG35" s="13" t="str">
        <f t="shared" ca="1" si="17"/>
        <v/>
      </c>
      <c r="AH35" s="13" t="str">
        <f t="shared" ca="1" si="17"/>
        <v/>
      </c>
      <c r="AI35" s="13" t="str">
        <f t="shared" ca="1" si="17"/>
        <v/>
      </c>
      <c r="AJ35" s="13" t="str">
        <f t="shared" ca="1" si="17"/>
        <v/>
      </c>
      <c r="AK35" s="13" t="str">
        <f t="shared" ca="1" si="17"/>
        <v/>
      </c>
      <c r="AL35" s="13" t="str">
        <f t="shared" ca="1" si="17"/>
        <v/>
      </c>
      <c r="AM35" s="13" t="str">
        <f t="shared" ca="1" si="17"/>
        <v/>
      </c>
      <c r="AN35" s="13" t="str">
        <f t="shared" ca="1" si="17"/>
        <v/>
      </c>
      <c r="AO35" s="13" t="str">
        <f t="shared" ca="1" si="18"/>
        <v/>
      </c>
      <c r="AP35" s="13" t="str">
        <f t="shared" ca="1" si="18"/>
        <v/>
      </c>
      <c r="AQ35" s="13" t="str">
        <f t="shared" ca="1" si="18"/>
        <v/>
      </c>
      <c r="AR35" s="13" t="str">
        <f t="shared" ca="1" si="18"/>
        <v/>
      </c>
      <c r="AS35" s="13" t="str">
        <f t="shared" ca="1" si="18"/>
        <v/>
      </c>
      <c r="AT35" s="13" t="str">
        <f t="shared" ca="1" si="18"/>
        <v/>
      </c>
      <c r="AU35" s="13" t="str">
        <f t="shared" ca="1" si="18"/>
        <v/>
      </c>
      <c r="AV35" s="13" t="str">
        <f t="shared" ca="1" si="18"/>
        <v/>
      </c>
      <c r="AW35" s="13" t="str">
        <f t="shared" ca="1" si="18"/>
        <v/>
      </c>
      <c r="AX35" s="13" t="str">
        <f t="shared" ca="1" si="18"/>
        <v/>
      </c>
      <c r="AY35" s="13" t="str">
        <f t="shared" ca="1" si="18"/>
        <v/>
      </c>
      <c r="AZ35" s="13" t="str">
        <f t="shared" ca="1" si="18"/>
        <v/>
      </c>
      <c r="BA35" s="13" t="str">
        <f t="shared" ca="1" si="18"/>
        <v/>
      </c>
      <c r="BB35" s="13" t="str">
        <f t="shared" ca="1" si="18"/>
        <v/>
      </c>
      <c r="BC35" s="13" t="str">
        <f t="shared" ca="1" si="18"/>
        <v/>
      </c>
      <c r="BD35" s="13" t="str">
        <f t="shared" ca="1" si="18"/>
        <v/>
      </c>
      <c r="BE35" s="13" t="str">
        <f t="shared" ca="1" si="19"/>
        <v/>
      </c>
      <c r="BF35" s="13" t="str">
        <f t="shared" ca="1" si="19"/>
        <v/>
      </c>
      <c r="BG35" s="13" t="str">
        <f t="shared" ca="1" si="19"/>
        <v/>
      </c>
      <c r="BH35" s="13" t="str">
        <f t="shared" ca="1" si="19"/>
        <v/>
      </c>
      <c r="BI35" s="13" t="str">
        <f t="shared" ca="1" si="19"/>
        <v/>
      </c>
      <c r="BJ35" s="13" t="str">
        <f t="shared" ca="1" si="19"/>
        <v/>
      </c>
      <c r="BK35" s="13" t="str">
        <f t="shared" ca="1" si="19"/>
        <v/>
      </c>
      <c r="BL35" s="13" t="str">
        <f t="shared" ca="1" si="19"/>
        <v/>
      </c>
    </row>
    <row r="36" spans="1:64" s="1" customFormat="1" ht="40.15" customHeight="1" x14ac:dyDescent="0.25">
      <c r="A36" s="6"/>
      <c r="B36" s="58" t="s">
        <v>291</v>
      </c>
      <c r="C36" s="16" t="s">
        <v>6</v>
      </c>
      <c r="D36" s="16" t="s">
        <v>25</v>
      </c>
      <c r="E36" s="17">
        <v>0</v>
      </c>
      <c r="F36" s="18">
        <v>46118</v>
      </c>
      <c r="G36" s="19">
        <v>1</v>
      </c>
      <c r="H36" s="16"/>
      <c r="I36" s="13" t="str">
        <f t="shared" ca="1" si="20"/>
        <v/>
      </c>
      <c r="J36" s="13" t="str">
        <f t="shared" ca="1" si="20"/>
        <v/>
      </c>
      <c r="K36" s="13" t="str">
        <f t="shared" ca="1" si="20"/>
        <v/>
      </c>
      <c r="L36" s="13" t="str">
        <f t="shared" ca="1" si="20"/>
        <v/>
      </c>
      <c r="M36" s="13" t="str">
        <f t="shared" ca="1" si="20"/>
        <v/>
      </c>
      <c r="N36" s="13" t="str">
        <f t="shared" ca="1" si="20"/>
        <v/>
      </c>
      <c r="O36" s="13" t="str">
        <f t="shared" ca="1" si="20"/>
        <v/>
      </c>
      <c r="P36" s="13" t="str">
        <f t="shared" ca="1" si="20"/>
        <v/>
      </c>
      <c r="Q36" s="13" t="str">
        <f t="shared" ca="1" si="20"/>
        <v/>
      </c>
      <c r="R36" s="13" t="str">
        <f t="shared" ca="1" si="20"/>
        <v/>
      </c>
      <c r="S36" s="13" t="str">
        <f t="shared" ca="1" si="20"/>
        <v/>
      </c>
      <c r="T36" s="13" t="str">
        <f t="shared" ca="1" si="20"/>
        <v/>
      </c>
      <c r="U36" s="13" t="str">
        <f t="shared" ca="1" si="20"/>
        <v/>
      </c>
      <c r="V36" s="13" t="str">
        <f t="shared" ca="1" si="20"/>
        <v/>
      </c>
      <c r="W36" s="13" t="str">
        <f t="shared" ca="1" si="20"/>
        <v/>
      </c>
      <c r="X36" s="13" t="str">
        <f t="shared" ca="1" si="20"/>
        <v/>
      </c>
      <c r="Y36" s="13" t="str">
        <f t="shared" ca="1" si="17"/>
        <v/>
      </c>
      <c r="Z36" s="13" t="str">
        <f t="shared" ca="1" si="17"/>
        <v/>
      </c>
      <c r="AA36" s="13" t="str">
        <f t="shared" ca="1" si="17"/>
        <v/>
      </c>
      <c r="AB36" s="13" t="str">
        <f t="shared" ca="1" si="17"/>
        <v/>
      </c>
      <c r="AC36" s="13" t="str">
        <f t="shared" ca="1" si="17"/>
        <v/>
      </c>
      <c r="AD36" s="13" t="str">
        <f t="shared" ca="1" si="17"/>
        <v/>
      </c>
      <c r="AE36" s="13" t="str">
        <f t="shared" ca="1" si="17"/>
        <v/>
      </c>
      <c r="AF36" s="13" t="str">
        <f t="shared" ca="1" si="17"/>
        <v/>
      </c>
      <c r="AG36" s="13" t="str">
        <f t="shared" ca="1" si="17"/>
        <v/>
      </c>
      <c r="AH36" s="13" t="str">
        <f t="shared" ca="1" si="17"/>
        <v/>
      </c>
      <c r="AI36" s="13" t="str">
        <f t="shared" ca="1" si="17"/>
        <v/>
      </c>
      <c r="AJ36" s="13" t="str">
        <f t="shared" ca="1" si="17"/>
        <v/>
      </c>
      <c r="AK36" s="13" t="str">
        <f t="shared" ca="1" si="17"/>
        <v/>
      </c>
      <c r="AL36" s="13" t="str">
        <f t="shared" ca="1" si="17"/>
        <v/>
      </c>
      <c r="AM36" s="13" t="str">
        <f t="shared" ca="1" si="17"/>
        <v/>
      </c>
      <c r="AN36" s="13" t="str">
        <f t="shared" ca="1" si="17"/>
        <v/>
      </c>
      <c r="AO36" s="13" t="str">
        <f t="shared" ca="1" si="18"/>
        <v/>
      </c>
      <c r="AP36" s="13" t="str">
        <f t="shared" ca="1" si="18"/>
        <v/>
      </c>
      <c r="AQ36" s="13" t="str">
        <f t="shared" ca="1" si="18"/>
        <v/>
      </c>
      <c r="AR36" s="13" t="str">
        <f t="shared" ca="1" si="18"/>
        <v/>
      </c>
      <c r="AS36" s="13" t="str">
        <f t="shared" ca="1" si="18"/>
        <v/>
      </c>
      <c r="AT36" s="13" t="str">
        <f t="shared" ca="1" si="18"/>
        <v/>
      </c>
      <c r="AU36" s="13" t="str">
        <f t="shared" ca="1" si="18"/>
        <v/>
      </c>
      <c r="AV36" s="13" t="str">
        <f t="shared" ca="1" si="18"/>
        <v/>
      </c>
      <c r="AW36" s="13" t="str">
        <f t="shared" ca="1" si="18"/>
        <v/>
      </c>
      <c r="AX36" s="13" t="str">
        <f t="shared" ca="1" si="18"/>
        <v/>
      </c>
      <c r="AY36" s="13" t="str">
        <f t="shared" ca="1" si="18"/>
        <v/>
      </c>
      <c r="AZ36" s="13" t="str">
        <f t="shared" ca="1" si="18"/>
        <v/>
      </c>
      <c r="BA36" s="13" t="str">
        <f t="shared" ca="1" si="18"/>
        <v/>
      </c>
      <c r="BB36" s="13" t="str">
        <f t="shared" ca="1" si="18"/>
        <v/>
      </c>
      <c r="BC36" s="13" t="str">
        <f t="shared" ca="1" si="18"/>
        <v/>
      </c>
      <c r="BD36" s="13" t="str">
        <f t="shared" ca="1" si="18"/>
        <v/>
      </c>
      <c r="BE36" s="13" t="str">
        <f t="shared" ca="1" si="19"/>
        <v/>
      </c>
      <c r="BF36" s="13" t="str">
        <f t="shared" ca="1" si="19"/>
        <v/>
      </c>
      <c r="BG36" s="13" t="str">
        <f t="shared" ca="1" si="19"/>
        <v/>
      </c>
      <c r="BH36" s="13" t="str">
        <f t="shared" ca="1" si="19"/>
        <v/>
      </c>
      <c r="BI36" s="13" t="str">
        <f t="shared" ca="1" si="19"/>
        <v/>
      </c>
      <c r="BJ36" s="13" t="str">
        <f t="shared" ca="1" si="19"/>
        <v/>
      </c>
      <c r="BK36" s="13" t="str">
        <f t="shared" ca="1" si="19"/>
        <v/>
      </c>
      <c r="BL36" s="13" t="str">
        <f t="shared" ca="1" si="19"/>
        <v/>
      </c>
    </row>
    <row r="37" spans="1:64" s="1" customFormat="1" ht="40.15" customHeight="1" x14ac:dyDescent="0.25">
      <c r="A37" s="6"/>
      <c r="B37" s="58" t="s">
        <v>292</v>
      </c>
      <c r="C37" s="16" t="s">
        <v>6</v>
      </c>
      <c r="D37" s="16" t="s">
        <v>25</v>
      </c>
      <c r="E37" s="17">
        <f>16/32</f>
        <v>0.5</v>
      </c>
      <c r="F37" s="18">
        <v>46119</v>
      </c>
      <c r="G37" s="19">
        <v>1</v>
      </c>
      <c r="H37" s="16"/>
      <c r="I37" s="13" t="str">
        <f t="shared" ca="1" si="20"/>
        <v/>
      </c>
      <c r="J37" s="13" t="str">
        <f t="shared" ca="1" si="20"/>
        <v/>
      </c>
      <c r="K37" s="13" t="str">
        <f t="shared" ca="1" si="20"/>
        <v/>
      </c>
      <c r="L37" s="13" t="str">
        <f t="shared" ca="1" si="20"/>
        <v/>
      </c>
      <c r="M37" s="13" t="str">
        <f t="shared" ca="1" si="20"/>
        <v/>
      </c>
      <c r="N37" s="13" t="str">
        <f t="shared" ca="1" si="20"/>
        <v/>
      </c>
      <c r="O37" s="13" t="str">
        <f t="shared" ca="1" si="20"/>
        <v/>
      </c>
      <c r="P37" s="13" t="str">
        <f t="shared" ca="1" si="20"/>
        <v/>
      </c>
      <c r="Q37" s="13" t="str">
        <f t="shared" ca="1" si="20"/>
        <v/>
      </c>
      <c r="R37" s="13" t="str">
        <f t="shared" ca="1" si="20"/>
        <v/>
      </c>
      <c r="S37" s="13" t="str">
        <f t="shared" ca="1" si="20"/>
        <v/>
      </c>
      <c r="T37" s="13" t="str">
        <f t="shared" ca="1" si="20"/>
        <v/>
      </c>
      <c r="U37" s="13" t="str">
        <f t="shared" ca="1" si="20"/>
        <v/>
      </c>
      <c r="V37" s="13" t="str">
        <f t="shared" ca="1" si="20"/>
        <v/>
      </c>
      <c r="W37" s="13" t="str">
        <f t="shared" ca="1" si="20"/>
        <v/>
      </c>
      <c r="X37" s="13" t="str">
        <f t="shared" ca="1" si="20"/>
        <v/>
      </c>
      <c r="Y37" s="13" t="str">
        <f t="shared" ca="1" si="17"/>
        <v/>
      </c>
      <c r="Z37" s="13" t="str">
        <f t="shared" ca="1" si="17"/>
        <v/>
      </c>
      <c r="AA37" s="13" t="str">
        <f t="shared" ca="1" si="17"/>
        <v/>
      </c>
      <c r="AB37" s="13" t="str">
        <f t="shared" ca="1" si="17"/>
        <v/>
      </c>
      <c r="AC37" s="13" t="str">
        <f t="shared" ca="1" si="17"/>
        <v/>
      </c>
      <c r="AD37" s="13" t="str">
        <f t="shared" ca="1" si="17"/>
        <v/>
      </c>
      <c r="AE37" s="13" t="str">
        <f t="shared" ca="1" si="17"/>
        <v/>
      </c>
      <c r="AF37" s="13" t="str">
        <f t="shared" ca="1" si="17"/>
        <v/>
      </c>
      <c r="AG37" s="13" t="str">
        <f t="shared" ca="1" si="17"/>
        <v/>
      </c>
      <c r="AH37" s="13" t="str">
        <f t="shared" ca="1" si="17"/>
        <v/>
      </c>
      <c r="AI37" s="13" t="str">
        <f t="shared" ca="1" si="17"/>
        <v/>
      </c>
      <c r="AJ37" s="13" t="str">
        <f t="shared" ca="1" si="17"/>
        <v/>
      </c>
      <c r="AK37" s="13" t="str">
        <f t="shared" ca="1" si="17"/>
        <v/>
      </c>
      <c r="AL37" s="13" t="str">
        <f t="shared" ca="1" si="17"/>
        <v/>
      </c>
      <c r="AM37" s="13" t="str">
        <f t="shared" ca="1" si="17"/>
        <v/>
      </c>
      <c r="AN37" s="13" t="str">
        <f t="shared" ca="1" si="17"/>
        <v/>
      </c>
      <c r="AO37" s="13" t="str">
        <f t="shared" ca="1" si="18"/>
        <v/>
      </c>
      <c r="AP37" s="13" t="str">
        <f t="shared" ca="1" si="18"/>
        <v/>
      </c>
      <c r="AQ37" s="13" t="str">
        <f t="shared" ca="1" si="18"/>
        <v/>
      </c>
      <c r="AR37" s="13" t="str">
        <f t="shared" ca="1" si="18"/>
        <v/>
      </c>
      <c r="AS37" s="13" t="str">
        <f t="shared" ca="1" si="18"/>
        <v/>
      </c>
      <c r="AT37" s="13" t="str">
        <f t="shared" ca="1" si="18"/>
        <v/>
      </c>
      <c r="AU37" s="13" t="str">
        <f t="shared" ca="1" si="18"/>
        <v/>
      </c>
      <c r="AV37" s="13" t="str">
        <f t="shared" ca="1" si="18"/>
        <v/>
      </c>
      <c r="AW37" s="13" t="str">
        <f t="shared" ca="1" si="18"/>
        <v/>
      </c>
      <c r="AX37" s="13" t="str">
        <f t="shared" ca="1" si="18"/>
        <v/>
      </c>
      <c r="AY37" s="13" t="str">
        <f t="shared" ca="1" si="18"/>
        <v/>
      </c>
      <c r="AZ37" s="13" t="str">
        <f t="shared" ca="1" si="18"/>
        <v/>
      </c>
      <c r="BA37" s="13" t="str">
        <f t="shared" ca="1" si="18"/>
        <v/>
      </c>
      <c r="BB37" s="13" t="str">
        <f t="shared" ca="1" si="18"/>
        <v/>
      </c>
      <c r="BC37" s="13" t="str">
        <f t="shared" ca="1" si="18"/>
        <v/>
      </c>
      <c r="BD37" s="13" t="str">
        <f t="shared" ca="1" si="18"/>
        <v/>
      </c>
      <c r="BE37" s="13" t="str">
        <f t="shared" ca="1" si="19"/>
        <v/>
      </c>
      <c r="BF37" s="13" t="str">
        <f t="shared" ca="1" si="19"/>
        <v/>
      </c>
      <c r="BG37" s="13" t="str">
        <f t="shared" ca="1" si="19"/>
        <v/>
      </c>
      <c r="BH37" s="13" t="str">
        <f t="shared" ca="1" si="19"/>
        <v/>
      </c>
      <c r="BI37" s="13" t="str">
        <f t="shared" ca="1" si="19"/>
        <v/>
      </c>
      <c r="BJ37" s="13" t="str">
        <f t="shared" ca="1" si="19"/>
        <v/>
      </c>
      <c r="BK37" s="13" t="str">
        <f t="shared" ca="1" si="19"/>
        <v/>
      </c>
      <c r="BL37" s="13" t="str">
        <f t="shared" ca="1" si="19"/>
        <v/>
      </c>
    </row>
    <row r="38" spans="1:64" s="1" customFormat="1" ht="40.15" customHeight="1" x14ac:dyDescent="0.25">
      <c r="A38" s="6"/>
      <c r="B38" s="58" t="s">
        <v>29</v>
      </c>
      <c r="C38" s="16" t="s">
        <v>6</v>
      </c>
      <c r="D38" s="16" t="s">
        <v>25</v>
      </c>
      <c r="E38" s="17">
        <v>0</v>
      </c>
      <c r="F38" s="18">
        <v>46120</v>
      </c>
      <c r="G38" s="19">
        <v>2</v>
      </c>
      <c r="H38" s="16"/>
      <c r="I38" s="13" t="str">
        <f t="shared" ca="1" si="20"/>
        <v/>
      </c>
      <c r="J38" s="13" t="str">
        <f t="shared" ca="1" si="20"/>
        <v/>
      </c>
      <c r="K38" s="13" t="str">
        <f t="shared" ca="1" si="20"/>
        <v/>
      </c>
      <c r="L38" s="13" t="str">
        <f t="shared" ca="1" si="20"/>
        <v/>
      </c>
      <c r="M38" s="13" t="str">
        <f t="shared" ca="1" si="20"/>
        <v/>
      </c>
      <c r="N38" s="13" t="str">
        <f t="shared" ca="1" si="20"/>
        <v/>
      </c>
      <c r="O38" s="13" t="str">
        <f t="shared" ca="1" si="20"/>
        <v/>
      </c>
      <c r="P38" s="13" t="str">
        <f t="shared" ca="1" si="20"/>
        <v/>
      </c>
      <c r="Q38" s="13" t="str">
        <f t="shared" ca="1" si="20"/>
        <v/>
      </c>
      <c r="R38" s="13" t="str">
        <f t="shared" ca="1" si="20"/>
        <v/>
      </c>
      <c r="S38" s="13" t="str">
        <f t="shared" ca="1" si="20"/>
        <v/>
      </c>
      <c r="T38" s="13" t="str">
        <f t="shared" ca="1" si="20"/>
        <v/>
      </c>
      <c r="U38" s="13" t="str">
        <f t="shared" ca="1" si="20"/>
        <v/>
      </c>
      <c r="V38" s="13" t="str">
        <f t="shared" ca="1" si="20"/>
        <v/>
      </c>
      <c r="W38" s="13" t="str">
        <f t="shared" ca="1" si="20"/>
        <v/>
      </c>
      <c r="X38" s="13" t="str">
        <f t="shared" ca="1" si="20"/>
        <v/>
      </c>
      <c r="Y38" s="13" t="str">
        <f t="shared" ca="1" si="17"/>
        <v/>
      </c>
      <c r="Z38" s="13" t="str">
        <f t="shared" ca="1" si="17"/>
        <v/>
      </c>
      <c r="AA38" s="13" t="str">
        <f t="shared" ca="1" si="17"/>
        <v/>
      </c>
      <c r="AB38" s="13" t="str">
        <f t="shared" ca="1" si="17"/>
        <v/>
      </c>
      <c r="AC38" s="13" t="str">
        <f t="shared" ca="1" si="17"/>
        <v/>
      </c>
      <c r="AD38" s="13" t="str">
        <f t="shared" ca="1" si="17"/>
        <v/>
      </c>
      <c r="AE38" s="13" t="str">
        <f t="shared" ca="1" si="17"/>
        <v/>
      </c>
      <c r="AF38" s="13" t="str">
        <f t="shared" ca="1" si="17"/>
        <v/>
      </c>
      <c r="AG38" s="13" t="str">
        <f t="shared" ca="1" si="17"/>
        <v/>
      </c>
      <c r="AH38" s="13" t="str">
        <f t="shared" ca="1" si="17"/>
        <v/>
      </c>
      <c r="AI38" s="13" t="str">
        <f t="shared" ca="1" si="17"/>
        <v/>
      </c>
      <c r="AJ38" s="13" t="str">
        <f t="shared" ca="1" si="17"/>
        <v/>
      </c>
      <c r="AK38" s="13" t="str">
        <f t="shared" ca="1" si="17"/>
        <v/>
      </c>
      <c r="AL38" s="13" t="str">
        <f t="shared" ca="1" si="17"/>
        <v/>
      </c>
      <c r="AM38" s="13" t="str">
        <f t="shared" ca="1" si="17"/>
        <v/>
      </c>
      <c r="AN38" s="13" t="str">
        <f t="shared" ca="1" si="17"/>
        <v/>
      </c>
      <c r="AO38" s="13" t="str">
        <f t="shared" ca="1" si="18"/>
        <v/>
      </c>
      <c r="AP38" s="13" t="str">
        <f t="shared" ca="1" si="18"/>
        <v/>
      </c>
      <c r="AQ38" s="13" t="str">
        <f t="shared" ca="1" si="18"/>
        <v/>
      </c>
      <c r="AR38" s="13" t="str">
        <f t="shared" ca="1" si="18"/>
        <v/>
      </c>
      <c r="AS38" s="13" t="str">
        <f t="shared" ca="1" si="18"/>
        <v/>
      </c>
      <c r="AT38" s="13" t="str">
        <f t="shared" ca="1" si="18"/>
        <v/>
      </c>
      <c r="AU38" s="13" t="str">
        <f t="shared" ca="1" si="18"/>
        <v/>
      </c>
      <c r="AV38" s="13" t="str">
        <f t="shared" ca="1" si="18"/>
        <v/>
      </c>
      <c r="AW38" s="13" t="str">
        <f t="shared" ca="1" si="18"/>
        <v/>
      </c>
      <c r="AX38" s="13" t="str">
        <f t="shared" ca="1" si="18"/>
        <v/>
      </c>
      <c r="AY38" s="13" t="str">
        <f t="shared" ca="1" si="18"/>
        <v/>
      </c>
      <c r="AZ38" s="13" t="str">
        <f t="shared" ca="1" si="18"/>
        <v/>
      </c>
      <c r="BA38" s="13" t="str">
        <f t="shared" ca="1" si="18"/>
        <v/>
      </c>
      <c r="BB38" s="13" t="str">
        <f t="shared" ca="1" si="18"/>
        <v/>
      </c>
      <c r="BC38" s="13" t="str">
        <f t="shared" ca="1" si="18"/>
        <v/>
      </c>
      <c r="BD38" s="13" t="str">
        <f t="shared" ca="1" si="18"/>
        <v/>
      </c>
      <c r="BE38" s="13" t="str">
        <f t="shared" ca="1" si="19"/>
        <v/>
      </c>
      <c r="BF38" s="13" t="str">
        <f t="shared" ca="1" si="19"/>
        <v/>
      </c>
      <c r="BG38" s="13" t="str">
        <f t="shared" ca="1" si="19"/>
        <v/>
      </c>
      <c r="BH38" s="13" t="str">
        <f t="shared" ca="1" si="19"/>
        <v/>
      </c>
      <c r="BI38" s="13" t="str">
        <f t="shared" ca="1" si="19"/>
        <v/>
      </c>
      <c r="BJ38" s="13" t="str">
        <f t="shared" ca="1" si="19"/>
        <v/>
      </c>
      <c r="BK38" s="13" t="str">
        <f t="shared" ca="1" si="19"/>
        <v/>
      </c>
      <c r="BL38" s="13" t="str">
        <f t="shared" ca="1" si="19"/>
        <v/>
      </c>
    </row>
    <row r="39" spans="1:64" s="1" customFormat="1" ht="40.15" customHeight="1" x14ac:dyDescent="0.25">
      <c r="A39" s="6"/>
      <c r="B39" s="58" t="s">
        <v>30</v>
      </c>
      <c r="C39" s="16" t="s">
        <v>6</v>
      </c>
      <c r="D39" s="16" t="s">
        <v>25</v>
      </c>
      <c r="E39" s="17">
        <v>0</v>
      </c>
      <c r="F39" s="18">
        <v>46125</v>
      </c>
      <c r="G39" s="19">
        <v>3</v>
      </c>
      <c r="H39" s="16"/>
      <c r="I39" s="13" t="str">
        <f t="shared" ca="1" si="20"/>
        <v/>
      </c>
      <c r="J39" s="13" t="str">
        <f t="shared" ca="1" si="20"/>
        <v/>
      </c>
      <c r="K39" s="13" t="str">
        <f ca="1">IF(AND($C39="Goal",K$3&gt;=$F39,K$3&lt;=$F39+$G39-1),2,IF(AND($C39="Milestone",K$3&gt;=$F39,K$3&lt;=$F39+$G39-1),1,""))</f>
        <v/>
      </c>
      <c r="L39" s="13" t="str">
        <f t="shared" ca="1" si="20"/>
        <v/>
      </c>
      <c r="M39" s="13" t="str">
        <f t="shared" ca="1" si="20"/>
        <v/>
      </c>
      <c r="N39" s="13" t="str">
        <f t="shared" ca="1" si="20"/>
        <v/>
      </c>
      <c r="O39" s="13" t="str">
        <f t="shared" ca="1" si="20"/>
        <v/>
      </c>
      <c r="P39" s="13" t="str">
        <f t="shared" ca="1" si="20"/>
        <v/>
      </c>
      <c r="Q39" s="13" t="str">
        <f t="shared" ca="1" si="20"/>
        <v/>
      </c>
      <c r="R39" s="13" t="str">
        <f t="shared" ca="1" si="20"/>
        <v/>
      </c>
      <c r="S39" s="13" t="str">
        <f t="shared" ca="1" si="20"/>
        <v/>
      </c>
      <c r="T39" s="13" t="str">
        <f t="shared" ca="1" si="20"/>
        <v/>
      </c>
      <c r="U39" s="13" t="str">
        <f t="shared" ca="1" si="20"/>
        <v/>
      </c>
      <c r="V39" s="13" t="str">
        <f t="shared" ca="1" si="20"/>
        <v/>
      </c>
      <c r="W39" s="13" t="str">
        <f t="shared" ca="1" si="20"/>
        <v/>
      </c>
      <c r="X39" s="13" t="str">
        <f t="shared" ca="1" si="20"/>
        <v/>
      </c>
      <c r="Y39" s="13" t="str">
        <f t="shared" ca="1" si="17"/>
        <v/>
      </c>
      <c r="Z39" s="13" t="str">
        <f t="shared" ca="1" si="17"/>
        <v/>
      </c>
      <c r="AA39" s="13" t="str">
        <f t="shared" ca="1" si="17"/>
        <v/>
      </c>
      <c r="AB39" s="13" t="str">
        <f t="shared" ca="1" si="17"/>
        <v/>
      </c>
      <c r="AC39" s="13" t="str">
        <f t="shared" ca="1" si="17"/>
        <v/>
      </c>
      <c r="AD39" s="13" t="str">
        <f t="shared" ca="1" si="17"/>
        <v/>
      </c>
      <c r="AE39" s="13" t="str">
        <f t="shared" ca="1" si="17"/>
        <v/>
      </c>
      <c r="AF39" s="13" t="str">
        <f t="shared" ca="1" si="17"/>
        <v/>
      </c>
      <c r="AG39" s="13" t="str">
        <f t="shared" ca="1" si="17"/>
        <v/>
      </c>
      <c r="AH39" s="13" t="str">
        <f t="shared" ca="1" si="17"/>
        <v/>
      </c>
      <c r="AI39" s="13" t="str">
        <f t="shared" ca="1" si="17"/>
        <v/>
      </c>
      <c r="AJ39" s="13" t="str">
        <f t="shared" ca="1" si="17"/>
        <v/>
      </c>
      <c r="AK39" s="13" t="str">
        <f t="shared" ca="1" si="17"/>
        <v/>
      </c>
      <c r="AL39" s="13" t="str">
        <f t="shared" ca="1" si="17"/>
        <v/>
      </c>
      <c r="AM39" s="13" t="str">
        <f t="shared" ca="1" si="17"/>
        <v/>
      </c>
      <c r="AN39" s="13" t="str">
        <f t="shared" ca="1" si="17"/>
        <v/>
      </c>
      <c r="AO39" s="13" t="str">
        <f t="shared" ca="1" si="18"/>
        <v/>
      </c>
      <c r="AP39" s="13" t="str">
        <f t="shared" ca="1" si="18"/>
        <v/>
      </c>
      <c r="AQ39" s="13" t="str">
        <f t="shared" ca="1" si="18"/>
        <v/>
      </c>
      <c r="AR39" s="13" t="str">
        <f t="shared" ca="1" si="18"/>
        <v/>
      </c>
      <c r="AS39" s="13" t="str">
        <f t="shared" ca="1" si="18"/>
        <v/>
      </c>
      <c r="AT39" s="13" t="str">
        <f t="shared" ca="1" si="18"/>
        <v/>
      </c>
      <c r="AU39" s="13" t="str">
        <f t="shared" ca="1" si="18"/>
        <v/>
      </c>
      <c r="AV39" s="13" t="str">
        <f t="shared" ca="1" si="18"/>
        <v/>
      </c>
      <c r="AW39" s="13" t="str">
        <f t="shared" ca="1" si="18"/>
        <v/>
      </c>
      <c r="AX39" s="13" t="str">
        <f t="shared" ca="1" si="18"/>
        <v/>
      </c>
      <c r="AY39" s="13" t="str">
        <f t="shared" ca="1" si="18"/>
        <v/>
      </c>
      <c r="AZ39" s="13" t="str">
        <f t="shared" ca="1" si="18"/>
        <v/>
      </c>
      <c r="BA39" s="13" t="str">
        <f t="shared" ca="1" si="18"/>
        <v/>
      </c>
      <c r="BB39" s="13" t="str">
        <f t="shared" ca="1" si="18"/>
        <v/>
      </c>
      <c r="BC39" s="13" t="str">
        <f t="shared" ca="1" si="18"/>
        <v/>
      </c>
      <c r="BD39" s="13" t="str">
        <f t="shared" ca="1" si="18"/>
        <v/>
      </c>
      <c r="BE39" s="13" t="str">
        <f t="shared" ca="1" si="19"/>
        <v/>
      </c>
      <c r="BF39" s="13" t="str">
        <f t="shared" ca="1" si="19"/>
        <v/>
      </c>
      <c r="BG39" s="13" t="str">
        <f t="shared" ca="1" si="19"/>
        <v/>
      </c>
      <c r="BH39" s="13" t="str">
        <f t="shared" ca="1" si="19"/>
        <v/>
      </c>
      <c r="BI39" s="13" t="str">
        <f t="shared" ca="1" si="19"/>
        <v/>
      </c>
      <c r="BJ39" s="13" t="str">
        <f t="shared" ca="1" si="19"/>
        <v/>
      </c>
      <c r="BK39" s="13" t="str">
        <f t="shared" ca="1" si="19"/>
        <v/>
      </c>
      <c r="BL39" s="13" t="str">
        <f t="shared" ca="1" si="19"/>
        <v/>
      </c>
    </row>
    <row r="40" spans="1:64" s="1" customFormat="1" ht="40.15" customHeight="1" x14ac:dyDescent="0.25">
      <c r="A40" s="6"/>
      <c r="B40" s="12" t="s">
        <v>281</v>
      </c>
      <c r="C40" s="16" t="s">
        <v>6</v>
      </c>
      <c r="D40" s="16" t="s">
        <v>25</v>
      </c>
      <c r="E40" s="17">
        <v>0</v>
      </c>
      <c r="F40" s="18">
        <v>46127</v>
      </c>
      <c r="G40" s="19">
        <v>3</v>
      </c>
      <c r="H40" s="16"/>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row>
    <row r="41" spans="1:64" s="1" customFormat="1" ht="40.15" customHeight="1" x14ac:dyDescent="0.25">
      <c r="A41" s="6"/>
      <c r="B41" s="12" t="s">
        <v>31</v>
      </c>
      <c r="C41" s="16" t="s">
        <v>6</v>
      </c>
      <c r="D41" s="16" t="s">
        <v>25</v>
      </c>
      <c r="E41" s="17">
        <v>0</v>
      </c>
      <c r="F41" s="18">
        <v>46132</v>
      </c>
      <c r="G41" s="19">
        <v>3</v>
      </c>
      <c r="H41" s="16"/>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row>
    <row r="42" spans="1:64" s="1" customFormat="1" ht="40.15" customHeight="1" x14ac:dyDescent="0.25">
      <c r="A42" s="6"/>
      <c r="B42" s="12" t="s">
        <v>282</v>
      </c>
      <c r="C42" s="16" t="s">
        <v>5</v>
      </c>
      <c r="D42" s="16" t="s">
        <v>283</v>
      </c>
      <c r="E42" s="17">
        <v>0</v>
      </c>
      <c r="F42" s="18">
        <v>46119</v>
      </c>
      <c r="G42" s="19">
        <v>1</v>
      </c>
      <c r="H42" s="16"/>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row>
    <row r="43" spans="1:64" s="1" customFormat="1" ht="40.15" customHeight="1" x14ac:dyDescent="0.25">
      <c r="A43" s="6"/>
      <c r="B43" s="12" t="s">
        <v>284</v>
      </c>
      <c r="C43" s="16" t="s">
        <v>5</v>
      </c>
      <c r="D43" s="16" t="s">
        <v>283</v>
      </c>
      <c r="E43" s="17">
        <v>0</v>
      </c>
      <c r="F43" s="18">
        <v>46104</v>
      </c>
      <c r="G43" s="19">
        <v>1</v>
      </c>
      <c r="H43" s="16"/>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row>
    <row r="44" spans="1:64" s="1" customFormat="1" ht="40.15" customHeight="1" x14ac:dyDescent="0.25">
      <c r="A44" s="6"/>
      <c r="B44" s="58" t="s">
        <v>19</v>
      </c>
      <c r="C44" s="16" t="s">
        <v>1</v>
      </c>
      <c r="D44" s="16" t="s">
        <v>33</v>
      </c>
      <c r="E44" s="17">
        <v>0</v>
      </c>
      <c r="F44" s="18">
        <v>46134</v>
      </c>
      <c r="G44" s="19">
        <v>6</v>
      </c>
      <c r="H44" s="16"/>
      <c r="I44" s="13" t="str">
        <f t="shared" ca="1" si="20"/>
        <v/>
      </c>
      <c r="J44" s="13" t="str">
        <f t="shared" ca="1" si="20"/>
        <v/>
      </c>
      <c r="K44" s="13" t="str">
        <f t="shared" ca="1" si="20"/>
        <v/>
      </c>
      <c r="L44" s="13" t="str">
        <f t="shared" ca="1" si="20"/>
        <v/>
      </c>
      <c r="M44" s="13" t="str">
        <f t="shared" ca="1" si="20"/>
        <v/>
      </c>
      <c r="N44" s="13" t="str">
        <f t="shared" ca="1" si="20"/>
        <v/>
      </c>
      <c r="O44" s="13" t="str">
        <f t="shared" ca="1" si="20"/>
        <v/>
      </c>
      <c r="P44" s="13" t="str">
        <f t="shared" ca="1" si="20"/>
        <v/>
      </c>
      <c r="Q44" s="13" t="str">
        <f t="shared" ca="1" si="20"/>
        <v/>
      </c>
      <c r="R44" s="13" t="str">
        <f t="shared" ca="1" si="20"/>
        <v/>
      </c>
      <c r="S44" s="13" t="str">
        <f t="shared" ca="1" si="20"/>
        <v/>
      </c>
      <c r="T44" s="13" t="str">
        <f t="shared" ca="1" si="20"/>
        <v/>
      </c>
      <c r="U44" s="13" t="str">
        <f t="shared" ca="1" si="20"/>
        <v/>
      </c>
      <c r="V44" s="13" t="str">
        <f t="shared" ca="1" si="20"/>
        <v/>
      </c>
      <c r="W44" s="13" t="str">
        <f t="shared" ca="1" si="20"/>
        <v/>
      </c>
      <c r="X44" s="13" t="str">
        <f t="shared" ca="1" si="20"/>
        <v/>
      </c>
      <c r="Y44" s="13" t="str">
        <f t="shared" ca="1" si="17"/>
        <v/>
      </c>
      <c r="Z44" s="13" t="str">
        <f t="shared" ca="1" si="17"/>
        <v/>
      </c>
      <c r="AA44" s="13" t="str">
        <f t="shared" ca="1" si="17"/>
        <v/>
      </c>
      <c r="AB44" s="13" t="str">
        <f t="shared" ca="1" si="17"/>
        <v/>
      </c>
      <c r="AC44" s="13" t="str">
        <f t="shared" ca="1" si="17"/>
        <v/>
      </c>
      <c r="AD44" s="13" t="str">
        <f t="shared" ca="1" si="17"/>
        <v/>
      </c>
      <c r="AE44" s="13" t="str">
        <f t="shared" ca="1" si="17"/>
        <v/>
      </c>
      <c r="AF44" s="13" t="str">
        <f t="shared" ca="1" si="17"/>
        <v/>
      </c>
      <c r="AG44" s="13" t="str">
        <f t="shared" ca="1" si="17"/>
        <v/>
      </c>
      <c r="AH44" s="13" t="str">
        <f t="shared" ca="1" si="17"/>
        <v/>
      </c>
      <c r="AI44" s="13" t="str">
        <f t="shared" ca="1" si="17"/>
        <v/>
      </c>
      <c r="AJ44" s="13" t="str">
        <f t="shared" ca="1" si="17"/>
        <v/>
      </c>
      <c r="AK44" s="13" t="str">
        <f t="shared" ca="1" si="17"/>
        <v/>
      </c>
      <c r="AL44" s="13" t="str">
        <f t="shared" ca="1" si="17"/>
        <v/>
      </c>
      <c r="AM44" s="13" t="str">
        <f t="shared" ca="1" si="17"/>
        <v/>
      </c>
      <c r="AN44" s="13" t="str">
        <f t="shared" ca="1" si="17"/>
        <v/>
      </c>
      <c r="AO44" s="13" t="str">
        <f t="shared" ca="1" si="18"/>
        <v/>
      </c>
      <c r="AP44" s="13" t="str">
        <f t="shared" ca="1" si="18"/>
        <v/>
      </c>
      <c r="AQ44" s="13" t="str">
        <f t="shared" ca="1" si="18"/>
        <v/>
      </c>
      <c r="AR44" s="13" t="str">
        <f t="shared" ca="1" si="18"/>
        <v/>
      </c>
      <c r="AS44" s="13" t="str">
        <f t="shared" ca="1" si="18"/>
        <v/>
      </c>
      <c r="AT44" s="13" t="str">
        <f t="shared" ca="1" si="18"/>
        <v/>
      </c>
      <c r="AU44" s="13" t="str">
        <f t="shared" ca="1" si="18"/>
        <v/>
      </c>
      <c r="AV44" s="13" t="str">
        <f t="shared" ca="1" si="18"/>
        <v/>
      </c>
      <c r="AW44" s="13" t="str">
        <f t="shared" ca="1" si="18"/>
        <v/>
      </c>
      <c r="AX44" s="13" t="str">
        <f t="shared" ca="1" si="18"/>
        <v/>
      </c>
      <c r="AY44" s="13" t="str">
        <f t="shared" ca="1" si="18"/>
        <v/>
      </c>
      <c r="AZ44" s="13" t="str">
        <f t="shared" ca="1" si="18"/>
        <v/>
      </c>
      <c r="BA44" s="13">
        <f t="shared" ca="1" si="18"/>
        <v>2</v>
      </c>
      <c r="BB44" s="13">
        <f t="shared" ca="1" si="18"/>
        <v>2</v>
      </c>
      <c r="BC44" s="13">
        <f t="shared" ca="1" si="18"/>
        <v>2</v>
      </c>
      <c r="BD44" s="13">
        <f t="shared" ca="1" si="18"/>
        <v>2</v>
      </c>
      <c r="BE44" s="13">
        <f t="shared" ca="1" si="19"/>
        <v>2</v>
      </c>
      <c r="BF44" s="13">
        <f t="shared" ca="1" si="19"/>
        <v>2</v>
      </c>
      <c r="BG44" s="13" t="str">
        <f t="shared" ca="1" si="19"/>
        <v/>
      </c>
      <c r="BH44" s="13" t="str">
        <f t="shared" ca="1" si="19"/>
        <v/>
      </c>
      <c r="BI44" s="13" t="str">
        <f t="shared" ca="1" si="19"/>
        <v/>
      </c>
      <c r="BJ44" s="13" t="str">
        <f t="shared" ca="1" si="19"/>
        <v/>
      </c>
      <c r="BK44" s="13" t="str">
        <f t="shared" ca="1" si="19"/>
        <v/>
      </c>
      <c r="BL44" s="13" t="str">
        <f t="shared" ca="1" si="19"/>
        <v/>
      </c>
    </row>
    <row r="45" spans="1:64" s="1" customFormat="1" ht="40.15" customHeight="1" x14ac:dyDescent="0.25">
      <c r="A45" s="6"/>
      <c r="B45" s="58" t="s">
        <v>32</v>
      </c>
      <c r="C45" s="16" t="s">
        <v>1</v>
      </c>
      <c r="D45" s="16" t="s">
        <v>33</v>
      </c>
      <c r="E45" s="17">
        <v>0</v>
      </c>
      <c r="F45" s="18">
        <v>46141</v>
      </c>
      <c r="G45" s="19">
        <v>3</v>
      </c>
      <c r="H45" s="16"/>
      <c r="I45" s="13" t="str">
        <f t="shared" ca="1" si="20"/>
        <v/>
      </c>
      <c r="J45" s="13" t="str">
        <f t="shared" ca="1" si="20"/>
        <v/>
      </c>
      <c r="K45" s="13" t="str">
        <f t="shared" ca="1" si="20"/>
        <v/>
      </c>
      <c r="L45" s="13" t="str">
        <f t="shared" ca="1" si="20"/>
        <v/>
      </c>
      <c r="M45" s="13" t="str">
        <f t="shared" ca="1" si="20"/>
        <v/>
      </c>
      <c r="N45" s="13" t="str">
        <f t="shared" ca="1" si="20"/>
        <v/>
      </c>
      <c r="O45" s="13" t="str">
        <f t="shared" ca="1" si="20"/>
        <v/>
      </c>
      <c r="P45" s="13" t="str">
        <f t="shared" ca="1" si="20"/>
        <v/>
      </c>
      <c r="Q45" s="13" t="str">
        <f t="shared" ca="1" si="20"/>
        <v/>
      </c>
      <c r="R45" s="13" t="str">
        <f t="shared" ca="1" si="20"/>
        <v/>
      </c>
      <c r="S45" s="13" t="str">
        <f t="shared" ca="1" si="20"/>
        <v/>
      </c>
      <c r="T45" s="13" t="str">
        <f t="shared" ca="1" si="20"/>
        <v/>
      </c>
      <c r="U45" s="13" t="str">
        <f t="shared" ca="1" si="20"/>
        <v/>
      </c>
      <c r="V45" s="13" t="str">
        <f t="shared" ca="1" si="20"/>
        <v/>
      </c>
      <c r="W45" s="13" t="str">
        <f t="shared" ca="1" si="20"/>
        <v/>
      </c>
      <c r="X45" s="13" t="str">
        <f t="shared" ca="1" si="20"/>
        <v/>
      </c>
      <c r="Y45" s="13" t="str">
        <f t="shared" ca="1" si="17"/>
        <v/>
      </c>
      <c r="Z45" s="13" t="str">
        <f t="shared" ca="1" si="17"/>
        <v/>
      </c>
      <c r="AA45" s="13" t="str">
        <f t="shared" ca="1" si="17"/>
        <v/>
      </c>
      <c r="AB45" s="13" t="str">
        <f t="shared" ca="1" si="17"/>
        <v/>
      </c>
      <c r="AC45" s="13" t="str">
        <f t="shared" ca="1" si="17"/>
        <v/>
      </c>
      <c r="AD45" s="13" t="str">
        <f t="shared" ca="1" si="17"/>
        <v/>
      </c>
      <c r="AE45" s="13" t="str">
        <f t="shared" ca="1" si="17"/>
        <v/>
      </c>
      <c r="AF45" s="13" t="str">
        <f t="shared" ca="1" si="17"/>
        <v/>
      </c>
      <c r="AG45" s="13" t="str">
        <f t="shared" ca="1" si="17"/>
        <v/>
      </c>
      <c r="AH45" s="13" t="str">
        <f t="shared" ca="1" si="17"/>
        <v/>
      </c>
      <c r="AI45" s="13" t="str">
        <f t="shared" ca="1" si="17"/>
        <v/>
      </c>
      <c r="AJ45" s="13" t="str">
        <f t="shared" ca="1" si="17"/>
        <v/>
      </c>
      <c r="AK45" s="13" t="str">
        <f t="shared" ca="1" si="17"/>
        <v/>
      </c>
      <c r="AL45" s="13" t="str">
        <f t="shared" ca="1" si="17"/>
        <v/>
      </c>
      <c r="AM45" s="13" t="str">
        <f t="shared" ca="1" si="17"/>
        <v/>
      </c>
      <c r="AN45" s="13" t="str">
        <f t="shared" ca="1" si="17"/>
        <v/>
      </c>
      <c r="AO45" s="13" t="str">
        <f t="shared" ca="1" si="18"/>
        <v/>
      </c>
      <c r="AP45" s="13" t="str">
        <f t="shared" ca="1" si="18"/>
        <v/>
      </c>
      <c r="AQ45" s="13" t="str">
        <f t="shared" ca="1" si="18"/>
        <v/>
      </c>
      <c r="AR45" s="13" t="str">
        <f t="shared" ca="1" si="18"/>
        <v/>
      </c>
      <c r="AS45" s="13" t="str">
        <f t="shared" ca="1" si="18"/>
        <v/>
      </c>
      <c r="AT45" s="13" t="str">
        <f t="shared" ca="1" si="18"/>
        <v/>
      </c>
      <c r="AU45" s="13" t="str">
        <f t="shared" ca="1" si="18"/>
        <v/>
      </c>
      <c r="AV45" s="13" t="str">
        <f t="shared" ca="1" si="18"/>
        <v/>
      </c>
      <c r="AW45" s="13" t="str">
        <f t="shared" ca="1" si="18"/>
        <v/>
      </c>
      <c r="AX45" s="13" t="str">
        <f t="shared" ca="1" si="18"/>
        <v/>
      </c>
      <c r="AY45" s="13" t="str">
        <f t="shared" ca="1" si="18"/>
        <v/>
      </c>
      <c r="AZ45" s="13" t="str">
        <f t="shared" ca="1" si="18"/>
        <v/>
      </c>
      <c r="BA45" s="13" t="str">
        <f t="shared" ca="1" si="18"/>
        <v/>
      </c>
      <c r="BB45" s="13" t="str">
        <f t="shared" ca="1" si="18"/>
        <v/>
      </c>
      <c r="BC45" s="13" t="str">
        <f t="shared" ca="1" si="18"/>
        <v/>
      </c>
      <c r="BD45" s="13" t="str">
        <f t="shared" ca="1" si="18"/>
        <v/>
      </c>
      <c r="BE45" s="13" t="str">
        <f t="shared" ca="1" si="19"/>
        <v/>
      </c>
      <c r="BF45" s="13" t="str">
        <f t="shared" ca="1" si="19"/>
        <v/>
      </c>
      <c r="BG45" s="13" t="str">
        <f t="shared" ca="1" si="19"/>
        <v/>
      </c>
      <c r="BH45" s="13">
        <f t="shared" ca="1" si="19"/>
        <v>2</v>
      </c>
      <c r="BI45" s="13">
        <f t="shared" ca="1" si="19"/>
        <v>2</v>
      </c>
      <c r="BJ45" s="13">
        <f t="shared" ca="1" si="19"/>
        <v>2</v>
      </c>
      <c r="BK45" s="13" t="str">
        <f t="shared" ca="1" si="19"/>
        <v/>
      </c>
      <c r="BL45" s="13" t="str">
        <f t="shared" ca="1" si="19"/>
        <v/>
      </c>
    </row>
    <row r="46" spans="1:64" s="1" customFormat="1" ht="40.15" customHeight="1" x14ac:dyDescent="0.25">
      <c r="A46" s="6"/>
      <c r="B46" s="58" t="s">
        <v>285</v>
      </c>
      <c r="C46" s="16" t="s">
        <v>2</v>
      </c>
      <c r="D46" s="16" t="s">
        <v>286</v>
      </c>
      <c r="E46" s="17">
        <v>0</v>
      </c>
      <c r="F46" s="18">
        <v>46146</v>
      </c>
      <c r="G46" s="19">
        <v>2</v>
      </c>
      <c r="H46" s="16"/>
      <c r="I46" s="13" t="str">
        <f t="shared" ca="1" si="20"/>
        <v/>
      </c>
      <c r="J46" s="13" t="str">
        <f t="shared" ca="1" si="20"/>
        <v/>
      </c>
      <c r="K46" s="13" t="str">
        <f t="shared" ca="1" si="20"/>
        <v/>
      </c>
      <c r="L46" s="13" t="str">
        <f t="shared" ca="1" si="20"/>
        <v/>
      </c>
      <c r="M46" s="13" t="str">
        <f t="shared" ca="1" si="20"/>
        <v/>
      </c>
      <c r="N46" s="13" t="str">
        <f t="shared" ca="1" si="20"/>
        <v/>
      </c>
      <c r="O46" s="13" t="str">
        <f t="shared" ca="1" si="20"/>
        <v/>
      </c>
      <c r="P46" s="13" t="str">
        <f t="shared" ca="1" si="20"/>
        <v/>
      </c>
      <c r="Q46" s="13" t="str">
        <f t="shared" ca="1" si="20"/>
        <v/>
      </c>
      <c r="R46" s="13" t="str">
        <f t="shared" ca="1" si="20"/>
        <v/>
      </c>
      <c r="S46" s="13" t="str">
        <f t="shared" ca="1" si="20"/>
        <v/>
      </c>
      <c r="T46" s="13" t="str">
        <f t="shared" ca="1" si="20"/>
        <v/>
      </c>
      <c r="U46" s="13" t="str">
        <f t="shared" ca="1" si="20"/>
        <v/>
      </c>
      <c r="V46" s="13" t="str">
        <f t="shared" ca="1" si="20"/>
        <v/>
      </c>
      <c r="W46" s="13" t="str">
        <f t="shared" ca="1" si="20"/>
        <v/>
      </c>
      <c r="X46" s="13" t="str">
        <f t="shared" ca="1" si="20"/>
        <v/>
      </c>
      <c r="Y46" s="13" t="str">
        <f t="shared" ca="1" si="17"/>
        <v/>
      </c>
      <c r="Z46" s="13" t="str">
        <f t="shared" ca="1" si="17"/>
        <v/>
      </c>
      <c r="AA46" s="13" t="str">
        <f t="shared" ca="1" si="17"/>
        <v/>
      </c>
      <c r="AB46" s="13" t="str">
        <f t="shared" ca="1" si="17"/>
        <v/>
      </c>
      <c r="AC46" s="13" t="str">
        <f t="shared" ca="1" si="17"/>
        <v/>
      </c>
      <c r="AD46" s="13" t="str">
        <f t="shared" ca="1" si="17"/>
        <v/>
      </c>
      <c r="AE46" s="13" t="str">
        <f t="shared" ca="1" si="17"/>
        <v/>
      </c>
      <c r="AF46" s="13" t="str">
        <f t="shared" ca="1" si="17"/>
        <v/>
      </c>
      <c r="AG46" s="13" t="str">
        <f t="shared" ca="1" si="17"/>
        <v/>
      </c>
      <c r="AH46" s="13" t="str">
        <f t="shared" ca="1" si="17"/>
        <v/>
      </c>
      <c r="AI46" s="13" t="str">
        <f t="shared" ca="1" si="17"/>
        <v/>
      </c>
      <c r="AJ46" s="13" t="str">
        <f t="shared" ca="1" si="17"/>
        <v/>
      </c>
      <c r="AK46" s="13" t="str">
        <f t="shared" ca="1" si="17"/>
        <v/>
      </c>
      <c r="AL46" s="13" t="str">
        <f t="shared" ca="1" si="17"/>
        <v/>
      </c>
      <c r="AM46" s="13" t="str">
        <f t="shared" ca="1" si="17"/>
        <v/>
      </c>
      <c r="AN46" s="13" t="str">
        <f t="shared" ca="1" si="17"/>
        <v/>
      </c>
      <c r="AO46" s="13" t="str">
        <f t="shared" ca="1" si="18"/>
        <v/>
      </c>
      <c r="AP46" s="13" t="str">
        <f t="shared" ca="1" si="18"/>
        <v/>
      </c>
      <c r="AQ46" s="13" t="str">
        <f t="shared" ca="1" si="18"/>
        <v/>
      </c>
      <c r="AR46" s="13" t="str">
        <f t="shared" ca="1" si="18"/>
        <v/>
      </c>
      <c r="AS46" s="13" t="str">
        <f t="shared" ca="1" si="18"/>
        <v/>
      </c>
      <c r="AT46" s="13" t="str">
        <f t="shared" ca="1" si="18"/>
        <v/>
      </c>
      <c r="AU46" s="13" t="str">
        <f t="shared" ca="1" si="18"/>
        <v/>
      </c>
      <c r="AV46" s="13" t="str">
        <f t="shared" ca="1" si="18"/>
        <v/>
      </c>
      <c r="AW46" s="13" t="str">
        <f t="shared" ca="1" si="18"/>
        <v/>
      </c>
      <c r="AX46" s="13" t="str">
        <f t="shared" ca="1" si="18"/>
        <v/>
      </c>
      <c r="AY46" s="13" t="str">
        <f t="shared" ca="1" si="18"/>
        <v/>
      </c>
      <c r="AZ46" s="13" t="str">
        <f t="shared" ca="1" si="18"/>
        <v/>
      </c>
      <c r="BA46" s="13" t="str">
        <f t="shared" ca="1" si="18"/>
        <v/>
      </c>
      <c r="BB46" s="13" t="str">
        <f t="shared" ca="1" si="18"/>
        <v/>
      </c>
      <c r="BC46" s="13" t="str">
        <f t="shared" ca="1" si="18"/>
        <v/>
      </c>
      <c r="BD46" s="13" t="str">
        <f t="shared" ca="1" si="18"/>
        <v/>
      </c>
      <c r="BE46" s="13" t="str">
        <f t="shared" ca="1" si="19"/>
        <v/>
      </c>
      <c r="BF46" s="13" t="str">
        <f t="shared" ca="1" si="19"/>
        <v/>
      </c>
      <c r="BG46" s="13" t="str">
        <f t="shared" ca="1" si="19"/>
        <v/>
      </c>
      <c r="BH46" s="13" t="str">
        <f t="shared" ca="1" si="19"/>
        <v/>
      </c>
      <c r="BI46" s="13" t="str">
        <f t="shared" ca="1" si="19"/>
        <v/>
      </c>
      <c r="BJ46" s="13" t="str">
        <f t="shared" ca="1" si="19"/>
        <v/>
      </c>
      <c r="BK46" s="13" t="str">
        <f t="shared" ca="1" si="19"/>
        <v/>
      </c>
      <c r="BL46" s="13" t="str">
        <f t="shared" ca="1" si="19"/>
        <v/>
      </c>
    </row>
    <row r="47" spans="1:64" s="1" customFormat="1" ht="40.15" customHeight="1" x14ac:dyDescent="0.25">
      <c r="A47" s="7"/>
      <c r="B47" s="58"/>
      <c r="C47" s="16"/>
      <c r="D47" s="16"/>
      <c r="E47" s="17"/>
      <c r="F47" s="18"/>
      <c r="G47" s="19"/>
      <c r="H47" s="16"/>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row>
    <row r="48" spans="1:64" s="1" customFormat="1" ht="40.15" customHeight="1" x14ac:dyDescent="0.25">
      <c r="A48" s="7"/>
      <c r="B48" s="58"/>
      <c r="C48" s="16"/>
      <c r="D48" s="16"/>
      <c r="E48" s="17"/>
      <c r="F48" s="18"/>
      <c r="G48" s="19"/>
      <c r="H48" s="16"/>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row>
    <row r="49" spans="1:64" s="1" customFormat="1" ht="40.15" customHeight="1" x14ac:dyDescent="0.25">
      <c r="A49" s="6"/>
      <c r="B49" s="58"/>
      <c r="C49" s="16"/>
      <c r="D49" s="16"/>
      <c r="E49" s="17"/>
      <c r="F49" s="18"/>
      <c r="G49" s="19"/>
      <c r="H49" s="16"/>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row>
    <row r="50" spans="1:64" s="1" customFormat="1" ht="40.15" customHeight="1" x14ac:dyDescent="0.25">
      <c r="A50" s="6"/>
      <c r="B50" s="58"/>
      <c r="C50" s="16"/>
      <c r="D50" s="16"/>
      <c r="E50" s="17"/>
      <c r="F50" s="18"/>
      <c r="G50" s="19"/>
      <c r="H50" s="16"/>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row>
    <row r="51" spans="1:64" s="1" customFormat="1" ht="40.15" customHeight="1" x14ac:dyDescent="0.25">
      <c r="A51" s="6"/>
      <c r="B51" s="58"/>
      <c r="C51" s="16"/>
      <c r="D51" s="16"/>
      <c r="E51" s="17"/>
      <c r="F51" s="18"/>
      <c r="G51" s="19"/>
      <c r="H51" s="16"/>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row>
    <row r="52" spans="1:64" s="1" customFormat="1" ht="40.15" customHeight="1" x14ac:dyDescent="0.25">
      <c r="A52" s="6"/>
      <c r="B52" s="58"/>
      <c r="C52" s="16"/>
      <c r="D52" s="16"/>
      <c r="E52" s="17"/>
      <c r="F52" s="18"/>
      <c r="G52" s="19"/>
      <c r="H52" s="16"/>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row>
    <row r="53" spans="1:64" s="1" customFormat="1" ht="40.15" customHeight="1" x14ac:dyDescent="0.25">
      <c r="A53" s="7"/>
      <c r="B53" s="58"/>
      <c r="C53" s="16"/>
      <c r="D53" s="16"/>
      <c r="E53" s="17"/>
      <c r="F53" s="18"/>
      <c r="G53" s="19"/>
      <c r="H53" s="16"/>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row>
    <row r="54" spans="1:64" s="1" customFormat="1" ht="40.15" customHeight="1" x14ac:dyDescent="0.25">
      <c r="A54" s="6"/>
      <c r="B54" s="58"/>
      <c r="C54" s="16"/>
      <c r="D54" s="16"/>
      <c r="E54" s="17"/>
      <c r="F54" s="18"/>
      <c r="G54" s="19"/>
      <c r="H54" s="16"/>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row>
    <row r="55" spans="1:64" s="1" customFormat="1" ht="40.15" customHeight="1" x14ac:dyDescent="0.25">
      <c r="A55" s="6"/>
      <c r="B55" s="58"/>
      <c r="C55" s="16"/>
      <c r="D55" s="16"/>
      <c r="E55" s="17"/>
      <c r="F55" s="18"/>
      <c r="G55" s="19"/>
      <c r="H55" s="16"/>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row>
    <row r="56" spans="1:64" s="1" customFormat="1" ht="40.15" customHeight="1" x14ac:dyDescent="0.25">
      <c r="A56" s="6"/>
      <c r="B56" s="58"/>
      <c r="C56" s="16"/>
      <c r="D56" s="16"/>
      <c r="E56" s="17"/>
      <c r="F56" s="18"/>
      <c r="G56" s="19"/>
      <c r="H56" s="16"/>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row>
    <row r="57" spans="1:64" s="1" customFormat="1" ht="40.15" customHeight="1" x14ac:dyDescent="0.25">
      <c r="A57" s="6"/>
      <c r="B57" s="12"/>
      <c r="C57" s="16"/>
      <c r="D57" s="16"/>
      <c r="E57" s="17"/>
      <c r="F57" s="18"/>
      <c r="G57" s="19"/>
      <c r="H57" s="16"/>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row>
    <row r="58" spans="1:64" s="1" customFormat="1" ht="40.15" customHeight="1" x14ac:dyDescent="0.25">
      <c r="A58" s="6"/>
      <c r="B58" s="59"/>
      <c r="C58" s="16"/>
      <c r="D58" s="16"/>
      <c r="E58" s="17"/>
      <c r="F58" s="18"/>
      <c r="G58" s="19"/>
      <c r="H58" s="16"/>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row>
    <row r="59" spans="1:64" s="1" customFormat="1" ht="40.15" customHeight="1" x14ac:dyDescent="0.25">
      <c r="A59" s="6"/>
      <c r="B59" s="58"/>
      <c r="C59" s="16"/>
      <c r="D59" s="16"/>
      <c r="E59" s="17"/>
      <c r="F59" s="18"/>
      <c r="G59" s="19"/>
      <c r="H59" s="16"/>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row>
  </sheetData>
  <mergeCells count="5">
    <mergeCell ref="I1:L1"/>
    <mergeCell ref="N1:Q1"/>
    <mergeCell ref="S1:V1"/>
    <mergeCell ref="X1:AA1"/>
    <mergeCell ref="AC1:AF1"/>
  </mergeCells>
  <conditionalFormatting sqref="E5:E59">
    <cfRule type="dataBar" priority="11">
      <dataBar>
        <cfvo type="num" val="0"/>
        <cfvo type="num" val="1"/>
        <color theme="6"/>
      </dataBar>
      <extLst>
        <ext xmlns:x14="http://schemas.microsoft.com/office/spreadsheetml/2009/9/main" uri="{B025F937-C7B1-47D3-B67F-A62EFF666E3E}">
          <x14:id>{8DC354F3-04C3-41B6-BDF4-AAE91663EC79}</x14:id>
        </ext>
      </extLst>
    </cfRule>
  </conditionalFormatting>
  <conditionalFormatting sqref="I2:AM2">
    <cfRule type="expression" dxfId="13" priority="10">
      <formula>I$3&lt;=EOMONTH($I$3,0)</formula>
    </cfRule>
  </conditionalFormatting>
  <conditionalFormatting sqref="I2:BL2">
    <cfRule type="expression" dxfId="12" priority="8">
      <formula>AND(I$3&lt;=EOMONTH($I$3,1),I$3&gt;EOMONTH($I$3,0))</formula>
    </cfRule>
  </conditionalFormatting>
  <conditionalFormatting sqref="I3:BL59">
    <cfRule type="expression" dxfId="11" priority="1">
      <formula>AND(TODAY()&gt;=I$3,TODAY()&lt;J$3)</formula>
    </cfRule>
  </conditionalFormatting>
  <conditionalFormatting sqref="I6:BL46">
    <cfRule type="expression" dxfId="10" priority="13" stopIfTrue="1">
      <formula>AND($C6="Low Risk",I$3&gt;=$F6,I$3&lt;=$F6+$G6-1)</formula>
    </cfRule>
    <cfRule type="expression" dxfId="9" priority="14" stopIfTrue="1">
      <formula>AND($C6="High Risk",I$3&gt;=$F6,I$3&lt;=$F6+$G6-1)</formula>
    </cfRule>
    <cfRule type="expression" dxfId="8" priority="15" stopIfTrue="1">
      <formula>AND($C6="On Track",I$3&gt;=$F6,I$3&lt;=$F6+$G6-1)</formula>
    </cfRule>
    <cfRule type="expression" dxfId="7" priority="16" stopIfTrue="1">
      <formula>AND($C6="Med Risk",I$3&gt;=$F6,I$3&lt;=$F6+$G6-1)</formula>
    </cfRule>
    <cfRule type="expression" dxfId="6" priority="17" stopIfTrue="1">
      <formula>AND(LEN($C6)=0,I$3&gt;=$F6,I$3&lt;=$F6+$G6-1)</formula>
    </cfRule>
  </conditionalFormatting>
  <conditionalFormatting sqref="I47:BL59">
    <cfRule type="expression" dxfId="5" priority="3" stopIfTrue="1">
      <formula>AND($C47="Low Risk",I$3&gt;=$F47,I$3&lt;=$F47+$G47-1)</formula>
    </cfRule>
    <cfRule type="expression" dxfId="4" priority="4" stopIfTrue="1">
      <formula>AND($C47="High Risk",I$3&gt;=$F47,I$3&lt;=$F47+$G47-1)</formula>
    </cfRule>
    <cfRule type="expression" dxfId="3" priority="5" stopIfTrue="1">
      <formula>AND($C47="On Track",I$3&gt;=$F47,I$3&lt;=$F47+$G47-1)</formula>
    </cfRule>
    <cfRule type="expression" dxfId="2" priority="6" stopIfTrue="1">
      <formula>AND($C47="Med Risk",I$3&gt;=$F47,I$3&lt;=$F47+$G47-1)</formula>
    </cfRule>
    <cfRule type="expression" dxfId="1" priority="7" stopIfTrue="1">
      <formula>AND(LEN($C47)=0,I$3&gt;=$F47,I$3&lt;=$F47+$G47-1)</formula>
    </cfRule>
  </conditionalFormatting>
  <conditionalFormatting sqref="J2:BL2">
    <cfRule type="expression" dxfId="0" priority="9">
      <formula>AND(J$3&lt;=EOMONTH($I$3,2),J$3&gt;EOMONTH($I$3,0),J$3&gt;EOMONTH($I$3,1))</formula>
    </cfRule>
  </conditionalFormatting>
  <dataValidations count="9">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7 A27" xr:uid="{42D3BFE5-88CE-4B93-BA0F-ADD22D6F7FEE}"/>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5" xr:uid="{2EA82DEE-B8B7-41A4-9DCD-42457D76815B}"/>
    <dataValidation allowBlank="1" showInputMessage="1" showErrorMessage="1" prompt="A scrollbar is in cells I8 through BL8. _x000a_To jump forward or backward in the timeline, enter a value of 0 or higher in cell C7._x000a_A value of 0 takes you to the beginning of the chart." sqref="A4" xr:uid="{489964BC-C68B-44B8-B54A-5899B5C1CE91}"/>
    <dataValidation allowBlank="1" showInputMessage="1" showErrorMessage="1" prompt="Cells I9 through BL9 contain the day number of the month for the Month represented in the cell block above each date cell and are auto calculated._x000a_Do not modify these cells._x000a_" sqref="A3" xr:uid="{3562CF02-F85C-4EFD-835B-2EE28D1070CA}"/>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2" xr:uid="{0AE8732F-1677-4A33-8B64-ABFD8F584B58}"/>
    <dataValidation allowBlank="1" showInputMessage="1" showErrorMessage="1" prompt="Enter Company Name in cell B4._x000a_A legend is in cells I4 through AC4.  The Legend label is in cell G4." sqref="A1" xr:uid="{954C8AC3-2612-481D-94AA-FBFB15BE0DAB}"/>
    <dataValidation type="list" allowBlank="1" showInputMessage="1" sqref="C7 C27" xr:uid="{4CF003F7-043B-43A5-BCB8-7EA63A76A9DA}">
      <formula1>"Goal,Milestone,On Track, Low Risk, Med Risk, High Risk"</formula1>
    </dataValidation>
    <dataValidation type="list" allowBlank="1" showInputMessage="1" showErrorMessage="1" sqref="C6 C28:C59 C8:C26" xr:uid="{91BA2E24-FF55-411B-8C17-49927288A296}">
      <formula1>"Goal,Milestone,On Track, Low Risk, Med Risk, High Risk"</formula1>
    </dataValidation>
    <dataValidation type="whole" operator="greaterThanOrEqual" allowBlank="1" showInputMessage="1" promptTitle="Scrolling Increment" prompt="Changing this number will scroll the Gantt Chart view." sqref="C3" xr:uid="{2824E297-F2C0-49B6-AB47-7CC0094A013B}">
      <formula1>0</formula1>
    </dataValidation>
  </dataValidations>
  <printOptions horizontalCentered="1"/>
  <pageMargins left="0.25" right="0.25" top="0.5" bottom="0.5" header="0.3" footer="0.3"/>
  <pageSetup paperSize="3" scale="62"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1505" r:id="rId4" name="Scroll Bar 1">
              <controlPr defaultSize="0" autoPict="0" altText="Scroll bar to scroll through the Ghantt project timeline.">
                <anchor moveWithCells="1">
                  <from>
                    <xdr:col>8</xdr:col>
                    <xdr:colOff>28575</xdr:colOff>
                    <xdr:row>3</xdr:row>
                    <xdr:rowOff>57150</xdr:rowOff>
                  </from>
                  <to>
                    <xdr:col>63</xdr:col>
                    <xdr:colOff>228600</xdr:colOff>
                    <xdr:row>3</xdr:row>
                    <xdr:rowOff>238125</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DC354F3-04C3-41B6-BDF4-AAE91663EC79}">
            <x14:dataBar minLength="0" maxLength="100" gradient="0">
              <x14:cfvo type="num">
                <xm:f>0</xm:f>
              </x14:cfvo>
              <x14:cfvo type="num">
                <xm:f>1</xm:f>
              </x14:cfvo>
              <x14:negativeFillColor rgb="FFFF0000"/>
              <x14:axisColor rgb="FF000000"/>
            </x14:dataBar>
          </x14:cfRule>
          <xm:sqref>E5:E59</xm:sqref>
        </x14:conditionalFormatting>
        <x14:conditionalFormatting xmlns:xm="http://schemas.microsoft.com/office/excel/2006/main">
          <x14:cfRule type="iconSet" priority="12" id="{8EF6952B-1A3B-41DE-9643-B4745C922184}">
            <x14:iconSet iconSet="3Stars" showValue="0" custom="1">
              <x14:cfvo type="percent">
                <xm:f>0</xm:f>
              </x14:cfvo>
              <x14:cfvo type="num">
                <xm:f>1</xm:f>
              </x14:cfvo>
              <x14:cfvo type="num">
                <xm:f>2</xm:f>
              </x14:cfvo>
              <x14:cfIcon iconSet="NoIcons" iconId="0"/>
              <x14:cfIcon iconSet="3Flags" iconId="1"/>
              <x14:cfIcon iconSet="3Signs" iconId="0"/>
            </x14:iconSet>
          </x14:cfRule>
          <xm:sqref>I6:BL46</xm:sqref>
        </x14:conditionalFormatting>
        <x14:conditionalFormatting xmlns:xm="http://schemas.microsoft.com/office/excel/2006/main">
          <x14:cfRule type="iconSet" priority="2" id="{E61B0C8E-0BF4-4882-92C1-9D1979E5E0FC}">
            <x14:iconSet iconSet="3Stars" showValue="0" custom="1">
              <x14:cfvo type="percent">
                <xm:f>0</xm:f>
              </x14:cfvo>
              <x14:cfvo type="num">
                <xm:f>1</xm:f>
              </x14:cfvo>
              <x14:cfvo type="num">
                <xm:f>2</xm:f>
              </x14:cfvo>
              <x14:cfIcon iconSet="NoIcons" iconId="0"/>
              <x14:cfIcon iconSet="3Flags" iconId="1"/>
              <x14:cfIcon iconSet="3Signs" iconId="0"/>
            </x14:iconSet>
          </x14:cfRule>
          <xm:sqref>I47:BL59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customXml/itemProps2.xml><?xml version="1.0" encoding="utf-8"?>
<ds:datastoreItem xmlns:ds="http://schemas.openxmlformats.org/officeDocument/2006/customXml" ds:itemID="{16A2ABA2-2AE7-458F-84A6-54746C92ACFB}">
  <ds:schemaRefs>
    <ds:schemaRef ds:uri="http://schemas.microsoft.com/sharepoint/v3/contenttype/forms"/>
  </ds:schemaRefs>
</ds:datastoreItem>
</file>

<file path=customXml/itemProps3.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About</vt:lpstr>
      <vt:lpstr>By Tank</vt:lpstr>
      <vt:lpstr>Sheet3</vt:lpstr>
      <vt:lpstr>Overall</vt:lpstr>
      <vt:lpstr>'By Tank'!Print_Titles</vt:lpstr>
      <vt:lpstr>Overall!Print_Titles</vt:lpstr>
      <vt:lpstr>Overall!Project_Start</vt:lpstr>
      <vt:lpstr>Overall!Scrolling_Increment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2026-03-23T16:05:28Z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