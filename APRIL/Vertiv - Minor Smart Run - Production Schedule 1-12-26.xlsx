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P:\April\"/>
    </mc:Choice>
  </mc:AlternateContent>
  <xr:revisionPtr revIDLastSave="0" documentId="13_ncr:1_{71B5AA27-38F5-46B6-B194-CBA944C44967}" xr6:coauthVersionLast="47" xr6:coauthVersionMax="47" xr10:uidLastSave="{00000000-0000-0000-0000-000000000000}"/>
  <bookViews>
    <workbookView xWindow="-120" yWindow="-120" windowWidth="29040" windowHeight="15840" tabRatio="601" activeTab="4" xr2:uid="{00000000-000D-0000-FFFF-FFFF00000000}"/>
  </bookViews>
  <sheets>
    <sheet name="Schedule" sheetId="2" r:id="rId1"/>
    <sheet name="Build Plan 12(4)-25" sheetId="7" r:id="rId2"/>
    <sheet name="Build Plan 12(5)-25" sheetId="8" r:id="rId3"/>
    <sheet name="Build Plan 12(6)-25" sheetId="9" r:id="rId4"/>
    <sheet name="Build Plan 12(7)-25" sheetId="10" r:id="rId5"/>
  </sheets>
  <externalReferences>
    <externalReference r:id="rId6"/>
  </externalReferences>
  <definedNames>
    <definedName name="_xlnm._FilterDatabase" localSheetId="0" hidden="1">Schedule!$B$1:$B$4037</definedName>
    <definedName name="_xlnm.Print_Area" localSheetId="0">Schedule!$A$1:$BS$242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0" l="1"/>
  <c r="C48" i="10"/>
  <c r="B48" i="10"/>
  <c r="A48" i="10"/>
  <c r="C47" i="10"/>
  <c r="B47" i="10"/>
  <c r="A47" i="10"/>
  <c r="D46" i="10"/>
  <c r="C46" i="10"/>
  <c r="B46" i="10"/>
  <c r="A46" i="10"/>
  <c r="C45" i="10"/>
  <c r="B45" i="10"/>
  <c r="A45" i="10"/>
  <c r="D44" i="10"/>
  <c r="C44" i="10"/>
  <c r="B44" i="10"/>
  <c r="A44" i="10"/>
  <c r="C43" i="10"/>
  <c r="B43" i="10"/>
  <c r="A43" i="10"/>
  <c r="C42" i="10"/>
  <c r="B42" i="10"/>
  <c r="A42" i="10"/>
  <c r="D41" i="10"/>
  <c r="C41" i="10"/>
  <c r="B41" i="10"/>
  <c r="A41" i="10"/>
  <c r="D40" i="10"/>
  <c r="C40" i="10"/>
  <c r="B40" i="10"/>
  <c r="A40" i="10"/>
  <c r="C39" i="10"/>
  <c r="B39" i="10"/>
  <c r="A39" i="10"/>
  <c r="C38" i="10"/>
  <c r="B38" i="10"/>
  <c r="A38" i="10"/>
  <c r="D37" i="10"/>
  <c r="C37" i="10"/>
  <c r="B37" i="10"/>
  <c r="A37" i="10"/>
  <c r="D36" i="10"/>
  <c r="C36" i="10"/>
  <c r="B36" i="10"/>
  <c r="A36" i="10"/>
  <c r="D35" i="10"/>
  <c r="C35" i="10"/>
  <c r="B35" i="10"/>
  <c r="A35" i="10"/>
  <c r="D34" i="10"/>
  <c r="C34" i="10"/>
  <c r="B34" i="10"/>
  <c r="A34" i="10"/>
  <c r="D33" i="10"/>
  <c r="C33" i="10"/>
  <c r="B33" i="10"/>
  <c r="A33" i="10"/>
  <c r="D32" i="10"/>
  <c r="C32" i="10"/>
  <c r="B32" i="10"/>
  <c r="A32" i="10"/>
  <c r="D31" i="10"/>
  <c r="C31" i="10"/>
  <c r="B31" i="10"/>
  <c r="A31" i="10"/>
  <c r="D30" i="10"/>
  <c r="C30" i="10"/>
  <c r="B30" i="10"/>
  <c r="A30" i="10"/>
  <c r="C29" i="10"/>
  <c r="B29" i="10"/>
  <c r="A29" i="10"/>
  <c r="D28" i="10"/>
  <c r="C28" i="10"/>
  <c r="B28" i="10"/>
  <c r="A28" i="10"/>
  <c r="D27" i="10"/>
  <c r="C27" i="10"/>
  <c r="B27" i="10"/>
  <c r="A27" i="10"/>
  <c r="D26" i="10"/>
  <c r="C26" i="10"/>
  <c r="B26" i="10"/>
  <c r="A26" i="10"/>
  <c r="C25" i="10"/>
  <c r="B25" i="10"/>
  <c r="A25" i="10"/>
  <c r="D24" i="10"/>
  <c r="C24" i="10"/>
  <c r="B24" i="10"/>
  <c r="A24" i="10"/>
  <c r="D23" i="10"/>
  <c r="C23" i="10"/>
  <c r="B23" i="10"/>
  <c r="A23" i="10"/>
  <c r="D22" i="10"/>
  <c r="C22" i="10"/>
  <c r="B22" i="10"/>
  <c r="A22" i="10"/>
  <c r="D21" i="10"/>
  <c r="C21" i="10"/>
  <c r="B21" i="10"/>
  <c r="A21" i="10"/>
  <c r="D20" i="10"/>
  <c r="C20" i="10"/>
  <c r="B20" i="10"/>
  <c r="A20" i="10"/>
  <c r="C19" i="10"/>
  <c r="B19" i="10"/>
  <c r="A19" i="10"/>
  <c r="D18" i="10"/>
  <c r="C18" i="10"/>
  <c r="B18" i="10"/>
  <c r="A18" i="10"/>
  <c r="D17" i="10"/>
  <c r="C17" i="10"/>
  <c r="B17" i="10"/>
  <c r="A17" i="10"/>
  <c r="D16" i="10"/>
  <c r="C16" i="10"/>
  <c r="B16" i="10"/>
  <c r="A16" i="10"/>
  <c r="D15" i="10"/>
  <c r="C15" i="10"/>
  <c r="B15" i="10"/>
  <c r="A15" i="10"/>
  <c r="D14" i="10"/>
  <c r="C14" i="10"/>
  <c r="B14" i="10"/>
  <c r="A14" i="10"/>
  <c r="C13" i="10"/>
  <c r="B13" i="10"/>
  <c r="A13" i="10"/>
  <c r="D12" i="10"/>
  <c r="C12" i="10"/>
  <c r="B12" i="10"/>
  <c r="A12" i="10"/>
  <c r="D11" i="10"/>
  <c r="C11" i="10"/>
  <c r="B11" i="10"/>
  <c r="A11" i="10"/>
  <c r="D10" i="10"/>
  <c r="C10" i="10"/>
  <c r="B10" i="10"/>
  <c r="A10" i="10"/>
  <c r="D9" i="10"/>
  <c r="C9" i="10"/>
  <c r="B9" i="10"/>
  <c r="A9" i="10"/>
  <c r="D8" i="10"/>
  <c r="B8" i="10"/>
  <c r="A8" i="10"/>
  <c r="D7" i="10"/>
  <c r="C7" i="10"/>
  <c r="B7" i="10"/>
  <c r="A7" i="10"/>
  <c r="D6" i="10"/>
  <c r="C6" i="10"/>
  <c r="B6" i="10"/>
  <c r="A6" i="10"/>
  <c r="D5" i="10"/>
  <c r="D49" i="10" s="1"/>
  <c r="C5" i="10"/>
  <c r="B5" i="10"/>
  <c r="A5" i="10"/>
  <c r="C2" i="10"/>
  <c r="D48" i="9"/>
  <c r="C48" i="9"/>
  <c r="B48" i="9"/>
  <c r="A48" i="9"/>
  <c r="C47" i="9"/>
  <c r="B47" i="9"/>
  <c r="A47" i="9"/>
  <c r="D46" i="9"/>
  <c r="C46" i="9"/>
  <c r="B46" i="9"/>
  <c r="A46" i="9"/>
  <c r="C45" i="9"/>
  <c r="B45" i="9"/>
  <c r="A45" i="9"/>
  <c r="D44" i="9"/>
  <c r="C44" i="9"/>
  <c r="B44" i="9"/>
  <c r="A44" i="9"/>
  <c r="C43" i="9"/>
  <c r="B43" i="9"/>
  <c r="A43" i="9"/>
  <c r="C42" i="9"/>
  <c r="B42" i="9"/>
  <c r="A42" i="9"/>
  <c r="D41" i="9"/>
  <c r="C41" i="9"/>
  <c r="B41" i="9"/>
  <c r="A41" i="9"/>
  <c r="D40" i="9"/>
  <c r="C40" i="9"/>
  <c r="B40" i="9"/>
  <c r="A40" i="9"/>
  <c r="C39" i="9"/>
  <c r="B39" i="9"/>
  <c r="A39" i="9"/>
  <c r="C38" i="9"/>
  <c r="B38" i="9"/>
  <c r="A38" i="9"/>
  <c r="D37" i="9"/>
  <c r="C37" i="9"/>
  <c r="B37" i="9"/>
  <c r="A37" i="9"/>
  <c r="D36" i="9"/>
  <c r="C36" i="9"/>
  <c r="B36" i="9"/>
  <c r="A36" i="9"/>
  <c r="D35" i="9"/>
  <c r="C35" i="9"/>
  <c r="B35" i="9"/>
  <c r="A35" i="9"/>
  <c r="D34" i="9"/>
  <c r="C34" i="9"/>
  <c r="B34" i="9"/>
  <c r="A34" i="9"/>
  <c r="D33" i="9"/>
  <c r="C33" i="9"/>
  <c r="B33" i="9"/>
  <c r="A33" i="9"/>
  <c r="D32" i="9"/>
  <c r="C32" i="9"/>
  <c r="B32" i="9"/>
  <c r="A32" i="9"/>
  <c r="D31" i="9"/>
  <c r="C31" i="9"/>
  <c r="B31" i="9"/>
  <c r="A31" i="9"/>
  <c r="D30" i="9"/>
  <c r="C30" i="9"/>
  <c r="B30" i="9"/>
  <c r="A30" i="9"/>
  <c r="C29" i="9"/>
  <c r="B29" i="9"/>
  <c r="A29" i="9"/>
  <c r="D28" i="9"/>
  <c r="C28" i="9"/>
  <c r="B28" i="9"/>
  <c r="A28" i="9"/>
  <c r="D27" i="9"/>
  <c r="C27" i="9"/>
  <c r="B27" i="9"/>
  <c r="A27" i="9"/>
  <c r="D26" i="9"/>
  <c r="C26" i="9"/>
  <c r="B26" i="9"/>
  <c r="A26" i="9"/>
  <c r="C25" i="9"/>
  <c r="B25" i="9"/>
  <c r="A25" i="9"/>
  <c r="D24" i="9"/>
  <c r="C24" i="9"/>
  <c r="B24" i="9"/>
  <c r="A24" i="9"/>
  <c r="D23" i="9"/>
  <c r="C23" i="9"/>
  <c r="B23" i="9"/>
  <c r="A23" i="9"/>
  <c r="D22" i="9"/>
  <c r="C22" i="9"/>
  <c r="B22" i="9"/>
  <c r="A22" i="9"/>
  <c r="D21" i="9"/>
  <c r="C21" i="9"/>
  <c r="B21" i="9"/>
  <c r="A21" i="9"/>
  <c r="D20" i="9"/>
  <c r="C20" i="9"/>
  <c r="B20" i="9"/>
  <c r="A20" i="9"/>
  <c r="C19" i="9"/>
  <c r="B19" i="9"/>
  <c r="A19" i="9"/>
  <c r="D18" i="9"/>
  <c r="C18" i="9"/>
  <c r="B18" i="9"/>
  <c r="A18" i="9"/>
  <c r="D17" i="9"/>
  <c r="C17" i="9"/>
  <c r="B17" i="9"/>
  <c r="A17" i="9"/>
  <c r="D16" i="9"/>
  <c r="C16" i="9"/>
  <c r="B16" i="9"/>
  <c r="A16" i="9"/>
  <c r="D15" i="9"/>
  <c r="C15" i="9"/>
  <c r="B15" i="9"/>
  <c r="A15" i="9"/>
  <c r="D14" i="9"/>
  <c r="D49" i="9" s="1"/>
  <c r="C14" i="9"/>
  <c r="B14" i="9"/>
  <c r="A14" i="9"/>
  <c r="C13" i="9"/>
  <c r="B13" i="9"/>
  <c r="A13" i="9"/>
  <c r="D12" i="9"/>
  <c r="C12" i="9"/>
  <c r="B12" i="9"/>
  <c r="A12" i="9"/>
  <c r="D11" i="9"/>
  <c r="C11" i="9"/>
  <c r="B11" i="9"/>
  <c r="A11" i="9"/>
  <c r="D10" i="9"/>
  <c r="C10" i="9"/>
  <c r="B10" i="9"/>
  <c r="A10" i="9"/>
  <c r="D9" i="9"/>
  <c r="C9" i="9"/>
  <c r="B9" i="9"/>
  <c r="A9" i="9"/>
  <c r="D8" i="9"/>
  <c r="B8" i="9"/>
  <c r="A8" i="9"/>
  <c r="D7" i="9"/>
  <c r="C7" i="9"/>
  <c r="B7" i="9"/>
  <c r="A7" i="9"/>
  <c r="D6" i="9"/>
  <c r="C6" i="9"/>
  <c r="B6" i="9"/>
  <c r="A6" i="9"/>
  <c r="D5" i="9"/>
  <c r="C5" i="9"/>
  <c r="B5" i="9"/>
  <c r="A5" i="9"/>
  <c r="C2" i="9"/>
  <c r="D48" i="8"/>
  <c r="C48" i="8"/>
  <c r="B48" i="8"/>
  <c r="A48" i="8"/>
  <c r="C47" i="8"/>
  <c r="B47" i="8"/>
  <c r="A47" i="8"/>
  <c r="D46" i="8"/>
  <c r="C46" i="8"/>
  <c r="B46" i="8"/>
  <c r="A46" i="8"/>
  <c r="C45" i="8"/>
  <c r="B45" i="8"/>
  <c r="A45" i="8"/>
  <c r="D44" i="8"/>
  <c r="C44" i="8"/>
  <c r="B44" i="8"/>
  <c r="A44" i="8"/>
  <c r="C43" i="8"/>
  <c r="B43" i="8"/>
  <c r="A43" i="8"/>
  <c r="C42" i="8"/>
  <c r="B42" i="8"/>
  <c r="A42" i="8"/>
  <c r="D41" i="8"/>
  <c r="C41" i="8"/>
  <c r="B41" i="8"/>
  <c r="A41" i="8"/>
  <c r="D40" i="8"/>
  <c r="C40" i="8"/>
  <c r="B40" i="8"/>
  <c r="A40" i="8"/>
  <c r="C39" i="8"/>
  <c r="B39" i="8"/>
  <c r="A39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B8" i="8"/>
  <c r="A8" i="8"/>
  <c r="D7" i="8"/>
  <c r="C7" i="8"/>
  <c r="B7" i="8"/>
  <c r="A7" i="8"/>
  <c r="D6" i="8"/>
  <c r="C6" i="8"/>
  <c r="B6" i="8"/>
  <c r="A6" i="8"/>
  <c r="D5" i="8"/>
  <c r="D49" i="8" s="1"/>
  <c r="C5" i="8"/>
  <c r="B5" i="8"/>
  <c r="A5" i="8"/>
  <c r="C2" i="8"/>
  <c r="C10" i="2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9" i="2"/>
  <c r="D48" i="7"/>
  <c r="C48" i="7"/>
  <c r="B48" i="7"/>
  <c r="A48" i="7"/>
  <c r="C47" i="7"/>
  <c r="B47" i="7"/>
  <c r="A47" i="7"/>
  <c r="D46" i="7"/>
  <c r="C46" i="7"/>
  <c r="B46" i="7"/>
  <c r="A46" i="7"/>
  <c r="C45" i="7"/>
  <c r="B45" i="7"/>
  <c r="A45" i="7"/>
  <c r="D44" i="7"/>
  <c r="C44" i="7"/>
  <c r="B44" i="7"/>
  <c r="A44" i="7"/>
  <c r="C43" i="7"/>
  <c r="B43" i="7"/>
  <c r="A43" i="7"/>
  <c r="C42" i="7"/>
  <c r="B42" i="7"/>
  <c r="A42" i="7"/>
  <c r="D41" i="7"/>
  <c r="C41" i="7"/>
  <c r="B41" i="7"/>
  <c r="A41" i="7"/>
  <c r="D40" i="7"/>
  <c r="C40" i="7"/>
  <c r="B40" i="7"/>
  <c r="A40" i="7"/>
  <c r="C39" i="7"/>
  <c r="B39" i="7"/>
  <c r="A39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C2" i="7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Q115" i="2"/>
  <c r="BQ116" i="2"/>
  <c r="BQ117" i="2"/>
  <c r="BQ118" i="2"/>
  <c r="BQ119" i="2"/>
  <c r="BQ120" i="2"/>
  <c r="BQ121" i="2"/>
  <c r="BQ122" i="2"/>
  <c r="BQ123" i="2"/>
  <c r="BQ124" i="2"/>
  <c r="BQ125" i="2"/>
  <c r="BQ126" i="2"/>
  <c r="BQ127" i="2"/>
  <c r="BQ128" i="2"/>
  <c r="BQ129" i="2"/>
  <c r="BQ130" i="2"/>
  <c r="BQ131" i="2"/>
  <c r="BQ132" i="2"/>
  <c r="BQ133" i="2"/>
  <c r="BQ134" i="2"/>
  <c r="BQ135" i="2"/>
  <c r="BQ136" i="2"/>
  <c r="BQ137" i="2"/>
  <c r="BQ138" i="2"/>
  <c r="BQ139" i="2"/>
  <c r="BQ140" i="2"/>
  <c r="BQ141" i="2"/>
  <c r="BQ142" i="2"/>
  <c r="BQ143" i="2"/>
  <c r="BQ144" i="2"/>
  <c r="BQ145" i="2"/>
  <c r="BQ146" i="2"/>
  <c r="BQ147" i="2"/>
  <c r="BQ148" i="2"/>
  <c r="BQ149" i="2"/>
  <c r="BQ150" i="2"/>
  <c r="BQ151" i="2"/>
  <c r="BQ152" i="2"/>
  <c r="BQ153" i="2"/>
  <c r="BQ154" i="2"/>
  <c r="BQ155" i="2"/>
  <c r="BQ156" i="2"/>
  <c r="BQ157" i="2"/>
  <c r="BQ158" i="2"/>
  <c r="BQ159" i="2"/>
  <c r="BQ160" i="2"/>
  <c r="BQ161" i="2"/>
  <c r="BQ162" i="2"/>
  <c r="BQ163" i="2"/>
  <c r="BQ164" i="2"/>
  <c r="BQ165" i="2"/>
  <c r="BQ166" i="2"/>
  <c r="BQ167" i="2"/>
  <c r="BQ168" i="2"/>
  <c r="BQ169" i="2"/>
  <c r="BQ170" i="2"/>
  <c r="BQ171" i="2"/>
  <c r="BQ172" i="2"/>
  <c r="BQ173" i="2"/>
  <c r="BQ174" i="2"/>
  <c r="BQ175" i="2"/>
  <c r="BQ176" i="2"/>
  <c r="BQ177" i="2"/>
  <c r="BQ178" i="2"/>
  <c r="BQ179" i="2"/>
  <c r="BQ180" i="2"/>
  <c r="BQ181" i="2"/>
  <c r="BQ182" i="2"/>
  <c r="BQ183" i="2"/>
  <c r="BQ184" i="2"/>
  <c r="BQ185" i="2"/>
  <c r="BQ186" i="2"/>
  <c r="BQ187" i="2"/>
  <c r="BQ188" i="2"/>
  <c r="BQ189" i="2"/>
  <c r="BQ190" i="2"/>
  <c r="BQ191" i="2"/>
  <c r="BQ192" i="2"/>
  <c r="BQ193" i="2"/>
  <c r="BQ194" i="2"/>
  <c r="BQ195" i="2"/>
  <c r="BQ196" i="2"/>
  <c r="BQ197" i="2"/>
  <c r="BQ198" i="2"/>
  <c r="BQ199" i="2"/>
  <c r="BQ200" i="2"/>
  <c r="BQ201" i="2"/>
  <c r="BQ202" i="2"/>
  <c r="BQ203" i="2"/>
  <c r="BQ204" i="2"/>
  <c r="BQ205" i="2"/>
  <c r="BQ206" i="2"/>
  <c r="BQ207" i="2"/>
  <c r="BQ208" i="2"/>
  <c r="BQ209" i="2"/>
  <c r="BQ210" i="2"/>
  <c r="BQ211" i="2"/>
  <c r="BQ212" i="2"/>
  <c r="BQ213" i="2"/>
  <c r="BQ214" i="2"/>
  <c r="BQ215" i="2"/>
  <c r="BQ216" i="2"/>
  <c r="BQ217" i="2"/>
  <c r="BQ218" i="2"/>
  <c r="BQ219" i="2"/>
  <c r="BQ220" i="2"/>
  <c r="BQ221" i="2"/>
  <c r="BQ222" i="2"/>
  <c r="BQ223" i="2"/>
  <c r="BQ224" i="2"/>
  <c r="BQ225" i="2"/>
  <c r="BQ226" i="2"/>
  <c r="BQ227" i="2"/>
  <c r="BQ228" i="2"/>
  <c r="BQ229" i="2"/>
  <c r="H38" i="2"/>
  <c r="I38" i="2" s="1"/>
  <c r="H39" i="2"/>
  <c r="H40" i="2"/>
  <c r="H41" i="2"/>
  <c r="H42" i="2"/>
  <c r="I42" i="2" s="1"/>
  <c r="H43" i="2"/>
  <c r="H44" i="2"/>
  <c r="H45" i="2"/>
  <c r="H46" i="2"/>
  <c r="I46" i="2" s="1"/>
  <c r="H47" i="2"/>
  <c r="H48" i="2"/>
  <c r="H49" i="2"/>
  <c r="H50" i="2"/>
  <c r="I50" i="2" s="1"/>
  <c r="H51" i="2"/>
  <c r="H52" i="2"/>
  <c r="H53" i="2"/>
  <c r="H54" i="2"/>
  <c r="I54" i="2" s="1"/>
  <c r="H55" i="2"/>
  <c r="H56" i="2"/>
  <c r="H57" i="2"/>
  <c r="H58" i="2"/>
  <c r="I58" i="2" s="1"/>
  <c r="H59" i="2"/>
  <c r="H60" i="2"/>
  <c r="H61" i="2"/>
  <c r="H62" i="2"/>
  <c r="I62" i="2" s="1"/>
  <c r="H63" i="2"/>
  <c r="H64" i="2"/>
  <c r="H65" i="2"/>
  <c r="H66" i="2"/>
  <c r="I66" i="2" s="1"/>
  <c r="H67" i="2"/>
  <c r="H68" i="2"/>
  <c r="H69" i="2"/>
  <c r="H70" i="2"/>
  <c r="I70" i="2" s="1"/>
  <c r="H71" i="2"/>
  <c r="H72" i="2"/>
  <c r="H73" i="2"/>
  <c r="H74" i="2"/>
  <c r="I74" i="2" s="1"/>
  <c r="H75" i="2"/>
  <c r="H76" i="2"/>
  <c r="H77" i="2"/>
  <c r="H78" i="2"/>
  <c r="I78" i="2" s="1"/>
  <c r="H79" i="2"/>
  <c r="H80" i="2"/>
  <c r="H81" i="2"/>
  <c r="H82" i="2"/>
  <c r="I82" i="2" s="1"/>
  <c r="H83" i="2"/>
  <c r="H84" i="2"/>
  <c r="H85" i="2"/>
  <c r="H86" i="2"/>
  <c r="I86" i="2" s="1"/>
  <c r="H87" i="2"/>
  <c r="H88" i="2"/>
  <c r="H89" i="2"/>
  <c r="H90" i="2"/>
  <c r="I90" i="2" s="1"/>
  <c r="H91" i="2"/>
  <c r="H92" i="2"/>
  <c r="H93" i="2"/>
  <c r="H94" i="2"/>
  <c r="I94" i="2" s="1"/>
  <c r="H95" i="2"/>
  <c r="H96" i="2"/>
  <c r="H97" i="2"/>
  <c r="H98" i="2"/>
  <c r="I98" i="2" s="1"/>
  <c r="H99" i="2"/>
  <c r="H100" i="2"/>
  <c r="H101" i="2"/>
  <c r="H102" i="2"/>
  <c r="I102" i="2" s="1"/>
  <c r="H103" i="2"/>
  <c r="H104" i="2"/>
  <c r="H105" i="2"/>
  <c r="H106" i="2"/>
  <c r="I106" i="2" s="1"/>
  <c r="H107" i="2"/>
  <c r="H108" i="2"/>
  <c r="H109" i="2"/>
  <c r="H110" i="2"/>
  <c r="I110" i="2" s="1"/>
  <c r="H111" i="2"/>
  <c r="H112" i="2"/>
  <c r="H113" i="2"/>
  <c r="H114" i="2"/>
  <c r="I114" i="2" s="1"/>
  <c r="H115" i="2"/>
  <c r="H116" i="2"/>
  <c r="H117" i="2"/>
  <c r="H118" i="2"/>
  <c r="I118" i="2" s="1"/>
  <c r="H119" i="2"/>
  <c r="H120" i="2"/>
  <c r="H121" i="2"/>
  <c r="H122" i="2"/>
  <c r="I122" i="2" s="1"/>
  <c r="H123" i="2"/>
  <c r="H124" i="2"/>
  <c r="I124" i="2" s="1"/>
  <c r="H125" i="2"/>
  <c r="H126" i="2"/>
  <c r="I126" i="2" s="1"/>
  <c r="H127" i="2"/>
  <c r="H128" i="2"/>
  <c r="I128" i="2" s="1"/>
  <c r="H129" i="2"/>
  <c r="H130" i="2"/>
  <c r="I130" i="2" s="1"/>
  <c r="H131" i="2"/>
  <c r="H132" i="2"/>
  <c r="I132" i="2" s="1"/>
  <c r="H133" i="2"/>
  <c r="H134" i="2"/>
  <c r="I134" i="2" s="1"/>
  <c r="H135" i="2"/>
  <c r="H136" i="2"/>
  <c r="I136" i="2" s="1"/>
  <c r="H137" i="2"/>
  <c r="H138" i="2"/>
  <c r="I138" i="2" s="1"/>
  <c r="H139" i="2"/>
  <c r="H140" i="2"/>
  <c r="I140" i="2" s="1"/>
  <c r="H141" i="2"/>
  <c r="H142" i="2"/>
  <c r="H143" i="2"/>
  <c r="H144" i="2"/>
  <c r="I144" i="2" s="1"/>
  <c r="H145" i="2"/>
  <c r="H146" i="2"/>
  <c r="H147" i="2"/>
  <c r="H148" i="2"/>
  <c r="I148" i="2" s="1"/>
  <c r="H149" i="2"/>
  <c r="H150" i="2"/>
  <c r="H151" i="2"/>
  <c r="H152" i="2"/>
  <c r="I152" i="2" s="1"/>
  <c r="H153" i="2"/>
  <c r="H154" i="2"/>
  <c r="H155" i="2"/>
  <c r="H156" i="2"/>
  <c r="I156" i="2" s="1"/>
  <c r="H157" i="2"/>
  <c r="H158" i="2"/>
  <c r="H159" i="2"/>
  <c r="H160" i="2"/>
  <c r="I160" i="2" s="1"/>
  <c r="H161" i="2"/>
  <c r="H162" i="2"/>
  <c r="H163" i="2"/>
  <c r="H164" i="2"/>
  <c r="I164" i="2" s="1"/>
  <c r="H165" i="2"/>
  <c r="H166" i="2"/>
  <c r="H167" i="2"/>
  <c r="H168" i="2"/>
  <c r="I168" i="2" s="1"/>
  <c r="H169" i="2"/>
  <c r="H170" i="2"/>
  <c r="H171" i="2"/>
  <c r="H172" i="2"/>
  <c r="I172" i="2" s="1"/>
  <c r="H173" i="2"/>
  <c r="H174" i="2"/>
  <c r="H175" i="2"/>
  <c r="H176" i="2"/>
  <c r="I176" i="2" s="1"/>
  <c r="H177" i="2"/>
  <c r="H178" i="2"/>
  <c r="H179" i="2"/>
  <c r="H180" i="2"/>
  <c r="I180" i="2" s="1"/>
  <c r="H181" i="2"/>
  <c r="H182" i="2"/>
  <c r="H183" i="2"/>
  <c r="H184" i="2"/>
  <c r="I184" i="2" s="1"/>
  <c r="H185" i="2"/>
  <c r="H186" i="2"/>
  <c r="H187" i="2"/>
  <c r="H188" i="2"/>
  <c r="I188" i="2" s="1"/>
  <c r="H189" i="2"/>
  <c r="H190" i="2"/>
  <c r="H191" i="2"/>
  <c r="H192" i="2"/>
  <c r="I192" i="2" s="1"/>
  <c r="H193" i="2"/>
  <c r="H194" i="2"/>
  <c r="H195" i="2"/>
  <c r="H196" i="2"/>
  <c r="I196" i="2" s="1"/>
  <c r="H197" i="2"/>
  <c r="H198" i="2"/>
  <c r="H199" i="2"/>
  <c r="H200" i="2"/>
  <c r="I200" i="2" s="1"/>
  <c r="H201" i="2"/>
  <c r="H202" i="2"/>
  <c r="BR202" i="2" s="1"/>
  <c r="H203" i="2"/>
  <c r="I203" i="2" s="1"/>
  <c r="H204" i="2"/>
  <c r="BR204" i="2" s="1"/>
  <c r="H205" i="2"/>
  <c r="H206" i="2"/>
  <c r="BR206" i="2" s="1"/>
  <c r="H207" i="2"/>
  <c r="H208" i="2"/>
  <c r="H209" i="2"/>
  <c r="H210" i="2"/>
  <c r="H211" i="2"/>
  <c r="H212" i="2"/>
  <c r="H213" i="2"/>
  <c r="BR213" i="2" s="1"/>
  <c r="H214" i="2"/>
  <c r="I214" i="2" s="1"/>
  <c r="H215" i="2"/>
  <c r="BR215" i="2" s="1"/>
  <c r="H216" i="2"/>
  <c r="H217" i="2"/>
  <c r="I217" i="2" s="1"/>
  <c r="H218" i="2"/>
  <c r="H219" i="2"/>
  <c r="H220" i="2"/>
  <c r="H221" i="2"/>
  <c r="BR221" i="2" s="1"/>
  <c r="H222" i="2"/>
  <c r="I222" i="2" s="1"/>
  <c r="H223" i="2"/>
  <c r="BR223" i="2" s="1"/>
  <c r="H224" i="2"/>
  <c r="I224" i="2" s="1"/>
  <c r="H225" i="2"/>
  <c r="H226" i="2"/>
  <c r="I226" i="2" s="1"/>
  <c r="H227" i="2"/>
  <c r="I227" i="2" s="1"/>
  <c r="H228" i="2"/>
  <c r="I228" i="2" s="1"/>
  <c r="H229" i="2"/>
  <c r="BG232" i="2"/>
  <c r="BG239" i="2" s="1"/>
  <c r="BH232" i="2"/>
  <c r="BH234" i="2" s="1"/>
  <c r="BI232" i="2"/>
  <c r="BI233" i="2" s="1"/>
  <c r="BJ232" i="2"/>
  <c r="BJ239" i="2" s="1"/>
  <c r="BJ241" i="2" s="1"/>
  <c r="BK232" i="2"/>
  <c r="BK233" i="2" s="1"/>
  <c r="BL232" i="2"/>
  <c r="BL233" i="2" s="1"/>
  <c r="BM232" i="2"/>
  <c r="BM233" i="2" s="1"/>
  <c r="BN232" i="2"/>
  <c r="BN239" i="2" s="1"/>
  <c r="BO232" i="2"/>
  <c r="BO233" i="2" s="1"/>
  <c r="BP232" i="2"/>
  <c r="BP233" i="2" s="1"/>
  <c r="BI234" i="2"/>
  <c r="BL234" i="2"/>
  <c r="BP234" i="2"/>
  <c r="BI239" i="2"/>
  <c r="BI240" i="2" s="1"/>
  <c r="BM239" i="2"/>
  <c r="BM240" i="2" s="1"/>
  <c r="F232" i="2"/>
  <c r="BM234" i="2" l="1"/>
  <c r="D49" i="7"/>
  <c r="BS38" i="2"/>
  <c r="C39" i="2"/>
  <c r="BG241" i="2"/>
  <c r="BG240" i="2"/>
  <c r="BG234" i="2"/>
  <c r="BG233" i="2"/>
  <c r="BT141" i="2"/>
  <c r="BT145" i="2"/>
  <c r="BT146" i="2"/>
  <c r="BT150" i="2"/>
  <c r="BT154" i="2"/>
  <c r="BT155" i="2"/>
  <c r="BT162" i="2"/>
  <c r="BT166" i="2"/>
  <c r="BT170" i="2"/>
  <c r="BT173" i="2"/>
  <c r="BT177" i="2"/>
  <c r="BT178" i="2"/>
  <c r="BT96" i="2"/>
  <c r="BT182" i="2"/>
  <c r="BT186" i="2"/>
  <c r="BT187" i="2"/>
  <c r="BT194" i="2"/>
  <c r="BT198" i="2"/>
  <c r="BT210" i="2"/>
  <c r="BT216" i="2"/>
  <c r="BT219" i="2"/>
  <c r="BT92" i="2"/>
  <c r="BT100" i="2"/>
  <c r="BT104" i="2"/>
  <c r="BT105" i="2"/>
  <c r="BT108" i="2"/>
  <c r="BT112" i="2"/>
  <c r="BT120" i="2"/>
  <c r="BT121" i="2"/>
  <c r="BT123" i="2"/>
  <c r="BT125" i="2"/>
  <c r="BT131" i="2"/>
  <c r="BT217" i="2"/>
  <c r="BR217" i="2"/>
  <c r="BR229" i="2"/>
  <c r="I229" i="2"/>
  <c r="BT101" i="2"/>
  <c r="BT89" i="2"/>
  <c r="BT85" i="2"/>
  <c r="BT81" i="2"/>
  <c r="BT77" i="2"/>
  <c r="BT73" i="2"/>
  <c r="BT69" i="2"/>
  <c r="BT65" i="2"/>
  <c r="BT61" i="2"/>
  <c r="BT57" i="2"/>
  <c r="BT53" i="2"/>
  <c r="BT49" i="2"/>
  <c r="BT45" i="2"/>
  <c r="BT41" i="2"/>
  <c r="BT214" i="2"/>
  <c r="BR196" i="2"/>
  <c r="BR188" i="2"/>
  <c r="BR180" i="2"/>
  <c r="BT176" i="2"/>
  <c r="BT164" i="2"/>
  <c r="BR152" i="2"/>
  <c r="BT148" i="2"/>
  <c r="BR144" i="2"/>
  <c r="BT140" i="2"/>
  <c r="BR132" i="2"/>
  <c r="BT128" i="2"/>
  <c r="BT116" i="2"/>
  <c r="BH233" i="2"/>
  <c r="I223" i="2"/>
  <c r="BT201" i="2"/>
  <c r="BT193" i="2"/>
  <c r="BT189" i="2"/>
  <c r="BT185" i="2"/>
  <c r="BT169" i="2"/>
  <c r="BT161" i="2"/>
  <c r="BT157" i="2"/>
  <c r="BT153" i="2"/>
  <c r="BT133" i="2"/>
  <c r="BT117" i="2"/>
  <c r="BT113" i="2"/>
  <c r="BT97" i="2"/>
  <c r="BT229" i="2"/>
  <c r="BT222" i="2"/>
  <c r="BT203" i="2"/>
  <c r="BT200" i="2"/>
  <c r="BT192" i="2"/>
  <c r="BR160" i="2"/>
  <c r="BT136" i="2"/>
  <c r="BR214" i="2"/>
  <c r="BT196" i="2"/>
  <c r="BR184" i="2"/>
  <c r="BT180" i="2"/>
  <c r="BR176" i="2"/>
  <c r="BT172" i="2"/>
  <c r="BR164" i="2"/>
  <c r="BR156" i="2"/>
  <c r="BR148" i="2"/>
  <c r="BT144" i="2"/>
  <c r="BR128" i="2"/>
  <c r="BL239" i="2"/>
  <c r="BL240" i="2" s="1"/>
  <c r="BT225" i="2"/>
  <c r="BT171" i="2"/>
  <c r="BT139" i="2"/>
  <c r="BT220" i="2"/>
  <c r="BR203" i="2"/>
  <c r="BR192" i="2"/>
  <c r="BT168" i="2"/>
  <c r="BT160" i="2"/>
  <c r="BR136" i="2"/>
  <c r="BT124" i="2"/>
  <c r="BR138" i="2"/>
  <c r="BR134" i="2"/>
  <c r="BT130" i="2"/>
  <c r="BT126" i="2"/>
  <c r="BT118" i="2"/>
  <c r="BT106" i="2"/>
  <c r="BT94" i="2"/>
  <c r="BT74" i="2"/>
  <c r="BT62" i="2"/>
  <c r="BT42" i="2"/>
  <c r="BH239" i="2"/>
  <c r="BK234" i="2"/>
  <c r="I225" i="2"/>
  <c r="I206" i="2"/>
  <c r="BR228" i="2"/>
  <c r="BR225" i="2"/>
  <c r="BT223" i="2"/>
  <c r="BT206" i="2"/>
  <c r="BR200" i="2"/>
  <c r="BT188" i="2"/>
  <c r="BT184" i="2"/>
  <c r="BR172" i="2"/>
  <c r="BR168" i="2"/>
  <c r="BT156" i="2"/>
  <c r="BT152" i="2"/>
  <c r="BR140" i="2"/>
  <c r="BT132" i="2"/>
  <c r="BR124" i="2"/>
  <c r="BT98" i="2"/>
  <c r="BT82" i="2"/>
  <c r="BT70" i="2"/>
  <c r="BT50" i="2"/>
  <c r="BT38" i="2"/>
  <c r="I202" i="2"/>
  <c r="BR222" i="2"/>
  <c r="BT202" i="2"/>
  <c r="BT138" i="2"/>
  <c r="BT134" i="2"/>
  <c r="BR130" i="2"/>
  <c r="BR126" i="2"/>
  <c r="BT122" i="2"/>
  <c r="BT110" i="2"/>
  <c r="BT102" i="2"/>
  <c r="BT90" i="2"/>
  <c r="BT78" i="2"/>
  <c r="BT58" i="2"/>
  <c r="BT46" i="2"/>
  <c r="I221" i="2"/>
  <c r="I215" i="2"/>
  <c r="BT204" i="2"/>
  <c r="BT114" i="2"/>
  <c r="BT86" i="2"/>
  <c r="BT66" i="2"/>
  <c r="BT54" i="2"/>
  <c r="I218" i="2"/>
  <c r="BR218" i="2"/>
  <c r="I209" i="2"/>
  <c r="BR209" i="2"/>
  <c r="BT209" i="2"/>
  <c r="I212" i="2"/>
  <c r="BR212" i="2"/>
  <c r="BR208" i="2"/>
  <c r="I208" i="2"/>
  <c r="I205" i="2"/>
  <c r="BR205" i="2"/>
  <c r="I199" i="2"/>
  <c r="BR199" i="2"/>
  <c r="I195" i="2"/>
  <c r="BR195" i="2"/>
  <c r="I191" i="2"/>
  <c r="BR191" i="2"/>
  <c r="I187" i="2"/>
  <c r="BR187" i="2"/>
  <c r="I183" i="2"/>
  <c r="BR183" i="2"/>
  <c r="I179" i="2"/>
  <c r="BR179" i="2"/>
  <c r="I175" i="2"/>
  <c r="BR175" i="2"/>
  <c r="I171" i="2"/>
  <c r="BR171" i="2"/>
  <c r="I167" i="2"/>
  <c r="BR167" i="2"/>
  <c r="I163" i="2"/>
  <c r="BR163" i="2"/>
  <c r="I159" i="2"/>
  <c r="BR159" i="2"/>
  <c r="I155" i="2"/>
  <c r="BR155" i="2"/>
  <c r="I151" i="2"/>
  <c r="BR151" i="2"/>
  <c r="I147" i="2"/>
  <c r="BR147" i="2"/>
  <c r="I143" i="2"/>
  <c r="BR143" i="2"/>
  <c r="I139" i="2"/>
  <c r="BR139" i="2"/>
  <c r="I135" i="2"/>
  <c r="BR135" i="2"/>
  <c r="I131" i="2"/>
  <c r="BR131" i="2"/>
  <c r="I127" i="2"/>
  <c r="BR127" i="2"/>
  <c r="I123" i="2"/>
  <c r="BR123" i="2"/>
  <c r="I119" i="2"/>
  <c r="BR119" i="2"/>
  <c r="BT119" i="2"/>
  <c r="I115" i="2"/>
  <c r="BR115" i="2"/>
  <c r="BT115" i="2"/>
  <c r="I111" i="2"/>
  <c r="BR111" i="2"/>
  <c r="BT111" i="2"/>
  <c r="I107" i="2"/>
  <c r="BR107" i="2"/>
  <c r="BT107" i="2"/>
  <c r="I103" i="2"/>
  <c r="BR103" i="2"/>
  <c r="BT103" i="2"/>
  <c r="I99" i="2"/>
  <c r="BR99" i="2"/>
  <c r="BT99" i="2"/>
  <c r="I95" i="2"/>
  <c r="BR95" i="2"/>
  <c r="BT95" i="2"/>
  <c r="I91" i="2"/>
  <c r="BR91" i="2"/>
  <c r="BT91" i="2"/>
  <c r="I87" i="2"/>
  <c r="BR87" i="2"/>
  <c r="BT87" i="2"/>
  <c r="I83" i="2"/>
  <c r="BR83" i="2"/>
  <c r="BT83" i="2"/>
  <c r="I79" i="2"/>
  <c r="BR79" i="2"/>
  <c r="BT79" i="2"/>
  <c r="I75" i="2"/>
  <c r="BR75" i="2"/>
  <c r="BT75" i="2"/>
  <c r="I71" i="2"/>
  <c r="BR71" i="2"/>
  <c r="BT71" i="2"/>
  <c r="I67" i="2"/>
  <c r="BR67" i="2"/>
  <c r="BT67" i="2"/>
  <c r="I63" i="2"/>
  <c r="BR63" i="2"/>
  <c r="BT63" i="2"/>
  <c r="I59" i="2"/>
  <c r="BR59" i="2"/>
  <c r="BT59" i="2"/>
  <c r="I55" i="2"/>
  <c r="BR55" i="2"/>
  <c r="BT55" i="2"/>
  <c r="I51" i="2"/>
  <c r="BR51" i="2"/>
  <c r="BT51" i="2"/>
  <c r="I47" i="2"/>
  <c r="BR47" i="2"/>
  <c r="BT47" i="2"/>
  <c r="I43" i="2"/>
  <c r="BR43" i="2"/>
  <c r="BT43" i="2"/>
  <c r="I39" i="2"/>
  <c r="BR39" i="2"/>
  <c r="BT39" i="2"/>
  <c r="BR227" i="2"/>
  <c r="BR226" i="2"/>
  <c r="BR224" i="2"/>
  <c r="BT215" i="2"/>
  <c r="BT205" i="2"/>
  <c r="BT199" i="2"/>
  <c r="BT183" i="2"/>
  <c r="BT167" i="2"/>
  <c r="BT151" i="2"/>
  <c r="BI241" i="2"/>
  <c r="BP239" i="2"/>
  <c r="BK239" i="2"/>
  <c r="I220" i="2"/>
  <c r="BR220" i="2"/>
  <c r="BR211" i="2"/>
  <c r="I211" i="2"/>
  <c r="I207" i="2"/>
  <c r="BR207" i="2"/>
  <c r="I204" i="2"/>
  <c r="I198" i="2"/>
  <c r="BR198" i="2"/>
  <c r="I194" i="2"/>
  <c r="BR194" i="2"/>
  <c r="I190" i="2"/>
  <c r="BR190" i="2"/>
  <c r="I186" i="2"/>
  <c r="BR186" i="2"/>
  <c r="I182" i="2"/>
  <c r="BR182" i="2"/>
  <c r="I178" i="2"/>
  <c r="BR178" i="2"/>
  <c r="I174" i="2"/>
  <c r="BR174" i="2"/>
  <c r="I170" i="2"/>
  <c r="BR170" i="2"/>
  <c r="I166" i="2"/>
  <c r="BR166" i="2"/>
  <c r="I162" i="2"/>
  <c r="BR162" i="2"/>
  <c r="I158" i="2"/>
  <c r="BR158" i="2"/>
  <c r="I154" i="2"/>
  <c r="BR154" i="2"/>
  <c r="I150" i="2"/>
  <c r="BR150" i="2"/>
  <c r="I146" i="2"/>
  <c r="BR146" i="2"/>
  <c r="I142" i="2"/>
  <c r="BR142" i="2"/>
  <c r="BT221" i="2"/>
  <c r="BT211" i="2"/>
  <c r="BT207" i="2"/>
  <c r="BT195" i="2"/>
  <c r="BT190" i="2"/>
  <c r="BT179" i="2"/>
  <c r="BT174" i="2"/>
  <c r="BT163" i="2"/>
  <c r="BT158" i="2"/>
  <c r="BT147" i="2"/>
  <c r="BT142" i="2"/>
  <c r="BT135" i="2"/>
  <c r="BT127" i="2"/>
  <c r="BT213" i="2"/>
  <c r="BO234" i="2"/>
  <c r="BO239" i="2"/>
  <c r="BR219" i="2"/>
  <c r="I219" i="2"/>
  <c r="I216" i="2"/>
  <c r="BR216" i="2"/>
  <c r="I213" i="2"/>
  <c r="I210" i="2"/>
  <c r="BR210" i="2"/>
  <c r="I201" i="2"/>
  <c r="BR201" i="2"/>
  <c r="I197" i="2"/>
  <c r="BR197" i="2"/>
  <c r="I193" i="2"/>
  <c r="BR193" i="2"/>
  <c r="I189" i="2"/>
  <c r="BR189" i="2"/>
  <c r="I185" i="2"/>
  <c r="BR185" i="2"/>
  <c r="I181" i="2"/>
  <c r="BR181" i="2"/>
  <c r="I177" i="2"/>
  <c r="BR177" i="2"/>
  <c r="I173" i="2"/>
  <c r="BR173" i="2"/>
  <c r="I169" i="2"/>
  <c r="BR169" i="2"/>
  <c r="I165" i="2"/>
  <c r="BR165" i="2"/>
  <c r="I161" i="2"/>
  <c r="BR161" i="2"/>
  <c r="I157" i="2"/>
  <c r="BR157" i="2"/>
  <c r="I153" i="2"/>
  <c r="BR153" i="2"/>
  <c r="I149" i="2"/>
  <c r="BR149" i="2"/>
  <c r="I145" i="2"/>
  <c r="BR145" i="2"/>
  <c r="I141" i="2"/>
  <c r="BR141" i="2"/>
  <c r="I137" i="2"/>
  <c r="BR137" i="2"/>
  <c r="I133" i="2"/>
  <c r="BR133" i="2"/>
  <c r="I129" i="2"/>
  <c r="BR129" i="2"/>
  <c r="I125" i="2"/>
  <c r="BR125" i="2"/>
  <c r="I121" i="2"/>
  <c r="BR121" i="2"/>
  <c r="I117" i="2"/>
  <c r="BR117" i="2"/>
  <c r="I113" i="2"/>
  <c r="BR113" i="2"/>
  <c r="I109" i="2"/>
  <c r="BR109" i="2"/>
  <c r="I105" i="2"/>
  <c r="BR105" i="2"/>
  <c r="I101" i="2"/>
  <c r="BR101" i="2"/>
  <c r="I97" i="2"/>
  <c r="BR97" i="2"/>
  <c r="I93" i="2"/>
  <c r="BR93" i="2"/>
  <c r="I89" i="2"/>
  <c r="BR89" i="2"/>
  <c r="I85" i="2"/>
  <c r="BR85" i="2"/>
  <c r="I81" i="2"/>
  <c r="BR81" i="2"/>
  <c r="I77" i="2"/>
  <c r="BR77" i="2"/>
  <c r="I73" i="2"/>
  <c r="BR73" i="2"/>
  <c r="I69" i="2"/>
  <c r="BR69" i="2"/>
  <c r="I65" i="2"/>
  <c r="BR65" i="2"/>
  <c r="I61" i="2"/>
  <c r="BR61" i="2"/>
  <c r="I57" i="2"/>
  <c r="BR57" i="2"/>
  <c r="I53" i="2"/>
  <c r="BR53" i="2"/>
  <c r="I49" i="2"/>
  <c r="BR49" i="2"/>
  <c r="I45" i="2"/>
  <c r="BR45" i="2"/>
  <c r="I41" i="2"/>
  <c r="BR41" i="2"/>
  <c r="BT228" i="2"/>
  <c r="BT227" i="2"/>
  <c r="BT226" i="2"/>
  <c r="BT224" i="2"/>
  <c r="BT218" i="2"/>
  <c r="BT212" i="2"/>
  <c r="BT208" i="2"/>
  <c r="BT197" i="2"/>
  <c r="BT191" i="2"/>
  <c r="BT181" i="2"/>
  <c r="BT175" i="2"/>
  <c r="BT165" i="2"/>
  <c r="BT159" i="2"/>
  <c r="BT149" i="2"/>
  <c r="BT143" i="2"/>
  <c r="BT137" i="2"/>
  <c r="BT129" i="2"/>
  <c r="BT109" i="2"/>
  <c r="BT93" i="2"/>
  <c r="I120" i="2"/>
  <c r="BR120" i="2"/>
  <c r="I116" i="2"/>
  <c r="BR116" i="2"/>
  <c r="I112" i="2"/>
  <c r="BR112" i="2"/>
  <c r="I108" i="2"/>
  <c r="BR108" i="2"/>
  <c r="I104" i="2"/>
  <c r="BR104" i="2"/>
  <c r="I100" i="2"/>
  <c r="BR100" i="2"/>
  <c r="I96" i="2"/>
  <c r="BR96" i="2"/>
  <c r="I92" i="2"/>
  <c r="BR92" i="2"/>
  <c r="I88" i="2"/>
  <c r="BR88" i="2"/>
  <c r="I84" i="2"/>
  <c r="BR84" i="2"/>
  <c r="I80" i="2"/>
  <c r="BR80" i="2"/>
  <c r="I76" i="2"/>
  <c r="BR76" i="2"/>
  <c r="I72" i="2"/>
  <c r="BR72" i="2"/>
  <c r="I68" i="2"/>
  <c r="BR68" i="2"/>
  <c r="I64" i="2"/>
  <c r="BR64" i="2"/>
  <c r="I60" i="2"/>
  <c r="BR60" i="2"/>
  <c r="I56" i="2"/>
  <c r="BR56" i="2"/>
  <c r="I52" i="2"/>
  <c r="BR52" i="2"/>
  <c r="I48" i="2"/>
  <c r="BR48" i="2"/>
  <c r="I44" i="2"/>
  <c r="BR44" i="2"/>
  <c r="I40" i="2"/>
  <c r="BR40" i="2"/>
  <c r="BT88" i="2"/>
  <c r="BT84" i="2"/>
  <c r="BT80" i="2"/>
  <c r="BT76" i="2"/>
  <c r="BT72" i="2"/>
  <c r="BT68" i="2"/>
  <c r="BT64" i="2"/>
  <c r="BT60" i="2"/>
  <c r="BT56" i="2"/>
  <c r="BT52" i="2"/>
  <c r="BT48" i="2"/>
  <c r="BT44" i="2"/>
  <c r="BT40" i="2"/>
  <c r="BR122" i="2"/>
  <c r="BR118" i="2"/>
  <c r="BR114" i="2"/>
  <c r="BR110" i="2"/>
  <c r="BR106" i="2"/>
  <c r="BR102" i="2"/>
  <c r="BR98" i="2"/>
  <c r="BR94" i="2"/>
  <c r="BR90" i="2"/>
  <c r="BR86" i="2"/>
  <c r="BR82" i="2"/>
  <c r="BR78" i="2"/>
  <c r="BR74" i="2"/>
  <c r="BR70" i="2"/>
  <c r="BR66" i="2"/>
  <c r="BR62" i="2"/>
  <c r="BR58" i="2"/>
  <c r="BR54" i="2"/>
  <c r="BR50" i="2"/>
  <c r="BR46" i="2"/>
  <c r="BR42" i="2"/>
  <c r="BR38" i="2"/>
  <c r="BN241" i="2"/>
  <c r="BN240" i="2"/>
  <c r="BM241" i="2"/>
  <c r="BN233" i="2"/>
  <c r="BJ233" i="2"/>
  <c r="BN234" i="2"/>
  <c r="BJ234" i="2"/>
  <c r="BJ240" i="2"/>
  <c r="BQ33" i="2"/>
  <c r="BQ34" i="2"/>
  <c r="BQ35" i="2"/>
  <c r="BQ231" i="2"/>
  <c r="BQ32" i="2"/>
  <c r="J232" i="2"/>
  <c r="J239" i="2" s="1"/>
  <c r="K232" i="2"/>
  <c r="K239" i="2" s="1"/>
  <c r="L232" i="2"/>
  <c r="L239" i="2" s="1"/>
  <c r="M232" i="2"/>
  <c r="M239" i="2" s="1"/>
  <c r="N232" i="2"/>
  <c r="N239" i="2" s="1"/>
  <c r="O232" i="2"/>
  <c r="O239" i="2" s="1"/>
  <c r="P232" i="2"/>
  <c r="P239" i="2" s="1"/>
  <c r="Q232" i="2"/>
  <c r="Q239" i="2" s="1"/>
  <c r="R232" i="2"/>
  <c r="R239" i="2" s="1"/>
  <c r="S232" i="2"/>
  <c r="S239" i="2" s="1"/>
  <c r="T232" i="2"/>
  <c r="T239" i="2" s="1"/>
  <c r="U232" i="2"/>
  <c r="U239" i="2" s="1"/>
  <c r="V232" i="2"/>
  <c r="V239" i="2" s="1"/>
  <c r="W232" i="2"/>
  <c r="W239" i="2" s="1"/>
  <c r="X232" i="2"/>
  <c r="X239" i="2" s="1"/>
  <c r="Y232" i="2"/>
  <c r="Y239" i="2" s="1"/>
  <c r="Z232" i="2"/>
  <c r="Z239" i="2" s="1"/>
  <c r="AA232" i="2"/>
  <c r="AA239" i="2" s="1"/>
  <c r="AB232" i="2"/>
  <c r="AB239" i="2" s="1"/>
  <c r="AC232" i="2"/>
  <c r="AC239" i="2" s="1"/>
  <c r="AD232" i="2"/>
  <c r="AD239" i="2" s="1"/>
  <c r="AE232" i="2"/>
  <c r="AE239" i="2" s="1"/>
  <c r="AF232" i="2"/>
  <c r="AF239" i="2" s="1"/>
  <c r="AG232" i="2"/>
  <c r="AG239" i="2" s="1"/>
  <c r="AH232" i="2"/>
  <c r="AH239" i="2" s="1"/>
  <c r="AI232" i="2"/>
  <c r="AI239" i="2" s="1"/>
  <c r="AJ232" i="2"/>
  <c r="AJ239" i="2" s="1"/>
  <c r="AK232" i="2"/>
  <c r="AK239" i="2" s="1"/>
  <c r="AL232" i="2"/>
  <c r="AL239" i="2" s="1"/>
  <c r="AM232" i="2"/>
  <c r="AM239" i="2" s="1"/>
  <c r="AN232" i="2"/>
  <c r="AN239" i="2" s="1"/>
  <c r="AO232" i="2"/>
  <c r="AO239" i="2" s="1"/>
  <c r="AP232" i="2"/>
  <c r="AP239" i="2" s="1"/>
  <c r="AQ232" i="2"/>
  <c r="AQ239" i="2" s="1"/>
  <c r="AR232" i="2"/>
  <c r="AR239" i="2" s="1"/>
  <c r="AS232" i="2"/>
  <c r="AS239" i="2" s="1"/>
  <c r="AT232" i="2"/>
  <c r="AT239" i="2" s="1"/>
  <c r="AU232" i="2"/>
  <c r="AU239" i="2" s="1"/>
  <c r="AV232" i="2"/>
  <c r="AV239" i="2" s="1"/>
  <c r="AW232" i="2"/>
  <c r="AW239" i="2" s="1"/>
  <c r="AX232" i="2"/>
  <c r="AX239" i="2" s="1"/>
  <c r="AY232" i="2"/>
  <c r="AY239" i="2" s="1"/>
  <c r="AZ232" i="2"/>
  <c r="AZ239" i="2" s="1"/>
  <c r="BA232" i="2"/>
  <c r="BA239" i="2" s="1"/>
  <c r="BB232" i="2"/>
  <c r="BB239" i="2" s="1"/>
  <c r="BC232" i="2"/>
  <c r="BC239" i="2" s="1"/>
  <c r="BD232" i="2"/>
  <c r="BD239" i="2" s="1"/>
  <c r="BE232" i="2"/>
  <c r="BE239" i="2" s="1"/>
  <c r="BF232" i="2"/>
  <c r="BF239" i="2" s="1"/>
  <c r="BL241" i="2" l="1"/>
  <c r="C40" i="2"/>
  <c r="BS39" i="2"/>
  <c r="BH240" i="2"/>
  <c r="BH241" i="2"/>
  <c r="BK241" i="2"/>
  <c r="BK240" i="2"/>
  <c r="BO241" i="2"/>
  <c r="BO240" i="2"/>
  <c r="BP240" i="2"/>
  <c r="BP241" i="2"/>
  <c r="BQ12" i="2"/>
  <c r="BQ15" i="2"/>
  <c r="BQ16" i="2"/>
  <c r="BQ17" i="2"/>
  <c r="BQ18" i="2"/>
  <c r="BQ19" i="2"/>
  <c r="BQ20" i="2"/>
  <c r="BQ21" i="2"/>
  <c r="BQ22" i="2"/>
  <c r="BQ23" i="2"/>
  <c r="BQ24" i="2"/>
  <c r="BQ27" i="2"/>
  <c r="C41" i="2" l="1"/>
  <c r="BS40" i="2"/>
  <c r="BQ37" i="2"/>
  <c r="BS37" i="2"/>
  <c r="H37" i="2"/>
  <c r="BR37" i="2" s="1"/>
  <c r="BQ36" i="2"/>
  <c r="BS36" i="2"/>
  <c r="H36" i="2"/>
  <c r="C42" i="2" l="1"/>
  <c r="BS41" i="2"/>
  <c r="BT37" i="2"/>
  <c r="I37" i="2"/>
  <c r="BT36" i="2"/>
  <c r="BR36" i="2"/>
  <c r="I36" i="2"/>
  <c r="AC233" i="2"/>
  <c r="AD234" i="2"/>
  <c r="AE234" i="2"/>
  <c r="AF234" i="2"/>
  <c r="AG233" i="2"/>
  <c r="AI233" i="2"/>
  <c r="AJ234" i="2"/>
  <c r="AK233" i="2"/>
  <c r="AM233" i="2"/>
  <c r="AN233" i="2"/>
  <c r="AO233" i="2"/>
  <c r="AQ234" i="2"/>
  <c r="AS233" i="2"/>
  <c r="AU233" i="2"/>
  <c r="AW233" i="2"/>
  <c r="AY234" i="2"/>
  <c r="AZ233" i="2"/>
  <c r="BA233" i="2"/>
  <c r="BC233" i="2"/>
  <c r="BE233" i="2"/>
  <c r="X234" i="2"/>
  <c r="Y234" i="2"/>
  <c r="AA233" i="2"/>
  <c r="AB234" i="2"/>
  <c r="BS35" i="2"/>
  <c r="H35" i="2"/>
  <c r="I35" i="2" s="1"/>
  <c r="BS34" i="2"/>
  <c r="H34" i="2"/>
  <c r="BR34" i="2" s="1"/>
  <c r="C43" i="2" l="1"/>
  <c r="BS42" i="2"/>
  <c r="AF233" i="2"/>
  <c r="AC234" i="2"/>
  <c r="AE233" i="2"/>
  <c r="AQ233" i="2"/>
  <c r="AR234" i="2"/>
  <c r="AJ233" i="2"/>
  <c r="BB234" i="2"/>
  <c r="BA234" i="2"/>
  <c r="AG234" i="2"/>
  <c r="AI234" i="2"/>
  <c r="AW234" i="2"/>
  <c r="AO234" i="2"/>
  <c r="BE234" i="2"/>
  <c r="AT234" i="2"/>
  <c r="AK234" i="2"/>
  <c r="AS234" i="2"/>
  <c r="AH234" i="2"/>
  <c r="AH233" i="2"/>
  <c r="AD233" i="2"/>
  <c r="BF234" i="2"/>
  <c r="AV234" i="2"/>
  <c r="AP234" i="2"/>
  <c r="BB233" i="2"/>
  <c r="AZ234" i="2"/>
  <c r="AV233" i="2"/>
  <c r="BD234" i="2"/>
  <c r="AX234" i="2"/>
  <c r="AM234" i="2"/>
  <c r="BD233" i="2"/>
  <c r="AY233" i="2"/>
  <c r="BC234" i="2"/>
  <c r="AU234" i="2"/>
  <c r="AT233" i="2"/>
  <c r="AL234" i="2"/>
  <c r="AX233" i="2"/>
  <c r="AR233" i="2"/>
  <c r="AL233" i="2"/>
  <c r="BF233" i="2"/>
  <c r="AP233" i="2"/>
  <c r="AN234" i="2"/>
  <c r="Z234" i="2"/>
  <c r="AA234" i="2"/>
  <c r="BR35" i="2"/>
  <c r="BT35" i="2"/>
  <c r="Z233" i="2"/>
  <c r="Y233" i="2"/>
  <c r="AB233" i="2"/>
  <c r="X233" i="2"/>
  <c r="BT34" i="2"/>
  <c r="I34" i="2"/>
  <c r="H33" i="2"/>
  <c r="BR33" i="2" s="1"/>
  <c r="BS33" i="2"/>
  <c r="BS32" i="2"/>
  <c r="H32" i="2"/>
  <c r="BR32" i="2" s="1"/>
  <c r="BQ29" i="2"/>
  <c r="BS29" i="2"/>
  <c r="BQ30" i="2"/>
  <c r="BS30" i="2"/>
  <c r="BQ31" i="2"/>
  <c r="BS31" i="2"/>
  <c r="H29" i="2"/>
  <c r="BR29" i="2" s="1"/>
  <c r="H30" i="2"/>
  <c r="BR30" i="2" s="1"/>
  <c r="H31" i="2"/>
  <c r="BR31" i="2" s="1"/>
  <c r="C44" i="2" l="1"/>
  <c r="BS43" i="2"/>
  <c r="BF240" i="2"/>
  <c r="BD240" i="2"/>
  <c r="AX241" i="2"/>
  <c r="BA240" i="2"/>
  <c r="AQ241" i="2"/>
  <c r="BC240" i="2"/>
  <c r="AM240" i="2"/>
  <c r="AS240" i="2"/>
  <c r="X241" i="2"/>
  <c r="AA241" i="2"/>
  <c r="AY241" i="2"/>
  <c r="BB240" i="2"/>
  <c r="AD241" i="2"/>
  <c r="AW240" i="2"/>
  <c r="AE241" i="2"/>
  <c r="AK240" i="2"/>
  <c r="AL240" i="2"/>
  <c r="AH241" i="2"/>
  <c r="AI241" i="2"/>
  <c r="AO240" i="2"/>
  <c r="BE240" i="2"/>
  <c r="AU240" i="2"/>
  <c r="Z241" i="2"/>
  <c r="AP240" i="2"/>
  <c r="AT240" i="2"/>
  <c r="AT241" i="2"/>
  <c r="AV240" i="2"/>
  <c r="AV241" i="2"/>
  <c r="AR241" i="2"/>
  <c r="AR240" i="2"/>
  <c r="BA241" i="2"/>
  <c r="AW241" i="2"/>
  <c r="AI240" i="2"/>
  <c r="AJ241" i="2"/>
  <c r="AJ240" i="2"/>
  <c r="AN240" i="2"/>
  <c r="AN241" i="2"/>
  <c r="AZ241" i="2"/>
  <c r="AZ240" i="2"/>
  <c r="X240" i="2"/>
  <c r="AA240" i="2"/>
  <c r="AF240" i="2"/>
  <c r="AF241" i="2"/>
  <c r="Y240" i="2"/>
  <c r="Y241" i="2"/>
  <c r="AC240" i="2"/>
  <c r="AC241" i="2"/>
  <c r="AB240" i="2"/>
  <c r="AB241" i="2"/>
  <c r="AG240" i="2"/>
  <c r="AG241" i="2"/>
  <c r="BT33" i="2"/>
  <c r="I33" i="2"/>
  <c r="I31" i="2"/>
  <c r="BT32" i="2"/>
  <c r="I32" i="2"/>
  <c r="I29" i="2"/>
  <c r="I30" i="2"/>
  <c r="BT31" i="2"/>
  <c r="BT29" i="2"/>
  <c r="BT30" i="2"/>
  <c r="C266" i="2"/>
  <c r="H28" i="2"/>
  <c r="I28" i="2" s="1"/>
  <c r="H27" i="2"/>
  <c r="I27" i="2" s="1"/>
  <c r="BS28" i="2"/>
  <c r="BQ28" i="2"/>
  <c r="BS27" i="2"/>
  <c r="H21" i="2"/>
  <c r="BR21" i="2" s="1"/>
  <c r="H22" i="2"/>
  <c r="I22" i="2" s="1"/>
  <c r="H23" i="2"/>
  <c r="I23" i="2" s="1"/>
  <c r="H24" i="2"/>
  <c r="I24" i="2" s="1"/>
  <c r="H25" i="2"/>
  <c r="BR25" i="2" s="1"/>
  <c r="H26" i="2"/>
  <c r="I26" i="2" s="1"/>
  <c r="BQ25" i="2"/>
  <c r="BQ26" i="2"/>
  <c r="C45" i="2" l="1"/>
  <c r="BS44" i="2"/>
  <c r="AQ240" i="2"/>
  <c r="AD240" i="2"/>
  <c r="AY240" i="2"/>
  <c r="AU241" i="2"/>
  <c r="BE241" i="2"/>
  <c r="BC241" i="2"/>
  <c r="AX240" i="2"/>
  <c r="AO241" i="2"/>
  <c r="AK241" i="2"/>
  <c r="AH240" i="2"/>
  <c r="AE240" i="2"/>
  <c r="AM241" i="2"/>
  <c r="BB241" i="2"/>
  <c r="AS241" i="2"/>
  <c r="BD241" i="2"/>
  <c r="Z240" i="2"/>
  <c r="AL241" i="2"/>
  <c r="AP241" i="2"/>
  <c r="BF241" i="2"/>
  <c r="BR23" i="2"/>
  <c r="BT27" i="2"/>
  <c r="BR27" i="2"/>
  <c r="BT28" i="2"/>
  <c r="BR28" i="2"/>
  <c r="BR22" i="2"/>
  <c r="BT21" i="2"/>
  <c r="BT25" i="2"/>
  <c r="I25" i="2"/>
  <c r="I21" i="2"/>
  <c r="BT26" i="2"/>
  <c r="BR26" i="2"/>
  <c r="BT22" i="2"/>
  <c r="BR24" i="2"/>
  <c r="BT24" i="2"/>
  <c r="BT23" i="2"/>
  <c r="BS20" i="2"/>
  <c r="H19" i="2"/>
  <c r="BR19" i="2" s="1"/>
  <c r="H20" i="2"/>
  <c r="BR20" i="2" s="1"/>
  <c r="BS19" i="2"/>
  <c r="C46" i="2" l="1"/>
  <c r="BS45" i="2"/>
  <c r="I20" i="2"/>
  <c r="I19" i="2"/>
  <c r="BT20" i="2"/>
  <c r="BT19" i="2"/>
  <c r="N233" i="2"/>
  <c r="O234" i="2"/>
  <c r="S233" i="2"/>
  <c r="T233" i="2"/>
  <c r="V234" i="2"/>
  <c r="W233" i="2"/>
  <c r="BS21" i="2"/>
  <c r="BS22" i="2"/>
  <c r="BS23" i="2"/>
  <c r="BS24" i="2"/>
  <c r="BS25" i="2"/>
  <c r="BS26" i="2"/>
  <c r="H18" i="2"/>
  <c r="I18" i="2" s="1"/>
  <c r="BS46" i="2" l="1"/>
  <c r="C47" i="2"/>
  <c r="P233" i="2"/>
  <c r="P234" i="2"/>
  <c r="W234" i="2"/>
  <c r="T234" i="2"/>
  <c r="S234" i="2"/>
  <c r="O233" i="2"/>
  <c r="R233" i="2"/>
  <c r="R234" i="2"/>
  <c r="V233" i="2"/>
  <c r="N234" i="2"/>
  <c r="U234" i="2"/>
  <c r="Q234" i="2"/>
  <c r="U233" i="2"/>
  <c r="Q233" i="2"/>
  <c r="C48" i="2" l="1"/>
  <c r="BS47" i="2"/>
  <c r="Q240" i="2"/>
  <c r="O240" i="2"/>
  <c r="W241" i="2"/>
  <c r="N241" i="2"/>
  <c r="U240" i="2"/>
  <c r="V241" i="2"/>
  <c r="S241" i="2"/>
  <c r="P241" i="2"/>
  <c r="T240" i="2"/>
  <c r="R241" i="2"/>
  <c r="W240" i="2"/>
  <c r="S240" i="2"/>
  <c r="N240" i="2"/>
  <c r="C49" i="2" l="1"/>
  <c r="BS48" i="2"/>
  <c r="T241" i="2"/>
  <c r="O241" i="2"/>
  <c r="V240" i="2"/>
  <c r="Q241" i="2"/>
  <c r="R240" i="2"/>
  <c r="U241" i="2"/>
  <c r="P240" i="2"/>
  <c r="BQ6" i="2"/>
  <c r="C50" i="2" l="1"/>
  <c r="BS49" i="2"/>
  <c r="BQ8" i="2"/>
  <c r="BQ9" i="2"/>
  <c r="BQ10" i="2"/>
  <c r="BQ11" i="2"/>
  <c r="BQ13" i="2"/>
  <c r="BQ14" i="2"/>
  <c r="BQ7" i="2"/>
  <c r="C51" i="2" l="1"/>
  <c r="BS50" i="2"/>
  <c r="J233" i="2"/>
  <c r="L234" i="2"/>
  <c r="M234" i="2"/>
  <c r="H17" i="2"/>
  <c r="BR17" i="2" s="1"/>
  <c r="BS17" i="2"/>
  <c r="C52" i="2" l="1"/>
  <c r="BS51" i="2"/>
  <c r="K234" i="2"/>
  <c r="K233" i="2"/>
  <c r="M233" i="2"/>
  <c r="L233" i="2"/>
  <c r="L241" i="2" s="1"/>
  <c r="J234" i="2"/>
  <c r="I17" i="2"/>
  <c r="BT17" i="2"/>
  <c r="H13" i="2"/>
  <c r="I13" i="2" s="1"/>
  <c r="H14" i="2"/>
  <c r="BR14" i="2" s="1"/>
  <c r="H15" i="2"/>
  <c r="H16" i="2"/>
  <c r="I16" i="2" s="1"/>
  <c r="BS16" i="2"/>
  <c r="BS15" i="2"/>
  <c r="BS14" i="2"/>
  <c r="BS13" i="2"/>
  <c r="BS12" i="2"/>
  <c r="BS11" i="2"/>
  <c r="BS10" i="2"/>
  <c r="BS9" i="2"/>
  <c r="BS8" i="2"/>
  <c r="BS7" i="2"/>
  <c r="C53" i="2" l="1"/>
  <c r="BS52" i="2"/>
  <c r="BQ234" i="2"/>
  <c r="K241" i="2"/>
  <c r="M240" i="2"/>
  <c r="J240" i="2"/>
  <c r="I15" i="2"/>
  <c r="BR15" i="2"/>
  <c r="J241" i="2"/>
  <c r="L240" i="2"/>
  <c r="BT15" i="2"/>
  <c r="BT14" i="2"/>
  <c r="I14" i="2"/>
  <c r="BT13" i="2"/>
  <c r="BR16" i="2"/>
  <c r="BT16" i="2"/>
  <c r="BR13" i="2"/>
  <c r="H7" i="2"/>
  <c r="BR7" i="2" s="1"/>
  <c r="H8" i="2"/>
  <c r="I8" i="2" s="1"/>
  <c r="H9" i="2"/>
  <c r="I9" i="2" s="1"/>
  <c r="H10" i="2"/>
  <c r="I10" i="2" s="1"/>
  <c r="H11" i="2"/>
  <c r="BR11" i="2" s="1"/>
  <c r="H12" i="2"/>
  <c r="I12" i="2" s="1"/>
  <c r="C54" i="2" l="1"/>
  <c r="BS53" i="2"/>
  <c r="M241" i="2"/>
  <c r="K240" i="2"/>
  <c r="BR9" i="2"/>
  <c r="BT9" i="2"/>
  <c r="I7" i="2"/>
  <c r="I11" i="2"/>
  <c r="BT12" i="2"/>
  <c r="BT10" i="2"/>
  <c r="BT7" i="2"/>
  <c r="BT11" i="2"/>
  <c r="BR12" i="2"/>
  <c r="BR10" i="2"/>
  <c r="BT8" i="2"/>
  <c r="BR8" i="2"/>
  <c r="BS54" i="2" l="1"/>
  <c r="C55" i="2"/>
  <c r="BT18" i="2"/>
  <c r="BR18" i="2"/>
  <c r="BS18" i="2"/>
  <c r="C56" i="2" l="1"/>
  <c r="BS55" i="2"/>
  <c r="BS6" i="2"/>
  <c r="H6" i="2"/>
  <c r="BR6" i="2" s="1"/>
  <c r="C267" i="2"/>
  <c r="C57" i="2" l="1"/>
  <c r="BS56" i="2"/>
  <c r="I6" i="2"/>
  <c r="BT6" i="2"/>
  <c r="C58" i="2" l="1"/>
  <c r="BS57" i="2"/>
  <c r="G232" i="2"/>
  <c r="C59" i="2" l="1"/>
  <c r="BS58" i="2"/>
  <c r="C281" i="2"/>
  <c r="C60" i="2" l="1"/>
  <c r="BS59" i="2"/>
  <c r="C269" i="2"/>
  <c r="C283" i="2" s="1"/>
  <c r="C61" i="2" l="1"/>
  <c r="BS60" i="2"/>
  <c r="H231" i="2"/>
  <c r="H232" i="2" s="1"/>
  <c r="C62" i="2" l="1"/>
  <c r="BS61" i="2"/>
  <c r="BS231" i="2"/>
  <c r="BR231" i="2"/>
  <c r="BQ232" i="2"/>
  <c r="BS62" i="2" l="1"/>
  <c r="C63" i="2"/>
  <c r="BT231" i="2"/>
  <c r="C64" i="2" l="1"/>
  <c r="BS63" i="2"/>
  <c r="G2" i="2"/>
  <c r="F233" i="2"/>
  <c r="C65" i="2" l="1"/>
  <c r="BS64" i="2"/>
  <c r="G233" i="2"/>
  <c r="G234" i="2"/>
  <c r="F234" i="2"/>
  <c r="F239" i="2" s="1"/>
  <c r="BQ239" i="2"/>
  <c r="B241" i="2" s="1"/>
  <c r="C66" i="2" l="1"/>
  <c r="BS65" i="2"/>
  <c r="G239" i="2"/>
  <c r="C241" i="2"/>
  <c r="C67" i="2" l="1"/>
  <c r="BS66" i="2"/>
  <c r="C68" i="2" l="1"/>
  <c r="BS67" i="2"/>
  <c r="C69" i="2" l="1"/>
  <c r="BS68" i="2"/>
  <c r="C70" i="2" l="1"/>
  <c r="BS69" i="2"/>
  <c r="BS70" i="2" l="1"/>
  <c r="C71" i="2"/>
  <c r="C72" i="2" l="1"/>
  <c r="BS71" i="2"/>
  <c r="C73" i="2" l="1"/>
  <c r="BS72" i="2"/>
  <c r="C74" i="2" l="1"/>
  <c r="BS73" i="2"/>
  <c r="C75" i="2" l="1"/>
  <c r="BS74" i="2"/>
  <c r="C76" i="2" l="1"/>
  <c r="BS75" i="2"/>
  <c r="C77" i="2" l="1"/>
  <c r="BS76" i="2"/>
  <c r="C78" i="2" l="1"/>
  <c r="BS77" i="2"/>
  <c r="BS78" i="2" l="1"/>
  <c r="C79" i="2"/>
  <c r="C80" i="2" l="1"/>
  <c r="BS79" i="2"/>
  <c r="C81" i="2" l="1"/>
  <c r="BS80" i="2"/>
  <c r="C82" i="2" l="1"/>
  <c r="BS81" i="2"/>
  <c r="C83" i="2" l="1"/>
  <c r="BS82" i="2"/>
  <c r="C84" i="2" l="1"/>
  <c r="BS83" i="2"/>
  <c r="C85" i="2" l="1"/>
  <c r="BS84" i="2"/>
  <c r="C86" i="2" l="1"/>
  <c r="BS85" i="2"/>
  <c r="BS86" i="2" l="1"/>
  <c r="C87" i="2"/>
  <c r="C88" i="2" l="1"/>
  <c r="BS87" i="2"/>
  <c r="C89" i="2" l="1"/>
  <c r="BS88" i="2"/>
  <c r="BS89" i="2" l="1"/>
  <c r="C90" i="2"/>
  <c r="BS90" i="2" l="1"/>
  <c r="C91" i="2"/>
  <c r="C92" i="2" l="1"/>
  <c r="BS91" i="2"/>
  <c r="C93" i="2" l="1"/>
  <c r="BS92" i="2"/>
  <c r="C94" i="2" l="1"/>
  <c r="BS93" i="2"/>
  <c r="BS94" i="2" l="1"/>
  <c r="C95" i="2"/>
  <c r="C96" i="2" l="1"/>
  <c r="BS95" i="2"/>
  <c r="C97" i="2" l="1"/>
  <c r="BS96" i="2"/>
  <c r="C98" i="2" l="1"/>
  <c r="BS97" i="2"/>
  <c r="BS98" i="2" l="1"/>
  <c r="C99" i="2"/>
  <c r="C100" i="2" l="1"/>
  <c r="BS99" i="2"/>
  <c r="C101" i="2" l="1"/>
  <c r="BS100" i="2"/>
  <c r="C102" i="2" l="1"/>
  <c r="BS101" i="2"/>
  <c r="BS102" i="2" l="1"/>
  <c r="C103" i="2"/>
  <c r="C104" i="2" l="1"/>
  <c r="BS103" i="2"/>
  <c r="C105" i="2" l="1"/>
  <c r="BS104" i="2"/>
  <c r="BS105" i="2" l="1"/>
  <c r="C106" i="2"/>
  <c r="BS106" i="2" l="1"/>
  <c r="C107" i="2"/>
  <c r="BS107" i="2" l="1"/>
  <c r="C108" i="2"/>
  <c r="C109" i="2" l="1"/>
  <c r="BS108" i="2"/>
  <c r="C110" i="2" l="1"/>
  <c r="BS109" i="2"/>
  <c r="BS110" i="2" l="1"/>
  <c r="C111" i="2"/>
  <c r="C112" i="2" l="1"/>
  <c r="BS111" i="2"/>
  <c r="C113" i="2" l="1"/>
  <c r="BS112" i="2"/>
  <c r="C114" i="2" l="1"/>
  <c r="BS113" i="2"/>
  <c r="BS114" i="2" l="1"/>
  <c r="C115" i="2"/>
  <c r="BS115" i="2" l="1"/>
  <c r="C116" i="2"/>
  <c r="C117" i="2" l="1"/>
  <c r="BS116" i="2"/>
  <c r="C118" i="2" l="1"/>
  <c r="BS117" i="2"/>
  <c r="BS118" i="2" l="1"/>
  <c r="C119" i="2"/>
  <c r="C120" i="2" l="1"/>
  <c r="BS119" i="2"/>
  <c r="BS120" i="2" l="1"/>
  <c r="C121" i="2"/>
  <c r="BS121" i="2" l="1"/>
  <c r="C122" i="2"/>
  <c r="BS122" i="2" l="1"/>
  <c r="C123" i="2"/>
  <c r="BS123" i="2" l="1"/>
  <c r="C124" i="2"/>
  <c r="C125" i="2" l="1"/>
  <c r="BS124" i="2"/>
  <c r="C126" i="2" l="1"/>
  <c r="BS125" i="2"/>
  <c r="BS126" i="2" l="1"/>
  <c r="C127" i="2"/>
  <c r="C128" i="2" l="1"/>
  <c r="BS127" i="2"/>
  <c r="C129" i="2" l="1"/>
  <c r="BS128" i="2"/>
  <c r="C130" i="2" l="1"/>
  <c r="BS129" i="2"/>
  <c r="BS130" i="2" l="1"/>
  <c r="C131" i="2"/>
  <c r="BS131" i="2" l="1"/>
  <c r="C132" i="2"/>
  <c r="C133" i="2" l="1"/>
  <c r="BS132" i="2"/>
  <c r="C134" i="2" l="1"/>
  <c r="BS133" i="2"/>
  <c r="BS134" i="2" l="1"/>
  <c r="C135" i="2"/>
  <c r="C136" i="2" l="1"/>
  <c r="BS135" i="2"/>
  <c r="BS136" i="2" l="1"/>
  <c r="C137" i="2"/>
  <c r="BS137" i="2" l="1"/>
  <c r="C138" i="2"/>
  <c r="BS138" i="2" l="1"/>
  <c r="C139" i="2"/>
  <c r="BS139" i="2" l="1"/>
  <c r="C140" i="2"/>
  <c r="C141" i="2" l="1"/>
  <c r="BS140" i="2"/>
  <c r="C142" i="2" l="1"/>
  <c r="BS141" i="2"/>
  <c r="BS142" i="2" l="1"/>
  <c r="C143" i="2"/>
  <c r="C144" i="2" l="1"/>
  <c r="BS143" i="2"/>
  <c r="C145" i="2" l="1"/>
  <c r="BS144" i="2"/>
  <c r="C146" i="2" l="1"/>
  <c r="BS145" i="2"/>
  <c r="BS146" i="2" l="1"/>
  <c r="C147" i="2"/>
  <c r="BS147" i="2" l="1"/>
  <c r="C148" i="2"/>
  <c r="C149" i="2" l="1"/>
  <c r="BS148" i="2"/>
  <c r="C150" i="2" l="1"/>
  <c r="BS149" i="2"/>
  <c r="BS150" i="2" l="1"/>
  <c r="C151" i="2"/>
  <c r="C152" i="2" l="1"/>
  <c r="BS151" i="2"/>
  <c r="BS152" i="2" l="1"/>
  <c r="C153" i="2"/>
  <c r="BS153" i="2" l="1"/>
  <c r="C154" i="2"/>
  <c r="BS154" i="2" l="1"/>
  <c r="C155" i="2"/>
  <c r="BS155" i="2" l="1"/>
  <c r="C156" i="2"/>
  <c r="C157" i="2" l="1"/>
  <c r="BS156" i="2"/>
  <c r="C158" i="2" l="1"/>
  <c r="BS157" i="2"/>
  <c r="BS158" i="2" l="1"/>
  <c r="C159" i="2"/>
  <c r="C160" i="2" l="1"/>
  <c r="BS159" i="2"/>
  <c r="C161" i="2" l="1"/>
  <c r="BS160" i="2"/>
  <c r="C162" i="2" l="1"/>
  <c r="BS161" i="2"/>
  <c r="BS162" i="2" l="1"/>
  <c r="C163" i="2"/>
  <c r="BS163" i="2" l="1"/>
  <c r="C164" i="2"/>
  <c r="C165" i="2" l="1"/>
  <c r="BS164" i="2"/>
  <c r="C166" i="2" l="1"/>
  <c r="BS165" i="2"/>
  <c r="BS166" i="2" l="1"/>
  <c r="C167" i="2"/>
  <c r="C168" i="2" l="1"/>
  <c r="BS167" i="2"/>
  <c r="BS168" i="2" l="1"/>
  <c r="C169" i="2"/>
  <c r="BS169" i="2" l="1"/>
  <c r="C170" i="2"/>
  <c r="BS170" i="2" l="1"/>
  <c r="C171" i="2"/>
  <c r="BS171" i="2" l="1"/>
  <c r="C172" i="2"/>
  <c r="C173" i="2" l="1"/>
  <c r="BS172" i="2"/>
  <c r="C174" i="2" l="1"/>
  <c r="BS173" i="2"/>
  <c r="BS174" i="2" l="1"/>
  <c r="C175" i="2"/>
  <c r="C176" i="2" l="1"/>
  <c r="BS175" i="2"/>
  <c r="C177" i="2" l="1"/>
  <c r="BS176" i="2"/>
  <c r="C178" i="2" l="1"/>
  <c r="BS177" i="2"/>
  <c r="BS178" i="2" l="1"/>
  <c r="C179" i="2"/>
  <c r="BS179" i="2" l="1"/>
  <c r="C180" i="2"/>
  <c r="C181" i="2" l="1"/>
  <c r="BS180" i="2"/>
  <c r="C182" i="2" l="1"/>
  <c r="BS181" i="2"/>
  <c r="BS182" i="2" l="1"/>
  <c r="C183" i="2"/>
  <c r="C184" i="2" l="1"/>
  <c r="BS183" i="2"/>
  <c r="C185" i="2" l="1"/>
  <c r="BS184" i="2"/>
  <c r="BS185" i="2" l="1"/>
  <c r="C186" i="2"/>
  <c r="BS186" i="2" l="1"/>
  <c r="C187" i="2"/>
  <c r="BS187" i="2" l="1"/>
  <c r="C188" i="2"/>
  <c r="C189" i="2" l="1"/>
  <c r="BS188" i="2"/>
  <c r="C190" i="2" l="1"/>
  <c r="BS189" i="2"/>
  <c r="BS190" i="2" l="1"/>
  <c r="C191" i="2"/>
  <c r="C192" i="2" l="1"/>
  <c r="BS191" i="2"/>
  <c r="C193" i="2" l="1"/>
  <c r="BS192" i="2"/>
  <c r="C194" i="2" l="1"/>
  <c r="BS193" i="2"/>
  <c r="BS194" i="2" l="1"/>
  <c r="C195" i="2"/>
  <c r="BS195" i="2" l="1"/>
  <c r="C196" i="2"/>
  <c r="C197" i="2" l="1"/>
  <c r="BS196" i="2"/>
  <c r="C198" i="2" l="1"/>
  <c r="BS197" i="2"/>
  <c r="BS198" i="2" l="1"/>
  <c r="C199" i="2"/>
  <c r="C200" i="2" l="1"/>
  <c r="BS199" i="2"/>
  <c r="C201" i="2" l="1"/>
  <c r="BS200" i="2"/>
  <c r="BS201" i="2" l="1"/>
  <c r="C202" i="2"/>
  <c r="BS202" i="2" l="1"/>
  <c r="C203" i="2"/>
  <c r="BS203" i="2" l="1"/>
  <c r="C204" i="2"/>
  <c r="C205" i="2" l="1"/>
  <c r="BS204" i="2"/>
  <c r="C206" i="2" l="1"/>
  <c r="BS205" i="2"/>
  <c r="BS206" i="2" l="1"/>
  <c r="C207" i="2"/>
  <c r="C208" i="2" l="1"/>
  <c r="BS207" i="2"/>
  <c r="C209" i="2" l="1"/>
  <c r="BS208" i="2"/>
  <c r="C210" i="2" l="1"/>
  <c r="BS209" i="2"/>
  <c r="BS210" i="2" l="1"/>
  <c r="C211" i="2"/>
  <c r="BS211" i="2" l="1"/>
  <c r="C212" i="2"/>
  <c r="C213" i="2" l="1"/>
  <c r="BS212" i="2"/>
  <c r="C214" i="2" l="1"/>
  <c r="BS213" i="2"/>
  <c r="BS214" i="2" l="1"/>
  <c r="C215" i="2"/>
  <c r="C216" i="2" l="1"/>
  <c r="BS215" i="2"/>
  <c r="BS216" i="2" l="1"/>
  <c r="C217" i="2"/>
  <c r="BS217" i="2" l="1"/>
  <c r="C218" i="2"/>
  <c r="BS218" i="2" l="1"/>
  <c r="C219" i="2"/>
  <c r="BS219" i="2" l="1"/>
  <c r="C220" i="2"/>
  <c r="C221" i="2" l="1"/>
  <c r="BS220" i="2"/>
  <c r="C222" i="2" l="1"/>
  <c r="BS221" i="2"/>
  <c r="BS222" i="2" l="1"/>
  <c r="C223" i="2"/>
  <c r="C224" i="2" l="1"/>
  <c r="BS223" i="2"/>
  <c r="C225" i="2" l="1"/>
  <c r="BS224" i="2"/>
  <c r="C226" i="2" l="1"/>
  <c r="BS225" i="2"/>
  <c r="BS226" i="2" l="1"/>
  <c r="C227" i="2"/>
  <c r="BS227" i="2" l="1"/>
  <c r="C228" i="2"/>
  <c r="C229" i="2" l="1"/>
  <c r="BS229" i="2" s="1"/>
  <c r="BS228" i="2"/>
</calcChain>
</file>

<file path=xl/sharedStrings.xml><?xml version="1.0" encoding="utf-8"?>
<sst xmlns="http://schemas.openxmlformats.org/spreadsheetml/2006/main" count="323" uniqueCount="282">
  <si>
    <t>DUE</t>
  </si>
  <si>
    <t>JOB #</t>
  </si>
  <si>
    <t>BAL</t>
  </si>
  <si>
    <t>PROJ</t>
  </si>
  <si>
    <t>QTE</t>
  </si>
  <si>
    <t>PRE</t>
  </si>
  <si>
    <t>SUB</t>
  </si>
  <si>
    <t>SUB%</t>
  </si>
  <si>
    <t>TOT</t>
  </si>
  <si>
    <t>WK</t>
  </si>
  <si>
    <t>WK%</t>
  </si>
  <si>
    <t xml:space="preserve">Savannah Tank and Equipment </t>
  </si>
  <si>
    <t>REL</t>
  </si>
  <si>
    <t>PRO</t>
  </si>
  <si>
    <t>BACKLOG</t>
  </si>
  <si>
    <t>48 HRS</t>
  </si>
  <si>
    <t>40 HRS</t>
  </si>
  <si>
    <t>REQ</t>
  </si>
  <si>
    <t>PLAN</t>
  </si>
  <si>
    <t>ACT</t>
  </si>
  <si>
    <t>PCT</t>
  </si>
  <si>
    <t>Supervision / Overhead</t>
  </si>
  <si>
    <t>Total Direct</t>
  </si>
  <si>
    <t>Total Indirect</t>
  </si>
  <si>
    <t>Total Headcount</t>
  </si>
  <si>
    <t>OVERHEAD</t>
  </si>
  <si>
    <t>Pre Fab</t>
  </si>
  <si>
    <t>Nick</t>
  </si>
  <si>
    <t>Sherri</t>
  </si>
  <si>
    <t>David</t>
  </si>
  <si>
    <t>Work Order</t>
  </si>
  <si>
    <t>Rutang</t>
  </si>
  <si>
    <t>Total</t>
  </si>
  <si>
    <t>Office</t>
  </si>
  <si>
    <t>John</t>
  </si>
  <si>
    <t>Fabrication</t>
  </si>
  <si>
    <t xml:space="preserve">Clean/ Test </t>
  </si>
  <si>
    <t>Chris</t>
  </si>
  <si>
    <t>Shelbi Foltyn</t>
  </si>
  <si>
    <t>Dustin</t>
  </si>
  <si>
    <t>Shannon</t>
  </si>
  <si>
    <t>.</t>
  </si>
  <si>
    <t>Supervisor Finishing Department</t>
  </si>
  <si>
    <t>Vertiv Tank 1</t>
  </si>
  <si>
    <t>Vertiv Tank 2</t>
  </si>
  <si>
    <t>Vertiv Tank 3</t>
  </si>
  <si>
    <t>Vertiv Tank 4</t>
  </si>
  <si>
    <t>Vertiv Tank 5</t>
  </si>
  <si>
    <t>Vertiv Tank 6</t>
  </si>
  <si>
    <t>Vertiv Tank 7</t>
  </si>
  <si>
    <t>Vertiv Tank 8</t>
  </si>
  <si>
    <t>Vertiv Tank 9</t>
  </si>
  <si>
    <t>Vertiv Tank 10</t>
  </si>
  <si>
    <t>Vertiv Tank 11</t>
  </si>
  <si>
    <t>Vertiv Tank 12</t>
  </si>
  <si>
    <t>Vertiv Tank 13</t>
  </si>
  <si>
    <t>Vertiv Tank 14</t>
  </si>
  <si>
    <t>Vertiv Tank 15</t>
  </si>
  <si>
    <t>Vertiv Tank 16</t>
  </si>
  <si>
    <t>Vertiv Tank 17</t>
  </si>
  <si>
    <t>Vertiv Tank 18</t>
  </si>
  <si>
    <t>Vertiv Tank 19</t>
  </si>
  <si>
    <t>Vertiv Tank 20</t>
  </si>
  <si>
    <t>Vertiv Tank 21</t>
  </si>
  <si>
    <t>Vertiv Tank 22</t>
  </si>
  <si>
    <t>Vertiv Tank 23</t>
  </si>
  <si>
    <t>Vertiv Tank 24</t>
  </si>
  <si>
    <t>Vertiv Tank 25</t>
  </si>
  <si>
    <t>Vertiv Tank 26</t>
  </si>
  <si>
    <t>Vertiv Tank 27</t>
  </si>
  <si>
    <t>Vertiv Tank 28</t>
  </si>
  <si>
    <t>Vertiv Tank 29</t>
  </si>
  <si>
    <t>Vertiv Tank 30</t>
  </si>
  <si>
    <t>Vertiv Tank 31</t>
  </si>
  <si>
    <t>Vertiv Tank 32</t>
  </si>
  <si>
    <t>Vertiv Tank 33</t>
  </si>
  <si>
    <t>Vertiv Tank 34</t>
  </si>
  <si>
    <t>Vertiv Tank 35</t>
  </si>
  <si>
    <t>Vertiv Tank 36</t>
  </si>
  <si>
    <t>Vertiv Tank 37</t>
  </si>
  <si>
    <t>Vertiv Tank 38</t>
  </si>
  <si>
    <t>Vertiv Tank 39</t>
  </si>
  <si>
    <t>Vertiv Tank 40</t>
  </si>
  <si>
    <t>Vertiv Tank 41</t>
  </si>
  <si>
    <t>Vertiv Tank 42</t>
  </si>
  <si>
    <t>Vertiv Tank 43</t>
  </si>
  <si>
    <t>Vertiv Tank 44</t>
  </si>
  <si>
    <t>Vertiv Tank 45</t>
  </si>
  <si>
    <t>Vertiv Tank 46</t>
  </si>
  <si>
    <t>Vertiv Tank 47</t>
  </si>
  <si>
    <t>Vertiv Tank 48</t>
  </si>
  <si>
    <t>Vertiv Tank 49</t>
  </si>
  <si>
    <t>Vertiv Tank 50</t>
  </si>
  <si>
    <t>Vertiv Tank 51</t>
  </si>
  <si>
    <t>Vertiv Tank 52</t>
  </si>
  <si>
    <t>Vertiv Tank 53</t>
  </si>
  <si>
    <t>Vertiv Tank 54</t>
  </si>
  <si>
    <t>Vertiv Tank 55</t>
  </si>
  <si>
    <t>Vertiv Tank 56</t>
  </si>
  <si>
    <t>Vertiv Tank 57</t>
  </si>
  <si>
    <t>Vertiv Tank 58</t>
  </si>
  <si>
    <t>Vertiv Tank 59</t>
  </si>
  <si>
    <t>Vertiv Tank 60</t>
  </si>
  <si>
    <t>Vertiv Tank 61</t>
  </si>
  <si>
    <t>Vertiv Tank 62</t>
  </si>
  <si>
    <t>Vertiv Tank 63</t>
  </si>
  <si>
    <t>Vertiv Tank 64</t>
  </si>
  <si>
    <t>Vertiv Tank 65</t>
  </si>
  <si>
    <t>Vertiv Tank 66</t>
  </si>
  <si>
    <t>Vertiv Tank 67</t>
  </si>
  <si>
    <t>Vertiv Tank 68</t>
  </si>
  <si>
    <t>Vertiv Tank 69</t>
  </si>
  <si>
    <t>Vertiv Tank 70</t>
  </si>
  <si>
    <t>Vertiv Tank 71</t>
  </si>
  <si>
    <t>Vertiv Tank 72</t>
  </si>
  <si>
    <t>Vertiv Tank 73</t>
  </si>
  <si>
    <t>Vertiv Tank 74</t>
  </si>
  <si>
    <t>Vertiv Tank 75</t>
  </si>
  <si>
    <t>Vertiv Tank 76</t>
  </si>
  <si>
    <t>Vertiv Tank 77</t>
  </si>
  <si>
    <t>Vertiv Tank 78</t>
  </si>
  <si>
    <t>Vertiv Tank 79</t>
  </si>
  <si>
    <t>Vertiv Tank 80</t>
  </si>
  <si>
    <t>Vertiv Tank 81</t>
  </si>
  <si>
    <t>Vertiv Tank 82</t>
  </si>
  <si>
    <t>Vertiv Tank 83</t>
  </si>
  <si>
    <t>Vertiv Tank 84</t>
  </si>
  <si>
    <t>Vertiv Tank 85</t>
  </si>
  <si>
    <t>Vertiv Tank 86</t>
  </si>
  <si>
    <t>Vertiv Tank 87</t>
  </si>
  <si>
    <t>Vertiv Tank 88</t>
  </si>
  <si>
    <t>Vertiv Tank 89</t>
  </si>
  <si>
    <t>Vertiv Tank 90</t>
  </si>
  <si>
    <t>Vertiv Tank 91</t>
  </si>
  <si>
    <t>Vertiv Tank 92</t>
  </si>
  <si>
    <t>Vertiv Tank 93</t>
  </si>
  <si>
    <t>Vertiv Tank 94</t>
  </si>
  <si>
    <t>Vertiv Tank 95</t>
  </si>
  <si>
    <t>Vertiv Tank 96</t>
  </si>
  <si>
    <t>Vertiv Tank 97</t>
  </si>
  <si>
    <t>Vertiv Tank 98</t>
  </si>
  <si>
    <t>Vertiv Tank 99</t>
  </si>
  <si>
    <t>Vertiv Tank 100</t>
  </si>
  <si>
    <t>Vertiv Tank 101</t>
  </si>
  <si>
    <t>Vertiv Tank 102</t>
  </si>
  <si>
    <t>Vertiv Tank 103</t>
  </si>
  <si>
    <t>Vertiv Tank 104</t>
  </si>
  <si>
    <t>Vertiv Tank 105</t>
  </si>
  <si>
    <t>Vertiv Tank 106</t>
  </si>
  <si>
    <t>Vertiv Tank 107</t>
  </si>
  <si>
    <t>Vertiv Tank 108</t>
  </si>
  <si>
    <t>Vertiv Tank 109</t>
  </si>
  <si>
    <t>Vertiv Tank 110</t>
  </si>
  <si>
    <t>Vertiv Tank 111</t>
  </si>
  <si>
    <t>Vertiv Tank 112</t>
  </si>
  <si>
    <t>Vertiv Tank 113</t>
  </si>
  <si>
    <t>Vertiv Tank 114</t>
  </si>
  <si>
    <t>Vertiv Tank 115</t>
  </si>
  <si>
    <t>Vertiv Tank 116</t>
  </si>
  <si>
    <t>Vertiv Tank 117</t>
  </si>
  <si>
    <t>Vertiv Tank 118</t>
  </si>
  <si>
    <t>Vertiv Tank 119</t>
  </si>
  <si>
    <t>Vertiv Tank 120</t>
  </si>
  <si>
    <t>Vertiv Tank 121</t>
  </si>
  <si>
    <t>Vertiv Tank 122</t>
  </si>
  <si>
    <t>Vertiv Tank 123</t>
  </si>
  <si>
    <t>Vertiv Tank 124</t>
  </si>
  <si>
    <t>Vertiv Tank 125</t>
  </si>
  <si>
    <t>Vertiv Tank 126</t>
  </si>
  <si>
    <t>Vertiv Tank 127</t>
  </si>
  <si>
    <t>Vertiv Tank 128</t>
  </si>
  <si>
    <t>Vertiv Tank 129</t>
  </si>
  <si>
    <t>Vertiv Tank 130</t>
  </si>
  <si>
    <t>Vertiv Tank 131</t>
  </si>
  <si>
    <t>Vertiv Tank 132</t>
  </si>
  <si>
    <t>Vertiv Tank 133</t>
  </si>
  <si>
    <t>Vertiv Tank 134</t>
  </si>
  <si>
    <t>Vertiv Tank 135</t>
  </si>
  <si>
    <t>Vertiv Tank 136</t>
  </si>
  <si>
    <t>Vertiv Tank 137</t>
  </si>
  <si>
    <t>Vertiv Tank 138</t>
  </si>
  <si>
    <t>Vertiv Tank 139</t>
  </si>
  <si>
    <t>Vertiv Tank 140</t>
  </si>
  <si>
    <t>Vertiv Tank 141</t>
  </si>
  <si>
    <t>Vertiv Tank 142</t>
  </si>
  <si>
    <t>Vertiv Tank 143</t>
  </si>
  <si>
    <t>Vertiv Tank 144</t>
  </si>
  <si>
    <t>Vertiv Tank 145</t>
  </si>
  <si>
    <t>Vertiv Tank 146</t>
  </si>
  <si>
    <t>Vertiv Tank 147</t>
  </si>
  <si>
    <t>Vertiv Tank 148</t>
  </si>
  <si>
    <t>Vertiv Tank 149</t>
  </si>
  <si>
    <t>Vertiv Tank 150</t>
  </si>
  <si>
    <t>Vertiv Tank 151</t>
  </si>
  <si>
    <t>Vertiv Tank 152</t>
  </si>
  <si>
    <t>Vertiv Tank 153</t>
  </si>
  <si>
    <t>Vertiv Tank 154</t>
  </si>
  <si>
    <t>Vertiv Tank 155</t>
  </si>
  <si>
    <t>Vertiv Tank 156</t>
  </si>
  <si>
    <t>Vertiv Tank 157</t>
  </si>
  <si>
    <t>Vertiv Tank 158</t>
  </si>
  <si>
    <t>Vertiv Tank 159</t>
  </si>
  <si>
    <t>Vertiv Tank 160</t>
  </si>
  <si>
    <t>Vertiv Tank 161</t>
  </si>
  <si>
    <t>Vertiv Tank 162</t>
  </si>
  <si>
    <t>Vertiv Tank 163</t>
  </si>
  <si>
    <t>Vertiv Tank 164</t>
  </si>
  <si>
    <t>Vertiv Tank 165</t>
  </si>
  <si>
    <t>Vertiv Tank 166</t>
  </si>
  <si>
    <t>Vertiv Tank 167</t>
  </si>
  <si>
    <t>Vertiv Tank 168</t>
  </si>
  <si>
    <t>Vertiv Tank 169</t>
  </si>
  <si>
    <t>Vertiv Tank 170</t>
  </si>
  <si>
    <t>Vertiv Tank 171</t>
  </si>
  <si>
    <t>Vertiv Tank 172</t>
  </si>
  <si>
    <t>Vertiv Tank 173</t>
  </si>
  <si>
    <t>Vertiv Tank 174</t>
  </si>
  <si>
    <t>Vertiv Tank 175</t>
  </si>
  <si>
    <t>Vertiv Tank 176</t>
  </si>
  <si>
    <t>Vertiv Tank 177</t>
  </si>
  <si>
    <t>Vertiv Tank 178</t>
  </si>
  <si>
    <t>Vertiv Tank 179</t>
  </si>
  <si>
    <t>Vertiv Tank 180</t>
  </si>
  <si>
    <t>Vertiv Tank 181</t>
  </si>
  <si>
    <t>Vertiv Tank 182</t>
  </si>
  <si>
    <t>Vertiv Tank 183</t>
  </si>
  <si>
    <t>Vertiv Tank 184</t>
  </si>
  <si>
    <t>Vertiv Tank 185</t>
  </si>
  <si>
    <t>Vertiv Tank 186</t>
  </si>
  <si>
    <t>Vertiv Tank 187</t>
  </si>
  <si>
    <t>Vertiv Tank 188</t>
  </si>
  <si>
    <t>Vertiv Tank 189</t>
  </si>
  <si>
    <t>Vertiv Tank 190</t>
  </si>
  <si>
    <t>Vertiv Tank 191</t>
  </si>
  <si>
    <t>Vertiv Tank 192</t>
  </si>
  <si>
    <t>Vertiv Tank 193</t>
  </si>
  <si>
    <t>Vertiv Tank 194</t>
  </si>
  <si>
    <t>Vertiv Tank 195</t>
  </si>
  <si>
    <t>Vertiv Tank 196</t>
  </si>
  <si>
    <t>Vertiv Tank 197</t>
  </si>
  <si>
    <t>Vertiv Tank 198</t>
  </si>
  <si>
    <t>Vertiv Tank 199</t>
  </si>
  <si>
    <t>Vertiv Tank 200</t>
  </si>
  <si>
    <t>Vertiv Tank 201</t>
  </si>
  <si>
    <t>Vertiv Tank 202</t>
  </si>
  <si>
    <t>Vertiv Tank 203</t>
  </si>
  <si>
    <t>Vertiv Tank 204</t>
  </si>
  <si>
    <t>Vertiv Tank 205</t>
  </si>
  <si>
    <t>Vertiv Tank 206</t>
  </si>
  <si>
    <t>Vertiv Tank 207</t>
  </si>
  <si>
    <t>Vertiv Tank 208</t>
  </si>
  <si>
    <t>Vertiv Tank 209</t>
  </si>
  <si>
    <t>Vertiv Tank 210</t>
  </si>
  <si>
    <t>Vertiv Tank 211</t>
  </si>
  <si>
    <t>Vertiv Tank 212</t>
  </si>
  <si>
    <t>Vertiv Tank 213</t>
  </si>
  <si>
    <t>Vertiv Tank 214</t>
  </si>
  <si>
    <t>Vertiv Tank 215</t>
  </si>
  <si>
    <t>Vertiv Tank 216</t>
  </si>
  <si>
    <t>Vertiv Tank 217</t>
  </si>
  <si>
    <t>Vertiv Tank 218</t>
  </si>
  <si>
    <t>Vertiv Tank 219</t>
  </si>
  <si>
    <t>Vertiv Tank 220</t>
  </si>
  <si>
    <t>Vertiv Tank 221</t>
  </si>
  <si>
    <t>Vertiv Tank 222</t>
  </si>
  <si>
    <t>Vertiv Tank 223</t>
  </si>
  <si>
    <t>Vertiv Tank 224</t>
  </si>
  <si>
    <t>Plate roller for new production</t>
  </si>
  <si>
    <t>welder / fabricator 1</t>
  </si>
  <si>
    <t>Testing / cleaner 1</t>
  </si>
  <si>
    <t>welder / fabricator 2</t>
  </si>
  <si>
    <t>welder / fabricator 3</t>
  </si>
  <si>
    <t>welder / fabricator 4</t>
  </si>
  <si>
    <t>Job #:</t>
  </si>
  <si>
    <t>124-25</t>
  </si>
  <si>
    <t>Description:</t>
  </si>
  <si>
    <t>Work Center</t>
  </si>
  <si>
    <t>Op #</t>
  </si>
  <si>
    <t>Task</t>
  </si>
  <si>
    <t>Est Hours</t>
  </si>
  <si>
    <t>125-25</t>
  </si>
  <si>
    <t>126-25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</si>
</sst>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m/d;@"/>
    <numFmt numFmtId="165" formatCode="m/d/yy;@"/>
    <numFmt numFmtId="166" formatCode="0_);[Red]\(0\)"/>
    <numFmt numFmtId="167" formatCode="0.00_)"/>
    <numFmt numFmtId="168" formatCode="0.0"/>
    <numFmt numFmtId="169" formatCode="#,##0.0"/>
  </numFmts>
  <fonts count="17" x14ac:knownFonts="1">
    <font>
      <sz val="12"/>
      <name val="Arial"/>
    </font>
    <font>
      <sz val="11"/>
      <color theme="1"/>
      <name val="Calibri"/>
      <family val="2"/>
      <scheme val="minor"/>
    </font>
    <font>
      <sz val="7"/>
      <name val="Arial"/>
      <family val="2"/>
    </font>
    <font>
      <sz val="7"/>
      <color rgb="FFFF0000"/>
      <name val="Arial"/>
      <family val="2"/>
    </font>
    <font>
      <sz val="12"/>
      <name val="Arial"/>
      <family val="2"/>
    </font>
    <font>
      <b/>
      <sz val="7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u/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8"/>
      <color indexed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97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left" vertical="center"/>
      <protection locked="0"/>
    </xf>
    <xf numFmtId="1" fontId="2" fillId="0" borderId="1" xfId="0" applyNumberFormat="1" applyFont="1" applyBorder="1" applyAlignment="1" applyProtection="1">
      <alignment horizontal="right" vertical="center"/>
      <protection locked="0"/>
    </xf>
    <xf numFmtId="1" fontId="2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 applyProtection="1">
      <alignment horizontal="center"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left" vertical="center"/>
      <protection locked="0"/>
    </xf>
    <xf numFmtId="1" fontId="2" fillId="0" borderId="0" xfId="0" applyNumberFormat="1" applyFont="1" applyAlignment="1" applyProtection="1">
      <alignment horizontal="left" vertical="center"/>
      <protection locked="0"/>
    </xf>
    <xf numFmtId="1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" fontId="2" fillId="0" borderId="9" xfId="0" applyNumberFormat="1" applyFont="1" applyBorder="1" applyAlignment="1">
      <alignment horizontal="left" vertical="center"/>
    </xf>
    <xf numFmtId="9" fontId="2" fillId="0" borderId="10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left" vertical="center"/>
    </xf>
    <xf numFmtId="1" fontId="2" fillId="2" borderId="11" xfId="0" applyNumberFormat="1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left" vertical="center"/>
    </xf>
    <xf numFmtId="1" fontId="2" fillId="0" borderId="6" xfId="0" applyNumberFormat="1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2" fillId="5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/>
      <protection locked="0"/>
    </xf>
    <xf numFmtId="166" fontId="2" fillId="3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164" fontId="2" fillId="8" borderId="1" xfId="0" applyNumberFormat="1" applyFont="1" applyFill="1" applyBorder="1" applyAlignment="1" applyProtection="1">
      <alignment horizontal="center" vertical="center"/>
      <protection locked="0"/>
    </xf>
    <xf numFmtId="164" fontId="2" fillId="9" borderId="1" xfId="0" applyNumberFormat="1" applyFont="1" applyFill="1" applyBorder="1" applyAlignment="1" applyProtection="1">
      <alignment horizontal="center" vertical="center"/>
      <protection locked="0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left" vertical="center"/>
    </xf>
    <xf numFmtId="164" fontId="2" fillId="10" borderId="1" xfId="0" applyNumberFormat="1" applyFont="1" applyFill="1" applyBorder="1" applyAlignment="1" applyProtection="1">
      <alignment horizontal="center" vertical="center"/>
      <protection locked="0"/>
    </xf>
    <xf numFmtId="1" fontId="2" fillId="11" borderId="1" xfId="0" applyNumberFormat="1" applyFont="1" applyFill="1" applyBorder="1" applyAlignment="1">
      <alignment horizontal="left" vertical="center"/>
    </xf>
    <xf numFmtId="1" fontId="2" fillId="11" borderId="1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1" fontId="2" fillId="12" borderId="3" xfId="0" applyNumberFormat="1" applyFont="1" applyFill="1" applyBorder="1" applyAlignment="1" applyProtection="1">
      <alignment horizontal="center" vertical="center"/>
      <protection locked="0"/>
    </xf>
    <xf numFmtId="0" fontId="2" fillId="13" borderId="1" xfId="0" applyFont="1" applyFill="1" applyBorder="1" applyAlignment="1">
      <alignment horizontal="left" vertical="center"/>
    </xf>
    <xf numFmtId="1" fontId="2" fillId="13" borderId="3" xfId="0" applyNumberFormat="1" applyFont="1" applyFill="1" applyBorder="1" applyAlignment="1" applyProtection="1">
      <alignment horizontal="center" vertical="center"/>
      <protection locked="0"/>
    </xf>
    <xf numFmtId="0" fontId="2" fillId="14" borderId="1" xfId="0" applyFont="1" applyFill="1" applyBorder="1" applyAlignment="1">
      <alignment horizontal="left" vertical="center"/>
    </xf>
    <xf numFmtId="1" fontId="2" fillId="14" borderId="3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right"/>
    </xf>
    <xf numFmtId="0" fontId="11" fillId="2" borderId="0" xfId="0" applyFont="1" applyFill="1" applyAlignment="1">
      <alignment vertical="top"/>
    </xf>
    <xf numFmtId="0" fontId="0" fillId="2" borderId="0" xfId="0" applyFill="1" applyAlignment="1">
      <alignment horizontal="right"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0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horizontal="center" vertical="top"/>
    </xf>
    <xf numFmtId="0" fontId="16" fillId="0" borderId="12" xfId="0" applyFont="1" applyBorder="1"/>
    <xf numFmtId="0" fontId="10" fillId="0" borderId="13" xfId="0" applyFont="1" applyBorder="1" applyAlignment="1">
      <alignment horizontal="center"/>
    </xf>
    <xf numFmtId="0" fontId="0" fillId="0" borderId="13" xfId="0" applyBorder="1" applyAlignment="1">
      <alignment wrapText="1"/>
    </xf>
    <xf numFmtId="169" fontId="0" fillId="0" borderId="13" xfId="0" applyNumberFormat="1" applyBorder="1"/>
    <xf numFmtId="169" fontId="0" fillId="0" borderId="0" xfId="0" applyNumberFormat="1"/>
    <xf numFmtId="169" fontId="0" fillId="15" borderId="13" xfId="0" applyNumberFormat="1" applyFill="1" applyBorder="1"/>
    <xf numFmtId="169" fontId="0" fillId="16" borderId="13" xfId="0" applyNumberFormat="1" applyFill="1" applyBorder="1"/>
    <xf numFmtId="169" fontId="0" fillId="17" borderId="13" xfId="0" applyNumberFormat="1" applyFill="1" applyBorder="1"/>
    <xf numFmtId="1" fontId="8" fillId="0" borderId="0" xfId="0" applyNumberFormat="1" applyFont="1" applyAlignment="1" applyProtection="1">
      <alignment horizontal="center" vertical="center"/>
      <protection locked="0"/>
    </xf>
  </cellXfs>
  <cellStyles count="3">
    <cellStyle name="Comma" xfId="1" builtinId="3"/>
    <cellStyle name="Normal" xfId="0" builtinId="0"/>
    <cellStyle name="Normal 2" xfId="2" xr:uid="{4AAFE4B5-7A9B-43AC-ABB6-0DE0DB79C16E}"/>
  </cellStyles>
  <dxfs count="12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pril\AppData\Local\Microsoft\Olk\Attachments\ooa-24d3f8da-efba-42b1-8109-0093582fcaef\3c69a97d234c8f68a9fba86787e359e55dee7a1107d22cb7523c098cc6a504f9\25-124%20MASTER%20BUILD%20PLAN.xlsx" TargetMode="External"/><Relationship Id="rId1" Type="http://schemas.openxmlformats.org/officeDocument/2006/relationships/externalLinkPath" Target="file:///C:\Users\April\AppData\Local\Microsoft\Olk\Attachments\ooa-24d3f8da-efba-42b1-8109-0093582fcaef\3c69a97d234c8f68a9fba86787e359e55dee7a1107d22cb7523c098cc6a504f9\25-124%20MASTER%20BUILD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ild Plan w Hours"/>
      <sheetName val="Build Plan - No Hours"/>
      <sheetName val="Sheet2-PASTE HERE!"/>
      <sheetName val="Tasks with Hours"/>
      <sheetName val="Tasks - No Hours"/>
    </sheetNames>
    <sheetDataSet>
      <sheetData sheetId="0"/>
      <sheetData sheetId="1"/>
      <sheetData sheetId="2">
        <row r="1">
          <cell r="B1" t="str">
            <v>BUFFER TANK 1 OF 224</v>
          </cell>
        </row>
        <row r="17">
          <cell r="A17" t="str">
            <v>PRE FAB</v>
          </cell>
          <cell r="F17">
            <v>2</v>
          </cell>
          <cell r="I17" t="str">
            <v>.100</v>
          </cell>
          <cell r="K17" t="str">
            <v>Cut nozzle pipe and clean</v>
          </cell>
        </row>
        <row r="18">
          <cell r="A18" t="str">
            <v>PRE FAB</v>
          </cell>
          <cell r="F18">
            <v>4</v>
          </cell>
          <cell r="I18" t="str">
            <v>.105</v>
          </cell>
          <cell r="K18" t="str">
            <v>Build nozzles and weld_x000D_
USE COBOT FOR N1 &amp; N2</v>
          </cell>
        </row>
        <row r="19">
          <cell r="A19" t="str">
            <v>PRE FAB</v>
          </cell>
          <cell r="F19">
            <v>6</v>
          </cell>
          <cell r="I19" t="str">
            <v>.155</v>
          </cell>
          <cell r="K19" t="str">
            <v>Burn and clean parts:  lugs, supports, repads, base ring, etc. (CHECK!)</v>
          </cell>
        </row>
        <row r="20">
          <cell r="A20" t="str">
            <v>PRE FAB</v>
          </cell>
          <cell r="F20">
            <v>3</v>
          </cell>
          <cell r="I20" t="str">
            <v>.156</v>
          </cell>
        </row>
        <row r="21">
          <cell r="A21" t="str">
            <v>PRE FAB</v>
          </cell>
          <cell r="F21">
            <v>1</v>
          </cell>
          <cell r="I21" t="str">
            <v>.200</v>
          </cell>
          <cell r="K21" t="str">
            <v>Make lift lugs, ground lugs, etc.</v>
          </cell>
        </row>
        <row r="22">
          <cell r="A22" t="str">
            <v>PRE FAB</v>
          </cell>
          <cell r="F22">
            <v>2</v>
          </cell>
          <cell r="I22" t="str">
            <v>.252</v>
          </cell>
          <cell r="K22" t="str">
            <v>Fabricate miscellaneous parts_x000D_
CUT (4) ANCHOR ANGLES &amp; PUNCH BOLT HOLES</v>
          </cell>
        </row>
        <row r="23">
          <cell r="A23" t="str">
            <v>PRE FAB</v>
          </cell>
          <cell r="F23">
            <v>2</v>
          </cell>
          <cell r="I23" t="str">
            <v>.261</v>
          </cell>
          <cell r="K23" t="str">
            <v>Miscellaneous Fabrication - Braces, Mounting Plates, Cone Outlet Necks_x000D_
ROLL &amp; WELD BACKING BAR</v>
          </cell>
        </row>
        <row r="24">
          <cell r="A24" t="str">
            <v>PRE FAB</v>
          </cell>
          <cell r="F24">
            <v>1</v>
          </cell>
          <cell r="I24" t="str">
            <v>.300</v>
          </cell>
          <cell r="K24" t="str">
            <v>Wrap top and bottom heads</v>
          </cell>
        </row>
        <row r="25">
          <cell r="A25" t="str">
            <v>INSPECTION</v>
          </cell>
          <cell r="I25" t="str">
            <v>.QC3</v>
          </cell>
          <cell r="K25" t="str">
            <v>UT Shells</v>
          </cell>
        </row>
        <row r="26">
          <cell r="A26" t="str">
            <v>PRE FAB</v>
          </cell>
          <cell r="F26">
            <v>1</v>
          </cell>
          <cell r="I26" t="str">
            <v>.305</v>
          </cell>
          <cell r="K26" t="str">
            <v>Shells: bring in plate, square, trim and clean</v>
          </cell>
        </row>
        <row r="27">
          <cell r="A27" t="str">
            <v>PRE FAB</v>
          </cell>
          <cell r="F27">
            <v>3</v>
          </cell>
          <cell r="I27" t="str">
            <v>.315</v>
          </cell>
          <cell r="K27" t="str">
            <v>Roll shells, tack and weld inside seams_x000D_
INCL WELD LONG SEAM INSIDE &amp; OUTSIDE</v>
          </cell>
        </row>
        <row r="28">
          <cell r="A28" t="str">
            <v>INSPECTION</v>
          </cell>
          <cell r="F28">
            <v>0</v>
          </cell>
          <cell r="I28" t="str">
            <v>.QC4</v>
          </cell>
          <cell r="K28" t="str">
            <v>QC Inspection - Top/Bottom/Cones</v>
          </cell>
        </row>
        <row r="29">
          <cell r="A29" t="str">
            <v>PRE FAB</v>
          </cell>
          <cell r="F29">
            <v>1</v>
          </cell>
          <cell r="I29" t="str">
            <v>.365</v>
          </cell>
          <cell r="K29" t="str">
            <v>Set  nozzles, lift lugs, etc. in top head - tack</v>
          </cell>
        </row>
        <row r="30">
          <cell r="A30" t="str">
            <v>PRE FAB</v>
          </cell>
          <cell r="F30">
            <v>3</v>
          </cell>
          <cell r="I30" t="str">
            <v>.366</v>
          </cell>
          <cell r="K30" t="str">
            <v>Weld out top head nozzles, etc. _x000D_
INCL (2) LIFT LUGS</v>
          </cell>
        </row>
        <row r="31">
          <cell r="A31" t="str">
            <v>INSPECTION</v>
          </cell>
          <cell r="I31" t="str">
            <v>.QC4</v>
          </cell>
          <cell r="K31" t="str">
            <v>QC Inspection - Top/Bottom/Cones</v>
          </cell>
        </row>
        <row r="32">
          <cell r="A32" t="str">
            <v>PRE FAB</v>
          </cell>
          <cell r="F32">
            <v>1</v>
          </cell>
          <cell r="I32" t="str">
            <v>.465</v>
          </cell>
          <cell r="K32" t="str">
            <v>Set  nozzles in bottom head - tack</v>
          </cell>
        </row>
        <row r="33">
          <cell r="A33" t="str">
            <v>PRE FAB</v>
          </cell>
          <cell r="F33">
            <v>1</v>
          </cell>
          <cell r="I33" t="str">
            <v>.466</v>
          </cell>
          <cell r="K33" t="str">
            <v>Weld nozzles in bottom head; weld complete</v>
          </cell>
        </row>
        <row r="34">
          <cell r="A34" t="str">
            <v>PRE FAB</v>
          </cell>
          <cell r="F34">
            <v>2</v>
          </cell>
          <cell r="I34" t="str">
            <v>.500</v>
          </cell>
          <cell r="K34" t="str">
            <v>Build skirt - fit and weld shells_x000D_
ROLL SKIRT SHELL &amp; WELD LONG SEAM INSIDE &amp; OUTSIDE</v>
          </cell>
        </row>
        <row r="35">
          <cell r="A35" t="str">
            <v>FIT</v>
          </cell>
          <cell r="F35">
            <v>1</v>
          </cell>
          <cell r="I35" t="str">
            <v>.530</v>
          </cell>
          <cell r="K35" t="str">
            <v>Build skirt - fit anchors / gussets</v>
          </cell>
        </row>
        <row r="36">
          <cell r="A36" t="str">
            <v>FIT</v>
          </cell>
          <cell r="F36">
            <v>1</v>
          </cell>
          <cell r="I36" t="str">
            <v>.545</v>
          </cell>
          <cell r="K36" t="str">
            <v>Weld skirt anchors, gussets, nozzles, manways, etc.</v>
          </cell>
        </row>
        <row r="37">
          <cell r="A37" t="str">
            <v>INSPECTION</v>
          </cell>
          <cell r="I37" t="str">
            <v>.OI1</v>
          </cell>
          <cell r="K37" t="str">
            <v>ASME Hold Point</v>
          </cell>
        </row>
        <row r="38">
          <cell r="A38" t="str">
            <v>FIT</v>
          </cell>
          <cell r="F38">
            <v>4</v>
          </cell>
          <cell r="I38" t="str">
            <v>.600</v>
          </cell>
          <cell r="K38" t="str">
            <v>Fit bottom head to shell_x000D_
AND WELD INSIDE</v>
          </cell>
        </row>
        <row r="39">
          <cell r="A39" t="str">
            <v>FIT</v>
          </cell>
          <cell r="F39">
            <v>6</v>
          </cell>
          <cell r="I39" t="str">
            <v>.625</v>
          </cell>
          <cell r="K39" t="str">
            <v>Install baffles and weld</v>
          </cell>
        </row>
        <row r="40">
          <cell r="A40" t="str">
            <v>FIT</v>
          </cell>
          <cell r="F40">
            <v>3</v>
          </cell>
          <cell r="I40" t="str">
            <v>.630</v>
          </cell>
          <cell r="K40" t="str">
            <v>Install internals - wear plates, rings, clips, etc._x000D_
FIT &amp; WELD BACKING BAR TO SHELL</v>
          </cell>
        </row>
        <row r="41">
          <cell r="A41" t="str">
            <v>INSPECTION</v>
          </cell>
          <cell r="I41" t="str">
            <v>.QC5</v>
          </cell>
          <cell r="K41" t="str">
            <v>QC Inspection - Internal</v>
          </cell>
        </row>
        <row r="42">
          <cell r="A42" t="str">
            <v>FIT</v>
          </cell>
          <cell r="F42">
            <v>1</v>
          </cell>
          <cell r="I42" t="str">
            <v>.640</v>
          </cell>
          <cell r="K42" t="str">
            <v>Fit top head to shell - tack</v>
          </cell>
        </row>
        <row r="43">
          <cell r="A43" t="str">
            <v>FIT</v>
          </cell>
          <cell r="F43">
            <v>2</v>
          </cell>
          <cell r="I43" t="str">
            <v>.645</v>
          </cell>
          <cell r="K43" t="str">
            <v>Weld all outside seams</v>
          </cell>
        </row>
        <row r="44">
          <cell r="A44" t="str">
            <v>MOVE TANK</v>
          </cell>
          <cell r="F44">
            <v>1</v>
          </cell>
          <cell r="I44" t="str">
            <v>.800</v>
          </cell>
          <cell r="K44" t="str">
            <v>Move tank to detail rolls</v>
          </cell>
        </row>
        <row r="45">
          <cell r="A45" t="str">
            <v>FIT</v>
          </cell>
          <cell r="F45">
            <v>4</v>
          </cell>
          <cell r="I45" t="str">
            <v>.720</v>
          </cell>
          <cell r="K45" t="str">
            <v>Install supports - legs, lugs, anchors, saddles, skirt_x000D_
FIT SKIRT &amp; WELD TO BOTTOM HEAD</v>
          </cell>
        </row>
        <row r="46">
          <cell r="A46" t="str">
            <v>FIT</v>
          </cell>
          <cell r="F46">
            <v>1</v>
          </cell>
          <cell r="I46" t="str">
            <v>.725</v>
          </cell>
          <cell r="K46" t="str">
            <v>Set nozzles in shell - tack</v>
          </cell>
        </row>
        <row r="47">
          <cell r="A47" t="str">
            <v>FIT</v>
          </cell>
          <cell r="F47">
            <v>3</v>
          </cell>
          <cell r="I47" t="str">
            <v>.726</v>
          </cell>
          <cell r="K47" t="str">
            <v>Weld shell nozzles, manways, etc._x000D_
SET &amp; WELD NOZZLES BEFORE INSTALLING TOP HEADS</v>
          </cell>
        </row>
        <row r="48">
          <cell r="A48" t="str">
            <v>FINISHING</v>
          </cell>
          <cell r="F48">
            <v>1</v>
          </cell>
          <cell r="I48" t="str">
            <v>.765</v>
          </cell>
          <cell r="K48" t="str">
            <v>Install name tag</v>
          </cell>
        </row>
        <row r="49">
          <cell r="A49" t="str">
            <v>FIT</v>
          </cell>
          <cell r="F49">
            <v>1</v>
          </cell>
          <cell r="I49" t="str">
            <v>.770</v>
          </cell>
          <cell r="K49" t="str">
            <v>Inspect tank, make repairs, get QC inspector</v>
          </cell>
        </row>
        <row r="50">
          <cell r="A50" t="str">
            <v>INSPECTION</v>
          </cell>
          <cell r="I50" t="str">
            <v>.QC6</v>
          </cell>
          <cell r="K50" t="str">
            <v>QC Inspection - Fabrication</v>
          </cell>
        </row>
        <row r="51">
          <cell r="A51" t="str">
            <v>INSPECTION</v>
          </cell>
          <cell r="I51" t="str">
            <v>.OI2</v>
          </cell>
          <cell r="K51" t="str">
            <v>ASME Inspection Internal</v>
          </cell>
        </row>
        <row r="52">
          <cell r="A52" t="str">
            <v>MOVE TANK</v>
          </cell>
          <cell r="F52">
            <v>1</v>
          </cell>
          <cell r="I52" t="str">
            <v>.801</v>
          </cell>
          <cell r="K52" t="str">
            <v>Move to shop test area</v>
          </cell>
        </row>
        <row r="53">
          <cell r="A53" t="str">
            <v>FINISHING</v>
          </cell>
          <cell r="F53">
            <v>4</v>
          </cell>
          <cell r="I53" t="str">
            <v>.910</v>
          </cell>
          <cell r="K53" t="str">
            <v>Test tank</v>
          </cell>
        </row>
        <row r="54">
          <cell r="A54" t="str">
            <v>INSPECTION</v>
          </cell>
          <cell r="I54" t="str">
            <v>.QC7</v>
          </cell>
          <cell r="K54" t="str">
            <v>QC Inspection - Test</v>
          </cell>
        </row>
        <row r="55">
          <cell r="A55" t="str">
            <v>INSPECTION</v>
          </cell>
          <cell r="I55" t="str">
            <v>.OI3</v>
          </cell>
          <cell r="K55" t="str">
            <v>ASME Inspection Test</v>
          </cell>
        </row>
        <row r="56">
          <cell r="A56" t="str">
            <v>FINISHING</v>
          </cell>
          <cell r="F56">
            <v>5</v>
          </cell>
          <cell r="I56" t="str">
            <v>.920</v>
          </cell>
          <cell r="K56" t="str">
            <v>Clean tank complete_x000D_
CLEAN INSIDE BEFORE INSTALLING TOP HEAD</v>
          </cell>
        </row>
        <row r="57">
          <cell r="A57" t="str">
            <v>INSPECTION</v>
          </cell>
          <cell r="I57" t="str">
            <v>.QC8</v>
          </cell>
          <cell r="K57" t="str">
            <v>QC Inspection - Clean</v>
          </cell>
        </row>
        <row r="58">
          <cell r="A58" t="str">
            <v>FINISHING</v>
          </cell>
          <cell r="F58">
            <v>1</v>
          </cell>
          <cell r="I58" t="str">
            <v>.940</v>
          </cell>
          <cell r="K58" t="str">
            <v>Prepare tank for shipment</v>
          </cell>
        </row>
        <row r="59">
          <cell r="A59" t="str">
            <v>INSPECTION</v>
          </cell>
          <cell r="I59" t="str">
            <v>.QC95</v>
          </cell>
          <cell r="K59" t="str">
            <v>QC Inspection - Final &amp; Loose Items</v>
          </cell>
        </row>
        <row r="60">
          <cell r="A60" t="str">
            <v>SHIPPING</v>
          </cell>
          <cell r="F60">
            <v>1</v>
          </cell>
          <cell r="I60" t="str">
            <v>.960</v>
          </cell>
          <cell r="K60" t="str">
            <v>Load on truck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83"/>
  <sheetViews>
    <sheetView zoomScale="120" zoomScaleNormal="120" zoomScaleSheetLayoutView="140" workbookViewId="0">
      <pane xSplit="9" ySplit="5" topLeftCell="J6" activePane="bottomRight" state="frozenSplit"/>
      <selection pane="topRight" activeCell="O1" sqref="O1"/>
      <selection pane="bottomLeft" activeCell="A2" sqref="A2"/>
      <selection pane="bottomRight" activeCell="H1" sqref="H1:I1048576"/>
    </sheetView>
  </sheetViews>
  <sheetFormatPr defaultColWidth="5.6640625" defaultRowHeight="9" customHeight="1" x14ac:dyDescent="0.2"/>
  <cols>
    <col min="1" max="1" width="16.21875" style="16" bestFit="1" customWidth="1"/>
    <col min="2" max="2" width="6.6640625" style="2" customWidth="1"/>
    <col min="3" max="3" width="7" style="2" bestFit="1" customWidth="1"/>
    <col min="4" max="4" width="4.44140625" style="2" customWidth="1"/>
    <col min="5" max="5" width="4.5546875" style="2" hidden="1" customWidth="1"/>
    <col min="6" max="6" width="4.44140625" style="2" hidden="1" customWidth="1"/>
    <col min="7" max="7" width="4.44140625" style="30" hidden="1" customWidth="1"/>
    <col min="8" max="8" width="5.109375" style="2" hidden="1" customWidth="1"/>
    <col min="9" max="12" width="4.44140625" style="2" hidden="1" customWidth="1"/>
    <col min="13" max="70" width="4.44140625" style="2" customWidth="1"/>
    <col min="71" max="71" width="6.44140625" style="2" bestFit="1" customWidth="1"/>
    <col min="72" max="72" width="4.44140625" style="4" customWidth="1"/>
    <col min="73" max="73" width="7.5546875" style="2" bestFit="1" customWidth="1"/>
    <col min="74" max="16384" width="5.6640625" style="2"/>
  </cols>
  <sheetData>
    <row r="1" spans="1:72" s="1" customFormat="1" ht="12.75" x14ac:dyDescent="0.2">
      <c r="A1" s="96" t="s">
        <v>11</v>
      </c>
      <c r="B1" s="96"/>
      <c r="C1" s="96"/>
      <c r="D1" s="34"/>
      <c r="E1" s="34"/>
      <c r="F1" s="24" t="s">
        <v>18</v>
      </c>
      <c r="G1" s="31" t="s">
        <v>19</v>
      </c>
      <c r="H1" s="34"/>
      <c r="I1" s="34"/>
      <c r="J1" s="56">
        <v>3</v>
      </c>
      <c r="K1" s="56">
        <v>4</v>
      </c>
      <c r="L1" s="56">
        <v>5</v>
      </c>
      <c r="M1" s="56">
        <v>6</v>
      </c>
      <c r="N1" s="56">
        <v>7</v>
      </c>
      <c r="O1" s="56">
        <v>8</v>
      </c>
      <c r="P1" s="56">
        <v>9</v>
      </c>
      <c r="Q1" s="56">
        <v>10</v>
      </c>
      <c r="R1" s="56">
        <v>11</v>
      </c>
      <c r="S1" s="56">
        <v>12</v>
      </c>
      <c r="T1" s="56">
        <v>13</v>
      </c>
      <c r="U1" s="56">
        <v>14</v>
      </c>
      <c r="V1" s="56">
        <v>15</v>
      </c>
      <c r="W1" s="56">
        <v>16</v>
      </c>
      <c r="X1" s="56">
        <v>17</v>
      </c>
      <c r="Y1" s="56">
        <v>18</v>
      </c>
      <c r="Z1" s="56">
        <v>19</v>
      </c>
      <c r="AA1" s="56">
        <v>20</v>
      </c>
      <c r="AB1" s="56">
        <v>21</v>
      </c>
      <c r="AC1" s="56">
        <v>22</v>
      </c>
      <c r="AD1" s="56">
        <v>23</v>
      </c>
      <c r="AE1" s="56">
        <v>24</v>
      </c>
      <c r="AF1" s="56">
        <v>25</v>
      </c>
      <c r="AG1" s="56">
        <v>26</v>
      </c>
      <c r="AH1" s="56">
        <v>27</v>
      </c>
      <c r="AI1" s="56">
        <v>28</v>
      </c>
      <c r="AJ1" s="56">
        <v>29</v>
      </c>
      <c r="AK1" s="56">
        <v>30</v>
      </c>
      <c r="AL1" s="56">
        <v>31</v>
      </c>
      <c r="AM1" s="56">
        <v>32</v>
      </c>
      <c r="AN1" s="56">
        <v>33</v>
      </c>
      <c r="AO1" s="56">
        <v>34</v>
      </c>
      <c r="AP1" s="56">
        <v>35</v>
      </c>
      <c r="AQ1" s="56">
        <v>36</v>
      </c>
      <c r="AR1" s="56">
        <v>37</v>
      </c>
      <c r="AS1" s="56">
        <v>38</v>
      </c>
      <c r="AT1" s="56">
        <v>39</v>
      </c>
      <c r="AU1" s="56">
        <v>40</v>
      </c>
      <c r="AV1" s="56">
        <v>41</v>
      </c>
      <c r="AW1" s="56">
        <v>42</v>
      </c>
      <c r="AX1" s="56">
        <v>43</v>
      </c>
      <c r="AY1" s="56">
        <v>44</v>
      </c>
      <c r="AZ1" s="69">
        <v>45</v>
      </c>
      <c r="BA1" s="56">
        <v>46</v>
      </c>
      <c r="BB1" s="56">
        <v>47</v>
      </c>
      <c r="BC1" s="56">
        <v>48</v>
      </c>
      <c r="BD1" s="56">
        <v>49</v>
      </c>
      <c r="BE1" s="56">
        <v>50</v>
      </c>
      <c r="BF1" s="56">
        <v>51</v>
      </c>
      <c r="BG1" s="72">
        <v>52</v>
      </c>
      <c r="BH1" s="56">
        <v>1</v>
      </c>
      <c r="BI1" s="56">
        <v>2</v>
      </c>
      <c r="BJ1" s="56">
        <v>3</v>
      </c>
      <c r="BK1" s="56">
        <v>4</v>
      </c>
      <c r="BL1" s="74">
        <v>5</v>
      </c>
      <c r="BM1" s="56">
        <v>6</v>
      </c>
      <c r="BN1" s="76">
        <v>7</v>
      </c>
      <c r="BO1" s="56">
        <v>8</v>
      </c>
      <c r="BP1" s="56">
        <v>9</v>
      </c>
      <c r="BQ1" s="23"/>
      <c r="BR1" s="23"/>
      <c r="BS1" s="23"/>
      <c r="BT1" s="23"/>
    </row>
    <row r="2" spans="1:72" s="5" customFormat="1" x14ac:dyDescent="0.2">
      <c r="A2" s="34"/>
      <c r="B2" s="34"/>
      <c r="C2" s="34"/>
      <c r="D2" s="34"/>
      <c r="E2" s="34"/>
      <c r="F2" s="25">
        <v>46034</v>
      </c>
      <c r="G2" s="32">
        <f>F2</f>
        <v>46034</v>
      </c>
      <c r="H2" s="34"/>
      <c r="I2" s="34"/>
      <c r="J2" s="5">
        <v>46034</v>
      </c>
      <c r="K2" s="5">
        <v>46041</v>
      </c>
      <c r="L2" s="5">
        <v>46048</v>
      </c>
      <c r="M2" s="5">
        <v>46055</v>
      </c>
      <c r="N2" s="5">
        <v>46062</v>
      </c>
      <c r="O2" s="5">
        <v>46069</v>
      </c>
      <c r="P2" s="5">
        <v>46076</v>
      </c>
      <c r="Q2" s="5">
        <v>46083</v>
      </c>
      <c r="R2" s="5">
        <v>46090</v>
      </c>
      <c r="S2" s="61">
        <v>46097</v>
      </c>
      <c r="T2" s="5">
        <v>46104</v>
      </c>
      <c r="U2" s="5">
        <v>46111</v>
      </c>
      <c r="V2" s="5">
        <v>46118</v>
      </c>
      <c r="W2" s="5">
        <v>46125</v>
      </c>
      <c r="X2" s="5">
        <v>46132</v>
      </c>
      <c r="Y2" s="5">
        <v>46139</v>
      </c>
      <c r="Z2" s="62">
        <v>46146</v>
      </c>
      <c r="AA2" s="5">
        <v>46153</v>
      </c>
      <c r="AB2" s="5">
        <v>46160</v>
      </c>
      <c r="AC2" s="5">
        <v>46167</v>
      </c>
      <c r="AD2" s="5">
        <v>46174</v>
      </c>
      <c r="AE2" s="5">
        <v>46181</v>
      </c>
      <c r="AF2" s="5">
        <v>46188</v>
      </c>
      <c r="AG2" s="5">
        <v>46195</v>
      </c>
      <c r="AH2" s="5">
        <v>46202</v>
      </c>
      <c r="AI2" s="5">
        <v>46209</v>
      </c>
      <c r="AJ2" s="5">
        <v>46216</v>
      </c>
      <c r="AK2" s="5">
        <v>46223</v>
      </c>
      <c r="AL2" s="64">
        <v>46230</v>
      </c>
      <c r="AM2" s="5">
        <v>46237</v>
      </c>
      <c r="AN2" s="5">
        <v>46244</v>
      </c>
      <c r="AO2" s="5">
        <v>46251</v>
      </c>
      <c r="AP2" s="5">
        <v>46258</v>
      </c>
      <c r="AQ2" s="66">
        <v>46265</v>
      </c>
      <c r="AR2" s="5">
        <v>46272</v>
      </c>
      <c r="AS2" s="5">
        <v>46279</v>
      </c>
      <c r="AT2" s="5">
        <v>46286</v>
      </c>
      <c r="AU2" s="5">
        <v>46293</v>
      </c>
      <c r="AV2" s="5">
        <v>46300</v>
      </c>
      <c r="AW2" s="5">
        <v>46307</v>
      </c>
      <c r="AX2" s="5">
        <v>46314</v>
      </c>
      <c r="AY2" s="5">
        <v>46321</v>
      </c>
      <c r="AZ2" s="5">
        <v>46328</v>
      </c>
      <c r="BA2" s="5">
        <v>46335</v>
      </c>
      <c r="BB2" s="5">
        <v>46342</v>
      </c>
      <c r="BC2" s="5">
        <v>46349</v>
      </c>
      <c r="BD2" s="5">
        <v>46356</v>
      </c>
      <c r="BE2" s="5">
        <v>46363</v>
      </c>
      <c r="BF2" s="5">
        <v>46370</v>
      </c>
      <c r="BG2" s="5">
        <v>46377</v>
      </c>
      <c r="BH2" s="5">
        <v>46384</v>
      </c>
      <c r="BI2" s="5">
        <v>46391</v>
      </c>
      <c r="BJ2" s="5">
        <v>46398</v>
      </c>
      <c r="BK2" s="5">
        <v>46405</v>
      </c>
      <c r="BL2" s="5">
        <v>46412</v>
      </c>
      <c r="BM2" s="5">
        <v>46419</v>
      </c>
      <c r="BN2" s="5">
        <v>46426</v>
      </c>
      <c r="BO2" s="5">
        <v>46433</v>
      </c>
      <c r="BP2" s="5">
        <v>46440</v>
      </c>
      <c r="BQ2" s="23"/>
      <c r="BR2" s="23"/>
      <c r="BS2" s="23"/>
      <c r="BT2" s="23"/>
    </row>
    <row r="3" spans="1:72" s="1" customFormat="1" x14ac:dyDescent="0.2">
      <c r="A3" s="35"/>
      <c r="B3" s="35"/>
      <c r="C3" s="35"/>
      <c r="D3" s="35"/>
      <c r="E3" s="35"/>
      <c r="F3" s="27">
        <v>7</v>
      </c>
      <c r="G3" s="33">
        <v>7</v>
      </c>
      <c r="H3" s="35"/>
      <c r="I3" s="35"/>
      <c r="J3" s="10">
        <v>7</v>
      </c>
      <c r="K3" s="10">
        <v>7</v>
      </c>
      <c r="L3" s="10">
        <v>7</v>
      </c>
      <c r="M3" s="10">
        <v>7</v>
      </c>
      <c r="N3" s="10">
        <v>7</v>
      </c>
      <c r="O3" s="10">
        <v>7</v>
      </c>
      <c r="P3" s="10">
        <v>7</v>
      </c>
      <c r="Q3" s="10">
        <v>7</v>
      </c>
      <c r="R3" s="10">
        <v>7</v>
      </c>
      <c r="S3" s="10">
        <v>7</v>
      </c>
      <c r="T3" s="10">
        <v>7</v>
      </c>
      <c r="U3" s="10">
        <v>7</v>
      </c>
      <c r="V3" s="10">
        <v>7</v>
      </c>
      <c r="W3" s="10">
        <v>7</v>
      </c>
      <c r="X3" s="10">
        <v>7</v>
      </c>
      <c r="Y3" s="10">
        <v>7</v>
      </c>
      <c r="Z3" s="10">
        <v>7</v>
      </c>
      <c r="AA3" s="10">
        <v>7</v>
      </c>
      <c r="AB3" s="10">
        <v>7</v>
      </c>
      <c r="AC3" s="10">
        <v>7</v>
      </c>
      <c r="AD3" s="10">
        <v>7</v>
      </c>
      <c r="AE3" s="10">
        <v>7</v>
      </c>
      <c r="AF3" s="10">
        <v>7</v>
      </c>
      <c r="AG3" s="10">
        <v>7</v>
      </c>
      <c r="AH3" s="10">
        <v>7</v>
      </c>
      <c r="AI3" s="10">
        <v>7</v>
      </c>
      <c r="AJ3" s="10">
        <v>7</v>
      </c>
      <c r="AK3" s="10">
        <v>7</v>
      </c>
      <c r="AL3" s="10">
        <v>7</v>
      </c>
      <c r="AM3" s="10">
        <v>7</v>
      </c>
      <c r="AN3" s="10">
        <v>7</v>
      </c>
      <c r="AO3" s="10">
        <v>7</v>
      </c>
      <c r="AP3" s="10">
        <v>7</v>
      </c>
      <c r="AQ3" s="10">
        <v>7</v>
      </c>
      <c r="AR3" s="10">
        <v>7</v>
      </c>
      <c r="AS3" s="10">
        <v>7</v>
      </c>
      <c r="AT3" s="10">
        <v>7</v>
      </c>
      <c r="AU3" s="10">
        <v>7</v>
      </c>
      <c r="AV3" s="10">
        <v>7</v>
      </c>
      <c r="AW3" s="10">
        <v>7</v>
      </c>
      <c r="AX3" s="10">
        <v>7</v>
      </c>
      <c r="AY3" s="10">
        <v>7</v>
      </c>
      <c r="AZ3" s="10">
        <v>7</v>
      </c>
      <c r="BA3" s="10">
        <v>7</v>
      </c>
      <c r="BB3" s="10">
        <v>7</v>
      </c>
      <c r="BC3" s="10">
        <v>7</v>
      </c>
      <c r="BD3" s="10">
        <v>7</v>
      </c>
      <c r="BE3" s="10">
        <v>7</v>
      </c>
      <c r="BF3" s="10">
        <v>7</v>
      </c>
      <c r="BG3" s="10">
        <v>7</v>
      </c>
      <c r="BH3" s="10">
        <v>7</v>
      </c>
      <c r="BI3" s="10">
        <v>7</v>
      </c>
      <c r="BJ3" s="10">
        <v>7</v>
      </c>
      <c r="BK3" s="10">
        <v>7</v>
      </c>
      <c r="BL3" s="10">
        <v>7</v>
      </c>
      <c r="BM3" s="10">
        <v>7</v>
      </c>
      <c r="BN3" s="10">
        <v>7</v>
      </c>
      <c r="BO3" s="10">
        <v>7</v>
      </c>
      <c r="BP3" s="10">
        <v>7</v>
      </c>
      <c r="BQ3" s="23"/>
      <c r="BR3" s="23"/>
      <c r="BS3" s="23"/>
      <c r="BT3" s="23"/>
    </row>
    <row r="4" spans="1:72" s="1" customFormat="1" x14ac:dyDescent="0.2">
      <c r="A4" s="15" t="s">
        <v>25</v>
      </c>
      <c r="B4" s="13">
        <v>0</v>
      </c>
      <c r="C4" s="1" t="s">
        <v>12</v>
      </c>
      <c r="D4" s="34"/>
      <c r="E4" s="34"/>
      <c r="F4" s="52">
        <v>50</v>
      </c>
      <c r="G4" s="52">
        <v>50</v>
      </c>
      <c r="H4" s="34"/>
      <c r="I4" s="34"/>
      <c r="J4" s="52">
        <v>50</v>
      </c>
      <c r="K4" s="52">
        <v>50</v>
      </c>
      <c r="L4" s="52">
        <v>50</v>
      </c>
      <c r="M4" s="52">
        <v>50</v>
      </c>
      <c r="N4" s="52">
        <v>50</v>
      </c>
      <c r="O4" s="52">
        <v>50</v>
      </c>
      <c r="P4" s="52">
        <v>50</v>
      </c>
      <c r="Q4" s="52">
        <v>50</v>
      </c>
      <c r="R4" s="52">
        <v>50</v>
      </c>
      <c r="S4" s="52">
        <v>50</v>
      </c>
      <c r="T4" s="52">
        <v>50</v>
      </c>
      <c r="U4" s="52">
        <v>50</v>
      </c>
      <c r="V4" s="52">
        <v>50</v>
      </c>
      <c r="W4" s="52">
        <v>50</v>
      </c>
      <c r="X4" s="52">
        <v>50</v>
      </c>
      <c r="Y4" s="52">
        <v>50</v>
      </c>
      <c r="Z4" s="52">
        <v>50</v>
      </c>
      <c r="AA4" s="52">
        <v>50</v>
      </c>
      <c r="AB4" s="52">
        <v>50</v>
      </c>
      <c r="AC4" s="57">
        <v>40</v>
      </c>
      <c r="AD4" s="52">
        <v>50</v>
      </c>
      <c r="AE4" s="52">
        <v>50</v>
      </c>
      <c r="AF4" s="52">
        <v>50</v>
      </c>
      <c r="AG4" s="52">
        <v>50</v>
      </c>
      <c r="AH4" s="52">
        <v>50</v>
      </c>
      <c r="AI4" s="57">
        <v>40</v>
      </c>
      <c r="AJ4" s="52">
        <v>50</v>
      </c>
      <c r="AK4" s="52">
        <v>50</v>
      </c>
      <c r="AL4" s="52">
        <v>50</v>
      </c>
      <c r="AM4" s="52">
        <v>50</v>
      </c>
      <c r="AN4" s="52">
        <v>50</v>
      </c>
      <c r="AO4" s="52">
        <v>50</v>
      </c>
      <c r="AP4" s="52">
        <v>50</v>
      </c>
      <c r="AQ4" s="52">
        <v>50</v>
      </c>
      <c r="AR4" s="57">
        <v>40</v>
      </c>
      <c r="AS4" s="52">
        <v>50</v>
      </c>
      <c r="AT4" s="52">
        <v>50</v>
      </c>
      <c r="AU4" s="52">
        <v>50</v>
      </c>
      <c r="AV4" s="52">
        <v>50</v>
      </c>
      <c r="AW4" s="52">
        <v>50</v>
      </c>
      <c r="AX4" s="52">
        <v>50</v>
      </c>
      <c r="AY4" s="52">
        <v>50</v>
      </c>
      <c r="AZ4" s="52">
        <v>50</v>
      </c>
      <c r="BA4" s="52">
        <v>50</v>
      </c>
      <c r="BB4" s="52">
        <v>50</v>
      </c>
      <c r="BC4" s="57">
        <v>40</v>
      </c>
      <c r="BD4" s="52">
        <v>50</v>
      </c>
      <c r="BE4" s="52">
        <v>50</v>
      </c>
      <c r="BF4" s="52">
        <v>50</v>
      </c>
      <c r="BG4" s="52">
        <v>50</v>
      </c>
      <c r="BH4" s="57">
        <v>40</v>
      </c>
      <c r="BI4" s="52">
        <v>50</v>
      </c>
      <c r="BJ4" s="52">
        <v>50</v>
      </c>
      <c r="BK4" s="52">
        <v>50</v>
      </c>
      <c r="BL4" s="52">
        <v>50</v>
      </c>
      <c r="BM4" s="52">
        <v>50</v>
      </c>
      <c r="BN4" s="52">
        <v>50</v>
      </c>
      <c r="BO4" s="52">
        <v>50</v>
      </c>
      <c r="BP4" s="52">
        <v>50</v>
      </c>
      <c r="BQ4" s="23"/>
      <c r="BR4" s="23"/>
      <c r="BS4" s="23"/>
      <c r="BT4" s="23"/>
    </row>
    <row r="5" spans="1:72" s="1" customFormat="1" x14ac:dyDescent="0.2">
      <c r="A5" s="14"/>
      <c r="B5" s="5" t="s">
        <v>0</v>
      </c>
      <c r="C5" s="1" t="s">
        <v>1</v>
      </c>
      <c r="D5" s="1" t="s">
        <v>4</v>
      </c>
      <c r="E5" s="26" t="s">
        <v>5</v>
      </c>
      <c r="F5" s="14"/>
      <c r="G5" s="14"/>
      <c r="H5" s="1" t="s">
        <v>9</v>
      </c>
      <c r="I5" s="1" t="s">
        <v>10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1" t="s">
        <v>17</v>
      </c>
      <c r="BR5" s="1" t="s">
        <v>2</v>
      </c>
      <c r="BS5" s="1" t="s">
        <v>1</v>
      </c>
      <c r="BT5" s="20"/>
    </row>
    <row r="6" spans="1:72" s="16" customFormat="1" x14ac:dyDescent="0.2">
      <c r="A6" s="59" t="s">
        <v>43</v>
      </c>
      <c r="B6" s="21">
        <v>46097</v>
      </c>
      <c r="C6" s="54" t="s">
        <v>274</v>
      </c>
      <c r="D6" s="29">
        <v>61</v>
      </c>
      <c r="E6" s="7"/>
      <c r="F6" s="2"/>
      <c r="G6" s="7"/>
      <c r="H6" s="2">
        <f t="shared" ref="H6:H14" si="0">E6+G6</f>
        <v>0</v>
      </c>
      <c r="I6" s="3">
        <f t="shared" ref="I6:I14" si="1">H6/D6</f>
        <v>0</v>
      </c>
      <c r="J6" s="2"/>
      <c r="K6" s="2"/>
      <c r="L6" s="2"/>
      <c r="M6" s="2">
        <v>20</v>
      </c>
      <c r="N6" s="2">
        <v>20</v>
      </c>
      <c r="O6" s="2">
        <v>21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1">
        <f t="shared" ref="BQ6:BQ69" si="2">SUM(J6:BP6)</f>
        <v>61</v>
      </c>
      <c r="BR6" s="1">
        <f t="shared" ref="BR6:BR37" si="3">D6-H6</f>
        <v>61</v>
      </c>
      <c r="BS6" s="1" t="str">
        <f t="shared" ref="BS6:BS37" si="4">C6</f>
        <v>124-25</v>
      </c>
      <c r="BT6" s="4">
        <f t="shared" ref="BT6:BT69" si="5">D6-H6-BQ6</f>
        <v>0</v>
      </c>
    </row>
    <row r="7" spans="1:72" s="16" customFormat="1" x14ac:dyDescent="0.2">
      <c r="A7" s="59" t="s">
        <v>44</v>
      </c>
      <c r="B7" s="21">
        <v>46097</v>
      </c>
      <c r="C7" s="54" t="s">
        <v>280</v>
      </c>
      <c r="D7" s="29">
        <v>61</v>
      </c>
      <c r="E7" s="7"/>
      <c r="F7" s="2"/>
      <c r="G7" s="7"/>
      <c r="H7" s="2">
        <f>E7+G7</f>
        <v>0</v>
      </c>
      <c r="I7" s="3">
        <f>H7/D7</f>
        <v>0</v>
      </c>
      <c r="J7" s="2"/>
      <c r="K7" s="2"/>
      <c r="L7" s="2"/>
      <c r="M7" s="2">
        <v>20</v>
      </c>
      <c r="N7" s="2">
        <v>20</v>
      </c>
      <c r="O7" s="2">
        <v>21</v>
      </c>
      <c r="BQ7" s="1">
        <f t="shared" si="2"/>
        <v>61</v>
      </c>
      <c r="BR7" s="1">
        <f t="shared" si="3"/>
        <v>61</v>
      </c>
      <c r="BS7" s="1" t="str">
        <f t="shared" si="4"/>
        <v>125-25</v>
      </c>
      <c r="BT7" s="58">
        <f t="shared" si="5"/>
        <v>0</v>
      </c>
    </row>
    <row r="8" spans="1:72" s="16" customFormat="1" x14ac:dyDescent="0.2">
      <c r="A8" s="59" t="s">
        <v>45</v>
      </c>
      <c r="B8" s="21">
        <v>46097</v>
      </c>
      <c r="C8" s="54" t="s">
        <v>281</v>
      </c>
      <c r="D8" s="29">
        <v>61</v>
      </c>
      <c r="E8" s="7"/>
      <c r="F8" s="2"/>
      <c r="G8" s="7"/>
      <c r="H8" s="2">
        <f t="shared" si="0"/>
        <v>0</v>
      </c>
      <c r="I8" s="3">
        <f t="shared" si="1"/>
        <v>0</v>
      </c>
      <c r="J8" s="2"/>
      <c r="K8" s="2"/>
      <c r="L8" s="2"/>
      <c r="M8" s="2">
        <v>20</v>
      </c>
      <c r="N8" s="2">
        <v>20</v>
      </c>
      <c r="O8" s="2">
        <v>21</v>
      </c>
      <c r="BQ8" s="1">
        <f t="shared" si="2"/>
        <v>61</v>
      </c>
      <c r="BR8" s="1">
        <f t="shared" si="3"/>
        <v>61</v>
      </c>
      <c r="BS8" s="1" t="str">
        <f t="shared" si="4"/>
        <v>126-25</v>
      </c>
      <c r="BT8" s="58">
        <f t="shared" si="5"/>
        <v>0</v>
      </c>
    </row>
    <row r="9" spans="1:72" s="16" customFormat="1" x14ac:dyDescent="0.2">
      <c r="A9" s="59" t="s">
        <v>46</v>
      </c>
      <c r="B9" s="21">
        <v>46097</v>
      </c>
      <c r="C9" s="54" t="str">
        <f>CONCATENATE(LEFT(C8,3)+1,"-","25")</f>
        <v>127-25</v>
      </c>
      <c r="D9" s="29">
        <v>61</v>
      </c>
      <c r="E9" s="7"/>
      <c r="F9" s="2"/>
      <c r="G9" s="7"/>
      <c r="H9" s="2">
        <f t="shared" si="0"/>
        <v>0</v>
      </c>
      <c r="I9" s="3">
        <f t="shared" si="1"/>
        <v>0</v>
      </c>
      <c r="J9" s="2"/>
      <c r="K9" s="2"/>
      <c r="L9" s="2"/>
      <c r="M9" s="2">
        <v>20</v>
      </c>
      <c r="N9" s="2">
        <v>20</v>
      </c>
      <c r="O9" s="2">
        <v>21</v>
      </c>
      <c r="BQ9" s="1">
        <f t="shared" si="2"/>
        <v>61</v>
      </c>
      <c r="BR9" s="1">
        <f t="shared" si="3"/>
        <v>61</v>
      </c>
      <c r="BS9" s="1" t="str">
        <f t="shared" si="4"/>
        <v>127-25</v>
      </c>
      <c r="BT9" s="58">
        <f t="shared" si="5"/>
        <v>0</v>
      </c>
    </row>
    <row r="10" spans="1:72" s="16" customFormat="1" x14ac:dyDescent="0.2">
      <c r="A10" s="59" t="s">
        <v>47</v>
      </c>
      <c r="B10" s="21">
        <v>46097</v>
      </c>
      <c r="C10" s="54" t="str">
        <f t="shared" ref="C10:C73" si="6">CONCATENATE(LEFT(C9,3)+1,"-","25")</f>
        <v>128-25</v>
      </c>
      <c r="D10" s="29">
        <v>61</v>
      </c>
      <c r="E10" s="7"/>
      <c r="F10" s="2"/>
      <c r="G10" s="7"/>
      <c r="H10" s="2">
        <f t="shared" si="0"/>
        <v>0</v>
      </c>
      <c r="I10" s="3">
        <f t="shared" si="1"/>
        <v>0</v>
      </c>
      <c r="J10" s="2"/>
      <c r="K10" s="2"/>
      <c r="L10" s="2"/>
      <c r="M10" s="2">
        <v>20</v>
      </c>
      <c r="N10" s="2">
        <v>20</v>
      </c>
      <c r="O10" s="2">
        <v>21</v>
      </c>
      <c r="BQ10" s="1">
        <f t="shared" si="2"/>
        <v>61</v>
      </c>
      <c r="BR10" s="1">
        <f t="shared" si="3"/>
        <v>61</v>
      </c>
      <c r="BS10" s="1" t="str">
        <f t="shared" si="4"/>
        <v>128-25</v>
      </c>
      <c r="BT10" s="58">
        <f t="shared" si="5"/>
        <v>0</v>
      </c>
    </row>
    <row r="11" spans="1:72" s="16" customFormat="1" x14ac:dyDescent="0.2">
      <c r="A11" s="59" t="s">
        <v>48</v>
      </c>
      <c r="B11" s="21">
        <v>46097</v>
      </c>
      <c r="C11" s="54" t="str">
        <f t="shared" si="6"/>
        <v>129-25</v>
      </c>
      <c r="D11" s="29">
        <v>61</v>
      </c>
      <c r="E11" s="7"/>
      <c r="F11" s="2"/>
      <c r="G11" s="7"/>
      <c r="H11" s="2">
        <f t="shared" si="0"/>
        <v>0</v>
      </c>
      <c r="I11" s="3">
        <f t="shared" si="1"/>
        <v>0</v>
      </c>
      <c r="J11" s="2"/>
      <c r="K11" s="2"/>
      <c r="L11" s="2"/>
      <c r="M11" s="2">
        <v>20</v>
      </c>
      <c r="N11" s="2">
        <v>20</v>
      </c>
      <c r="O11" s="2">
        <v>21</v>
      </c>
      <c r="BQ11" s="1">
        <f t="shared" si="2"/>
        <v>61</v>
      </c>
      <c r="BR11" s="1">
        <f t="shared" si="3"/>
        <v>61</v>
      </c>
      <c r="BS11" s="1" t="str">
        <f t="shared" si="4"/>
        <v>129-25</v>
      </c>
      <c r="BT11" s="58">
        <f t="shared" si="5"/>
        <v>0</v>
      </c>
    </row>
    <row r="12" spans="1:72" s="16" customFormat="1" x14ac:dyDescent="0.2">
      <c r="A12" s="59" t="s">
        <v>49</v>
      </c>
      <c r="B12" s="21">
        <v>46097</v>
      </c>
      <c r="C12" s="54" t="str">
        <f t="shared" si="6"/>
        <v>130-25</v>
      </c>
      <c r="D12" s="29">
        <v>61</v>
      </c>
      <c r="E12" s="7"/>
      <c r="F12" s="2"/>
      <c r="G12" s="7"/>
      <c r="H12" s="2">
        <f t="shared" si="0"/>
        <v>0</v>
      </c>
      <c r="I12" s="3">
        <f t="shared" si="1"/>
        <v>0</v>
      </c>
      <c r="J12" s="2"/>
      <c r="K12" s="2"/>
      <c r="L12" s="2"/>
      <c r="M12" s="2">
        <v>20</v>
      </c>
      <c r="N12" s="2">
        <v>20</v>
      </c>
      <c r="O12" s="2">
        <v>21</v>
      </c>
      <c r="BQ12" s="1">
        <f t="shared" si="2"/>
        <v>61</v>
      </c>
      <c r="BR12" s="1">
        <f t="shared" si="3"/>
        <v>61</v>
      </c>
      <c r="BS12" s="1" t="str">
        <f t="shared" si="4"/>
        <v>130-25</v>
      </c>
      <c r="BT12" s="58">
        <f t="shared" si="5"/>
        <v>0</v>
      </c>
    </row>
    <row r="13" spans="1:72" s="16" customFormat="1" x14ac:dyDescent="0.2">
      <c r="A13" s="59" t="s">
        <v>50</v>
      </c>
      <c r="B13" s="21">
        <v>46097</v>
      </c>
      <c r="C13" s="54" t="str">
        <f t="shared" si="6"/>
        <v>131-25</v>
      </c>
      <c r="D13" s="29">
        <v>61</v>
      </c>
      <c r="E13" s="7"/>
      <c r="F13" s="2"/>
      <c r="G13" s="7"/>
      <c r="H13" s="2">
        <f t="shared" si="0"/>
        <v>0</v>
      </c>
      <c r="I13" s="3">
        <f t="shared" si="1"/>
        <v>0</v>
      </c>
      <c r="J13" s="2"/>
      <c r="K13" s="2"/>
      <c r="L13" s="2"/>
      <c r="N13" s="2">
        <v>20</v>
      </c>
      <c r="O13" s="2">
        <v>20</v>
      </c>
      <c r="P13" s="2">
        <v>21</v>
      </c>
      <c r="BQ13" s="1">
        <f t="shared" si="2"/>
        <v>61</v>
      </c>
      <c r="BR13" s="1">
        <f t="shared" si="3"/>
        <v>61</v>
      </c>
      <c r="BS13" s="1" t="str">
        <f t="shared" si="4"/>
        <v>131-25</v>
      </c>
      <c r="BT13" s="58">
        <f t="shared" si="5"/>
        <v>0</v>
      </c>
    </row>
    <row r="14" spans="1:72" s="16" customFormat="1" x14ac:dyDescent="0.2">
      <c r="A14" s="59" t="s">
        <v>51</v>
      </c>
      <c r="B14" s="21">
        <v>46097</v>
      </c>
      <c r="C14" s="54" t="str">
        <f t="shared" si="6"/>
        <v>132-25</v>
      </c>
      <c r="D14" s="29">
        <v>61</v>
      </c>
      <c r="E14" s="7"/>
      <c r="F14" s="2"/>
      <c r="G14" s="7"/>
      <c r="H14" s="2">
        <f t="shared" si="0"/>
        <v>0</v>
      </c>
      <c r="I14" s="3">
        <f t="shared" si="1"/>
        <v>0</v>
      </c>
      <c r="J14" s="2"/>
      <c r="K14" s="2"/>
      <c r="L14" s="2"/>
      <c r="N14" s="2">
        <v>20</v>
      </c>
      <c r="O14" s="2">
        <v>20</v>
      </c>
      <c r="P14" s="2">
        <v>21</v>
      </c>
      <c r="BQ14" s="1">
        <f t="shared" si="2"/>
        <v>61</v>
      </c>
      <c r="BR14" s="1">
        <f t="shared" si="3"/>
        <v>61</v>
      </c>
      <c r="BS14" s="1" t="str">
        <f t="shared" si="4"/>
        <v>132-25</v>
      </c>
      <c r="BT14" s="58">
        <f t="shared" si="5"/>
        <v>0</v>
      </c>
    </row>
    <row r="15" spans="1:72" s="16" customFormat="1" x14ac:dyDescent="0.2">
      <c r="A15" s="59" t="s">
        <v>52</v>
      </c>
      <c r="B15" s="21">
        <v>46097</v>
      </c>
      <c r="C15" s="54" t="str">
        <f t="shared" si="6"/>
        <v>133-25</v>
      </c>
      <c r="D15" s="29">
        <v>61</v>
      </c>
      <c r="E15" s="7"/>
      <c r="F15" s="2"/>
      <c r="G15" s="7"/>
      <c r="H15" s="2">
        <f t="shared" ref="H15" si="7">E15+G15</f>
        <v>0</v>
      </c>
      <c r="I15" s="3">
        <f t="shared" ref="I15" si="8">H15/D15</f>
        <v>0</v>
      </c>
      <c r="K15" s="2"/>
      <c r="L15" s="2"/>
      <c r="M15" s="2"/>
      <c r="N15" s="2">
        <v>20</v>
      </c>
      <c r="O15" s="2">
        <v>20</v>
      </c>
      <c r="P15" s="2">
        <v>21</v>
      </c>
      <c r="BQ15" s="1">
        <f t="shared" si="2"/>
        <v>61</v>
      </c>
      <c r="BR15" s="1">
        <f t="shared" si="3"/>
        <v>61</v>
      </c>
      <c r="BS15" s="1" t="str">
        <f t="shared" si="4"/>
        <v>133-25</v>
      </c>
      <c r="BT15" s="58">
        <f t="shared" si="5"/>
        <v>0</v>
      </c>
    </row>
    <row r="16" spans="1:72" s="16" customFormat="1" x14ac:dyDescent="0.2">
      <c r="A16" s="59" t="s">
        <v>53</v>
      </c>
      <c r="B16" s="21">
        <v>46097</v>
      </c>
      <c r="C16" s="54" t="str">
        <f t="shared" si="6"/>
        <v>134-25</v>
      </c>
      <c r="D16" s="29">
        <v>61</v>
      </c>
      <c r="E16" s="7"/>
      <c r="F16" s="2"/>
      <c r="G16" s="7"/>
      <c r="H16" s="2">
        <f>E16+G16</f>
        <v>0</v>
      </c>
      <c r="I16" s="3">
        <f>H16/D16</f>
        <v>0</v>
      </c>
      <c r="K16" s="2"/>
      <c r="L16" s="2"/>
      <c r="M16" s="2"/>
      <c r="N16" s="2">
        <v>20</v>
      </c>
      <c r="O16" s="2">
        <v>20</v>
      </c>
      <c r="P16" s="2">
        <v>21</v>
      </c>
      <c r="BQ16" s="1">
        <f t="shared" si="2"/>
        <v>61</v>
      </c>
      <c r="BR16" s="1">
        <f t="shared" si="3"/>
        <v>61</v>
      </c>
      <c r="BS16" s="1" t="str">
        <f t="shared" si="4"/>
        <v>134-25</v>
      </c>
      <c r="BT16" s="58">
        <f t="shared" si="5"/>
        <v>0</v>
      </c>
    </row>
    <row r="17" spans="1:72" s="16" customFormat="1" x14ac:dyDescent="0.2">
      <c r="A17" s="59" t="s">
        <v>54</v>
      </c>
      <c r="B17" s="21">
        <v>46097</v>
      </c>
      <c r="C17" s="54" t="str">
        <f t="shared" si="6"/>
        <v>135-25</v>
      </c>
      <c r="D17" s="29">
        <v>61</v>
      </c>
      <c r="E17" s="7"/>
      <c r="F17" s="2"/>
      <c r="G17" s="7"/>
      <c r="H17" s="2">
        <f t="shared" ref="H17" si="9">E17+G17</f>
        <v>0</v>
      </c>
      <c r="I17" s="3">
        <f t="shared" ref="I17" si="10">H17/D17</f>
        <v>0</v>
      </c>
      <c r="K17" s="2"/>
      <c r="L17" s="2"/>
      <c r="M17" s="2"/>
      <c r="N17" s="2">
        <v>20</v>
      </c>
      <c r="O17" s="2">
        <v>20</v>
      </c>
      <c r="P17" s="2">
        <v>21</v>
      </c>
      <c r="BQ17" s="1">
        <f t="shared" si="2"/>
        <v>61</v>
      </c>
      <c r="BR17" s="1">
        <f t="shared" si="3"/>
        <v>61</v>
      </c>
      <c r="BS17" s="1" t="str">
        <f t="shared" si="4"/>
        <v>135-25</v>
      </c>
      <c r="BT17" s="58">
        <f t="shared" si="5"/>
        <v>0</v>
      </c>
    </row>
    <row r="18" spans="1:72" s="16" customFormat="1" x14ac:dyDescent="0.2">
      <c r="A18" s="59" t="s">
        <v>55</v>
      </c>
      <c r="B18" s="21">
        <v>46097</v>
      </c>
      <c r="C18" s="54" t="str">
        <f t="shared" si="6"/>
        <v>136-25</v>
      </c>
      <c r="D18" s="29">
        <v>61</v>
      </c>
      <c r="E18" s="7"/>
      <c r="F18" s="2"/>
      <c r="G18" s="7"/>
      <c r="H18" s="2">
        <f t="shared" ref="H18" si="11">E18+G18</f>
        <v>0</v>
      </c>
      <c r="I18" s="3">
        <f t="shared" ref="I18" si="12">H18/D18</f>
        <v>0</v>
      </c>
      <c r="J18" s="2"/>
      <c r="K18" s="2"/>
      <c r="L18" s="2"/>
      <c r="M18" s="2"/>
      <c r="N18" s="2">
        <v>20</v>
      </c>
      <c r="O18" s="2">
        <v>20</v>
      </c>
      <c r="P18" s="2">
        <v>21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1">
        <f t="shared" si="2"/>
        <v>61</v>
      </c>
      <c r="BR18" s="1">
        <f t="shared" si="3"/>
        <v>61</v>
      </c>
      <c r="BS18" s="1" t="str">
        <f t="shared" si="4"/>
        <v>136-25</v>
      </c>
      <c r="BT18" s="58">
        <f t="shared" si="5"/>
        <v>0</v>
      </c>
    </row>
    <row r="19" spans="1:72" s="16" customFormat="1" x14ac:dyDescent="0.2">
      <c r="A19" s="59" t="s">
        <v>56</v>
      </c>
      <c r="B19" s="21">
        <v>46097</v>
      </c>
      <c r="C19" s="54" t="str">
        <f t="shared" si="6"/>
        <v>137-25</v>
      </c>
      <c r="D19" s="29">
        <v>61</v>
      </c>
      <c r="E19" s="7"/>
      <c r="G19" s="7"/>
      <c r="H19" s="2">
        <f>E19+G19</f>
        <v>0</v>
      </c>
      <c r="I19" s="3">
        <f>H19/D19</f>
        <v>0</v>
      </c>
      <c r="J19" s="2"/>
      <c r="K19" s="2"/>
      <c r="L19" s="2"/>
      <c r="M19" s="2"/>
      <c r="O19" s="2">
        <v>20</v>
      </c>
      <c r="P19" s="2">
        <v>20</v>
      </c>
      <c r="Q19" s="2">
        <v>21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1">
        <f t="shared" si="2"/>
        <v>61</v>
      </c>
      <c r="BR19" s="1">
        <f t="shared" si="3"/>
        <v>61</v>
      </c>
      <c r="BS19" s="1" t="str">
        <f t="shared" si="4"/>
        <v>137-25</v>
      </c>
      <c r="BT19" s="58">
        <f t="shared" si="5"/>
        <v>0</v>
      </c>
    </row>
    <row r="20" spans="1:72" s="16" customFormat="1" x14ac:dyDescent="0.2">
      <c r="A20" s="59" t="s">
        <v>57</v>
      </c>
      <c r="B20" s="21">
        <v>46097</v>
      </c>
      <c r="C20" s="54" t="str">
        <f t="shared" si="6"/>
        <v>138-25</v>
      </c>
      <c r="D20" s="29">
        <v>61</v>
      </c>
      <c r="E20" s="7"/>
      <c r="F20" s="2"/>
      <c r="G20" s="7"/>
      <c r="H20" s="2">
        <f t="shared" ref="H20" si="13">E20+G20</f>
        <v>0</v>
      </c>
      <c r="I20" s="3">
        <f t="shared" ref="I20" si="14">H20/D20</f>
        <v>0</v>
      </c>
      <c r="J20" s="2"/>
      <c r="K20" s="2"/>
      <c r="L20" s="2"/>
      <c r="M20" s="2"/>
      <c r="N20" s="2"/>
      <c r="O20" s="2">
        <v>20</v>
      </c>
      <c r="P20" s="2">
        <v>20</v>
      </c>
      <c r="Q20" s="2">
        <v>21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1">
        <f t="shared" si="2"/>
        <v>61</v>
      </c>
      <c r="BR20" s="1">
        <f t="shared" si="3"/>
        <v>61</v>
      </c>
      <c r="BS20" s="1" t="str">
        <f t="shared" si="4"/>
        <v>138-25</v>
      </c>
      <c r="BT20" s="58">
        <f t="shared" si="5"/>
        <v>0</v>
      </c>
    </row>
    <row r="21" spans="1:72" s="16" customFormat="1" x14ac:dyDescent="0.2">
      <c r="A21" s="59" t="s">
        <v>58</v>
      </c>
      <c r="B21" s="21">
        <v>46097</v>
      </c>
      <c r="C21" s="54" t="str">
        <f t="shared" si="6"/>
        <v>139-25</v>
      </c>
      <c r="D21" s="29">
        <v>61</v>
      </c>
      <c r="E21" s="7"/>
      <c r="F21" s="2"/>
      <c r="G21" s="7"/>
      <c r="H21" s="2">
        <f t="shared" ref="H21:H24" si="15">E21+G21</f>
        <v>0</v>
      </c>
      <c r="I21" s="3">
        <f t="shared" ref="I21:I24" si="16">H21/D21</f>
        <v>0</v>
      </c>
      <c r="J21" s="2"/>
      <c r="K21" s="2"/>
      <c r="L21" s="2"/>
      <c r="M21" s="2"/>
      <c r="N21" s="2"/>
      <c r="O21" s="2">
        <v>20</v>
      </c>
      <c r="P21" s="2">
        <v>20</v>
      </c>
      <c r="Q21" s="2">
        <v>21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1">
        <f t="shared" si="2"/>
        <v>61</v>
      </c>
      <c r="BR21" s="1">
        <f t="shared" si="3"/>
        <v>61</v>
      </c>
      <c r="BS21" s="1" t="str">
        <f t="shared" si="4"/>
        <v>139-25</v>
      </c>
      <c r="BT21" s="58">
        <f t="shared" si="5"/>
        <v>0</v>
      </c>
    </row>
    <row r="22" spans="1:72" s="16" customFormat="1" x14ac:dyDescent="0.2">
      <c r="A22" s="59" t="s">
        <v>59</v>
      </c>
      <c r="B22" s="21">
        <v>46097</v>
      </c>
      <c r="C22" s="54" t="str">
        <f t="shared" si="6"/>
        <v>140-25</v>
      </c>
      <c r="D22" s="29">
        <v>61</v>
      </c>
      <c r="E22" s="7"/>
      <c r="F22" s="2"/>
      <c r="G22" s="7"/>
      <c r="H22" s="2">
        <f t="shared" si="15"/>
        <v>0</v>
      </c>
      <c r="I22" s="3">
        <f t="shared" si="16"/>
        <v>0</v>
      </c>
      <c r="J22" s="2"/>
      <c r="K22" s="2"/>
      <c r="L22" s="2"/>
      <c r="M22" s="2"/>
      <c r="N22" s="2"/>
      <c r="O22" s="2">
        <v>20</v>
      </c>
      <c r="P22" s="2">
        <v>20</v>
      </c>
      <c r="Q22" s="2">
        <v>21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1">
        <f t="shared" si="2"/>
        <v>61</v>
      </c>
      <c r="BR22" s="1">
        <f t="shared" si="3"/>
        <v>61</v>
      </c>
      <c r="BS22" s="1" t="str">
        <f t="shared" si="4"/>
        <v>140-25</v>
      </c>
      <c r="BT22" s="58">
        <f t="shared" si="5"/>
        <v>0</v>
      </c>
    </row>
    <row r="23" spans="1:72" s="16" customFormat="1" x14ac:dyDescent="0.2">
      <c r="A23" s="59" t="s">
        <v>60</v>
      </c>
      <c r="B23" s="21">
        <v>46097</v>
      </c>
      <c r="C23" s="54" t="str">
        <f t="shared" si="6"/>
        <v>141-25</v>
      </c>
      <c r="D23" s="29">
        <v>61</v>
      </c>
      <c r="E23" s="7"/>
      <c r="F23" s="2"/>
      <c r="G23" s="7"/>
      <c r="H23" s="2">
        <f t="shared" si="15"/>
        <v>0</v>
      </c>
      <c r="I23" s="3">
        <f t="shared" si="16"/>
        <v>0</v>
      </c>
      <c r="J23" s="2"/>
      <c r="K23" s="2"/>
      <c r="L23" s="2"/>
      <c r="M23" s="2"/>
      <c r="N23" s="2"/>
      <c r="O23" s="2">
        <v>20</v>
      </c>
      <c r="P23" s="2">
        <v>20</v>
      </c>
      <c r="Q23" s="2">
        <v>21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1">
        <f t="shared" si="2"/>
        <v>61</v>
      </c>
      <c r="BR23" s="1">
        <f t="shared" si="3"/>
        <v>61</v>
      </c>
      <c r="BS23" s="1" t="str">
        <f t="shared" si="4"/>
        <v>141-25</v>
      </c>
      <c r="BT23" s="58">
        <f t="shared" si="5"/>
        <v>0</v>
      </c>
    </row>
    <row r="24" spans="1:72" s="16" customFormat="1" x14ac:dyDescent="0.2">
      <c r="A24" s="59" t="s">
        <v>61</v>
      </c>
      <c r="B24" s="21">
        <v>46097</v>
      </c>
      <c r="C24" s="54" t="str">
        <f t="shared" si="6"/>
        <v>142-25</v>
      </c>
      <c r="D24" s="29">
        <v>61</v>
      </c>
      <c r="E24" s="7"/>
      <c r="F24" s="2"/>
      <c r="G24" s="7"/>
      <c r="H24" s="2">
        <f t="shared" si="15"/>
        <v>0</v>
      </c>
      <c r="I24" s="3">
        <f t="shared" si="16"/>
        <v>0</v>
      </c>
      <c r="J24" s="2"/>
      <c r="K24" s="2"/>
      <c r="L24" s="2"/>
      <c r="M24" s="2"/>
      <c r="N24" s="2"/>
      <c r="P24" s="2">
        <v>20</v>
      </c>
      <c r="Q24" s="2">
        <v>20</v>
      </c>
      <c r="R24" s="2">
        <v>21</v>
      </c>
      <c r="S24" s="68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1">
        <f t="shared" si="2"/>
        <v>61</v>
      </c>
      <c r="BR24" s="1">
        <f t="shared" si="3"/>
        <v>61</v>
      </c>
      <c r="BS24" s="1" t="str">
        <f t="shared" si="4"/>
        <v>142-25</v>
      </c>
      <c r="BT24" s="58">
        <f t="shared" si="5"/>
        <v>0</v>
      </c>
    </row>
    <row r="25" spans="1:72" s="16" customFormat="1" x14ac:dyDescent="0.2">
      <c r="A25" s="59" t="s">
        <v>62</v>
      </c>
      <c r="B25" s="21">
        <v>46097</v>
      </c>
      <c r="C25" s="54" t="str">
        <f t="shared" si="6"/>
        <v>143-25</v>
      </c>
      <c r="D25" s="29">
        <v>61</v>
      </c>
      <c r="E25" s="7"/>
      <c r="F25" s="2"/>
      <c r="G25" s="7"/>
      <c r="H25" s="2">
        <f>E25+G25</f>
        <v>0</v>
      </c>
      <c r="I25" s="3">
        <f>H25/D25</f>
        <v>0</v>
      </c>
      <c r="J25" s="2"/>
      <c r="K25" s="2"/>
      <c r="L25" s="2"/>
      <c r="M25" s="2"/>
      <c r="N25" s="2"/>
      <c r="O25" s="2"/>
      <c r="P25" s="2">
        <v>20</v>
      </c>
      <c r="Q25" s="2">
        <v>20</v>
      </c>
      <c r="R25" s="2">
        <v>21</v>
      </c>
      <c r="S25" s="68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1">
        <f t="shared" si="2"/>
        <v>61</v>
      </c>
      <c r="BR25" s="1">
        <f t="shared" si="3"/>
        <v>61</v>
      </c>
      <c r="BS25" s="1" t="str">
        <f t="shared" si="4"/>
        <v>143-25</v>
      </c>
      <c r="BT25" s="58">
        <f t="shared" si="5"/>
        <v>0</v>
      </c>
    </row>
    <row r="26" spans="1:72" s="16" customFormat="1" x14ac:dyDescent="0.2">
      <c r="A26" s="59" t="s">
        <v>63</v>
      </c>
      <c r="B26" s="21">
        <v>46097</v>
      </c>
      <c r="C26" s="54" t="str">
        <f t="shared" si="6"/>
        <v>144-25</v>
      </c>
      <c r="D26" s="29">
        <v>61</v>
      </c>
      <c r="E26" s="7"/>
      <c r="F26" s="2"/>
      <c r="G26" s="7"/>
      <c r="H26" s="2">
        <f>E26+G26</f>
        <v>0</v>
      </c>
      <c r="I26" s="3">
        <f>H26/D26</f>
        <v>0</v>
      </c>
      <c r="J26" s="2"/>
      <c r="K26" s="2"/>
      <c r="L26" s="2"/>
      <c r="M26" s="2"/>
      <c r="N26" s="2"/>
      <c r="O26" s="2"/>
      <c r="P26" s="2">
        <v>20</v>
      </c>
      <c r="Q26" s="2">
        <v>20</v>
      </c>
      <c r="R26" s="2">
        <v>21</v>
      </c>
      <c r="S26" s="68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1">
        <f t="shared" si="2"/>
        <v>61</v>
      </c>
      <c r="BR26" s="1">
        <f t="shared" si="3"/>
        <v>61</v>
      </c>
      <c r="BS26" s="1" t="str">
        <f t="shared" si="4"/>
        <v>144-25</v>
      </c>
      <c r="BT26" s="58">
        <f t="shared" si="5"/>
        <v>0</v>
      </c>
    </row>
    <row r="27" spans="1:72" s="16" customFormat="1" x14ac:dyDescent="0.2">
      <c r="A27" s="59" t="s">
        <v>64</v>
      </c>
      <c r="B27" s="21">
        <v>46097</v>
      </c>
      <c r="C27" s="54" t="str">
        <f t="shared" si="6"/>
        <v>145-25</v>
      </c>
      <c r="D27" s="29">
        <v>61</v>
      </c>
      <c r="E27" s="7"/>
      <c r="F27" s="2"/>
      <c r="G27" s="7"/>
      <c r="H27" s="2">
        <f t="shared" ref="H27" si="17">E27+G27</f>
        <v>0</v>
      </c>
      <c r="I27" s="3">
        <f t="shared" ref="I27" si="18">H27/D27</f>
        <v>0</v>
      </c>
      <c r="J27" s="2"/>
      <c r="K27" s="2"/>
      <c r="L27" s="2"/>
      <c r="M27" s="2"/>
      <c r="N27" s="2"/>
      <c r="O27" s="2"/>
      <c r="P27" s="2">
        <v>20</v>
      </c>
      <c r="Q27" s="2">
        <v>20</v>
      </c>
      <c r="R27" s="2">
        <v>21</v>
      </c>
      <c r="S27" s="68"/>
      <c r="T27" s="2"/>
      <c r="U27" s="2"/>
      <c r="BQ27" s="1">
        <f t="shared" si="2"/>
        <v>61</v>
      </c>
      <c r="BR27" s="1">
        <f t="shared" si="3"/>
        <v>61</v>
      </c>
      <c r="BS27" s="1" t="str">
        <f t="shared" si="4"/>
        <v>145-25</v>
      </c>
      <c r="BT27" s="58">
        <f t="shared" si="5"/>
        <v>0</v>
      </c>
    </row>
    <row r="28" spans="1:72" s="16" customFormat="1" x14ac:dyDescent="0.2">
      <c r="A28" s="59" t="s">
        <v>65</v>
      </c>
      <c r="B28" s="21">
        <v>46097</v>
      </c>
      <c r="C28" s="54" t="str">
        <f t="shared" si="6"/>
        <v>146-25</v>
      </c>
      <c r="D28" s="29">
        <v>61</v>
      </c>
      <c r="E28" s="7"/>
      <c r="F28" s="2"/>
      <c r="G28" s="7"/>
      <c r="H28" s="2">
        <f>E28+G28</f>
        <v>0</v>
      </c>
      <c r="I28" s="3">
        <f>H28/D28</f>
        <v>0</v>
      </c>
      <c r="J28" s="2"/>
      <c r="K28" s="2"/>
      <c r="L28" s="2"/>
      <c r="M28" s="2"/>
      <c r="N28" s="2"/>
      <c r="O28" s="2"/>
      <c r="P28" s="2">
        <v>20</v>
      </c>
      <c r="Q28" s="2">
        <v>20</v>
      </c>
      <c r="R28" s="2">
        <v>21</v>
      </c>
      <c r="S28" s="68"/>
      <c r="T28" s="2"/>
      <c r="U28" s="2"/>
      <c r="BQ28" s="1">
        <f t="shared" si="2"/>
        <v>61</v>
      </c>
      <c r="BR28" s="1">
        <f t="shared" si="3"/>
        <v>61</v>
      </c>
      <c r="BS28" s="1" t="str">
        <f t="shared" si="4"/>
        <v>146-25</v>
      </c>
      <c r="BT28" s="58">
        <f t="shared" si="5"/>
        <v>0</v>
      </c>
    </row>
    <row r="29" spans="1:72" s="16" customFormat="1" x14ac:dyDescent="0.2">
      <c r="A29" s="59" t="s">
        <v>66</v>
      </c>
      <c r="B29" s="21">
        <v>46097</v>
      </c>
      <c r="C29" s="54" t="str">
        <f t="shared" si="6"/>
        <v>147-25</v>
      </c>
      <c r="D29" s="29">
        <v>61</v>
      </c>
      <c r="E29" s="7"/>
      <c r="F29" s="2"/>
      <c r="G29" s="7"/>
      <c r="H29" s="2">
        <f>E29+G29</f>
        <v>0</v>
      </c>
      <c r="I29" s="3">
        <f>H29/D29</f>
        <v>0</v>
      </c>
      <c r="J29" s="2"/>
      <c r="K29" s="2"/>
      <c r="L29" s="2"/>
      <c r="M29" s="2"/>
      <c r="N29" s="2"/>
      <c r="O29" s="2"/>
      <c r="P29" s="2">
        <v>20</v>
      </c>
      <c r="Q29" s="2">
        <v>20</v>
      </c>
      <c r="R29" s="2">
        <v>21</v>
      </c>
      <c r="S29" s="68"/>
      <c r="T29" s="2"/>
      <c r="U29" s="2"/>
      <c r="BQ29" s="1">
        <f t="shared" si="2"/>
        <v>61</v>
      </c>
      <c r="BR29" s="1">
        <f t="shared" si="3"/>
        <v>61</v>
      </c>
      <c r="BS29" s="1" t="str">
        <f t="shared" si="4"/>
        <v>147-25</v>
      </c>
      <c r="BT29" s="58">
        <f t="shared" si="5"/>
        <v>0</v>
      </c>
    </row>
    <row r="30" spans="1:72" s="16" customFormat="1" x14ac:dyDescent="0.2">
      <c r="A30" s="60" t="s">
        <v>67</v>
      </c>
      <c r="B30" s="21">
        <v>46146</v>
      </c>
      <c r="C30" s="54" t="str">
        <f t="shared" si="6"/>
        <v>148-25</v>
      </c>
      <c r="D30" s="29">
        <v>61</v>
      </c>
      <c r="E30" s="7"/>
      <c r="F30" s="2"/>
      <c r="G30" s="7"/>
      <c r="H30" s="2">
        <f t="shared" ref="H30:H31" si="19">E30+G30</f>
        <v>0</v>
      </c>
      <c r="I30" s="3">
        <f t="shared" ref="I30:I31" si="20">H30/D30</f>
        <v>0</v>
      </c>
      <c r="J30" s="2"/>
      <c r="K30" s="2"/>
      <c r="L30" s="2"/>
      <c r="Q30" s="2">
        <v>20</v>
      </c>
      <c r="R30" s="2">
        <v>20</v>
      </c>
      <c r="S30" s="2">
        <v>21</v>
      </c>
      <c r="BQ30" s="1">
        <f t="shared" si="2"/>
        <v>61</v>
      </c>
      <c r="BR30" s="1">
        <f t="shared" si="3"/>
        <v>61</v>
      </c>
      <c r="BS30" s="1" t="str">
        <f t="shared" si="4"/>
        <v>148-25</v>
      </c>
      <c r="BT30" s="58">
        <f t="shared" si="5"/>
        <v>0</v>
      </c>
    </row>
    <row r="31" spans="1:72" s="16" customFormat="1" x14ac:dyDescent="0.2">
      <c r="A31" s="60" t="s">
        <v>68</v>
      </c>
      <c r="B31" s="21">
        <v>46146</v>
      </c>
      <c r="C31" s="54" t="str">
        <f t="shared" si="6"/>
        <v>149-25</v>
      </c>
      <c r="D31" s="29">
        <v>61</v>
      </c>
      <c r="E31" s="7"/>
      <c r="F31" s="2"/>
      <c r="G31" s="7"/>
      <c r="H31" s="2">
        <f t="shared" si="19"/>
        <v>0</v>
      </c>
      <c r="I31" s="3">
        <f t="shared" si="20"/>
        <v>0</v>
      </c>
      <c r="J31" s="2"/>
      <c r="K31" s="2"/>
      <c r="L31" s="2"/>
      <c r="Q31" s="2">
        <v>20</v>
      </c>
      <c r="R31" s="2">
        <v>20</v>
      </c>
      <c r="S31" s="2">
        <v>21</v>
      </c>
      <c r="BQ31" s="1">
        <f t="shared" si="2"/>
        <v>61</v>
      </c>
      <c r="BR31" s="1">
        <f t="shared" si="3"/>
        <v>61</v>
      </c>
      <c r="BS31" s="1" t="str">
        <f t="shared" si="4"/>
        <v>149-25</v>
      </c>
      <c r="BT31" s="58">
        <f t="shared" si="5"/>
        <v>0</v>
      </c>
    </row>
    <row r="32" spans="1:72" s="16" customFormat="1" x14ac:dyDescent="0.2">
      <c r="A32" s="60" t="s">
        <v>69</v>
      </c>
      <c r="B32" s="21">
        <v>46146</v>
      </c>
      <c r="C32" s="54" t="str">
        <f t="shared" si="6"/>
        <v>150-25</v>
      </c>
      <c r="D32" s="29">
        <v>61</v>
      </c>
      <c r="E32" s="7"/>
      <c r="F32" s="2"/>
      <c r="G32" s="7"/>
      <c r="H32" s="2">
        <f t="shared" ref="H32" si="21">E32+G32</f>
        <v>0</v>
      </c>
      <c r="I32" s="3">
        <f t="shared" ref="I32" si="22">H32/D32</f>
        <v>0</v>
      </c>
      <c r="J32" s="2"/>
      <c r="K32" s="2"/>
      <c r="L32" s="2"/>
      <c r="Q32" s="2">
        <v>20</v>
      </c>
      <c r="R32" s="2">
        <v>20</v>
      </c>
      <c r="S32" s="2">
        <v>21</v>
      </c>
      <c r="BQ32" s="1">
        <f t="shared" si="2"/>
        <v>61</v>
      </c>
      <c r="BR32" s="1">
        <f t="shared" si="3"/>
        <v>61</v>
      </c>
      <c r="BS32" s="1" t="str">
        <f t="shared" si="4"/>
        <v>150-25</v>
      </c>
      <c r="BT32" s="58">
        <f t="shared" si="5"/>
        <v>0</v>
      </c>
    </row>
    <row r="33" spans="1:72" s="16" customFormat="1" x14ac:dyDescent="0.2">
      <c r="A33" s="60" t="s">
        <v>70</v>
      </c>
      <c r="B33" s="21">
        <v>46146</v>
      </c>
      <c r="C33" s="54" t="str">
        <f t="shared" si="6"/>
        <v>151-25</v>
      </c>
      <c r="D33" s="29">
        <v>61</v>
      </c>
      <c r="E33" s="7"/>
      <c r="F33" s="2"/>
      <c r="G33" s="7"/>
      <c r="H33" s="2">
        <f t="shared" ref="H33" si="23">E33+G33</f>
        <v>0</v>
      </c>
      <c r="I33" s="3">
        <f t="shared" ref="I33" si="24">H33/D33</f>
        <v>0</v>
      </c>
      <c r="J33" s="2"/>
      <c r="K33" s="2"/>
      <c r="L33" s="2"/>
      <c r="Q33" s="2">
        <v>20</v>
      </c>
      <c r="R33" s="2">
        <v>20</v>
      </c>
      <c r="S33" s="2">
        <v>21</v>
      </c>
      <c r="BQ33" s="1">
        <f t="shared" si="2"/>
        <v>61</v>
      </c>
      <c r="BR33" s="1">
        <f t="shared" si="3"/>
        <v>61</v>
      </c>
      <c r="BS33" s="1" t="str">
        <f t="shared" si="4"/>
        <v>151-25</v>
      </c>
      <c r="BT33" s="58">
        <f t="shared" si="5"/>
        <v>0</v>
      </c>
    </row>
    <row r="34" spans="1:72" s="16" customFormat="1" x14ac:dyDescent="0.2">
      <c r="A34" s="60" t="s">
        <v>71</v>
      </c>
      <c r="B34" s="21">
        <v>46146</v>
      </c>
      <c r="C34" s="54" t="str">
        <f t="shared" si="6"/>
        <v>152-25</v>
      </c>
      <c r="D34" s="29">
        <v>61</v>
      </c>
      <c r="E34" s="7"/>
      <c r="F34" s="2"/>
      <c r="G34" s="7"/>
      <c r="H34" s="2">
        <f>E34+G34</f>
        <v>0</v>
      </c>
      <c r="I34" s="3">
        <f>H34/D34</f>
        <v>0</v>
      </c>
      <c r="J34" s="2"/>
      <c r="K34" s="2"/>
      <c r="L34" s="2"/>
      <c r="Q34" s="2">
        <v>20</v>
      </c>
      <c r="R34" s="2">
        <v>20</v>
      </c>
      <c r="S34" s="2">
        <v>21</v>
      </c>
      <c r="BQ34" s="1">
        <f t="shared" si="2"/>
        <v>61</v>
      </c>
      <c r="BR34" s="1">
        <f t="shared" si="3"/>
        <v>61</v>
      </c>
      <c r="BS34" s="1" t="str">
        <f t="shared" si="4"/>
        <v>152-25</v>
      </c>
      <c r="BT34" s="58">
        <f t="shared" si="5"/>
        <v>0</v>
      </c>
    </row>
    <row r="35" spans="1:72" s="16" customFormat="1" x14ac:dyDescent="0.2">
      <c r="A35" s="60" t="s">
        <v>72</v>
      </c>
      <c r="B35" s="21">
        <v>46146</v>
      </c>
      <c r="C35" s="54" t="str">
        <f t="shared" si="6"/>
        <v>153-25</v>
      </c>
      <c r="D35" s="29">
        <v>61</v>
      </c>
      <c r="E35" s="7"/>
      <c r="F35" s="2"/>
      <c r="G35" s="7"/>
      <c r="H35" s="2">
        <f>E35+G35</f>
        <v>0</v>
      </c>
      <c r="I35" s="3">
        <f>H35/D35</f>
        <v>0</v>
      </c>
      <c r="J35" s="2"/>
      <c r="K35" s="2"/>
      <c r="L35" s="2"/>
      <c r="M35" s="2"/>
      <c r="N35" s="2"/>
      <c r="O35" s="2"/>
      <c r="R35" s="2">
        <v>20</v>
      </c>
      <c r="S35" s="2">
        <v>20</v>
      </c>
      <c r="T35" s="2">
        <v>21</v>
      </c>
      <c r="BQ35" s="1">
        <f t="shared" si="2"/>
        <v>61</v>
      </c>
      <c r="BR35" s="1">
        <f t="shared" si="3"/>
        <v>61</v>
      </c>
      <c r="BS35" s="1" t="str">
        <f t="shared" si="4"/>
        <v>153-25</v>
      </c>
      <c r="BT35" s="58">
        <f t="shared" si="5"/>
        <v>0</v>
      </c>
    </row>
    <row r="36" spans="1:72" s="16" customFormat="1" x14ac:dyDescent="0.2">
      <c r="A36" s="60" t="s">
        <v>73</v>
      </c>
      <c r="B36" s="21">
        <v>46146</v>
      </c>
      <c r="C36" s="54" t="str">
        <f t="shared" si="6"/>
        <v>154-25</v>
      </c>
      <c r="D36" s="29">
        <v>61</v>
      </c>
      <c r="E36" s="7"/>
      <c r="F36" s="2"/>
      <c r="G36" s="7"/>
      <c r="H36" s="2">
        <f>E36+G36</f>
        <v>0</v>
      </c>
      <c r="I36" s="3">
        <f>H36/D36</f>
        <v>0</v>
      </c>
      <c r="J36" s="8"/>
      <c r="K36" s="8"/>
      <c r="L36" s="8"/>
      <c r="M36" s="8"/>
      <c r="N36" s="8"/>
      <c r="O36" s="8"/>
      <c r="P36" s="2"/>
      <c r="Q36" s="2"/>
      <c r="R36" s="2">
        <v>20</v>
      </c>
      <c r="S36" s="2">
        <v>20</v>
      </c>
      <c r="T36" s="2">
        <v>21</v>
      </c>
      <c r="BQ36" s="1">
        <f t="shared" si="2"/>
        <v>61</v>
      </c>
      <c r="BR36" s="1">
        <f t="shared" si="3"/>
        <v>61</v>
      </c>
      <c r="BS36" s="1" t="str">
        <f t="shared" si="4"/>
        <v>154-25</v>
      </c>
      <c r="BT36" s="58">
        <f t="shared" si="5"/>
        <v>0</v>
      </c>
    </row>
    <row r="37" spans="1:72" s="16" customFormat="1" x14ac:dyDescent="0.2">
      <c r="A37" s="60" t="s">
        <v>74</v>
      </c>
      <c r="B37" s="21">
        <v>46146</v>
      </c>
      <c r="C37" s="54" t="str">
        <f t="shared" si="6"/>
        <v>155-25</v>
      </c>
      <c r="D37" s="29">
        <v>61</v>
      </c>
      <c r="E37" s="7"/>
      <c r="F37" s="2"/>
      <c r="G37" s="7"/>
      <c r="H37" s="2">
        <f>E37+G37</f>
        <v>0</v>
      </c>
      <c r="I37" s="3">
        <f>H37/D37</f>
        <v>0</v>
      </c>
      <c r="J37" s="8"/>
      <c r="K37" s="8"/>
      <c r="L37" s="8"/>
      <c r="M37" s="8"/>
      <c r="N37" s="8"/>
      <c r="O37" s="8"/>
      <c r="P37" s="2"/>
      <c r="Q37" s="2"/>
      <c r="R37" s="2">
        <v>20</v>
      </c>
      <c r="S37" s="2">
        <v>20</v>
      </c>
      <c r="T37" s="2">
        <v>21</v>
      </c>
      <c r="BQ37" s="1">
        <f t="shared" si="2"/>
        <v>61</v>
      </c>
      <c r="BR37" s="1">
        <f t="shared" si="3"/>
        <v>61</v>
      </c>
      <c r="BS37" s="1" t="str">
        <f t="shared" si="4"/>
        <v>155-25</v>
      </c>
      <c r="BT37" s="58">
        <f t="shared" si="5"/>
        <v>0</v>
      </c>
    </row>
    <row r="38" spans="1:72" s="16" customFormat="1" x14ac:dyDescent="0.2">
      <c r="A38" s="60" t="s">
        <v>75</v>
      </c>
      <c r="B38" s="21">
        <v>46146</v>
      </c>
      <c r="C38" s="54" t="str">
        <f t="shared" si="6"/>
        <v>156-25</v>
      </c>
      <c r="D38" s="29">
        <v>61</v>
      </c>
      <c r="E38" s="7"/>
      <c r="F38" s="2"/>
      <c r="G38" s="7"/>
      <c r="H38" s="2">
        <f t="shared" ref="H38:H101" si="25">E38+G38</f>
        <v>0</v>
      </c>
      <c r="I38" s="3">
        <f t="shared" ref="I38:I101" si="26">H38/D38</f>
        <v>0</v>
      </c>
      <c r="J38" s="8"/>
      <c r="K38" s="8"/>
      <c r="L38" s="8"/>
      <c r="M38" s="8"/>
      <c r="N38" s="8"/>
      <c r="O38" s="8"/>
      <c r="Q38" s="2"/>
      <c r="R38" s="2">
        <v>20</v>
      </c>
      <c r="S38" s="2">
        <v>20</v>
      </c>
      <c r="T38" s="2">
        <v>21</v>
      </c>
      <c r="BQ38" s="1">
        <f t="shared" si="2"/>
        <v>61</v>
      </c>
      <c r="BR38" s="1">
        <f t="shared" ref="BR38:BR69" si="27">D38-H38</f>
        <v>61</v>
      </c>
      <c r="BS38" s="1" t="str">
        <f t="shared" ref="BS38:BS69" si="28">C38</f>
        <v>156-25</v>
      </c>
      <c r="BT38" s="58">
        <f t="shared" si="5"/>
        <v>0</v>
      </c>
    </row>
    <row r="39" spans="1:72" s="16" customFormat="1" x14ac:dyDescent="0.2">
      <c r="A39" s="60" t="s">
        <v>76</v>
      </c>
      <c r="B39" s="21">
        <v>46146</v>
      </c>
      <c r="C39" s="54" t="str">
        <f t="shared" si="6"/>
        <v>157-25</v>
      </c>
      <c r="D39" s="29">
        <v>61</v>
      </c>
      <c r="E39" s="7"/>
      <c r="F39" s="2"/>
      <c r="G39" s="7"/>
      <c r="H39" s="2">
        <f t="shared" si="25"/>
        <v>0</v>
      </c>
      <c r="I39" s="3">
        <f t="shared" si="26"/>
        <v>0</v>
      </c>
      <c r="J39" s="8"/>
      <c r="K39" s="8"/>
      <c r="L39" s="8"/>
      <c r="M39" s="8"/>
      <c r="N39" s="8"/>
      <c r="O39" s="8"/>
      <c r="Q39" s="2"/>
      <c r="R39" s="2">
        <v>20</v>
      </c>
      <c r="S39" s="2">
        <v>20</v>
      </c>
      <c r="T39" s="2">
        <v>21</v>
      </c>
      <c r="BQ39" s="1">
        <f t="shared" si="2"/>
        <v>61</v>
      </c>
      <c r="BR39" s="1">
        <f t="shared" si="27"/>
        <v>61</v>
      </c>
      <c r="BS39" s="1" t="str">
        <f t="shared" si="28"/>
        <v>157-25</v>
      </c>
      <c r="BT39" s="58">
        <f t="shared" si="5"/>
        <v>0</v>
      </c>
    </row>
    <row r="40" spans="1:72" s="16" customFormat="1" x14ac:dyDescent="0.2">
      <c r="A40" s="60" t="s">
        <v>77</v>
      </c>
      <c r="B40" s="21">
        <v>46146</v>
      </c>
      <c r="C40" s="54" t="str">
        <f t="shared" si="6"/>
        <v>158-25</v>
      </c>
      <c r="D40" s="29">
        <v>61</v>
      </c>
      <c r="E40" s="7"/>
      <c r="F40" s="2"/>
      <c r="G40" s="7"/>
      <c r="H40" s="2">
        <f t="shared" si="25"/>
        <v>0</v>
      </c>
      <c r="I40" s="3">
        <f t="shared" si="26"/>
        <v>0</v>
      </c>
      <c r="J40" s="8"/>
      <c r="K40" s="8"/>
      <c r="L40" s="8"/>
      <c r="M40" s="8"/>
      <c r="N40" s="8"/>
      <c r="O40" s="8"/>
      <c r="Q40" s="2"/>
      <c r="R40" s="2"/>
      <c r="S40" s="2">
        <v>20</v>
      </c>
      <c r="T40" s="2">
        <v>20</v>
      </c>
      <c r="U40" s="2">
        <v>21</v>
      </c>
      <c r="BQ40" s="1">
        <f t="shared" si="2"/>
        <v>61</v>
      </c>
      <c r="BR40" s="1">
        <f t="shared" si="27"/>
        <v>61</v>
      </c>
      <c r="BS40" s="1" t="str">
        <f t="shared" si="28"/>
        <v>158-25</v>
      </c>
      <c r="BT40" s="58">
        <f t="shared" si="5"/>
        <v>0</v>
      </c>
    </row>
    <row r="41" spans="1:72" s="16" customFormat="1" x14ac:dyDescent="0.2">
      <c r="A41" s="60" t="s">
        <v>78</v>
      </c>
      <c r="B41" s="21">
        <v>46146</v>
      </c>
      <c r="C41" s="54" t="str">
        <f t="shared" si="6"/>
        <v>159-25</v>
      </c>
      <c r="D41" s="29">
        <v>61</v>
      </c>
      <c r="E41" s="7"/>
      <c r="F41" s="2"/>
      <c r="G41" s="7"/>
      <c r="H41" s="2">
        <f t="shared" si="25"/>
        <v>0</v>
      </c>
      <c r="I41" s="3">
        <f t="shared" si="26"/>
        <v>0</v>
      </c>
      <c r="J41" s="8"/>
      <c r="K41" s="8"/>
      <c r="L41" s="8"/>
      <c r="M41" s="8"/>
      <c r="N41" s="8"/>
      <c r="O41" s="8"/>
      <c r="Q41" s="2"/>
      <c r="R41" s="2"/>
      <c r="S41" s="2">
        <v>20</v>
      </c>
      <c r="T41" s="2">
        <v>20</v>
      </c>
      <c r="U41" s="2">
        <v>21</v>
      </c>
      <c r="BQ41" s="1">
        <f t="shared" si="2"/>
        <v>61</v>
      </c>
      <c r="BR41" s="1">
        <f t="shared" si="27"/>
        <v>61</v>
      </c>
      <c r="BS41" s="1" t="str">
        <f t="shared" si="28"/>
        <v>159-25</v>
      </c>
      <c r="BT41" s="58">
        <f t="shared" si="5"/>
        <v>0</v>
      </c>
    </row>
    <row r="42" spans="1:72" s="16" customFormat="1" x14ac:dyDescent="0.2">
      <c r="A42" s="60" t="s">
        <v>79</v>
      </c>
      <c r="B42" s="21">
        <v>46146</v>
      </c>
      <c r="C42" s="54" t="str">
        <f t="shared" si="6"/>
        <v>160-25</v>
      </c>
      <c r="D42" s="29">
        <v>61</v>
      </c>
      <c r="E42" s="7"/>
      <c r="F42" s="2"/>
      <c r="G42" s="7"/>
      <c r="H42" s="2">
        <f t="shared" si="25"/>
        <v>0</v>
      </c>
      <c r="I42" s="3">
        <f t="shared" si="26"/>
        <v>0</v>
      </c>
      <c r="J42" s="8"/>
      <c r="K42" s="8"/>
      <c r="L42" s="8"/>
      <c r="M42" s="8"/>
      <c r="N42" s="8"/>
      <c r="O42" s="8"/>
      <c r="Q42" s="2"/>
      <c r="R42" s="2"/>
      <c r="S42" s="2">
        <v>20</v>
      </c>
      <c r="T42" s="2">
        <v>20</v>
      </c>
      <c r="U42" s="2">
        <v>21</v>
      </c>
      <c r="BQ42" s="1">
        <f t="shared" si="2"/>
        <v>61</v>
      </c>
      <c r="BR42" s="1">
        <f t="shared" si="27"/>
        <v>61</v>
      </c>
      <c r="BS42" s="1" t="str">
        <f t="shared" si="28"/>
        <v>160-25</v>
      </c>
      <c r="BT42" s="58">
        <f t="shared" si="5"/>
        <v>0</v>
      </c>
    </row>
    <row r="43" spans="1:72" s="16" customFormat="1" x14ac:dyDescent="0.2">
      <c r="A43" s="60" t="s">
        <v>80</v>
      </c>
      <c r="B43" s="21">
        <v>46146</v>
      </c>
      <c r="C43" s="54" t="str">
        <f t="shared" si="6"/>
        <v>161-25</v>
      </c>
      <c r="D43" s="29">
        <v>61</v>
      </c>
      <c r="E43" s="7"/>
      <c r="F43" s="2"/>
      <c r="G43" s="7"/>
      <c r="H43" s="2">
        <f t="shared" si="25"/>
        <v>0</v>
      </c>
      <c r="I43" s="3">
        <f t="shared" si="26"/>
        <v>0</v>
      </c>
      <c r="J43" s="8"/>
      <c r="K43" s="8"/>
      <c r="L43" s="8"/>
      <c r="M43" s="8"/>
      <c r="N43" s="8"/>
      <c r="O43" s="8"/>
      <c r="Q43" s="2"/>
      <c r="R43" s="2"/>
      <c r="S43" s="2">
        <v>20</v>
      </c>
      <c r="T43" s="2">
        <v>20</v>
      </c>
      <c r="U43" s="2">
        <v>21</v>
      </c>
      <c r="BQ43" s="1">
        <f t="shared" si="2"/>
        <v>61</v>
      </c>
      <c r="BR43" s="1">
        <f t="shared" si="27"/>
        <v>61</v>
      </c>
      <c r="BS43" s="1" t="str">
        <f t="shared" si="28"/>
        <v>161-25</v>
      </c>
      <c r="BT43" s="58">
        <f t="shared" si="5"/>
        <v>0</v>
      </c>
    </row>
    <row r="44" spans="1:72" s="16" customFormat="1" x14ac:dyDescent="0.2">
      <c r="A44" s="60" t="s">
        <v>81</v>
      </c>
      <c r="B44" s="21">
        <v>46146</v>
      </c>
      <c r="C44" s="54" t="str">
        <f t="shared" si="6"/>
        <v>162-25</v>
      </c>
      <c r="D44" s="29">
        <v>61</v>
      </c>
      <c r="E44" s="7"/>
      <c r="F44" s="2"/>
      <c r="G44" s="7"/>
      <c r="H44" s="2">
        <f t="shared" si="25"/>
        <v>0</v>
      </c>
      <c r="I44" s="3">
        <f t="shared" si="26"/>
        <v>0</v>
      </c>
      <c r="J44" s="8"/>
      <c r="K44" s="8"/>
      <c r="L44" s="8"/>
      <c r="M44" s="8"/>
      <c r="N44" s="8"/>
      <c r="O44" s="8"/>
      <c r="Q44" s="2"/>
      <c r="R44" s="2"/>
      <c r="S44" s="2">
        <v>20</v>
      </c>
      <c r="T44" s="2">
        <v>20</v>
      </c>
      <c r="U44" s="2">
        <v>21</v>
      </c>
      <c r="BQ44" s="1">
        <f t="shared" si="2"/>
        <v>61</v>
      </c>
      <c r="BR44" s="1">
        <f t="shared" si="27"/>
        <v>61</v>
      </c>
      <c r="BS44" s="1" t="str">
        <f t="shared" si="28"/>
        <v>162-25</v>
      </c>
      <c r="BT44" s="58">
        <f t="shared" si="5"/>
        <v>0</v>
      </c>
    </row>
    <row r="45" spans="1:72" s="16" customFormat="1" x14ac:dyDescent="0.2">
      <c r="A45" s="60" t="s">
        <v>82</v>
      </c>
      <c r="B45" s="21">
        <v>46146</v>
      </c>
      <c r="C45" s="54" t="str">
        <f t="shared" si="6"/>
        <v>163-25</v>
      </c>
      <c r="D45" s="29">
        <v>61</v>
      </c>
      <c r="E45" s="7"/>
      <c r="F45" s="2"/>
      <c r="G45" s="7"/>
      <c r="H45" s="2">
        <f t="shared" si="25"/>
        <v>0</v>
      </c>
      <c r="I45" s="3">
        <f t="shared" si="26"/>
        <v>0</v>
      </c>
      <c r="J45" s="8"/>
      <c r="K45" s="8"/>
      <c r="L45" s="8"/>
      <c r="M45" s="8"/>
      <c r="N45" s="8"/>
      <c r="O45" s="8"/>
      <c r="Q45" s="2"/>
      <c r="R45" s="2"/>
      <c r="S45" s="2"/>
      <c r="T45" s="2">
        <v>20</v>
      </c>
      <c r="U45" s="2">
        <v>20</v>
      </c>
      <c r="V45" s="2">
        <v>21</v>
      </c>
      <c r="BQ45" s="1">
        <f t="shared" si="2"/>
        <v>61</v>
      </c>
      <c r="BR45" s="1">
        <f t="shared" si="27"/>
        <v>61</v>
      </c>
      <c r="BS45" s="1" t="str">
        <f t="shared" si="28"/>
        <v>163-25</v>
      </c>
      <c r="BT45" s="58">
        <f t="shared" si="5"/>
        <v>0</v>
      </c>
    </row>
    <row r="46" spans="1:72" s="16" customFormat="1" x14ac:dyDescent="0.2">
      <c r="A46" s="60" t="s">
        <v>83</v>
      </c>
      <c r="B46" s="21">
        <v>46146</v>
      </c>
      <c r="C46" s="54" t="str">
        <f t="shared" si="6"/>
        <v>164-25</v>
      </c>
      <c r="D46" s="29">
        <v>61</v>
      </c>
      <c r="E46" s="7"/>
      <c r="F46" s="2"/>
      <c r="G46" s="7"/>
      <c r="H46" s="2">
        <f t="shared" si="25"/>
        <v>0</v>
      </c>
      <c r="I46" s="3">
        <f t="shared" si="26"/>
        <v>0</v>
      </c>
      <c r="J46" s="8"/>
      <c r="K46" s="8"/>
      <c r="L46" s="8"/>
      <c r="M46" s="8"/>
      <c r="N46" s="8"/>
      <c r="O46" s="8"/>
      <c r="P46" s="2"/>
      <c r="S46" s="2"/>
      <c r="T46" s="2">
        <v>20</v>
      </c>
      <c r="U46" s="2">
        <v>20</v>
      </c>
      <c r="V46" s="2">
        <v>21</v>
      </c>
      <c r="BQ46" s="1">
        <f t="shared" si="2"/>
        <v>61</v>
      </c>
      <c r="BR46" s="1">
        <f t="shared" si="27"/>
        <v>61</v>
      </c>
      <c r="BS46" s="1" t="str">
        <f t="shared" si="28"/>
        <v>164-25</v>
      </c>
      <c r="BT46" s="58">
        <f t="shared" si="5"/>
        <v>0</v>
      </c>
    </row>
    <row r="47" spans="1:72" s="16" customFormat="1" x14ac:dyDescent="0.2">
      <c r="A47" s="60" t="s">
        <v>84</v>
      </c>
      <c r="B47" s="21">
        <v>46146</v>
      </c>
      <c r="C47" s="54" t="str">
        <f t="shared" si="6"/>
        <v>165-25</v>
      </c>
      <c r="D47" s="29">
        <v>61</v>
      </c>
      <c r="E47" s="7"/>
      <c r="F47" s="2"/>
      <c r="G47" s="7"/>
      <c r="H47" s="2">
        <f t="shared" si="25"/>
        <v>0</v>
      </c>
      <c r="I47" s="3">
        <f t="shared" si="26"/>
        <v>0</v>
      </c>
      <c r="J47" s="8"/>
      <c r="K47" s="8"/>
      <c r="L47" s="8"/>
      <c r="M47" s="8"/>
      <c r="N47" s="8"/>
      <c r="O47" s="8"/>
      <c r="P47" s="2"/>
      <c r="S47" s="2"/>
      <c r="T47" s="2">
        <v>20</v>
      </c>
      <c r="U47" s="2">
        <v>20</v>
      </c>
      <c r="V47" s="2">
        <v>21</v>
      </c>
      <c r="BQ47" s="1">
        <f t="shared" si="2"/>
        <v>61</v>
      </c>
      <c r="BR47" s="1">
        <f t="shared" si="27"/>
        <v>61</v>
      </c>
      <c r="BS47" s="1" t="str">
        <f t="shared" si="28"/>
        <v>165-25</v>
      </c>
      <c r="BT47" s="58">
        <f t="shared" si="5"/>
        <v>0</v>
      </c>
    </row>
    <row r="48" spans="1:72" s="16" customFormat="1" x14ac:dyDescent="0.2">
      <c r="A48" s="60" t="s">
        <v>85</v>
      </c>
      <c r="B48" s="21">
        <v>46146</v>
      </c>
      <c r="C48" s="54" t="str">
        <f t="shared" si="6"/>
        <v>166-25</v>
      </c>
      <c r="D48" s="29">
        <v>61</v>
      </c>
      <c r="E48" s="7"/>
      <c r="F48" s="2"/>
      <c r="G48" s="7"/>
      <c r="H48" s="2">
        <f t="shared" si="25"/>
        <v>0</v>
      </c>
      <c r="I48" s="3">
        <f t="shared" si="26"/>
        <v>0</v>
      </c>
      <c r="J48" s="8"/>
      <c r="K48" s="8"/>
      <c r="L48" s="8"/>
      <c r="M48" s="8"/>
      <c r="N48" s="8"/>
      <c r="O48" s="8"/>
      <c r="P48" s="2"/>
      <c r="S48" s="2"/>
      <c r="T48" s="2">
        <v>20</v>
      </c>
      <c r="U48" s="2">
        <v>20</v>
      </c>
      <c r="V48" s="2">
        <v>21</v>
      </c>
      <c r="BQ48" s="1">
        <f t="shared" si="2"/>
        <v>61</v>
      </c>
      <c r="BR48" s="1">
        <f t="shared" si="27"/>
        <v>61</v>
      </c>
      <c r="BS48" s="1" t="str">
        <f t="shared" si="28"/>
        <v>166-25</v>
      </c>
      <c r="BT48" s="58">
        <f t="shared" si="5"/>
        <v>0</v>
      </c>
    </row>
    <row r="49" spans="1:72" s="16" customFormat="1" x14ac:dyDescent="0.2">
      <c r="A49" s="60" t="s">
        <v>86</v>
      </c>
      <c r="B49" s="21">
        <v>46146</v>
      </c>
      <c r="C49" s="54" t="str">
        <f t="shared" si="6"/>
        <v>167-25</v>
      </c>
      <c r="D49" s="29">
        <v>61</v>
      </c>
      <c r="E49" s="7"/>
      <c r="F49" s="2"/>
      <c r="G49" s="7"/>
      <c r="H49" s="2">
        <f t="shared" si="25"/>
        <v>0</v>
      </c>
      <c r="I49" s="3">
        <f t="shared" si="26"/>
        <v>0</v>
      </c>
      <c r="J49" s="8"/>
      <c r="K49" s="8"/>
      <c r="L49" s="8"/>
      <c r="M49" s="8"/>
      <c r="N49" s="8"/>
      <c r="O49" s="8"/>
      <c r="P49" s="2"/>
      <c r="S49" s="2"/>
      <c r="T49" s="2">
        <v>20</v>
      </c>
      <c r="U49" s="2">
        <v>20</v>
      </c>
      <c r="V49" s="2">
        <v>21</v>
      </c>
      <c r="BQ49" s="1">
        <f t="shared" si="2"/>
        <v>61</v>
      </c>
      <c r="BR49" s="1">
        <f t="shared" si="27"/>
        <v>61</v>
      </c>
      <c r="BS49" s="1" t="str">
        <f t="shared" si="28"/>
        <v>167-25</v>
      </c>
      <c r="BT49" s="58">
        <f t="shared" si="5"/>
        <v>0</v>
      </c>
    </row>
    <row r="50" spans="1:72" s="16" customFormat="1" x14ac:dyDescent="0.2">
      <c r="A50" s="60" t="s">
        <v>87</v>
      </c>
      <c r="B50" s="21">
        <v>46146</v>
      </c>
      <c r="C50" s="54" t="str">
        <f t="shared" si="6"/>
        <v>168-25</v>
      </c>
      <c r="D50" s="29">
        <v>61</v>
      </c>
      <c r="E50" s="7"/>
      <c r="F50" s="2"/>
      <c r="G50" s="7"/>
      <c r="H50" s="2">
        <f t="shared" si="25"/>
        <v>0</v>
      </c>
      <c r="I50" s="3">
        <f t="shared" si="26"/>
        <v>0</v>
      </c>
      <c r="J50" s="8"/>
      <c r="K50" s="8"/>
      <c r="L50" s="8"/>
      <c r="M50" s="8"/>
      <c r="N50" s="8"/>
      <c r="O50" s="8"/>
      <c r="P50" s="2"/>
      <c r="S50" s="2"/>
      <c r="T50" s="2"/>
      <c r="U50" s="2">
        <v>20</v>
      </c>
      <c r="V50" s="2">
        <v>20</v>
      </c>
      <c r="W50" s="2">
        <v>21</v>
      </c>
      <c r="BQ50" s="1">
        <f t="shared" si="2"/>
        <v>61</v>
      </c>
      <c r="BR50" s="1">
        <f t="shared" si="27"/>
        <v>61</v>
      </c>
      <c r="BS50" s="1" t="str">
        <f t="shared" si="28"/>
        <v>168-25</v>
      </c>
      <c r="BT50" s="58">
        <f t="shared" si="5"/>
        <v>0</v>
      </c>
    </row>
    <row r="51" spans="1:72" s="16" customFormat="1" x14ac:dyDescent="0.2">
      <c r="A51" s="60" t="s">
        <v>88</v>
      </c>
      <c r="B51" s="21">
        <v>46146</v>
      </c>
      <c r="C51" s="54" t="str">
        <f t="shared" si="6"/>
        <v>169-25</v>
      </c>
      <c r="D51" s="29">
        <v>61</v>
      </c>
      <c r="E51" s="7"/>
      <c r="F51" s="2"/>
      <c r="G51" s="7"/>
      <c r="H51" s="2">
        <f t="shared" si="25"/>
        <v>0</v>
      </c>
      <c r="I51" s="3">
        <f t="shared" si="26"/>
        <v>0</v>
      </c>
      <c r="J51" s="8"/>
      <c r="K51" s="8"/>
      <c r="L51" s="8"/>
      <c r="M51" s="8"/>
      <c r="N51" s="8"/>
      <c r="O51" s="8"/>
      <c r="P51" s="2"/>
      <c r="S51" s="2"/>
      <c r="T51" s="2"/>
      <c r="U51" s="2">
        <v>20</v>
      </c>
      <c r="V51" s="2">
        <v>20</v>
      </c>
      <c r="W51" s="2">
        <v>21</v>
      </c>
      <c r="BQ51" s="1">
        <f t="shared" si="2"/>
        <v>61</v>
      </c>
      <c r="BR51" s="1">
        <f t="shared" si="27"/>
        <v>61</v>
      </c>
      <c r="BS51" s="1" t="str">
        <f t="shared" si="28"/>
        <v>169-25</v>
      </c>
      <c r="BT51" s="58">
        <f t="shared" si="5"/>
        <v>0</v>
      </c>
    </row>
    <row r="52" spans="1:72" s="16" customFormat="1" x14ac:dyDescent="0.2">
      <c r="A52" s="60" t="s">
        <v>89</v>
      </c>
      <c r="B52" s="21">
        <v>46146</v>
      </c>
      <c r="C52" s="54" t="str">
        <f t="shared" si="6"/>
        <v>170-25</v>
      </c>
      <c r="D52" s="29">
        <v>61</v>
      </c>
      <c r="E52" s="7"/>
      <c r="F52" s="2"/>
      <c r="G52" s="7"/>
      <c r="H52" s="2">
        <f t="shared" si="25"/>
        <v>0</v>
      </c>
      <c r="I52" s="3">
        <f t="shared" si="26"/>
        <v>0</v>
      </c>
      <c r="J52" s="8"/>
      <c r="K52" s="8"/>
      <c r="L52" s="8"/>
      <c r="M52" s="8"/>
      <c r="N52" s="8"/>
      <c r="O52" s="8"/>
      <c r="P52" s="2"/>
      <c r="S52" s="2"/>
      <c r="T52" s="2"/>
      <c r="U52" s="2">
        <v>20</v>
      </c>
      <c r="V52" s="2">
        <v>20</v>
      </c>
      <c r="W52" s="2">
        <v>21</v>
      </c>
      <c r="BQ52" s="1">
        <f t="shared" si="2"/>
        <v>61</v>
      </c>
      <c r="BR52" s="1">
        <f t="shared" si="27"/>
        <v>61</v>
      </c>
      <c r="BS52" s="1" t="str">
        <f t="shared" si="28"/>
        <v>170-25</v>
      </c>
      <c r="BT52" s="58">
        <f t="shared" si="5"/>
        <v>0</v>
      </c>
    </row>
    <row r="53" spans="1:72" s="16" customFormat="1" x14ac:dyDescent="0.2">
      <c r="A53" s="60" t="s">
        <v>90</v>
      </c>
      <c r="B53" s="21">
        <v>46146</v>
      </c>
      <c r="C53" s="54" t="str">
        <f t="shared" si="6"/>
        <v>171-25</v>
      </c>
      <c r="D53" s="29">
        <v>61</v>
      </c>
      <c r="E53" s="7"/>
      <c r="F53" s="2"/>
      <c r="G53" s="7"/>
      <c r="H53" s="2">
        <f t="shared" si="25"/>
        <v>0</v>
      </c>
      <c r="I53" s="3">
        <f t="shared" si="26"/>
        <v>0</v>
      </c>
      <c r="J53" s="8"/>
      <c r="K53" s="8"/>
      <c r="L53" s="8"/>
      <c r="M53" s="8"/>
      <c r="N53" s="8"/>
      <c r="O53" s="8"/>
      <c r="P53" s="2"/>
      <c r="S53" s="2"/>
      <c r="T53" s="2"/>
      <c r="U53" s="2">
        <v>20</v>
      </c>
      <c r="V53" s="2">
        <v>20</v>
      </c>
      <c r="W53" s="2">
        <v>21</v>
      </c>
      <c r="BQ53" s="1">
        <f t="shared" si="2"/>
        <v>61</v>
      </c>
      <c r="BR53" s="1">
        <f t="shared" si="27"/>
        <v>61</v>
      </c>
      <c r="BS53" s="1" t="str">
        <f t="shared" si="28"/>
        <v>171-25</v>
      </c>
      <c r="BT53" s="58">
        <f t="shared" si="5"/>
        <v>0</v>
      </c>
    </row>
    <row r="54" spans="1:72" s="16" customFormat="1" x14ac:dyDescent="0.2">
      <c r="A54" s="60" t="s">
        <v>91</v>
      </c>
      <c r="B54" s="21">
        <v>46146</v>
      </c>
      <c r="C54" s="54" t="str">
        <f t="shared" si="6"/>
        <v>172-25</v>
      </c>
      <c r="D54" s="29">
        <v>61</v>
      </c>
      <c r="E54" s="7"/>
      <c r="F54" s="2"/>
      <c r="G54" s="7"/>
      <c r="H54" s="2">
        <f t="shared" si="25"/>
        <v>0</v>
      </c>
      <c r="I54" s="3">
        <f t="shared" si="26"/>
        <v>0</v>
      </c>
      <c r="J54" s="8"/>
      <c r="K54" s="8"/>
      <c r="L54" s="8"/>
      <c r="M54" s="8"/>
      <c r="N54" s="8"/>
      <c r="O54" s="8"/>
      <c r="P54" s="2"/>
      <c r="Q54" s="2"/>
      <c r="R54" s="2"/>
      <c r="T54" s="2"/>
      <c r="U54" s="2">
        <v>20</v>
      </c>
      <c r="V54" s="2">
        <v>20</v>
      </c>
      <c r="W54" s="2">
        <v>21</v>
      </c>
      <c r="BQ54" s="1">
        <f t="shared" si="2"/>
        <v>61</v>
      </c>
      <c r="BR54" s="1">
        <f t="shared" si="27"/>
        <v>61</v>
      </c>
      <c r="BS54" s="1" t="str">
        <f t="shared" si="28"/>
        <v>172-25</v>
      </c>
      <c r="BT54" s="58">
        <f t="shared" si="5"/>
        <v>0</v>
      </c>
    </row>
    <row r="55" spans="1:72" s="16" customFormat="1" x14ac:dyDescent="0.2">
      <c r="A55" s="60" t="s">
        <v>92</v>
      </c>
      <c r="B55" s="21">
        <v>46146</v>
      </c>
      <c r="C55" s="54" t="str">
        <f t="shared" si="6"/>
        <v>173-25</v>
      </c>
      <c r="D55" s="29">
        <v>61</v>
      </c>
      <c r="E55" s="7"/>
      <c r="F55" s="2"/>
      <c r="G55" s="7"/>
      <c r="H55" s="2">
        <f t="shared" si="25"/>
        <v>0</v>
      </c>
      <c r="I55" s="3">
        <f t="shared" si="26"/>
        <v>0</v>
      </c>
      <c r="J55" s="8"/>
      <c r="K55" s="8"/>
      <c r="L55" s="8"/>
      <c r="M55" s="8"/>
      <c r="N55" s="8"/>
      <c r="O55" s="8"/>
      <c r="P55" s="2"/>
      <c r="Q55" s="2"/>
      <c r="R55" s="2"/>
      <c r="T55" s="2"/>
      <c r="U55" s="2"/>
      <c r="V55" s="2">
        <v>20</v>
      </c>
      <c r="W55" s="2">
        <v>20</v>
      </c>
      <c r="X55" s="2">
        <v>21</v>
      </c>
      <c r="BQ55" s="1">
        <f t="shared" si="2"/>
        <v>61</v>
      </c>
      <c r="BR55" s="1">
        <f t="shared" si="27"/>
        <v>61</v>
      </c>
      <c r="BS55" s="1" t="str">
        <f t="shared" si="28"/>
        <v>173-25</v>
      </c>
      <c r="BT55" s="58">
        <f t="shared" si="5"/>
        <v>0</v>
      </c>
    </row>
    <row r="56" spans="1:72" s="16" customFormat="1" x14ac:dyDescent="0.2">
      <c r="A56" s="60" t="s">
        <v>93</v>
      </c>
      <c r="B56" s="21">
        <v>46146</v>
      </c>
      <c r="C56" s="54" t="str">
        <f t="shared" si="6"/>
        <v>174-25</v>
      </c>
      <c r="D56" s="29">
        <v>61</v>
      </c>
      <c r="E56" s="7"/>
      <c r="F56" s="2"/>
      <c r="G56" s="7"/>
      <c r="H56" s="2">
        <f t="shared" si="25"/>
        <v>0</v>
      </c>
      <c r="I56" s="3">
        <f t="shared" si="26"/>
        <v>0</v>
      </c>
      <c r="J56" s="8"/>
      <c r="K56" s="8"/>
      <c r="L56" s="8"/>
      <c r="M56" s="8"/>
      <c r="N56" s="8"/>
      <c r="O56" s="8"/>
      <c r="P56" s="2"/>
      <c r="Q56" s="2"/>
      <c r="R56" s="2"/>
      <c r="T56" s="2"/>
      <c r="U56" s="2"/>
      <c r="V56" s="2">
        <v>20</v>
      </c>
      <c r="W56" s="2">
        <v>20</v>
      </c>
      <c r="X56" s="2">
        <v>21</v>
      </c>
      <c r="BQ56" s="1">
        <f t="shared" si="2"/>
        <v>61</v>
      </c>
      <c r="BR56" s="1">
        <f t="shared" si="27"/>
        <v>61</v>
      </c>
      <c r="BS56" s="1" t="str">
        <f t="shared" si="28"/>
        <v>174-25</v>
      </c>
      <c r="BT56" s="58">
        <f t="shared" si="5"/>
        <v>0</v>
      </c>
    </row>
    <row r="57" spans="1:72" s="16" customFormat="1" x14ac:dyDescent="0.2">
      <c r="A57" s="60" t="s">
        <v>94</v>
      </c>
      <c r="B57" s="21">
        <v>46146</v>
      </c>
      <c r="C57" s="54" t="str">
        <f t="shared" si="6"/>
        <v>175-25</v>
      </c>
      <c r="D57" s="29">
        <v>61</v>
      </c>
      <c r="E57" s="7"/>
      <c r="F57" s="2"/>
      <c r="G57" s="7"/>
      <c r="H57" s="2">
        <f t="shared" si="25"/>
        <v>0</v>
      </c>
      <c r="I57" s="3">
        <f t="shared" si="26"/>
        <v>0</v>
      </c>
      <c r="J57" s="8"/>
      <c r="K57" s="8"/>
      <c r="L57" s="8"/>
      <c r="M57" s="8"/>
      <c r="N57" s="8"/>
      <c r="O57" s="8"/>
      <c r="P57" s="2"/>
      <c r="Q57" s="2"/>
      <c r="R57" s="2"/>
      <c r="T57" s="2"/>
      <c r="U57" s="2"/>
      <c r="V57" s="2">
        <v>20</v>
      </c>
      <c r="W57" s="2">
        <v>20</v>
      </c>
      <c r="X57" s="2">
        <v>21</v>
      </c>
      <c r="BQ57" s="1">
        <f t="shared" si="2"/>
        <v>61</v>
      </c>
      <c r="BR57" s="1">
        <f t="shared" si="27"/>
        <v>61</v>
      </c>
      <c r="BS57" s="1" t="str">
        <f t="shared" si="28"/>
        <v>175-25</v>
      </c>
      <c r="BT57" s="58">
        <f t="shared" si="5"/>
        <v>0</v>
      </c>
    </row>
    <row r="58" spans="1:72" s="16" customFormat="1" x14ac:dyDescent="0.2">
      <c r="A58" s="60" t="s">
        <v>95</v>
      </c>
      <c r="B58" s="21">
        <v>46146</v>
      </c>
      <c r="C58" s="54" t="str">
        <f t="shared" si="6"/>
        <v>176-25</v>
      </c>
      <c r="D58" s="29">
        <v>61</v>
      </c>
      <c r="E58" s="7"/>
      <c r="F58" s="2"/>
      <c r="G58" s="7"/>
      <c r="H58" s="2">
        <f t="shared" si="25"/>
        <v>0</v>
      </c>
      <c r="I58" s="3">
        <f t="shared" si="26"/>
        <v>0</v>
      </c>
      <c r="J58" s="8"/>
      <c r="K58" s="8"/>
      <c r="L58" s="8"/>
      <c r="M58" s="8"/>
      <c r="N58" s="8"/>
      <c r="O58" s="8"/>
      <c r="P58" s="2"/>
      <c r="Q58" s="2"/>
      <c r="R58" s="2"/>
      <c r="T58" s="2"/>
      <c r="U58" s="2"/>
      <c r="V58" s="2">
        <v>20</v>
      </c>
      <c r="W58" s="2">
        <v>20</v>
      </c>
      <c r="X58" s="2">
        <v>21</v>
      </c>
      <c r="BQ58" s="1">
        <f t="shared" si="2"/>
        <v>61</v>
      </c>
      <c r="BR58" s="1">
        <f t="shared" si="27"/>
        <v>61</v>
      </c>
      <c r="BS58" s="1" t="str">
        <f t="shared" si="28"/>
        <v>176-25</v>
      </c>
      <c r="BT58" s="58">
        <f t="shared" si="5"/>
        <v>0</v>
      </c>
    </row>
    <row r="59" spans="1:72" s="16" customFormat="1" x14ac:dyDescent="0.2">
      <c r="A59" s="60" t="s">
        <v>96</v>
      </c>
      <c r="B59" s="21">
        <v>46146</v>
      </c>
      <c r="C59" s="54" t="str">
        <f t="shared" si="6"/>
        <v>177-25</v>
      </c>
      <c r="D59" s="29">
        <v>61</v>
      </c>
      <c r="E59" s="7"/>
      <c r="F59" s="2"/>
      <c r="G59" s="7"/>
      <c r="H59" s="2">
        <f t="shared" si="25"/>
        <v>0</v>
      </c>
      <c r="I59" s="3">
        <f t="shared" si="26"/>
        <v>0</v>
      </c>
      <c r="J59" s="8"/>
      <c r="K59" s="8"/>
      <c r="L59" s="8"/>
      <c r="M59" s="8"/>
      <c r="N59" s="8"/>
      <c r="O59" s="8"/>
      <c r="P59" s="2"/>
      <c r="Q59" s="2"/>
      <c r="R59" s="2"/>
      <c r="T59" s="2"/>
      <c r="U59" s="2"/>
      <c r="V59" s="2">
        <v>20</v>
      </c>
      <c r="W59" s="2">
        <v>20</v>
      </c>
      <c r="X59" s="2">
        <v>21</v>
      </c>
      <c r="BQ59" s="1">
        <f t="shared" si="2"/>
        <v>61</v>
      </c>
      <c r="BR59" s="1">
        <f t="shared" si="27"/>
        <v>61</v>
      </c>
      <c r="BS59" s="1" t="str">
        <f t="shared" si="28"/>
        <v>177-25</v>
      </c>
      <c r="BT59" s="58">
        <f t="shared" si="5"/>
        <v>0</v>
      </c>
    </row>
    <row r="60" spans="1:72" s="16" customFormat="1" x14ac:dyDescent="0.2">
      <c r="A60" s="60" t="s">
        <v>97</v>
      </c>
      <c r="B60" s="21">
        <v>46146</v>
      </c>
      <c r="C60" s="54" t="str">
        <f t="shared" si="6"/>
        <v>178-25</v>
      </c>
      <c r="D60" s="29">
        <v>61</v>
      </c>
      <c r="E60" s="7"/>
      <c r="F60" s="2"/>
      <c r="G60" s="7"/>
      <c r="H60" s="2">
        <f t="shared" si="25"/>
        <v>0</v>
      </c>
      <c r="I60" s="3">
        <f t="shared" si="26"/>
        <v>0</v>
      </c>
      <c r="J60" s="8"/>
      <c r="K60" s="8"/>
      <c r="L60" s="8"/>
      <c r="M60" s="8"/>
      <c r="N60" s="8"/>
      <c r="O60" s="8"/>
      <c r="P60" s="2"/>
      <c r="Q60" s="2"/>
      <c r="R60" s="2"/>
      <c r="S60" s="2"/>
      <c r="U60" s="2"/>
      <c r="V60" s="2"/>
      <c r="W60" s="2">
        <v>20</v>
      </c>
      <c r="X60" s="2">
        <v>20</v>
      </c>
      <c r="Y60" s="2">
        <v>21</v>
      </c>
      <c r="Z60" s="68"/>
      <c r="BQ60" s="1">
        <f t="shared" si="2"/>
        <v>61</v>
      </c>
      <c r="BR60" s="1">
        <f t="shared" si="27"/>
        <v>61</v>
      </c>
      <c r="BS60" s="1" t="str">
        <f t="shared" si="28"/>
        <v>178-25</v>
      </c>
      <c r="BT60" s="58">
        <f t="shared" si="5"/>
        <v>0</v>
      </c>
    </row>
    <row r="61" spans="1:72" s="16" customFormat="1" x14ac:dyDescent="0.2">
      <c r="A61" s="60" t="s">
        <v>98</v>
      </c>
      <c r="B61" s="21">
        <v>46146</v>
      </c>
      <c r="C61" s="54" t="str">
        <f t="shared" si="6"/>
        <v>179-25</v>
      </c>
      <c r="D61" s="29">
        <v>61</v>
      </c>
      <c r="E61" s="7"/>
      <c r="F61" s="2"/>
      <c r="G61" s="7"/>
      <c r="H61" s="2">
        <f t="shared" si="25"/>
        <v>0</v>
      </c>
      <c r="I61" s="3">
        <f t="shared" si="26"/>
        <v>0</v>
      </c>
      <c r="J61" s="8"/>
      <c r="K61" s="8"/>
      <c r="L61" s="8"/>
      <c r="M61" s="8"/>
      <c r="N61" s="8"/>
      <c r="O61" s="8"/>
      <c r="P61" s="2"/>
      <c r="Q61" s="2"/>
      <c r="R61" s="2"/>
      <c r="S61" s="2"/>
      <c r="U61" s="2"/>
      <c r="V61" s="2"/>
      <c r="W61" s="2">
        <v>20</v>
      </c>
      <c r="X61" s="2">
        <v>20</v>
      </c>
      <c r="Y61" s="2">
        <v>21</v>
      </c>
      <c r="Z61" s="68"/>
      <c r="BQ61" s="1">
        <f t="shared" si="2"/>
        <v>61</v>
      </c>
      <c r="BR61" s="1">
        <f t="shared" si="27"/>
        <v>61</v>
      </c>
      <c r="BS61" s="1" t="str">
        <f t="shared" si="28"/>
        <v>179-25</v>
      </c>
      <c r="BT61" s="58">
        <f t="shared" si="5"/>
        <v>0</v>
      </c>
    </row>
    <row r="62" spans="1:72" s="16" customFormat="1" x14ac:dyDescent="0.2">
      <c r="A62" s="63" t="s">
        <v>99</v>
      </c>
      <c r="B62" s="21">
        <v>46230</v>
      </c>
      <c r="C62" s="54" t="str">
        <f t="shared" si="6"/>
        <v>180-25</v>
      </c>
      <c r="D62" s="29">
        <v>61</v>
      </c>
      <c r="E62" s="7"/>
      <c r="F62" s="2"/>
      <c r="G62" s="7"/>
      <c r="H62" s="2">
        <f t="shared" si="25"/>
        <v>0</v>
      </c>
      <c r="I62" s="3">
        <f t="shared" si="26"/>
        <v>0</v>
      </c>
      <c r="J62" s="8"/>
      <c r="K62" s="8"/>
      <c r="L62" s="8"/>
      <c r="M62" s="8"/>
      <c r="N62" s="8"/>
      <c r="O62" s="8"/>
      <c r="P62" s="2"/>
      <c r="Q62" s="2"/>
      <c r="R62" s="2"/>
      <c r="S62" s="2"/>
      <c r="T62" s="2"/>
      <c r="U62" s="2"/>
      <c r="W62" s="2">
        <v>20</v>
      </c>
      <c r="X62" s="2">
        <v>20</v>
      </c>
      <c r="Y62" s="2">
        <v>21</v>
      </c>
      <c r="Z62" s="67"/>
      <c r="BQ62" s="1">
        <f t="shared" si="2"/>
        <v>61</v>
      </c>
      <c r="BR62" s="1">
        <f t="shared" si="27"/>
        <v>61</v>
      </c>
      <c r="BS62" s="1" t="str">
        <f t="shared" si="28"/>
        <v>180-25</v>
      </c>
      <c r="BT62" s="58">
        <f t="shared" si="5"/>
        <v>0</v>
      </c>
    </row>
    <row r="63" spans="1:72" s="16" customFormat="1" x14ac:dyDescent="0.2">
      <c r="A63" s="63" t="s">
        <v>100</v>
      </c>
      <c r="B63" s="21">
        <v>46230</v>
      </c>
      <c r="C63" s="54" t="str">
        <f t="shared" si="6"/>
        <v>181-25</v>
      </c>
      <c r="D63" s="29">
        <v>61</v>
      </c>
      <c r="E63" s="7"/>
      <c r="F63" s="2"/>
      <c r="G63" s="7"/>
      <c r="H63" s="2">
        <f t="shared" si="25"/>
        <v>0</v>
      </c>
      <c r="I63" s="3">
        <f t="shared" si="26"/>
        <v>0</v>
      </c>
      <c r="J63" s="8"/>
      <c r="K63" s="8"/>
      <c r="L63" s="8"/>
      <c r="M63" s="8"/>
      <c r="N63" s="8"/>
      <c r="O63" s="8"/>
      <c r="P63" s="2"/>
      <c r="Q63" s="2"/>
      <c r="R63" s="2"/>
      <c r="S63" s="2"/>
      <c r="T63" s="2"/>
      <c r="U63" s="2"/>
      <c r="W63" s="2">
        <v>20</v>
      </c>
      <c r="X63" s="2">
        <v>20</v>
      </c>
      <c r="Y63" s="2">
        <v>21</v>
      </c>
      <c r="Z63" s="67"/>
      <c r="BQ63" s="1">
        <f t="shared" si="2"/>
        <v>61</v>
      </c>
      <c r="BR63" s="1">
        <f t="shared" si="27"/>
        <v>61</v>
      </c>
      <c r="BS63" s="1" t="str">
        <f t="shared" si="28"/>
        <v>181-25</v>
      </c>
      <c r="BT63" s="58">
        <f t="shared" si="5"/>
        <v>0</v>
      </c>
    </row>
    <row r="64" spans="1:72" s="16" customFormat="1" x14ac:dyDescent="0.2">
      <c r="A64" s="63" t="s">
        <v>101</v>
      </c>
      <c r="B64" s="21">
        <v>46230</v>
      </c>
      <c r="C64" s="54" t="str">
        <f t="shared" si="6"/>
        <v>182-25</v>
      </c>
      <c r="D64" s="29">
        <v>61</v>
      </c>
      <c r="E64" s="7"/>
      <c r="F64" s="2"/>
      <c r="G64" s="7"/>
      <c r="H64" s="2">
        <f t="shared" si="25"/>
        <v>0</v>
      </c>
      <c r="I64" s="3">
        <f t="shared" si="26"/>
        <v>0</v>
      </c>
      <c r="J64" s="8"/>
      <c r="K64" s="8"/>
      <c r="L64" s="8"/>
      <c r="M64" s="8"/>
      <c r="N64" s="8"/>
      <c r="O64" s="8"/>
      <c r="P64" s="2"/>
      <c r="Q64" s="2"/>
      <c r="R64" s="2"/>
      <c r="S64" s="2"/>
      <c r="T64" s="2"/>
      <c r="U64" s="2"/>
      <c r="W64" s="2">
        <v>20</v>
      </c>
      <c r="X64" s="2">
        <v>20</v>
      </c>
      <c r="Y64" s="2">
        <v>21</v>
      </c>
      <c r="Z64" s="67"/>
      <c r="BQ64" s="1">
        <f t="shared" si="2"/>
        <v>61</v>
      </c>
      <c r="BR64" s="1">
        <f t="shared" si="27"/>
        <v>61</v>
      </c>
      <c r="BS64" s="1" t="str">
        <f t="shared" si="28"/>
        <v>182-25</v>
      </c>
      <c r="BT64" s="58">
        <f t="shared" si="5"/>
        <v>0</v>
      </c>
    </row>
    <row r="65" spans="1:72" s="16" customFormat="1" x14ac:dyDescent="0.2">
      <c r="A65" s="63" t="s">
        <v>102</v>
      </c>
      <c r="B65" s="21">
        <v>46230</v>
      </c>
      <c r="C65" s="54" t="str">
        <f t="shared" si="6"/>
        <v>183-25</v>
      </c>
      <c r="D65" s="29">
        <v>61</v>
      </c>
      <c r="E65" s="7"/>
      <c r="F65" s="2"/>
      <c r="G65" s="7"/>
      <c r="H65" s="2">
        <f t="shared" si="25"/>
        <v>0</v>
      </c>
      <c r="I65" s="3">
        <f t="shared" si="26"/>
        <v>0</v>
      </c>
      <c r="J65" s="8"/>
      <c r="K65" s="8"/>
      <c r="L65" s="8"/>
      <c r="M65" s="8"/>
      <c r="N65" s="8"/>
      <c r="O65" s="8"/>
      <c r="P65" s="2"/>
      <c r="Q65" s="2"/>
      <c r="R65" s="2"/>
      <c r="S65" s="2"/>
      <c r="T65" s="2"/>
      <c r="U65" s="2"/>
      <c r="X65" s="2">
        <v>20</v>
      </c>
      <c r="Y65" s="2">
        <v>20</v>
      </c>
      <c r="Z65" s="2">
        <v>21</v>
      </c>
      <c r="BQ65" s="1">
        <f t="shared" si="2"/>
        <v>61</v>
      </c>
      <c r="BR65" s="1">
        <f t="shared" si="27"/>
        <v>61</v>
      </c>
      <c r="BS65" s="1" t="str">
        <f t="shared" si="28"/>
        <v>183-25</v>
      </c>
      <c r="BT65" s="58">
        <f t="shared" si="5"/>
        <v>0</v>
      </c>
    </row>
    <row r="66" spans="1:72" s="16" customFormat="1" x14ac:dyDescent="0.2">
      <c r="A66" s="63" t="s">
        <v>103</v>
      </c>
      <c r="B66" s="21">
        <v>46230</v>
      </c>
      <c r="C66" s="54" t="str">
        <f t="shared" si="6"/>
        <v>184-25</v>
      </c>
      <c r="D66" s="29">
        <v>61</v>
      </c>
      <c r="E66" s="7"/>
      <c r="F66" s="2"/>
      <c r="G66" s="7"/>
      <c r="H66" s="2">
        <f t="shared" si="25"/>
        <v>0</v>
      </c>
      <c r="I66" s="3">
        <f t="shared" si="26"/>
        <v>0</v>
      </c>
      <c r="J66" s="8"/>
      <c r="K66" s="8"/>
      <c r="L66" s="8"/>
      <c r="M66" s="8"/>
      <c r="N66" s="8"/>
      <c r="O66" s="8"/>
      <c r="P66" s="2"/>
      <c r="Q66" s="2"/>
      <c r="R66" s="2"/>
      <c r="S66" s="2"/>
      <c r="T66" s="2"/>
      <c r="U66" s="2"/>
      <c r="X66" s="2">
        <v>20</v>
      </c>
      <c r="Y66" s="2">
        <v>20</v>
      </c>
      <c r="Z66" s="2">
        <v>21</v>
      </c>
      <c r="BQ66" s="1">
        <f t="shared" si="2"/>
        <v>61</v>
      </c>
      <c r="BR66" s="1">
        <f t="shared" si="27"/>
        <v>61</v>
      </c>
      <c r="BS66" s="1" t="str">
        <f t="shared" si="28"/>
        <v>184-25</v>
      </c>
      <c r="BT66" s="58">
        <f t="shared" si="5"/>
        <v>0</v>
      </c>
    </row>
    <row r="67" spans="1:72" s="16" customFormat="1" x14ac:dyDescent="0.2">
      <c r="A67" s="63" t="s">
        <v>104</v>
      </c>
      <c r="B67" s="21">
        <v>46230</v>
      </c>
      <c r="C67" s="54" t="str">
        <f t="shared" si="6"/>
        <v>185-25</v>
      </c>
      <c r="D67" s="29">
        <v>61</v>
      </c>
      <c r="E67" s="7"/>
      <c r="F67" s="2"/>
      <c r="G67" s="7"/>
      <c r="H67" s="2">
        <f t="shared" si="25"/>
        <v>0</v>
      </c>
      <c r="I67" s="3">
        <f t="shared" si="26"/>
        <v>0</v>
      </c>
      <c r="J67" s="8"/>
      <c r="K67" s="8"/>
      <c r="L67" s="8"/>
      <c r="M67" s="8"/>
      <c r="N67" s="8"/>
      <c r="O67" s="8"/>
      <c r="P67" s="2"/>
      <c r="Q67" s="2"/>
      <c r="R67" s="2"/>
      <c r="S67" s="2"/>
      <c r="T67" s="2"/>
      <c r="U67" s="2"/>
      <c r="X67" s="2">
        <v>20</v>
      </c>
      <c r="Y67" s="2">
        <v>20</v>
      </c>
      <c r="Z67" s="2">
        <v>21</v>
      </c>
      <c r="BQ67" s="1">
        <f t="shared" si="2"/>
        <v>61</v>
      </c>
      <c r="BR67" s="1">
        <f t="shared" si="27"/>
        <v>61</v>
      </c>
      <c r="BS67" s="1" t="str">
        <f t="shared" si="28"/>
        <v>185-25</v>
      </c>
      <c r="BT67" s="58">
        <f t="shared" si="5"/>
        <v>0</v>
      </c>
    </row>
    <row r="68" spans="1:72" s="16" customFormat="1" x14ac:dyDescent="0.2">
      <c r="A68" s="63" t="s">
        <v>105</v>
      </c>
      <c r="B68" s="21">
        <v>46230</v>
      </c>
      <c r="C68" s="54" t="str">
        <f t="shared" si="6"/>
        <v>186-25</v>
      </c>
      <c r="D68" s="29">
        <v>61</v>
      </c>
      <c r="E68" s="7"/>
      <c r="F68" s="2"/>
      <c r="G68" s="7"/>
      <c r="H68" s="2">
        <f t="shared" si="25"/>
        <v>0</v>
      </c>
      <c r="I68" s="3">
        <f t="shared" si="26"/>
        <v>0</v>
      </c>
      <c r="J68" s="8"/>
      <c r="K68" s="8"/>
      <c r="L68" s="8"/>
      <c r="M68" s="8"/>
      <c r="N68" s="8"/>
      <c r="O68" s="8"/>
      <c r="P68" s="2"/>
      <c r="Q68" s="2"/>
      <c r="R68" s="2"/>
      <c r="S68" s="2"/>
      <c r="T68" s="2"/>
      <c r="U68" s="2"/>
      <c r="X68" s="2">
        <v>20</v>
      </c>
      <c r="Y68" s="2">
        <v>20</v>
      </c>
      <c r="Z68" s="2">
        <v>21</v>
      </c>
      <c r="BQ68" s="1">
        <f t="shared" si="2"/>
        <v>61</v>
      </c>
      <c r="BR68" s="1">
        <f t="shared" si="27"/>
        <v>61</v>
      </c>
      <c r="BS68" s="1" t="str">
        <f t="shared" si="28"/>
        <v>186-25</v>
      </c>
      <c r="BT68" s="58">
        <f t="shared" si="5"/>
        <v>0</v>
      </c>
    </row>
    <row r="69" spans="1:72" s="16" customFormat="1" x14ac:dyDescent="0.2">
      <c r="A69" s="63" t="s">
        <v>106</v>
      </c>
      <c r="B69" s="21">
        <v>46230</v>
      </c>
      <c r="C69" s="54" t="str">
        <f t="shared" si="6"/>
        <v>187-25</v>
      </c>
      <c r="D69" s="29">
        <v>61</v>
      </c>
      <c r="E69" s="7"/>
      <c r="F69" s="2"/>
      <c r="G69" s="7"/>
      <c r="H69" s="2">
        <f t="shared" si="25"/>
        <v>0</v>
      </c>
      <c r="I69" s="3">
        <f t="shared" si="26"/>
        <v>0</v>
      </c>
      <c r="J69" s="8"/>
      <c r="K69" s="8"/>
      <c r="L69" s="8"/>
      <c r="M69" s="8"/>
      <c r="N69" s="8"/>
      <c r="O69" s="8"/>
      <c r="P69" s="2"/>
      <c r="Q69" s="2"/>
      <c r="R69" s="2"/>
      <c r="S69" s="2"/>
      <c r="T69" s="2"/>
      <c r="U69" s="2"/>
      <c r="X69" s="2">
        <v>20</v>
      </c>
      <c r="Y69" s="2">
        <v>20</v>
      </c>
      <c r="Z69" s="2">
        <v>21</v>
      </c>
      <c r="BQ69" s="1">
        <f t="shared" si="2"/>
        <v>61</v>
      </c>
      <c r="BR69" s="1">
        <f t="shared" si="27"/>
        <v>61</v>
      </c>
      <c r="BS69" s="1" t="str">
        <f t="shared" si="28"/>
        <v>187-25</v>
      </c>
      <c r="BT69" s="58">
        <f t="shared" si="5"/>
        <v>0</v>
      </c>
    </row>
    <row r="70" spans="1:72" s="16" customFormat="1" x14ac:dyDescent="0.2">
      <c r="A70" s="63" t="s">
        <v>107</v>
      </c>
      <c r="B70" s="21">
        <v>46230</v>
      </c>
      <c r="C70" s="54" t="str">
        <f t="shared" si="6"/>
        <v>188-25</v>
      </c>
      <c r="D70" s="29">
        <v>61</v>
      </c>
      <c r="E70" s="7"/>
      <c r="F70" s="2"/>
      <c r="G70" s="7"/>
      <c r="H70" s="2">
        <f t="shared" si="25"/>
        <v>0</v>
      </c>
      <c r="I70" s="3">
        <f t="shared" si="26"/>
        <v>0</v>
      </c>
      <c r="J70" s="8"/>
      <c r="K70" s="8"/>
      <c r="L70" s="8"/>
      <c r="M70" s="8"/>
      <c r="N70" s="8"/>
      <c r="O70" s="8"/>
      <c r="P70" s="2"/>
      <c r="Q70" s="2"/>
      <c r="R70" s="2"/>
      <c r="S70" s="2"/>
      <c r="T70" s="2"/>
      <c r="U70" s="2"/>
      <c r="Y70" s="2">
        <v>20</v>
      </c>
      <c r="Z70" s="2">
        <v>20</v>
      </c>
      <c r="AA70" s="2">
        <v>21</v>
      </c>
      <c r="BQ70" s="1">
        <f t="shared" ref="BQ70:BQ133" si="29">SUM(J70:BP70)</f>
        <v>61</v>
      </c>
      <c r="BR70" s="1">
        <f t="shared" ref="BR70:BR101" si="30">D70-H70</f>
        <v>61</v>
      </c>
      <c r="BS70" s="1" t="str">
        <f t="shared" ref="BS70:BS101" si="31">C70</f>
        <v>188-25</v>
      </c>
      <c r="BT70" s="58">
        <f t="shared" ref="BT70:BT133" si="32">D70-H70-BQ70</f>
        <v>0</v>
      </c>
    </row>
    <row r="71" spans="1:72" s="16" customFormat="1" x14ac:dyDescent="0.2">
      <c r="A71" s="63" t="s">
        <v>108</v>
      </c>
      <c r="B71" s="21">
        <v>46230</v>
      </c>
      <c r="C71" s="54" t="str">
        <f t="shared" si="6"/>
        <v>189-25</v>
      </c>
      <c r="D71" s="29">
        <v>61</v>
      </c>
      <c r="E71" s="7"/>
      <c r="F71" s="2"/>
      <c r="G71" s="7"/>
      <c r="H71" s="2">
        <f t="shared" si="25"/>
        <v>0</v>
      </c>
      <c r="I71" s="3">
        <f t="shared" si="26"/>
        <v>0</v>
      </c>
      <c r="J71" s="8"/>
      <c r="K71" s="8"/>
      <c r="L71" s="8"/>
      <c r="M71" s="8"/>
      <c r="N71" s="8"/>
      <c r="O71" s="8"/>
      <c r="P71" s="2"/>
      <c r="Q71" s="2"/>
      <c r="R71" s="2"/>
      <c r="S71" s="2"/>
      <c r="T71" s="2"/>
      <c r="U71" s="2"/>
      <c r="Y71" s="2">
        <v>20</v>
      </c>
      <c r="Z71" s="2">
        <v>20</v>
      </c>
      <c r="AA71" s="2">
        <v>21</v>
      </c>
      <c r="BQ71" s="1">
        <f t="shared" si="29"/>
        <v>61</v>
      </c>
      <c r="BR71" s="1">
        <f t="shared" si="30"/>
        <v>61</v>
      </c>
      <c r="BS71" s="1" t="str">
        <f t="shared" si="31"/>
        <v>189-25</v>
      </c>
      <c r="BT71" s="58">
        <f t="shared" si="32"/>
        <v>0</v>
      </c>
    </row>
    <row r="72" spans="1:72" s="16" customFormat="1" x14ac:dyDescent="0.2">
      <c r="A72" s="63" t="s">
        <v>109</v>
      </c>
      <c r="B72" s="21">
        <v>46230</v>
      </c>
      <c r="C72" s="54" t="str">
        <f t="shared" si="6"/>
        <v>190-25</v>
      </c>
      <c r="D72" s="29">
        <v>61</v>
      </c>
      <c r="E72" s="7"/>
      <c r="F72" s="2"/>
      <c r="G72" s="7"/>
      <c r="H72" s="2">
        <f t="shared" si="25"/>
        <v>0</v>
      </c>
      <c r="I72" s="3">
        <f t="shared" si="26"/>
        <v>0</v>
      </c>
      <c r="J72" s="8"/>
      <c r="K72" s="8"/>
      <c r="L72" s="8"/>
      <c r="M72" s="8"/>
      <c r="N72" s="8"/>
      <c r="O72" s="8"/>
      <c r="P72" s="2"/>
      <c r="Q72" s="2"/>
      <c r="R72" s="2"/>
      <c r="S72" s="2"/>
      <c r="T72" s="2"/>
      <c r="U72" s="2"/>
      <c r="Y72" s="2">
        <v>20</v>
      </c>
      <c r="Z72" s="2">
        <v>20</v>
      </c>
      <c r="AA72" s="2">
        <v>21</v>
      </c>
      <c r="BQ72" s="1">
        <f t="shared" si="29"/>
        <v>61</v>
      </c>
      <c r="BR72" s="1">
        <f t="shared" si="30"/>
        <v>61</v>
      </c>
      <c r="BS72" s="1" t="str">
        <f t="shared" si="31"/>
        <v>190-25</v>
      </c>
      <c r="BT72" s="58">
        <f t="shared" si="32"/>
        <v>0</v>
      </c>
    </row>
    <row r="73" spans="1:72" s="16" customFormat="1" x14ac:dyDescent="0.2">
      <c r="A73" s="63" t="s">
        <v>110</v>
      </c>
      <c r="B73" s="21">
        <v>46230</v>
      </c>
      <c r="C73" s="54" t="str">
        <f t="shared" si="6"/>
        <v>191-25</v>
      </c>
      <c r="D73" s="29">
        <v>61</v>
      </c>
      <c r="E73" s="7"/>
      <c r="F73" s="2"/>
      <c r="G73" s="7"/>
      <c r="H73" s="2">
        <f t="shared" si="25"/>
        <v>0</v>
      </c>
      <c r="I73" s="3">
        <f t="shared" si="26"/>
        <v>0</v>
      </c>
      <c r="J73" s="8"/>
      <c r="K73" s="8"/>
      <c r="L73" s="8"/>
      <c r="M73" s="8"/>
      <c r="N73" s="8"/>
      <c r="O73" s="8"/>
      <c r="P73" s="2"/>
      <c r="Q73" s="2"/>
      <c r="R73" s="2"/>
      <c r="S73" s="2"/>
      <c r="T73" s="2"/>
      <c r="U73" s="2"/>
      <c r="Y73" s="2">
        <v>20</v>
      </c>
      <c r="Z73" s="2">
        <v>20</v>
      </c>
      <c r="AA73" s="2">
        <v>21</v>
      </c>
      <c r="BQ73" s="1">
        <f t="shared" si="29"/>
        <v>61</v>
      </c>
      <c r="BR73" s="1">
        <f t="shared" si="30"/>
        <v>61</v>
      </c>
      <c r="BS73" s="1" t="str">
        <f t="shared" si="31"/>
        <v>191-25</v>
      </c>
      <c r="BT73" s="58">
        <f t="shared" si="32"/>
        <v>0</v>
      </c>
    </row>
    <row r="74" spans="1:72" s="16" customFormat="1" x14ac:dyDescent="0.2">
      <c r="A74" s="63" t="s">
        <v>111</v>
      </c>
      <c r="B74" s="21">
        <v>46230</v>
      </c>
      <c r="C74" s="54" t="str">
        <f t="shared" ref="C74:C137" si="33">CONCATENATE(LEFT(C73,3)+1,"-","25")</f>
        <v>192-25</v>
      </c>
      <c r="D74" s="29">
        <v>61</v>
      </c>
      <c r="E74" s="7"/>
      <c r="F74" s="2"/>
      <c r="G74" s="7"/>
      <c r="H74" s="2">
        <f t="shared" si="25"/>
        <v>0</v>
      </c>
      <c r="I74" s="3">
        <f t="shared" si="26"/>
        <v>0</v>
      </c>
      <c r="J74" s="8"/>
      <c r="K74" s="8"/>
      <c r="L74" s="8"/>
      <c r="M74" s="8"/>
      <c r="N74" s="8"/>
      <c r="O74" s="8"/>
      <c r="P74" s="2"/>
      <c r="Q74" s="2"/>
      <c r="R74" s="2"/>
      <c r="S74" s="2"/>
      <c r="T74" s="2"/>
      <c r="U74" s="2"/>
      <c r="Y74" s="2">
        <v>20</v>
      </c>
      <c r="Z74" s="2">
        <v>20</v>
      </c>
      <c r="AA74" s="2">
        <v>21</v>
      </c>
      <c r="BQ74" s="1">
        <f t="shared" si="29"/>
        <v>61</v>
      </c>
      <c r="BR74" s="1">
        <f t="shared" si="30"/>
        <v>61</v>
      </c>
      <c r="BS74" s="1" t="str">
        <f t="shared" si="31"/>
        <v>192-25</v>
      </c>
      <c r="BT74" s="58">
        <f t="shared" si="32"/>
        <v>0</v>
      </c>
    </row>
    <row r="75" spans="1:72" s="16" customFormat="1" x14ac:dyDescent="0.2">
      <c r="A75" s="63" t="s">
        <v>112</v>
      </c>
      <c r="B75" s="21">
        <v>46230</v>
      </c>
      <c r="C75" s="54" t="str">
        <f t="shared" si="33"/>
        <v>193-25</v>
      </c>
      <c r="D75" s="29">
        <v>61</v>
      </c>
      <c r="E75" s="7"/>
      <c r="F75" s="2"/>
      <c r="G75" s="7"/>
      <c r="H75" s="2">
        <f t="shared" si="25"/>
        <v>0</v>
      </c>
      <c r="I75" s="3">
        <f t="shared" si="26"/>
        <v>0</v>
      </c>
      <c r="J75" s="8"/>
      <c r="K75" s="8"/>
      <c r="L75" s="8"/>
      <c r="M75" s="8"/>
      <c r="N75" s="8"/>
      <c r="O75" s="8"/>
      <c r="P75" s="2"/>
      <c r="Q75" s="2"/>
      <c r="R75" s="2"/>
      <c r="S75" s="2"/>
      <c r="T75" s="2"/>
      <c r="U75" s="2"/>
      <c r="Z75" s="2">
        <v>20</v>
      </c>
      <c r="AA75" s="2">
        <v>20</v>
      </c>
      <c r="AB75" s="2">
        <v>21</v>
      </c>
      <c r="BQ75" s="1">
        <f t="shared" si="29"/>
        <v>61</v>
      </c>
      <c r="BR75" s="1">
        <f t="shared" si="30"/>
        <v>61</v>
      </c>
      <c r="BS75" s="1" t="str">
        <f t="shared" si="31"/>
        <v>193-25</v>
      </c>
      <c r="BT75" s="58">
        <f t="shared" si="32"/>
        <v>0</v>
      </c>
    </row>
    <row r="76" spans="1:72" s="16" customFormat="1" x14ac:dyDescent="0.2">
      <c r="A76" s="63" t="s">
        <v>113</v>
      </c>
      <c r="B76" s="21">
        <v>46230</v>
      </c>
      <c r="C76" s="54" t="str">
        <f t="shared" si="33"/>
        <v>194-25</v>
      </c>
      <c r="D76" s="29">
        <v>61</v>
      </c>
      <c r="E76" s="7"/>
      <c r="F76" s="2"/>
      <c r="G76" s="7"/>
      <c r="H76" s="2">
        <f t="shared" si="25"/>
        <v>0</v>
      </c>
      <c r="I76" s="3">
        <f t="shared" si="26"/>
        <v>0</v>
      </c>
      <c r="J76" s="8"/>
      <c r="K76" s="8"/>
      <c r="L76" s="8"/>
      <c r="M76" s="8"/>
      <c r="N76" s="8"/>
      <c r="O76" s="8"/>
      <c r="P76" s="2"/>
      <c r="Q76" s="2"/>
      <c r="R76" s="2"/>
      <c r="S76" s="2"/>
      <c r="T76" s="2"/>
      <c r="U76" s="2"/>
      <c r="Z76" s="2">
        <v>20</v>
      </c>
      <c r="AA76" s="2">
        <v>20</v>
      </c>
      <c r="AB76" s="2">
        <v>21</v>
      </c>
      <c r="BQ76" s="1">
        <f t="shared" si="29"/>
        <v>61</v>
      </c>
      <c r="BR76" s="1">
        <f t="shared" si="30"/>
        <v>61</v>
      </c>
      <c r="BS76" s="1" t="str">
        <f t="shared" si="31"/>
        <v>194-25</v>
      </c>
      <c r="BT76" s="58">
        <f t="shared" si="32"/>
        <v>0</v>
      </c>
    </row>
    <row r="77" spans="1:72" s="16" customFormat="1" x14ac:dyDescent="0.2">
      <c r="A77" s="63" t="s">
        <v>114</v>
      </c>
      <c r="B77" s="21">
        <v>46230</v>
      </c>
      <c r="C77" s="54" t="str">
        <f t="shared" si="33"/>
        <v>195-25</v>
      </c>
      <c r="D77" s="29">
        <v>61</v>
      </c>
      <c r="E77" s="7"/>
      <c r="F77" s="2"/>
      <c r="G77" s="7"/>
      <c r="H77" s="2">
        <f t="shared" si="25"/>
        <v>0</v>
      </c>
      <c r="I77" s="3">
        <f t="shared" si="26"/>
        <v>0</v>
      </c>
      <c r="J77" s="8"/>
      <c r="K77" s="8"/>
      <c r="L77" s="8"/>
      <c r="M77" s="8"/>
      <c r="N77" s="8"/>
      <c r="O77" s="8"/>
      <c r="P77" s="2"/>
      <c r="Q77" s="2"/>
      <c r="R77" s="2"/>
      <c r="S77" s="2"/>
      <c r="T77" s="2"/>
      <c r="U77" s="2"/>
      <c r="Z77" s="2">
        <v>20</v>
      </c>
      <c r="AA77" s="2">
        <v>20</v>
      </c>
      <c r="AB77" s="2">
        <v>21</v>
      </c>
      <c r="BQ77" s="1">
        <f t="shared" si="29"/>
        <v>61</v>
      </c>
      <c r="BR77" s="1">
        <f t="shared" si="30"/>
        <v>61</v>
      </c>
      <c r="BS77" s="1" t="str">
        <f t="shared" si="31"/>
        <v>195-25</v>
      </c>
      <c r="BT77" s="58">
        <f t="shared" si="32"/>
        <v>0</v>
      </c>
    </row>
    <row r="78" spans="1:72" s="16" customFormat="1" x14ac:dyDescent="0.2">
      <c r="A78" s="63" t="s">
        <v>115</v>
      </c>
      <c r="B78" s="21">
        <v>46230</v>
      </c>
      <c r="C78" s="54" t="str">
        <f t="shared" si="33"/>
        <v>196-25</v>
      </c>
      <c r="D78" s="29">
        <v>61</v>
      </c>
      <c r="E78" s="7"/>
      <c r="F78" s="2"/>
      <c r="G78" s="7"/>
      <c r="H78" s="2">
        <f t="shared" si="25"/>
        <v>0</v>
      </c>
      <c r="I78" s="3">
        <f t="shared" si="26"/>
        <v>0</v>
      </c>
      <c r="J78" s="8"/>
      <c r="K78" s="8"/>
      <c r="L78" s="8"/>
      <c r="M78" s="8"/>
      <c r="N78" s="8"/>
      <c r="O78" s="8"/>
      <c r="P78" s="2"/>
      <c r="Q78" s="2"/>
      <c r="R78" s="2"/>
      <c r="S78" s="2"/>
      <c r="T78" s="2"/>
      <c r="U78" s="2"/>
      <c r="Z78" s="2">
        <v>20</v>
      </c>
      <c r="AA78" s="2">
        <v>20</v>
      </c>
      <c r="AB78" s="2">
        <v>21</v>
      </c>
      <c r="BQ78" s="1">
        <f t="shared" si="29"/>
        <v>61</v>
      </c>
      <c r="BR78" s="1">
        <f t="shared" si="30"/>
        <v>61</v>
      </c>
      <c r="BS78" s="1" t="str">
        <f t="shared" si="31"/>
        <v>196-25</v>
      </c>
      <c r="BT78" s="58">
        <f t="shared" si="32"/>
        <v>0</v>
      </c>
    </row>
    <row r="79" spans="1:72" s="16" customFormat="1" x14ac:dyDescent="0.2">
      <c r="A79" s="63" t="s">
        <v>116</v>
      </c>
      <c r="B79" s="21">
        <v>46230</v>
      </c>
      <c r="C79" s="54" t="str">
        <f t="shared" si="33"/>
        <v>197-25</v>
      </c>
      <c r="D79" s="29">
        <v>61</v>
      </c>
      <c r="E79" s="7"/>
      <c r="F79" s="2"/>
      <c r="G79" s="7"/>
      <c r="H79" s="2">
        <f t="shared" si="25"/>
        <v>0</v>
      </c>
      <c r="I79" s="3">
        <f t="shared" si="26"/>
        <v>0</v>
      </c>
      <c r="J79" s="8"/>
      <c r="K79" s="8"/>
      <c r="L79" s="8"/>
      <c r="M79" s="8"/>
      <c r="N79" s="8"/>
      <c r="O79" s="8"/>
      <c r="P79" s="2"/>
      <c r="Q79" s="2"/>
      <c r="R79" s="2"/>
      <c r="S79" s="2"/>
      <c r="T79" s="2"/>
      <c r="U79" s="2"/>
      <c r="Z79" s="2">
        <v>20</v>
      </c>
      <c r="AA79" s="2">
        <v>20</v>
      </c>
      <c r="AB79" s="2">
        <v>21</v>
      </c>
      <c r="BQ79" s="1">
        <f t="shared" si="29"/>
        <v>61</v>
      </c>
      <c r="BR79" s="1">
        <f t="shared" si="30"/>
        <v>61</v>
      </c>
      <c r="BS79" s="1" t="str">
        <f t="shared" si="31"/>
        <v>197-25</v>
      </c>
      <c r="BT79" s="58">
        <f t="shared" si="32"/>
        <v>0</v>
      </c>
    </row>
    <row r="80" spans="1:72" s="16" customFormat="1" x14ac:dyDescent="0.2">
      <c r="A80" s="63" t="s">
        <v>117</v>
      </c>
      <c r="B80" s="21">
        <v>46230</v>
      </c>
      <c r="C80" s="54" t="str">
        <f t="shared" si="33"/>
        <v>198-25</v>
      </c>
      <c r="D80" s="29">
        <v>61</v>
      </c>
      <c r="E80" s="7"/>
      <c r="F80" s="2"/>
      <c r="G80" s="7"/>
      <c r="H80" s="2">
        <f t="shared" si="25"/>
        <v>0</v>
      </c>
      <c r="I80" s="3">
        <f t="shared" si="26"/>
        <v>0</v>
      </c>
      <c r="J80" s="8"/>
      <c r="K80" s="8"/>
      <c r="L80" s="8"/>
      <c r="M80" s="8"/>
      <c r="N80" s="8"/>
      <c r="O80" s="8"/>
      <c r="P80" s="2"/>
      <c r="Q80" s="2"/>
      <c r="R80" s="2"/>
      <c r="S80" s="2"/>
      <c r="T80" s="2"/>
      <c r="U80" s="2"/>
      <c r="AA80" s="2">
        <v>20</v>
      </c>
      <c r="AB80" s="2">
        <v>20</v>
      </c>
      <c r="AC80" s="2">
        <v>21</v>
      </c>
      <c r="BQ80" s="1">
        <f t="shared" si="29"/>
        <v>61</v>
      </c>
      <c r="BR80" s="1">
        <f t="shared" si="30"/>
        <v>61</v>
      </c>
      <c r="BS80" s="1" t="str">
        <f t="shared" si="31"/>
        <v>198-25</v>
      </c>
      <c r="BT80" s="58">
        <f t="shared" si="32"/>
        <v>0</v>
      </c>
    </row>
    <row r="81" spans="1:72" s="16" customFormat="1" x14ac:dyDescent="0.2">
      <c r="A81" s="63" t="s">
        <v>118</v>
      </c>
      <c r="B81" s="21">
        <v>46230</v>
      </c>
      <c r="C81" s="54" t="str">
        <f t="shared" si="33"/>
        <v>199-25</v>
      </c>
      <c r="D81" s="29">
        <v>61</v>
      </c>
      <c r="E81" s="7"/>
      <c r="F81" s="2"/>
      <c r="G81" s="7"/>
      <c r="H81" s="2">
        <f t="shared" si="25"/>
        <v>0</v>
      </c>
      <c r="I81" s="3">
        <f t="shared" si="26"/>
        <v>0</v>
      </c>
      <c r="J81" s="8"/>
      <c r="K81" s="8"/>
      <c r="L81" s="8"/>
      <c r="M81" s="8"/>
      <c r="N81" s="8"/>
      <c r="O81" s="8"/>
      <c r="P81" s="2"/>
      <c r="Q81" s="2"/>
      <c r="R81" s="2"/>
      <c r="S81" s="2"/>
      <c r="T81" s="2"/>
      <c r="U81" s="2"/>
      <c r="AA81" s="2">
        <v>20</v>
      </c>
      <c r="AB81" s="2">
        <v>20</v>
      </c>
      <c r="AC81" s="2">
        <v>21</v>
      </c>
      <c r="BQ81" s="1">
        <f t="shared" si="29"/>
        <v>61</v>
      </c>
      <c r="BR81" s="1">
        <f t="shared" si="30"/>
        <v>61</v>
      </c>
      <c r="BS81" s="1" t="str">
        <f t="shared" si="31"/>
        <v>199-25</v>
      </c>
      <c r="BT81" s="58">
        <f t="shared" si="32"/>
        <v>0</v>
      </c>
    </row>
    <row r="82" spans="1:72" s="16" customFormat="1" x14ac:dyDescent="0.2">
      <c r="A82" s="63" t="s">
        <v>119</v>
      </c>
      <c r="B82" s="21">
        <v>46230</v>
      </c>
      <c r="C82" s="54" t="str">
        <f t="shared" si="33"/>
        <v>200-25</v>
      </c>
      <c r="D82" s="29">
        <v>61</v>
      </c>
      <c r="E82" s="7"/>
      <c r="F82" s="2"/>
      <c r="G82" s="7"/>
      <c r="H82" s="2">
        <f t="shared" si="25"/>
        <v>0</v>
      </c>
      <c r="I82" s="3">
        <f t="shared" si="26"/>
        <v>0</v>
      </c>
      <c r="J82" s="8"/>
      <c r="K82" s="8"/>
      <c r="L82" s="8"/>
      <c r="M82" s="8"/>
      <c r="N82" s="8"/>
      <c r="O82" s="8"/>
      <c r="P82" s="2"/>
      <c r="Q82" s="2"/>
      <c r="R82" s="2"/>
      <c r="S82" s="2"/>
      <c r="T82" s="2"/>
      <c r="U82" s="2"/>
      <c r="AA82" s="2">
        <v>20</v>
      </c>
      <c r="AB82" s="2">
        <v>20</v>
      </c>
      <c r="AC82" s="2">
        <v>21</v>
      </c>
      <c r="BQ82" s="1">
        <f t="shared" si="29"/>
        <v>61</v>
      </c>
      <c r="BR82" s="1">
        <f t="shared" si="30"/>
        <v>61</v>
      </c>
      <c r="BS82" s="1" t="str">
        <f t="shared" si="31"/>
        <v>200-25</v>
      </c>
      <c r="BT82" s="58">
        <f t="shared" si="32"/>
        <v>0</v>
      </c>
    </row>
    <row r="83" spans="1:72" s="16" customFormat="1" x14ac:dyDescent="0.2">
      <c r="A83" s="63" t="s">
        <v>120</v>
      </c>
      <c r="B83" s="21">
        <v>46230</v>
      </c>
      <c r="C83" s="54" t="str">
        <f t="shared" si="33"/>
        <v>201-25</v>
      </c>
      <c r="D83" s="29">
        <v>61</v>
      </c>
      <c r="E83" s="7"/>
      <c r="F83" s="2"/>
      <c r="G83" s="7"/>
      <c r="H83" s="2">
        <f t="shared" si="25"/>
        <v>0</v>
      </c>
      <c r="I83" s="3">
        <f t="shared" si="26"/>
        <v>0</v>
      </c>
      <c r="J83" s="8"/>
      <c r="K83" s="8"/>
      <c r="L83" s="8"/>
      <c r="M83" s="8"/>
      <c r="N83" s="8"/>
      <c r="O83" s="8"/>
      <c r="P83" s="2"/>
      <c r="Q83" s="2"/>
      <c r="R83" s="2"/>
      <c r="S83" s="2"/>
      <c r="T83" s="2"/>
      <c r="U83" s="2"/>
      <c r="AA83" s="2">
        <v>20</v>
      </c>
      <c r="AB83" s="2">
        <v>20</v>
      </c>
      <c r="AC83" s="2">
        <v>21</v>
      </c>
      <c r="BQ83" s="1">
        <f t="shared" si="29"/>
        <v>61</v>
      </c>
      <c r="BR83" s="1">
        <f t="shared" si="30"/>
        <v>61</v>
      </c>
      <c r="BS83" s="1" t="str">
        <f t="shared" si="31"/>
        <v>201-25</v>
      </c>
      <c r="BT83" s="58">
        <f t="shared" si="32"/>
        <v>0</v>
      </c>
    </row>
    <row r="84" spans="1:72" s="16" customFormat="1" x14ac:dyDescent="0.2">
      <c r="A84" s="63" t="s">
        <v>121</v>
      </c>
      <c r="B84" s="21">
        <v>46230</v>
      </c>
      <c r="C84" s="54" t="str">
        <f t="shared" si="33"/>
        <v>202-25</v>
      </c>
      <c r="D84" s="29">
        <v>61</v>
      </c>
      <c r="E84" s="7"/>
      <c r="F84" s="2"/>
      <c r="G84" s="7"/>
      <c r="H84" s="2">
        <f t="shared" si="25"/>
        <v>0</v>
      </c>
      <c r="I84" s="3">
        <f t="shared" si="26"/>
        <v>0</v>
      </c>
      <c r="J84" s="8"/>
      <c r="K84" s="8"/>
      <c r="L84" s="8"/>
      <c r="M84" s="8"/>
      <c r="N84" s="8"/>
      <c r="O84" s="8"/>
      <c r="P84" s="2"/>
      <c r="Q84" s="2"/>
      <c r="R84" s="2"/>
      <c r="S84" s="2"/>
      <c r="T84" s="2"/>
      <c r="U84" s="2"/>
      <c r="AA84" s="2">
        <v>20</v>
      </c>
      <c r="AB84" s="2">
        <v>20</v>
      </c>
      <c r="AC84" s="2">
        <v>21</v>
      </c>
      <c r="BQ84" s="1">
        <f t="shared" si="29"/>
        <v>61</v>
      </c>
      <c r="BR84" s="1">
        <f t="shared" si="30"/>
        <v>61</v>
      </c>
      <c r="BS84" s="1" t="str">
        <f t="shared" si="31"/>
        <v>202-25</v>
      </c>
      <c r="BT84" s="58">
        <f t="shared" si="32"/>
        <v>0</v>
      </c>
    </row>
    <row r="85" spans="1:72" s="16" customFormat="1" x14ac:dyDescent="0.2">
      <c r="A85" s="63" t="s">
        <v>122</v>
      </c>
      <c r="B85" s="21">
        <v>46230</v>
      </c>
      <c r="C85" s="54" t="str">
        <f t="shared" si="33"/>
        <v>203-25</v>
      </c>
      <c r="D85" s="29">
        <v>61</v>
      </c>
      <c r="E85" s="7"/>
      <c r="F85" s="2"/>
      <c r="G85" s="7"/>
      <c r="H85" s="2">
        <f t="shared" si="25"/>
        <v>0</v>
      </c>
      <c r="I85" s="3">
        <f t="shared" si="26"/>
        <v>0</v>
      </c>
      <c r="J85" s="8"/>
      <c r="K85" s="8"/>
      <c r="L85" s="8"/>
      <c r="M85" s="8"/>
      <c r="N85" s="8"/>
      <c r="O85" s="8"/>
      <c r="P85" s="2"/>
      <c r="Q85" s="2"/>
      <c r="R85" s="2"/>
      <c r="S85" s="2"/>
      <c r="T85" s="2"/>
      <c r="U85" s="2"/>
      <c r="AB85" s="2">
        <v>20</v>
      </c>
      <c r="AC85" s="2">
        <v>20</v>
      </c>
      <c r="AD85" s="2">
        <v>21</v>
      </c>
      <c r="BQ85" s="1">
        <f t="shared" si="29"/>
        <v>61</v>
      </c>
      <c r="BR85" s="1">
        <f t="shared" si="30"/>
        <v>61</v>
      </c>
      <c r="BS85" s="1" t="str">
        <f t="shared" si="31"/>
        <v>203-25</v>
      </c>
      <c r="BT85" s="58">
        <f t="shared" si="32"/>
        <v>0</v>
      </c>
    </row>
    <row r="86" spans="1:72" s="16" customFormat="1" x14ac:dyDescent="0.2">
      <c r="A86" s="63" t="s">
        <v>123</v>
      </c>
      <c r="B86" s="21">
        <v>46230</v>
      </c>
      <c r="C86" s="54" t="str">
        <f t="shared" si="33"/>
        <v>204-25</v>
      </c>
      <c r="D86" s="29">
        <v>61</v>
      </c>
      <c r="E86" s="7"/>
      <c r="F86" s="2"/>
      <c r="G86" s="7"/>
      <c r="H86" s="2">
        <f t="shared" si="25"/>
        <v>0</v>
      </c>
      <c r="I86" s="3">
        <f t="shared" si="26"/>
        <v>0</v>
      </c>
      <c r="J86" s="8"/>
      <c r="K86" s="8"/>
      <c r="L86" s="8"/>
      <c r="M86" s="8"/>
      <c r="N86" s="8"/>
      <c r="O86" s="8"/>
      <c r="P86" s="2"/>
      <c r="Q86" s="2"/>
      <c r="R86" s="2"/>
      <c r="S86" s="2"/>
      <c r="T86" s="2"/>
      <c r="U86" s="2"/>
      <c r="AB86" s="2">
        <v>20</v>
      </c>
      <c r="AC86" s="2">
        <v>20</v>
      </c>
      <c r="AD86" s="2">
        <v>21</v>
      </c>
      <c r="BQ86" s="1">
        <f t="shared" si="29"/>
        <v>61</v>
      </c>
      <c r="BR86" s="1">
        <f t="shared" si="30"/>
        <v>61</v>
      </c>
      <c r="BS86" s="1" t="str">
        <f t="shared" si="31"/>
        <v>204-25</v>
      </c>
      <c r="BT86" s="58">
        <f t="shared" si="32"/>
        <v>0</v>
      </c>
    </row>
    <row r="87" spans="1:72" s="16" customFormat="1" x14ac:dyDescent="0.2">
      <c r="A87" s="63" t="s">
        <v>124</v>
      </c>
      <c r="B87" s="21">
        <v>46230</v>
      </c>
      <c r="C87" s="54" t="str">
        <f t="shared" si="33"/>
        <v>205-25</v>
      </c>
      <c r="D87" s="29">
        <v>61</v>
      </c>
      <c r="E87" s="7"/>
      <c r="F87" s="2"/>
      <c r="G87" s="7"/>
      <c r="H87" s="2">
        <f t="shared" si="25"/>
        <v>0</v>
      </c>
      <c r="I87" s="3">
        <f t="shared" si="26"/>
        <v>0</v>
      </c>
      <c r="J87" s="8"/>
      <c r="K87" s="8"/>
      <c r="L87" s="8"/>
      <c r="M87" s="8"/>
      <c r="N87" s="8"/>
      <c r="O87" s="8"/>
      <c r="P87" s="2"/>
      <c r="Q87" s="2"/>
      <c r="R87" s="2"/>
      <c r="S87" s="2"/>
      <c r="T87" s="2"/>
      <c r="U87" s="2"/>
      <c r="AB87" s="2">
        <v>20</v>
      </c>
      <c r="AC87" s="2">
        <v>20</v>
      </c>
      <c r="AD87" s="2">
        <v>21</v>
      </c>
      <c r="BQ87" s="1">
        <f t="shared" si="29"/>
        <v>61</v>
      </c>
      <c r="BR87" s="1">
        <f t="shared" si="30"/>
        <v>61</v>
      </c>
      <c r="BS87" s="1" t="str">
        <f t="shared" si="31"/>
        <v>205-25</v>
      </c>
      <c r="BT87" s="58">
        <f t="shared" si="32"/>
        <v>0</v>
      </c>
    </row>
    <row r="88" spans="1:72" s="16" customFormat="1" x14ac:dyDescent="0.2">
      <c r="A88" s="63" t="s">
        <v>125</v>
      </c>
      <c r="B88" s="21">
        <v>46230</v>
      </c>
      <c r="C88" s="54" t="str">
        <f t="shared" si="33"/>
        <v>206-25</v>
      </c>
      <c r="D88" s="29">
        <v>61</v>
      </c>
      <c r="E88" s="7"/>
      <c r="F88" s="2"/>
      <c r="G88" s="7"/>
      <c r="H88" s="2">
        <f t="shared" si="25"/>
        <v>0</v>
      </c>
      <c r="I88" s="3">
        <f t="shared" si="26"/>
        <v>0</v>
      </c>
      <c r="J88" s="8"/>
      <c r="K88" s="8"/>
      <c r="L88" s="8"/>
      <c r="M88" s="8"/>
      <c r="N88" s="8"/>
      <c r="O88" s="8"/>
      <c r="P88" s="2"/>
      <c r="Q88" s="2"/>
      <c r="R88" s="2"/>
      <c r="S88" s="2"/>
      <c r="T88" s="2"/>
      <c r="U88" s="2"/>
      <c r="AB88" s="2">
        <v>20</v>
      </c>
      <c r="AC88" s="2">
        <v>20</v>
      </c>
      <c r="AD88" s="2">
        <v>21</v>
      </c>
      <c r="BQ88" s="1">
        <f t="shared" si="29"/>
        <v>61</v>
      </c>
      <c r="BR88" s="1">
        <f t="shared" si="30"/>
        <v>61</v>
      </c>
      <c r="BS88" s="1" t="str">
        <f t="shared" si="31"/>
        <v>206-25</v>
      </c>
      <c r="BT88" s="58">
        <f t="shared" si="32"/>
        <v>0</v>
      </c>
    </row>
    <row r="89" spans="1:72" s="16" customFormat="1" x14ac:dyDescent="0.2">
      <c r="A89" s="63" t="s">
        <v>126</v>
      </c>
      <c r="B89" s="21">
        <v>46230</v>
      </c>
      <c r="C89" s="54" t="str">
        <f t="shared" si="33"/>
        <v>207-25</v>
      </c>
      <c r="D89" s="29">
        <v>61</v>
      </c>
      <c r="E89" s="7"/>
      <c r="F89" s="2"/>
      <c r="G89" s="7"/>
      <c r="H89" s="2">
        <f t="shared" si="25"/>
        <v>0</v>
      </c>
      <c r="I89" s="3">
        <f t="shared" si="26"/>
        <v>0</v>
      </c>
      <c r="J89" s="8"/>
      <c r="K89" s="8"/>
      <c r="L89" s="8"/>
      <c r="M89" s="8"/>
      <c r="N89" s="8"/>
      <c r="O89" s="8"/>
      <c r="P89" s="2"/>
      <c r="Q89" s="2"/>
      <c r="R89" s="2"/>
      <c r="S89" s="2"/>
      <c r="T89" s="2"/>
      <c r="U89" s="2"/>
      <c r="AB89" s="2">
        <v>20</v>
      </c>
      <c r="AC89" s="2">
        <v>20</v>
      </c>
      <c r="AD89" s="2">
        <v>21</v>
      </c>
      <c r="BQ89" s="1">
        <f t="shared" si="29"/>
        <v>61</v>
      </c>
      <c r="BR89" s="1">
        <f t="shared" si="30"/>
        <v>61</v>
      </c>
      <c r="BS89" s="1" t="str">
        <f t="shared" si="31"/>
        <v>207-25</v>
      </c>
      <c r="BT89" s="58">
        <f t="shared" si="32"/>
        <v>0</v>
      </c>
    </row>
    <row r="90" spans="1:72" s="16" customFormat="1" x14ac:dyDescent="0.2">
      <c r="A90" s="63" t="s">
        <v>127</v>
      </c>
      <c r="B90" s="21">
        <v>46230</v>
      </c>
      <c r="C90" s="54" t="str">
        <f t="shared" si="33"/>
        <v>208-25</v>
      </c>
      <c r="D90" s="29">
        <v>61</v>
      </c>
      <c r="E90" s="7"/>
      <c r="F90" s="2"/>
      <c r="G90" s="7"/>
      <c r="H90" s="2">
        <f t="shared" si="25"/>
        <v>0</v>
      </c>
      <c r="I90" s="3">
        <f t="shared" si="26"/>
        <v>0</v>
      </c>
      <c r="J90" s="8"/>
      <c r="K90" s="8"/>
      <c r="L90" s="8"/>
      <c r="M90" s="8"/>
      <c r="N90" s="8"/>
      <c r="O90" s="8"/>
      <c r="P90" s="2"/>
      <c r="Q90" s="2"/>
      <c r="R90" s="2"/>
      <c r="S90" s="2"/>
      <c r="T90" s="2"/>
      <c r="U90" s="2"/>
      <c r="AD90" s="2">
        <v>20</v>
      </c>
      <c r="AE90" s="2">
        <v>20</v>
      </c>
      <c r="AF90" s="2">
        <v>21</v>
      </c>
      <c r="BQ90" s="1">
        <f t="shared" si="29"/>
        <v>61</v>
      </c>
      <c r="BR90" s="1">
        <f t="shared" si="30"/>
        <v>61</v>
      </c>
      <c r="BS90" s="1" t="str">
        <f t="shared" si="31"/>
        <v>208-25</v>
      </c>
      <c r="BT90" s="58">
        <f t="shared" si="32"/>
        <v>0</v>
      </c>
    </row>
    <row r="91" spans="1:72" s="16" customFormat="1" x14ac:dyDescent="0.2">
      <c r="A91" s="63" t="s">
        <v>128</v>
      </c>
      <c r="B91" s="21">
        <v>46230</v>
      </c>
      <c r="C91" s="54" t="str">
        <f t="shared" si="33"/>
        <v>209-25</v>
      </c>
      <c r="D91" s="29">
        <v>61</v>
      </c>
      <c r="E91" s="7"/>
      <c r="F91" s="2"/>
      <c r="G91" s="7"/>
      <c r="H91" s="2">
        <f t="shared" si="25"/>
        <v>0</v>
      </c>
      <c r="I91" s="3">
        <f t="shared" si="26"/>
        <v>0</v>
      </c>
      <c r="J91" s="8"/>
      <c r="K91" s="8"/>
      <c r="L91" s="8"/>
      <c r="M91" s="8"/>
      <c r="N91" s="8"/>
      <c r="O91" s="8"/>
      <c r="P91" s="2"/>
      <c r="Q91" s="2"/>
      <c r="R91" s="2"/>
      <c r="S91" s="2"/>
      <c r="T91" s="2"/>
      <c r="U91" s="2"/>
      <c r="AD91" s="2">
        <v>20</v>
      </c>
      <c r="AE91" s="2">
        <v>20</v>
      </c>
      <c r="AF91" s="2">
        <v>21</v>
      </c>
      <c r="BQ91" s="1">
        <f t="shared" si="29"/>
        <v>61</v>
      </c>
      <c r="BR91" s="1">
        <f t="shared" si="30"/>
        <v>61</v>
      </c>
      <c r="BS91" s="1" t="str">
        <f t="shared" si="31"/>
        <v>209-25</v>
      </c>
      <c r="BT91" s="58">
        <f t="shared" si="32"/>
        <v>0</v>
      </c>
    </row>
    <row r="92" spans="1:72" s="16" customFormat="1" x14ac:dyDescent="0.2">
      <c r="A92" s="63" t="s">
        <v>129</v>
      </c>
      <c r="B92" s="21">
        <v>46230</v>
      </c>
      <c r="C92" s="54" t="str">
        <f t="shared" si="33"/>
        <v>210-25</v>
      </c>
      <c r="D92" s="29">
        <v>61</v>
      </c>
      <c r="E92" s="7"/>
      <c r="F92" s="2"/>
      <c r="G92" s="7"/>
      <c r="H92" s="2">
        <f t="shared" si="25"/>
        <v>0</v>
      </c>
      <c r="I92" s="3">
        <f t="shared" si="26"/>
        <v>0</v>
      </c>
      <c r="J92" s="8"/>
      <c r="K92" s="8"/>
      <c r="L92" s="8"/>
      <c r="M92" s="8"/>
      <c r="N92" s="8"/>
      <c r="O92" s="8"/>
      <c r="P92" s="2"/>
      <c r="Q92" s="2"/>
      <c r="R92" s="2"/>
      <c r="S92" s="2"/>
      <c r="T92" s="2"/>
      <c r="U92" s="2"/>
      <c r="AD92" s="2">
        <v>20</v>
      </c>
      <c r="AE92" s="2">
        <v>20</v>
      </c>
      <c r="AF92" s="2">
        <v>21</v>
      </c>
      <c r="BQ92" s="1">
        <f t="shared" si="29"/>
        <v>61</v>
      </c>
      <c r="BR92" s="1">
        <f t="shared" si="30"/>
        <v>61</v>
      </c>
      <c r="BS92" s="1" t="str">
        <f t="shared" si="31"/>
        <v>210-25</v>
      </c>
      <c r="BT92" s="58">
        <f t="shared" si="32"/>
        <v>0</v>
      </c>
    </row>
    <row r="93" spans="1:72" s="16" customFormat="1" x14ac:dyDescent="0.2">
      <c r="A93" s="63" t="s">
        <v>130</v>
      </c>
      <c r="B93" s="21">
        <v>46230</v>
      </c>
      <c r="C93" s="54" t="str">
        <f t="shared" si="33"/>
        <v>211-25</v>
      </c>
      <c r="D93" s="29">
        <v>61</v>
      </c>
      <c r="E93" s="7"/>
      <c r="F93" s="2"/>
      <c r="G93" s="7"/>
      <c r="H93" s="2">
        <f t="shared" si="25"/>
        <v>0</v>
      </c>
      <c r="I93" s="3">
        <f t="shared" si="26"/>
        <v>0</v>
      </c>
      <c r="J93" s="8"/>
      <c r="K93" s="8"/>
      <c r="L93" s="8"/>
      <c r="M93" s="8"/>
      <c r="N93" s="8"/>
      <c r="O93" s="8"/>
      <c r="P93" s="2"/>
      <c r="Q93" s="2"/>
      <c r="R93" s="2"/>
      <c r="S93" s="2"/>
      <c r="T93" s="2"/>
      <c r="U93" s="2"/>
      <c r="AD93" s="2">
        <v>20</v>
      </c>
      <c r="AE93" s="2">
        <v>20</v>
      </c>
      <c r="AF93" s="2">
        <v>21</v>
      </c>
      <c r="BQ93" s="1">
        <f t="shared" si="29"/>
        <v>61</v>
      </c>
      <c r="BR93" s="1">
        <f t="shared" si="30"/>
        <v>61</v>
      </c>
      <c r="BS93" s="1" t="str">
        <f t="shared" si="31"/>
        <v>211-25</v>
      </c>
      <c r="BT93" s="58">
        <f t="shared" si="32"/>
        <v>0</v>
      </c>
    </row>
    <row r="94" spans="1:72" s="16" customFormat="1" x14ac:dyDescent="0.2">
      <c r="A94" s="63" t="s">
        <v>131</v>
      </c>
      <c r="B94" s="21">
        <v>46230</v>
      </c>
      <c r="C94" s="54" t="str">
        <f t="shared" si="33"/>
        <v>212-25</v>
      </c>
      <c r="D94" s="29">
        <v>61</v>
      </c>
      <c r="E94" s="7"/>
      <c r="F94" s="2"/>
      <c r="G94" s="7"/>
      <c r="H94" s="2">
        <f t="shared" si="25"/>
        <v>0</v>
      </c>
      <c r="I94" s="3">
        <f t="shared" si="26"/>
        <v>0</v>
      </c>
      <c r="J94" s="8"/>
      <c r="K94" s="8"/>
      <c r="L94" s="8"/>
      <c r="M94" s="8"/>
      <c r="N94" s="8"/>
      <c r="O94" s="8"/>
      <c r="P94" s="2"/>
      <c r="Q94" s="2"/>
      <c r="R94" s="2"/>
      <c r="S94" s="2"/>
      <c r="T94" s="2"/>
      <c r="U94" s="2"/>
      <c r="AD94" s="2">
        <v>20</v>
      </c>
      <c r="AE94" s="2">
        <v>20</v>
      </c>
      <c r="AF94" s="2">
        <v>21</v>
      </c>
      <c r="BQ94" s="1">
        <f t="shared" si="29"/>
        <v>61</v>
      </c>
      <c r="BR94" s="1">
        <f t="shared" si="30"/>
        <v>61</v>
      </c>
      <c r="BS94" s="1" t="str">
        <f t="shared" si="31"/>
        <v>212-25</v>
      </c>
      <c r="BT94" s="58">
        <f t="shared" si="32"/>
        <v>0</v>
      </c>
    </row>
    <row r="95" spans="1:72" s="16" customFormat="1" x14ac:dyDescent="0.2">
      <c r="A95" s="63" t="s">
        <v>132</v>
      </c>
      <c r="B95" s="21">
        <v>46230</v>
      </c>
      <c r="C95" s="54" t="str">
        <f t="shared" si="33"/>
        <v>213-25</v>
      </c>
      <c r="D95" s="29">
        <v>61</v>
      </c>
      <c r="E95" s="7"/>
      <c r="F95" s="2"/>
      <c r="G95" s="7"/>
      <c r="H95" s="2">
        <f t="shared" si="25"/>
        <v>0</v>
      </c>
      <c r="I95" s="3">
        <f t="shared" si="26"/>
        <v>0</v>
      </c>
      <c r="J95" s="8"/>
      <c r="K95" s="8"/>
      <c r="L95" s="8"/>
      <c r="M95" s="8"/>
      <c r="N95" s="8"/>
      <c r="O95" s="8"/>
      <c r="P95" s="2"/>
      <c r="Q95" s="2"/>
      <c r="R95" s="2"/>
      <c r="S95" s="2"/>
      <c r="T95" s="2"/>
      <c r="U95" s="2"/>
      <c r="AE95" s="2">
        <v>20</v>
      </c>
      <c r="AF95" s="2">
        <v>20</v>
      </c>
      <c r="AG95" s="2">
        <v>21</v>
      </c>
      <c r="BQ95" s="1">
        <f t="shared" si="29"/>
        <v>61</v>
      </c>
      <c r="BR95" s="1">
        <f t="shared" si="30"/>
        <v>61</v>
      </c>
      <c r="BS95" s="1" t="str">
        <f t="shared" si="31"/>
        <v>213-25</v>
      </c>
      <c r="BT95" s="58">
        <f t="shared" si="32"/>
        <v>0</v>
      </c>
    </row>
    <row r="96" spans="1:72" s="16" customFormat="1" x14ac:dyDescent="0.2">
      <c r="A96" s="63" t="s">
        <v>133</v>
      </c>
      <c r="B96" s="21">
        <v>46230</v>
      </c>
      <c r="C96" s="54" t="str">
        <f t="shared" si="33"/>
        <v>214-25</v>
      </c>
      <c r="D96" s="29">
        <v>61</v>
      </c>
      <c r="E96" s="7"/>
      <c r="F96" s="2"/>
      <c r="G96" s="7"/>
      <c r="H96" s="2">
        <f t="shared" si="25"/>
        <v>0</v>
      </c>
      <c r="I96" s="3">
        <f t="shared" si="26"/>
        <v>0</v>
      </c>
      <c r="J96" s="8"/>
      <c r="K96" s="8"/>
      <c r="L96" s="8"/>
      <c r="M96" s="8"/>
      <c r="N96" s="8"/>
      <c r="O96" s="8"/>
      <c r="P96" s="2"/>
      <c r="Q96" s="2"/>
      <c r="R96" s="2"/>
      <c r="S96" s="2"/>
      <c r="T96" s="2"/>
      <c r="U96" s="2"/>
      <c r="AE96" s="2">
        <v>20</v>
      </c>
      <c r="AF96" s="2">
        <v>20</v>
      </c>
      <c r="AG96" s="2">
        <v>21</v>
      </c>
      <c r="BQ96" s="1">
        <f t="shared" si="29"/>
        <v>61</v>
      </c>
      <c r="BR96" s="1">
        <f t="shared" si="30"/>
        <v>61</v>
      </c>
      <c r="BS96" s="1" t="str">
        <f t="shared" si="31"/>
        <v>214-25</v>
      </c>
      <c r="BT96" s="58">
        <f t="shared" si="32"/>
        <v>0</v>
      </c>
    </row>
    <row r="97" spans="1:72" s="16" customFormat="1" x14ac:dyDescent="0.2">
      <c r="A97" s="63" t="s">
        <v>134</v>
      </c>
      <c r="B97" s="21">
        <v>46230</v>
      </c>
      <c r="C97" s="54" t="str">
        <f t="shared" si="33"/>
        <v>215-25</v>
      </c>
      <c r="D97" s="29">
        <v>61</v>
      </c>
      <c r="E97" s="7"/>
      <c r="F97" s="2"/>
      <c r="G97" s="7"/>
      <c r="H97" s="2">
        <f t="shared" si="25"/>
        <v>0</v>
      </c>
      <c r="I97" s="3">
        <f t="shared" si="26"/>
        <v>0</v>
      </c>
      <c r="J97" s="8"/>
      <c r="K97" s="8"/>
      <c r="L97" s="8"/>
      <c r="M97" s="8"/>
      <c r="N97" s="8"/>
      <c r="O97" s="8"/>
      <c r="P97" s="2"/>
      <c r="Q97" s="2"/>
      <c r="R97" s="2"/>
      <c r="S97" s="2"/>
      <c r="T97" s="2"/>
      <c r="U97" s="2"/>
      <c r="AE97" s="2">
        <v>20</v>
      </c>
      <c r="AF97" s="2">
        <v>20</v>
      </c>
      <c r="AG97" s="2">
        <v>21</v>
      </c>
      <c r="BQ97" s="1">
        <f t="shared" si="29"/>
        <v>61</v>
      </c>
      <c r="BR97" s="1">
        <f t="shared" si="30"/>
        <v>61</v>
      </c>
      <c r="BS97" s="1" t="str">
        <f t="shared" si="31"/>
        <v>215-25</v>
      </c>
      <c r="BT97" s="58">
        <f t="shared" si="32"/>
        <v>0</v>
      </c>
    </row>
    <row r="98" spans="1:72" s="16" customFormat="1" x14ac:dyDescent="0.2">
      <c r="A98" s="63" t="s">
        <v>135</v>
      </c>
      <c r="B98" s="21">
        <v>46230</v>
      </c>
      <c r="C98" s="54" t="str">
        <f t="shared" si="33"/>
        <v>216-25</v>
      </c>
      <c r="D98" s="29">
        <v>61</v>
      </c>
      <c r="E98" s="7"/>
      <c r="F98" s="2"/>
      <c r="G98" s="7"/>
      <c r="H98" s="2">
        <f t="shared" si="25"/>
        <v>0</v>
      </c>
      <c r="I98" s="3">
        <f t="shared" si="26"/>
        <v>0</v>
      </c>
      <c r="J98" s="8"/>
      <c r="K98" s="8"/>
      <c r="L98" s="8"/>
      <c r="M98" s="8"/>
      <c r="N98" s="8"/>
      <c r="O98" s="8"/>
      <c r="P98" s="2"/>
      <c r="Q98" s="2"/>
      <c r="R98" s="2"/>
      <c r="S98" s="2"/>
      <c r="T98" s="2"/>
      <c r="U98" s="2"/>
      <c r="AE98" s="2">
        <v>20</v>
      </c>
      <c r="AF98" s="2">
        <v>20</v>
      </c>
      <c r="AG98" s="2">
        <v>21</v>
      </c>
      <c r="BQ98" s="1">
        <f t="shared" si="29"/>
        <v>61</v>
      </c>
      <c r="BR98" s="1">
        <f t="shared" si="30"/>
        <v>61</v>
      </c>
      <c r="BS98" s="1" t="str">
        <f t="shared" si="31"/>
        <v>216-25</v>
      </c>
      <c r="BT98" s="58">
        <f t="shared" si="32"/>
        <v>0</v>
      </c>
    </row>
    <row r="99" spans="1:72" s="16" customFormat="1" x14ac:dyDescent="0.2">
      <c r="A99" s="63" t="s">
        <v>136</v>
      </c>
      <c r="B99" s="21">
        <v>46230</v>
      </c>
      <c r="C99" s="54" t="str">
        <f t="shared" si="33"/>
        <v>217-25</v>
      </c>
      <c r="D99" s="29">
        <v>61</v>
      </c>
      <c r="E99" s="7"/>
      <c r="F99" s="2"/>
      <c r="G99" s="7"/>
      <c r="H99" s="2">
        <f t="shared" si="25"/>
        <v>0</v>
      </c>
      <c r="I99" s="3">
        <f t="shared" si="26"/>
        <v>0</v>
      </c>
      <c r="J99" s="8"/>
      <c r="K99" s="8"/>
      <c r="L99" s="8"/>
      <c r="M99" s="8"/>
      <c r="N99" s="8"/>
      <c r="O99" s="8"/>
      <c r="P99" s="2"/>
      <c r="Q99" s="2"/>
      <c r="R99" s="2"/>
      <c r="S99" s="2"/>
      <c r="T99" s="2"/>
      <c r="U99" s="2"/>
      <c r="AE99" s="2">
        <v>20</v>
      </c>
      <c r="AF99" s="2">
        <v>20</v>
      </c>
      <c r="AG99" s="2">
        <v>21</v>
      </c>
      <c r="BQ99" s="1">
        <f t="shared" si="29"/>
        <v>61</v>
      </c>
      <c r="BR99" s="1">
        <f t="shared" si="30"/>
        <v>61</v>
      </c>
      <c r="BS99" s="1" t="str">
        <f t="shared" si="31"/>
        <v>217-25</v>
      </c>
      <c r="BT99" s="58">
        <f t="shared" si="32"/>
        <v>0</v>
      </c>
    </row>
    <row r="100" spans="1:72" s="16" customFormat="1" x14ac:dyDescent="0.2">
      <c r="A100" s="63" t="s">
        <v>137</v>
      </c>
      <c r="B100" s="21">
        <v>46230</v>
      </c>
      <c r="C100" s="54" t="str">
        <f t="shared" si="33"/>
        <v>218-25</v>
      </c>
      <c r="D100" s="29">
        <v>61</v>
      </c>
      <c r="E100" s="7"/>
      <c r="F100" s="2"/>
      <c r="G100" s="7"/>
      <c r="H100" s="2">
        <f t="shared" si="25"/>
        <v>0</v>
      </c>
      <c r="I100" s="3">
        <f t="shared" si="26"/>
        <v>0</v>
      </c>
      <c r="J100" s="8"/>
      <c r="K100" s="8"/>
      <c r="L100" s="8"/>
      <c r="M100" s="8"/>
      <c r="N100" s="8"/>
      <c r="O100" s="8"/>
      <c r="P100" s="2"/>
      <c r="Q100" s="2"/>
      <c r="R100" s="2"/>
      <c r="S100" s="2"/>
      <c r="T100" s="2"/>
      <c r="U100" s="2"/>
      <c r="AF100" s="2">
        <v>20</v>
      </c>
      <c r="AG100" s="2">
        <v>20</v>
      </c>
      <c r="AH100" s="2">
        <v>21</v>
      </c>
      <c r="BQ100" s="1">
        <f t="shared" si="29"/>
        <v>61</v>
      </c>
      <c r="BR100" s="1">
        <f t="shared" si="30"/>
        <v>61</v>
      </c>
      <c r="BS100" s="1" t="str">
        <f t="shared" si="31"/>
        <v>218-25</v>
      </c>
      <c r="BT100" s="58">
        <f t="shared" si="32"/>
        <v>0</v>
      </c>
    </row>
    <row r="101" spans="1:72" s="16" customFormat="1" x14ac:dyDescent="0.2">
      <c r="A101" s="63" t="s">
        <v>138</v>
      </c>
      <c r="B101" s="21">
        <v>46230</v>
      </c>
      <c r="C101" s="54" t="str">
        <f t="shared" si="33"/>
        <v>219-25</v>
      </c>
      <c r="D101" s="29">
        <v>61</v>
      </c>
      <c r="E101" s="7"/>
      <c r="F101" s="2"/>
      <c r="G101" s="7"/>
      <c r="H101" s="2">
        <f t="shared" si="25"/>
        <v>0</v>
      </c>
      <c r="I101" s="3">
        <f t="shared" si="26"/>
        <v>0</v>
      </c>
      <c r="J101" s="8"/>
      <c r="K101" s="8"/>
      <c r="L101" s="8"/>
      <c r="M101" s="8"/>
      <c r="N101" s="8"/>
      <c r="O101" s="8"/>
      <c r="P101" s="2"/>
      <c r="Q101" s="2"/>
      <c r="R101" s="2"/>
      <c r="S101" s="2"/>
      <c r="T101" s="2"/>
      <c r="U101" s="2"/>
      <c r="AF101" s="2">
        <v>20</v>
      </c>
      <c r="AG101" s="2">
        <v>20</v>
      </c>
      <c r="AH101" s="2">
        <v>21</v>
      </c>
      <c r="BQ101" s="1">
        <f t="shared" si="29"/>
        <v>61</v>
      </c>
      <c r="BR101" s="1">
        <f t="shared" si="30"/>
        <v>61</v>
      </c>
      <c r="BS101" s="1" t="str">
        <f t="shared" si="31"/>
        <v>219-25</v>
      </c>
      <c r="BT101" s="58">
        <f t="shared" si="32"/>
        <v>0</v>
      </c>
    </row>
    <row r="102" spans="1:72" s="16" customFormat="1" x14ac:dyDescent="0.2">
      <c r="A102" s="63" t="s">
        <v>139</v>
      </c>
      <c r="B102" s="21">
        <v>46230</v>
      </c>
      <c r="C102" s="54" t="str">
        <f t="shared" si="33"/>
        <v>220-25</v>
      </c>
      <c r="D102" s="29">
        <v>61</v>
      </c>
      <c r="E102" s="7"/>
      <c r="F102" s="2"/>
      <c r="G102" s="7"/>
      <c r="H102" s="2">
        <f t="shared" ref="H102:H165" si="34">E102+G102</f>
        <v>0</v>
      </c>
      <c r="I102" s="3">
        <f t="shared" ref="I102:I165" si="35">H102/D102</f>
        <v>0</v>
      </c>
      <c r="J102" s="8"/>
      <c r="K102" s="8"/>
      <c r="L102" s="8"/>
      <c r="M102" s="8"/>
      <c r="N102" s="8"/>
      <c r="O102" s="8"/>
      <c r="P102" s="2"/>
      <c r="Q102" s="2"/>
      <c r="R102" s="2"/>
      <c r="S102" s="2"/>
      <c r="T102" s="2"/>
      <c r="U102" s="2"/>
      <c r="AF102" s="2">
        <v>20</v>
      </c>
      <c r="AG102" s="2">
        <v>20</v>
      </c>
      <c r="AH102" s="2">
        <v>21</v>
      </c>
      <c r="BQ102" s="1">
        <f t="shared" si="29"/>
        <v>61</v>
      </c>
      <c r="BR102" s="1">
        <f t="shared" ref="BR102:BR133" si="36">D102-H102</f>
        <v>61</v>
      </c>
      <c r="BS102" s="1" t="str">
        <f t="shared" ref="BS102:BS133" si="37">C102</f>
        <v>220-25</v>
      </c>
      <c r="BT102" s="58">
        <f t="shared" si="32"/>
        <v>0</v>
      </c>
    </row>
    <row r="103" spans="1:72" s="16" customFormat="1" x14ac:dyDescent="0.2">
      <c r="A103" s="63" t="s">
        <v>140</v>
      </c>
      <c r="B103" s="21">
        <v>46230</v>
      </c>
      <c r="C103" s="54" t="str">
        <f t="shared" si="33"/>
        <v>221-25</v>
      </c>
      <c r="D103" s="29">
        <v>61</v>
      </c>
      <c r="E103" s="7"/>
      <c r="F103" s="2"/>
      <c r="G103" s="7"/>
      <c r="H103" s="2">
        <f t="shared" si="34"/>
        <v>0</v>
      </c>
      <c r="I103" s="3">
        <f t="shared" si="35"/>
        <v>0</v>
      </c>
      <c r="J103" s="8"/>
      <c r="K103" s="8"/>
      <c r="L103" s="8"/>
      <c r="M103" s="8"/>
      <c r="N103" s="8"/>
      <c r="O103" s="8"/>
      <c r="P103" s="2"/>
      <c r="Q103" s="2"/>
      <c r="R103" s="2"/>
      <c r="S103" s="2"/>
      <c r="T103" s="2"/>
      <c r="U103" s="2"/>
      <c r="AF103" s="2">
        <v>20</v>
      </c>
      <c r="AG103" s="2">
        <v>20</v>
      </c>
      <c r="AH103" s="2">
        <v>21</v>
      </c>
      <c r="BQ103" s="1">
        <f t="shared" si="29"/>
        <v>61</v>
      </c>
      <c r="BR103" s="1">
        <f t="shared" si="36"/>
        <v>61</v>
      </c>
      <c r="BS103" s="1" t="str">
        <f t="shared" si="37"/>
        <v>221-25</v>
      </c>
      <c r="BT103" s="58">
        <f t="shared" si="32"/>
        <v>0</v>
      </c>
    </row>
    <row r="104" spans="1:72" s="16" customFormat="1" x14ac:dyDescent="0.2">
      <c r="A104" s="63" t="s">
        <v>141</v>
      </c>
      <c r="B104" s="21">
        <v>46230</v>
      </c>
      <c r="C104" s="54" t="str">
        <f t="shared" si="33"/>
        <v>222-25</v>
      </c>
      <c r="D104" s="29">
        <v>61</v>
      </c>
      <c r="E104" s="7"/>
      <c r="F104" s="2"/>
      <c r="G104" s="7"/>
      <c r="H104" s="2">
        <f t="shared" si="34"/>
        <v>0</v>
      </c>
      <c r="I104" s="3">
        <f t="shared" si="35"/>
        <v>0</v>
      </c>
      <c r="J104" s="8"/>
      <c r="K104" s="8"/>
      <c r="L104" s="8"/>
      <c r="M104" s="8"/>
      <c r="N104" s="8"/>
      <c r="O104" s="8"/>
      <c r="P104" s="2"/>
      <c r="Q104" s="2"/>
      <c r="R104" s="2"/>
      <c r="S104" s="2"/>
      <c r="T104" s="2"/>
      <c r="U104" s="2"/>
      <c r="AF104" s="2">
        <v>20</v>
      </c>
      <c r="AG104" s="2">
        <v>20</v>
      </c>
      <c r="AH104" s="2">
        <v>21</v>
      </c>
      <c r="BQ104" s="1">
        <f t="shared" si="29"/>
        <v>61</v>
      </c>
      <c r="BR104" s="1">
        <f t="shared" si="36"/>
        <v>61</v>
      </c>
      <c r="BS104" s="1" t="str">
        <f t="shared" si="37"/>
        <v>222-25</v>
      </c>
      <c r="BT104" s="58">
        <f t="shared" si="32"/>
        <v>0</v>
      </c>
    </row>
    <row r="105" spans="1:72" s="16" customFormat="1" x14ac:dyDescent="0.2">
      <c r="A105" s="63" t="s">
        <v>142</v>
      </c>
      <c r="B105" s="21">
        <v>46230</v>
      </c>
      <c r="C105" s="54" t="str">
        <f t="shared" si="33"/>
        <v>223-25</v>
      </c>
      <c r="D105" s="29">
        <v>61</v>
      </c>
      <c r="E105" s="7"/>
      <c r="F105" s="2"/>
      <c r="G105" s="7"/>
      <c r="H105" s="2">
        <f t="shared" si="34"/>
        <v>0</v>
      </c>
      <c r="I105" s="3">
        <f t="shared" si="35"/>
        <v>0</v>
      </c>
      <c r="J105" s="8"/>
      <c r="K105" s="8"/>
      <c r="L105" s="8"/>
      <c r="M105" s="8"/>
      <c r="N105" s="8"/>
      <c r="O105" s="8"/>
      <c r="P105" s="2"/>
      <c r="Q105" s="2"/>
      <c r="R105" s="2"/>
      <c r="S105" s="2"/>
      <c r="T105" s="2"/>
      <c r="U105" s="2"/>
      <c r="AG105" s="2">
        <v>20</v>
      </c>
      <c r="AH105" s="2">
        <v>20</v>
      </c>
      <c r="AI105" s="2">
        <v>21</v>
      </c>
      <c r="BQ105" s="1">
        <f t="shared" si="29"/>
        <v>61</v>
      </c>
      <c r="BR105" s="1">
        <f t="shared" si="36"/>
        <v>61</v>
      </c>
      <c r="BS105" s="1" t="str">
        <f t="shared" si="37"/>
        <v>223-25</v>
      </c>
      <c r="BT105" s="58">
        <f t="shared" si="32"/>
        <v>0</v>
      </c>
    </row>
    <row r="106" spans="1:72" s="16" customFormat="1" x14ac:dyDescent="0.2">
      <c r="A106" s="65" t="s">
        <v>143</v>
      </c>
      <c r="B106" s="21">
        <v>46265</v>
      </c>
      <c r="C106" s="54" t="str">
        <f t="shared" si="33"/>
        <v>224-25</v>
      </c>
      <c r="D106" s="29">
        <v>61</v>
      </c>
      <c r="E106" s="7"/>
      <c r="F106" s="2"/>
      <c r="G106" s="7"/>
      <c r="H106" s="2">
        <f t="shared" si="34"/>
        <v>0</v>
      </c>
      <c r="I106" s="3">
        <f t="shared" si="35"/>
        <v>0</v>
      </c>
      <c r="J106" s="8"/>
      <c r="K106" s="8"/>
      <c r="L106" s="8"/>
      <c r="M106" s="8"/>
      <c r="N106" s="8"/>
      <c r="O106" s="8"/>
      <c r="P106" s="2"/>
      <c r="Q106" s="2"/>
      <c r="R106" s="2"/>
      <c r="S106" s="2"/>
      <c r="T106" s="2"/>
      <c r="U106" s="2"/>
      <c r="AG106" s="2">
        <v>20</v>
      </c>
      <c r="AH106" s="2">
        <v>20</v>
      </c>
      <c r="AI106" s="2">
        <v>21</v>
      </c>
      <c r="BQ106" s="1">
        <f t="shared" si="29"/>
        <v>61</v>
      </c>
      <c r="BR106" s="1">
        <f t="shared" si="36"/>
        <v>61</v>
      </c>
      <c r="BS106" s="1" t="str">
        <f t="shared" si="37"/>
        <v>224-25</v>
      </c>
      <c r="BT106" s="58">
        <f t="shared" si="32"/>
        <v>0</v>
      </c>
    </row>
    <row r="107" spans="1:72" s="16" customFormat="1" x14ac:dyDescent="0.2">
      <c r="A107" s="65" t="s">
        <v>144</v>
      </c>
      <c r="B107" s="21">
        <v>46265</v>
      </c>
      <c r="C107" s="54" t="str">
        <f t="shared" si="33"/>
        <v>225-25</v>
      </c>
      <c r="D107" s="29">
        <v>61</v>
      </c>
      <c r="E107" s="7"/>
      <c r="F107" s="2"/>
      <c r="G107" s="7"/>
      <c r="H107" s="2">
        <f t="shared" si="34"/>
        <v>0</v>
      </c>
      <c r="I107" s="3">
        <f t="shared" si="35"/>
        <v>0</v>
      </c>
      <c r="J107" s="8"/>
      <c r="K107" s="8"/>
      <c r="L107" s="8"/>
      <c r="M107" s="8"/>
      <c r="N107" s="8"/>
      <c r="O107" s="8"/>
      <c r="P107" s="2"/>
      <c r="Q107" s="2"/>
      <c r="R107" s="2"/>
      <c r="S107" s="2"/>
      <c r="T107" s="2"/>
      <c r="U107" s="2"/>
      <c r="AG107" s="2">
        <v>20</v>
      </c>
      <c r="AH107" s="2">
        <v>20</v>
      </c>
      <c r="AI107" s="2">
        <v>21</v>
      </c>
      <c r="BQ107" s="1">
        <f t="shared" si="29"/>
        <v>61</v>
      </c>
      <c r="BR107" s="1">
        <f t="shared" si="36"/>
        <v>61</v>
      </c>
      <c r="BS107" s="1" t="str">
        <f t="shared" si="37"/>
        <v>225-25</v>
      </c>
      <c r="BT107" s="58">
        <f t="shared" si="32"/>
        <v>0</v>
      </c>
    </row>
    <row r="108" spans="1:72" s="16" customFormat="1" x14ac:dyDescent="0.2">
      <c r="A108" s="65" t="s">
        <v>145</v>
      </c>
      <c r="B108" s="21">
        <v>46265</v>
      </c>
      <c r="C108" s="54" t="str">
        <f t="shared" si="33"/>
        <v>226-25</v>
      </c>
      <c r="D108" s="29">
        <v>61</v>
      </c>
      <c r="E108" s="7"/>
      <c r="F108" s="2"/>
      <c r="G108" s="7"/>
      <c r="H108" s="2">
        <f t="shared" si="34"/>
        <v>0</v>
      </c>
      <c r="I108" s="3">
        <f t="shared" si="35"/>
        <v>0</v>
      </c>
      <c r="J108" s="8"/>
      <c r="K108" s="8"/>
      <c r="L108" s="8"/>
      <c r="M108" s="8"/>
      <c r="N108" s="8"/>
      <c r="O108" s="8"/>
      <c r="P108" s="2"/>
      <c r="Q108" s="2"/>
      <c r="R108" s="2"/>
      <c r="S108" s="2"/>
      <c r="T108" s="2"/>
      <c r="U108" s="2"/>
      <c r="AG108" s="2">
        <v>20</v>
      </c>
      <c r="AH108" s="2">
        <v>20</v>
      </c>
      <c r="AI108" s="2">
        <v>21</v>
      </c>
      <c r="BQ108" s="1">
        <f t="shared" si="29"/>
        <v>61</v>
      </c>
      <c r="BR108" s="1">
        <f t="shared" si="36"/>
        <v>61</v>
      </c>
      <c r="BS108" s="1" t="str">
        <f t="shared" si="37"/>
        <v>226-25</v>
      </c>
      <c r="BT108" s="58">
        <f t="shared" si="32"/>
        <v>0</v>
      </c>
    </row>
    <row r="109" spans="1:72" s="16" customFormat="1" x14ac:dyDescent="0.2">
      <c r="A109" s="65" t="s">
        <v>146</v>
      </c>
      <c r="B109" s="21">
        <v>46265</v>
      </c>
      <c r="C109" s="54" t="str">
        <f t="shared" si="33"/>
        <v>227-25</v>
      </c>
      <c r="D109" s="29">
        <v>61</v>
      </c>
      <c r="E109" s="7"/>
      <c r="F109" s="2"/>
      <c r="G109" s="7"/>
      <c r="H109" s="2">
        <f t="shared" si="34"/>
        <v>0</v>
      </c>
      <c r="I109" s="3">
        <f t="shared" si="35"/>
        <v>0</v>
      </c>
      <c r="J109" s="8"/>
      <c r="K109" s="8"/>
      <c r="L109" s="8"/>
      <c r="M109" s="8"/>
      <c r="N109" s="8"/>
      <c r="O109" s="8"/>
      <c r="P109" s="2"/>
      <c r="Q109" s="2"/>
      <c r="R109" s="2"/>
      <c r="S109" s="2"/>
      <c r="T109" s="2"/>
      <c r="U109" s="2"/>
      <c r="AG109" s="2">
        <v>20</v>
      </c>
      <c r="AH109" s="2">
        <v>20</v>
      </c>
      <c r="AI109" s="2">
        <v>21</v>
      </c>
      <c r="BQ109" s="1">
        <f t="shared" si="29"/>
        <v>61</v>
      </c>
      <c r="BR109" s="1">
        <f t="shared" si="36"/>
        <v>61</v>
      </c>
      <c r="BS109" s="1" t="str">
        <f t="shared" si="37"/>
        <v>227-25</v>
      </c>
      <c r="BT109" s="58">
        <f t="shared" si="32"/>
        <v>0</v>
      </c>
    </row>
    <row r="110" spans="1:72" s="16" customFormat="1" x14ac:dyDescent="0.2">
      <c r="A110" s="65" t="s">
        <v>147</v>
      </c>
      <c r="B110" s="21">
        <v>46265</v>
      </c>
      <c r="C110" s="54" t="str">
        <f t="shared" si="33"/>
        <v>228-25</v>
      </c>
      <c r="D110" s="29">
        <v>61</v>
      </c>
      <c r="E110" s="7"/>
      <c r="F110" s="2"/>
      <c r="G110" s="7"/>
      <c r="H110" s="2">
        <f t="shared" si="34"/>
        <v>0</v>
      </c>
      <c r="I110" s="3">
        <f t="shared" si="35"/>
        <v>0</v>
      </c>
      <c r="J110" s="8"/>
      <c r="K110" s="8"/>
      <c r="L110" s="8"/>
      <c r="M110" s="8"/>
      <c r="N110" s="8"/>
      <c r="O110" s="8"/>
      <c r="P110" s="2"/>
      <c r="Q110" s="2"/>
      <c r="R110" s="2"/>
      <c r="S110" s="2"/>
      <c r="T110" s="2"/>
      <c r="U110" s="2"/>
      <c r="AH110" s="2">
        <v>20</v>
      </c>
      <c r="AI110" s="2">
        <v>20</v>
      </c>
      <c r="AJ110" s="2">
        <v>21</v>
      </c>
      <c r="AL110" s="67"/>
      <c r="BQ110" s="1">
        <f t="shared" si="29"/>
        <v>61</v>
      </c>
      <c r="BR110" s="1">
        <f t="shared" si="36"/>
        <v>61</v>
      </c>
      <c r="BS110" s="1" t="str">
        <f t="shared" si="37"/>
        <v>228-25</v>
      </c>
      <c r="BT110" s="58">
        <f t="shared" si="32"/>
        <v>0</v>
      </c>
    </row>
    <row r="111" spans="1:72" s="16" customFormat="1" x14ac:dyDescent="0.2">
      <c r="A111" s="65" t="s">
        <v>148</v>
      </c>
      <c r="B111" s="21">
        <v>46265</v>
      </c>
      <c r="C111" s="54" t="str">
        <f t="shared" si="33"/>
        <v>229-25</v>
      </c>
      <c r="D111" s="29">
        <v>61</v>
      </c>
      <c r="E111" s="7"/>
      <c r="F111" s="2"/>
      <c r="G111" s="7"/>
      <c r="H111" s="2">
        <f t="shared" si="34"/>
        <v>0</v>
      </c>
      <c r="I111" s="3">
        <f t="shared" si="35"/>
        <v>0</v>
      </c>
      <c r="J111" s="8"/>
      <c r="K111" s="8"/>
      <c r="L111" s="8"/>
      <c r="M111" s="8"/>
      <c r="N111" s="8"/>
      <c r="O111" s="8"/>
      <c r="P111" s="2"/>
      <c r="Q111" s="2"/>
      <c r="R111" s="2"/>
      <c r="S111" s="2"/>
      <c r="T111" s="2"/>
      <c r="U111" s="2"/>
      <c r="AH111" s="2">
        <v>20</v>
      </c>
      <c r="AI111" s="2">
        <v>20</v>
      </c>
      <c r="AJ111" s="2">
        <v>21</v>
      </c>
      <c r="AL111" s="67"/>
      <c r="BQ111" s="1">
        <f t="shared" si="29"/>
        <v>61</v>
      </c>
      <c r="BR111" s="1">
        <f t="shared" si="36"/>
        <v>61</v>
      </c>
      <c r="BS111" s="1" t="str">
        <f t="shared" si="37"/>
        <v>229-25</v>
      </c>
      <c r="BT111" s="58">
        <f t="shared" si="32"/>
        <v>0</v>
      </c>
    </row>
    <row r="112" spans="1:72" s="16" customFormat="1" x14ac:dyDescent="0.2">
      <c r="A112" s="65" t="s">
        <v>149</v>
      </c>
      <c r="B112" s="21">
        <v>46265</v>
      </c>
      <c r="C112" s="54" t="str">
        <f t="shared" si="33"/>
        <v>230-25</v>
      </c>
      <c r="D112" s="29">
        <v>61</v>
      </c>
      <c r="E112" s="7"/>
      <c r="F112" s="2"/>
      <c r="G112" s="7"/>
      <c r="H112" s="2">
        <f t="shared" si="34"/>
        <v>0</v>
      </c>
      <c r="I112" s="3">
        <f t="shared" si="35"/>
        <v>0</v>
      </c>
      <c r="J112" s="8"/>
      <c r="K112" s="8"/>
      <c r="L112" s="8"/>
      <c r="M112" s="8"/>
      <c r="N112" s="8"/>
      <c r="O112" s="8"/>
      <c r="P112" s="2"/>
      <c r="Q112" s="2"/>
      <c r="R112" s="2"/>
      <c r="S112" s="2"/>
      <c r="T112" s="2"/>
      <c r="U112" s="2"/>
      <c r="AH112" s="2">
        <v>20</v>
      </c>
      <c r="AI112" s="2">
        <v>20</v>
      </c>
      <c r="AJ112" s="2">
        <v>21</v>
      </c>
      <c r="AL112" s="67"/>
      <c r="BQ112" s="1">
        <f t="shared" si="29"/>
        <v>61</v>
      </c>
      <c r="BR112" s="1">
        <f t="shared" si="36"/>
        <v>61</v>
      </c>
      <c r="BS112" s="1" t="str">
        <f t="shared" si="37"/>
        <v>230-25</v>
      </c>
      <c r="BT112" s="58">
        <f t="shared" si="32"/>
        <v>0</v>
      </c>
    </row>
    <row r="113" spans="1:72" s="16" customFormat="1" x14ac:dyDescent="0.2">
      <c r="A113" s="65" t="s">
        <v>150</v>
      </c>
      <c r="B113" s="21">
        <v>46265</v>
      </c>
      <c r="C113" s="54" t="str">
        <f t="shared" si="33"/>
        <v>231-25</v>
      </c>
      <c r="D113" s="29">
        <v>61</v>
      </c>
      <c r="E113" s="7"/>
      <c r="F113" s="2"/>
      <c r="G113" s="7"/>
      <c r="H113" s="2">
        <f t="shared" si="34"/>
        <v>0</v>
      </c>
      <c r="I113" s="3">
        <f t="shared" si="35"/>
        <v>0</v>
      </c>
      <c r="J113" s="8"/>
      <c r="K113" s="8"/>
      <c r="L113" s="8"/>
      <c r="M113" s="8"/>
      <c r="N113" s="8"/>
      <c r="O113" s="8"/>
      <c r="P113" s="2"/>
      <c r="Q113" s="2"/>
      <c r="R113" s="2"/>
      <c r="S113" s="2"/>
      <c r="T113" s="2"/>
      <c r="U113" s="2"/>
      <c r="AH113" s="2">
        <v>20</v>
      </c>
      <c r="AI113" s="2">
        <v>20</v>
      </c>
      <c r="AJ113" s="2">
        <v>21</v>
      </c>
      <c r="AL113" s="67"/>
      <c r="BQ113" s="1">
        <f t="shared" si="29"/>
        <v>61</v>
      </c>
      <c r="BR113" s="1">
        <f t="shared" si="36"/>
        <v>61</v>
      </c>
      <c r="BS113" s="1" t="str">
        <f t="shared" si="37"/>
        <v>231-25</v>
      </c>
      <c r="BT113" s="58">
        <f t="shared" si="32"/>
        <v>0</v>
      </c>
    </row>
    <row r="114" spans="1:72" s="16" customFormat="1" x14ac:dyDescent="0.2">
      <c r="A114" s="65" t="s">
        <v>151</v>
      </c>
      <c r="B114" s="21">
        <v>46265</v>
      </c>
      <c r="C114" s="54" t="str">
        <f t="shared" si="33"/>
        <v>232-25</v>
      </c>
      <c r="D114" s="29">
        <v>61</v>
      </c>
      <c r="E114" s="7"/>
      <c r="F114" s="2"/>
      <c r="G114" s="7"/>
      <c r="H114" s="2">
        <f t="shared" si="34"/>
        <v>0</v>
      </c>
      <c r="I114" s="3">
        <f t="shared" si="35"/>
        <v>0</v>
      </c>
      <c r="J114" s="8"/>
      <c r="K114" s="8"/>
      <c r="L114" s="8"/>
      <c r="M114" s="8"/>
      <c r="N114" s="8"/>
      <c r="O114" s="8"/>
      <c r="P114" s="2"/>
      <c r="Q114" s="2"/>
      <c r="R114" s="2"/>
      <c r="S114" s="2"/>
      <c r="T114" s="2"/>
      <c r="U114" s="2"/>
      <c r="AH114" s="2">
        <v>20</v>
      </c>
      <c r="AI114" s="2">
        <v>20</v>
      </c>
      <c r="AJ114" s="2">
        <v>21</v>
      </c>
      <c r="AL114" s="67"/>
      <c r="BQ114" s="1">
        <f t="shared" si="29"/>
        <v>61</v>
      </c>
      <c r="BR114" s="1">
        <f t="shared" si="36"/>
        <v>61</v>
      </c>
      <c r="BS114" s="1" t="str">
        <f t="shared" si="37"/>
        <v>232-25</v>
      </c>
      <c r="BT114" s="58">
        <f t="shared" si="32"/>
        <v>0</v>
      </c>
    </row>
    <row r="115" spans="1:72" s="16" customFormat="1" x14ac:dyDescent="0.2">
      <c r="A115" s="65" t="s">
        <v>152</v>
      </c>
      <c r="B115" s="21">
        <v>46265</v>
      </c>
      <c r="C115" s="54" t="str">
        <f t="shared" si="33"/>
        <v>233-25</v>
      </c>
      <c r="D115" s="29">
        <v>61</v>
      </c>
      <c r="E115" s="7"/>
      <c r="F115" s="2"/>
      <c r="G115" s="7"/>
      <c r="H115" s="2">
        <f t="shared" si="34"/>
        <v>0</v>
      </c>
      <c r="I115" s="3">
        <f t="shared" si="35"/>
        <v>0</v>
      </c>
      <c r="J115" s="8"/>
      <c r="K115" s="8"/>
      <c r="L115" s="8"/>
      <c r="M115" s="8"/>
      <c r="N115" s="8"/>
      <c r="O115" s="8"/>
      <c r="P115" s="2"/>
      <c r="Q115" s="2"/>
      <c r="R115" s="2"/>
      <c r="S115" s="2"/>
      <c r="T115" s="2"/>
      <c r="U115" s="2"/>
      <c r="AJ115" s="2">
        <v>20</v>
      </c>
      <c r="AK115" s="2">
        <v>20</v>
      </c>
      <c r="AL115" s="2">
        <v>21</v>
      </c>
      <c r="BQ115" s="1">
        <f t="shared" si="29"/>
        <v>61</v>
      </c>
      <c r="BR115" s="1">
        <f t="shared" si="36"/>
        <v>61</v>
      </c>
      <c r="BS115" s="1" t="str">
        <f t="shared" si="37"/>
        <v>233-25</v>
      </c>
      <c r="BT115" s="58">
        <f t="shared" si="32"/>
        <v>0</v>
      </c>
    </row>
    <row r="116" spans="1:72" s="16" customFormat="1" x14ac:dyDescent="0.2">
      <c r="A116" s="65" t="s">
        <v>153</v>
      </c>
      <c r="B116" s="21">
        <v>46265</v>
      </c>
      <c r="C116" s="54" t="str">
        <f t="shared" si="33"/>
        <v>234-25</v>
      </c>
      <c r="D116" s="29">
        <v>61</v>
      </c>
      <c r="E116" s="7"/>
      <c r="F116" s="2"/>
      <c r="G116" s="7"/>
      <c r="H116" s="2">
        <f t="shared" si="34"/>
        <v>0</v>
      </c>
      <c r="I116" s="3">
        <f t="shared" si="35"/>
        <v>0</v>
      </c>
      <c r="J116" s="8"/>
      <c r="K116" s="8"/>
      <c r="L116" s="8"/>
      <c r="M116" s="8"/>
      <c r="N116" s="8"/>
      <c r="O116" s="8"/>
      <c r="P116" s="2"/>
      <c r="Q116" s="2"/>
      <c r="R116" s="2"/>
      <c r="S116" s="2"/>
      <c r="T116" s="2"/>
      <c r="U116" s="2"/>
      <c r="AJ116" s="2">
        <v>20</v>
      </c>
      <c r="AK116" s="2">
        <v>20</v>
      </c>
      <c r="AL116" s="2">
        <v>21</v>
      </c>
      <c r="BQ116" s="1">
        <f t="shared" si="29"/>
        <v>61</v>
      </c>
      <c r="BR116" s="1">
        <f t="shared" si="36"/>
        <v>61</v>
      </c>
      <c r="BS116" s="1" t="str">
        <f t="shared" si="37"/>
        <v>234-25</v>
      </c>
      <c r="BT116" s="58">
        <f t="shared" si="32"/>
        <v>0</v>
      </c>
    </row>
    <row r="117" spans="1:72" s="16" customFormat="1" x14ac:dyDescent="0.2">
      <c r="A117" s="65" t="s">
        <v>154</v>
      </c>
      <c r="B117" s="21">
        <v>46265</v>
      </c>
      <c r="C117" s="54" t="str">
        <f t="shared" si="33"/>
        <v>235-25</v>
      </c>
      <c r="D117" s="29">
        <v>61</v>
      </c>
      <c r="E117" s="7"/>
      <c r="F117" s="2"/>
      <c r="G117" s="7"/>
      <c r="H117" s="2">
        <f t="shared" si="34"/>
        <v>0</v>
      </c>
      <c r="I117" s="3">
        <f t="shared" si="35"/>
        <v>0</v>
      </c>
      <c r="J117" s="8"/>
      <c r="K117" s="8"/>
      <c r="L117" s="8"/>
      <c r="M117" s="8"/>
      <c r="N117" s="8"/>
      <c r="O117" s="8"/>
      <c r="P117" s="2"/>
      <c r="Q117" s="2"/>
      <c r="R117" s="2"/>
      <c r="S117" s="2"/>
      <c r="T117" s="2"/>
      <c r="U117" s="2"/>
      <c r="AJ117" s="2">
        <v>20</v>
      </c>
      <c r="AK117" s="2">
        <v>20</v>
      </c>
      <c r="AL117" s="2">
        <v>21</v>
      </c>
      <c r="BQ117" s="1">
        <f t="shared" si="29"/>
        <v>61</v>
      </c>
      <c r="BR117" s="1">
        <f t="shared" si="36"/>
        <v>61</v>
      </c>
      <c r="BS117" s="1" t="str">
        <f t="shared" si="37"/>
        <v>235-25</v>
      </c>
      <c r="BT117" s="58">
        <f t="shared" si="32"/>
        <v>0</v>
      </c>
    </row>
    <row r="118" spans="1:72" s="16" customFormat="1" x14ac:dyDescent="0.2">
      <c r="A118" s="65" t="s">
        <v>155</v>
      </c>
      <c r="B118" s="21">
        <v>46265</v>
      </c>
      <c r="C118" s="54" t="str">
        <f t="shared" si="33"/>
        <v>236-25</v>
      </c>
      <c r="D118" s="29">
        <v>61</v>
      </c>
      <c r="E118" s="7"/>
      <c r="F118" s="2"/>
      <c r="G118" s="7"/>
      <c r="H118" s="2">
        <f t="shared" si="34"/>
        <v>0</v>
      </c>
      <c r="I118" s="3">
        <f t="shared" si="35"/>
        <v>0</v>
      </c>
      <c r="J118" s="8"/>
      <c r="K118" s="8"/>
      <c r="L118" s="8"/>
      <c r="M118" s="8"/>
      <c r="N118" s="8"/>
      <c r="O118" s="8"/>
      <c r="P118" s="2"/>
      <c r="Q118" s="2"/>
      <c r="R118" s="2"/>
      <c r="S118" s="2"/>
      <c r="T118" s="2"/>
      <c r="U118" s="2"/>
      <c r="AJ118" s="2">
        <v>20</v>
      </c>
      <c r="AK118" s="2">
        <v>20</v>
      </c>
      <c r="AL118" s="2">
        <v>21</v>
      </c>
      <c r="BQ118" s="1">
        <f t="shared" si="29"/>
        <v>61</v>
      </c>
      <c r="BR118" s="1">
        <f t="shared" si="36"/>
        <v>61</v>
      </c>
      <c r="BS118" s="1" t="str">
        <f t="shared" si="37"/>
        <v>236-25</v>
      </c>
      <c r="BT118" s="58">
        <f t="shared" si="32"/>
        <v>0</v>
      </c>
    </row>
    <row r="119" spans="1:72" s="16" customFormat="1" x14ac:dyDescent="0.2">
      <c r="A119" s="65" t="s">
        <v>156</v>
      </c>
      <c r="B119" s="21">
        <v>46265</v>
      </c>
      <c r="C119" s="54" t="str">
        <f t="shared" si="33"/>
        <v>237-25</v>
      </c>
      <c r="D119" s="29">
        <v>61</v>
      </c>
      <c r="E119" s="7"/>
      <c r="F119" s="2"/>
      <c r="G119" s="7"/>
      <c r="H119" s="2">
        <f t="shared" si="34"/>
        <v>0</v>
      </c>
      <c r="I119" s="3">
        <f t="shared" si="35"/>
        <v>0</v>
      </c>
      <c r="J119" s="8"/>
      <c r="K119" s="8"/>
      <c r="L119" s="8"/>
      <c r="M119" s="8"/>
      <c r="N119" s="8"/>
      <c r="O119" s="8"/>
      <c r="P119" s="2"/>
      <c r="Q119" s="2"/>
      <c r="R119" s="2"/>
      <c r="S119" s="2"/>
      <c r="T119" s="2"/>
      <c r="U119" s="2"/>
      <c r="AJ119" s="2">
        <v>20</v>
      </c>
      <c r="AK119" s="2">
        <v>20</v>
      </c>
      <c r="AL119" s="2">
        <v>21</v>
      </c>
      <c r="BQ119" s="1">
        <f t="shared" si="29"/>
        <v>61</v>
      </c>
      <c r="BR119" s="1">
        <f t="shared" si="36"/>
        <v>61</v>
      </c>
      <c r="BS119" s="1" t="str">
        <f t="shared" si="37"/>
        <v>237-25</v>
      </c>
      <c r="BT119" s="58">
        <f t="shared" si="32"/>
        <v>0</v>
      </c>
    </row>
    <row r="120" spans="1:72" s="16" customFormat="1" x14ac:dyDescent="0.2">
      <c r="A120" s="65" t="s">
        <v>157</v>
      </c>
      <c r="B120" s="21">
        <v>46265</v>
      </c>
      <c r="C120" s="54" t="str">
        <f t="shared" si="33"/>
        <v>238-25</v>
      </c>
      <c r="D120" s="29">
        <v>61</v>
      </c>
      <c r="E120" s="7"/>
      <c r="F120" s="2"/>
      <c r="G120" s="7"/>
      <c r="H120" s="2">
        <f t="shared" si="34"/>
        <v>0</v>
      </c>
      <c r="I120" s="3">
        <f t="shared" si="35"/>
        <v>0</v>
      </c>
      <c r="J120" s="8"/>
      <c r="K120" s="8"/>
      <c r="L120" s="8"/>
      <c r="M120" s="8"/>
      <c r="N120" s="8"/>
      <c r="O120" s="8"/>
      <c r="P120" s="2"/>
      <c r="Q120" s="2"/>
      <c r="R120" s="2"/>
      <c r="S120" s="2"/>
      <c r="T120" s="2"/>
      <c r="U120" s="2"/>
      <c r="AK120" s="2">
        <v>20</v>
      </c>
      <c r="AL120" s="2">
        <v>20</v>
      </c>
      <c r="AM120" s="2">
        <v>21</v>
      </c>
      <c r="BQ120" s="1">
        <f t="shared" si="29"/>
        <v>61</v>
      </c>
      <c r="BR120" s="1">
        <f t="shared" si="36"/>
        <v>61</v>
      </c>
      <c r="BS120" s="1" t="str">
        <f t="shared" si="37"/>
        <v>238-25</v>
      </c>
      <c r="BT120" s="58">
        <f t="shared" si="32"/>
        <v>0</v>
      </c>
    </row>
    <row r="121" spans="1:72" s="16" customFormat="1" x14ac:dyDescent="0.2">
      <c r="A121" s="65" t="s">
        <v>158</v>
      </c>
      <c r="B121" s="21">
        <v>46265</v>
      </c>
      <c r="C121" s="54" t="str">
        <f t="shared" si="33"/>
        <v>239-25</v>
      </c>
      <c r="D121" s="29">
        <v>61</v>
      </c>
      <c r="E121" s="7"/>
      <c r="F121" s="2"/>
      <c r="G121" s="7"/>
      <c r="H121" s="2">
        <f t="shared" si="34"/>
        <v>0</v>
      </c>
      <c r="I121" s="3">
        <f t="shared" si="35"/>
        <v>0</v>
      </c>
      <c r="J121" s="8"/>
      <c r="K121" s="8"/>
      <c r="L121" s="8"/>
      <c r="M121" s="8"/>
      <c r="N121" s="8"/>
      <c r="O121" s="8"/>
      <c r="P121" s="2"/>
      <c r="Q121" s="2"/>
      <c r="R121" s="2"/>
      <c r="S121" s="2"/>
      <c r="T121" s="2"/>
      <c r="U121" s="2"/>
      <c r="AK121" s="2">
        <v>20</v>
      </c>
      <c r="AL121" s="2">
        <v>20</v>
      </c>
      <c r="AM121" s="2">
        <v>21</v>
      </c>
      <c r="BQ121" s="1">
        <f t="shared" si="29"/>
        <v>61</v>
      </c>
      <c r="BR121" s="1">
        <f t="shared" si="36"/>
        <v>61</v>
      </c>
      <c r="BS121" s="1" t="str">
        <f t="shared" si="37"/>
        <v>239-25</v>
      </c>
      <c r="BT121" s="58">
        <f t="shared" si="32"/>
        <v>0</v>
      </c>
    </row>
    <row r="122" spans="1:72" s="16" customFormat="1" x14ac:dyDescent="0.2">
      <c r="A122" s="65" t="s">
        <v>159</v>
      </c>
      <c r="B122" s="21">
        <v>46265</v>
      </c>
      <c r="C122" s="54" t="str">
        <f t="shared" si="33"/>
        <v>240-25</v>
      </c>
      <c r="D122" s="29">
        <v>61</v>
      </c>
      <c r="E122" s="7"/>
      <c r="F122" s="2"/>
      <c r="G122" s="7"/>
      <c r="H122" s="2">
        <f t="shared" si="34"/>
        <v>0</v>
      </c>
      <c r="I122" s="3">
        <f t="shared" si="35"/>
        <v>0</v>
      </c>
      <c r="J122" s="8"/>
      <c r="K122" s="8"/>
      <c r="L122" s="8"/>
      <c r="M122" s="8"/>
      <c r="N122" s="8"/>
      <c r="O122" s="8"/>
      <c r="P122" s="2"/>
      <c r="Q122" s="2"/>
      <c r="R122" s="2"/>
      <c r="S122" s="2"/>
      <c r="T122" s="2"/>
      <c r="U122" s="2"/>
      <c r="AK122" s="2">
        <v>20</v>
      </c>
      <c r="AL122" s="2">
        <v>20</v>
      </c>
      <c r="AM122" s="2">
        <v>21</v>
      </c>
      <c r="BQ122" s="1">
        <f t="shared" si="29"/>
        <v>61</v>
      </c>
      <c r="BR122" s="1">
        <f t="shared" si="36"/>
        <v>61</v>
      </c>
      <c r="BS122" s="1" t="str">
        <f t="shared" si="37"/>
        <v>240-25</v>
      </c>
      <c r="BT122" s="58">
        <f t="shared" si="32"/>
        <v>0</v>
      </c>
    </row>
    <row r="123" spans="1:72" s="16" customFormat="1" x14ac:dyDescent="0.2">
      <c r="A123" s="65" t="s">
        <v>160</v>
      </c>
      <c r="B123" s="21">
        <v>46265</v>
      </c>
      <c r="C123" s="54" t="str">
        <f t="shared" si="33"/>
        <v>241-25</v>
      </c>
      <c r="D123" s="29">
        <v>61</v>
      </c>
      <c r="E123" s="7"/>
      <c r="F123" s="2"/>
      <c r="G123" s="7"/>
      <c r="H123" s="2">
        <f t="shared" si="34"/>
        <v>0</v>
      </c>
      <c r="I123" s="3">
        <f t="shared" si="35"/>
        <v>0</v>
      </c>
      <c r="J123" s="8"/>
      <c r="K123" s="8"/>
      <c r="L123" s="8"/>
      <c r="M123" s="8"/>
      <c r="N123" s="8"/>
      <c r="O123" s="8"/>
      <c r="P123" s="2"/>
      <c r="Q123" s="2"/>
      <c r="R123" s="2"/>
      <c r="S123" s="2"/>
      <c r="T123" s="2"/>
      <c r="U123" s="2"/>
      <c r="AK123" s="2">
        <v>20</v>
      </c>
      <c r="AL123" s="2">
        <v>20</v>
      </c>
      <c r="AM123" s="2">
        <v>21</v>
      </c>
      <c r="BQ123" s="1">
        <f t="shared" si="29"/>
        <v>61</v>
      </c>
      <c r="BR123" s="1">
        <f t="shared" si="36"/>
        <v>61</v>
      </c>
      <c r="BS123" s="1" t="str">
        <f t="shared" si="37"/>
        <v>241-25</v>
      </c>
      <c r="BT123" s="58">
        <f t="shared" si="32"/>
        <v>0</v>
      </c>
    </row>
    <row r="124" spans="1:72" s="16" customFormat="1" x14ac:dyDescent="0.2">
      <c r="A124" s="65" t="s">
        <v>161</v>
      </c>
      <c r="B124" s="21">
        <v>46265</v>
      </c>
      <c r="C124" s="54" t="str">
        <f t="shared" si="33"/>
        <v>242-25</v>
      </c>
      <c r="D124" s="29">
        <v>61</v>
      </c>
      <c r="E124" s="7"/>
      <c r="F124" s="2"/>
      <c r="G124" s="7"/>
      <c r="H124" s="2">
        <f t="shared" si="34"/>
        <v>0</v>
      </c>
      <c r="I124" s="3">
        <f t="shared" si="35"/>
        <v>0</v>
      </c>
      <c r="J124" s="8"/>
      <c r="K124" s="8"/>
      <c r="L124" s="8"/>
      <c r="M124" s="8"/>
      <c r="N124" s="8"/>
      <c r="O124" s="8"/>
      <c r="P124" s="2"/>
      <c r="Q124" s="2"/>
      <c r="R124" s="2"/>
      <c r="S124" s="2"/>
      <c r="T124" s="2"/>
      <c r="U124" s="2"/>
      <c r="AK124" s="2">
        <v>20</v>
      </c>
      <c r="AL124" s="2">
        <v>20</v>
      </c>
      <c r="AM124" s="2">
        <v>21</v>
      </c>
      <c r="BQ124" s="1">
        <f t="shared" si="29"/>
        <v>61</v>
      </c>
      <c r="BR124" s="1">
        <f t="shared" si="36"/>
        <v>61</v>
      </c>
      <c r="BS124" s="1" t="str">
        <f t="shared" si="37"/>
        <v>242-25</v>
      </c>
      <c r="BT124" s="58">
        <f t="shared" si="32"/>
        <v>0</v>
      </c>
    </row>
    <row r="125" spans="1:72" s="16" customFormat="1" x14ac:dyDescent="0.2">
      <c r="A125" s="65" t="s">
        <v>162</v>
      </c>
      <c r="B125" s="21">
        <v>46265</v>
      </c>
      <c r="C125" s="54" t="str">
        <f t="shared" si="33"/>
        <v>243-25</v>
      </c>
      <c r="D125" s="29">
        <v>61</v>
      </c>
      <c r="E125" s="7"/>
      <c r="F125" s="2"/>
      <c r="G125" s="7"/>
      <c r="H125" s="2">
        <f t="shared" si="34"/>
        <v>0</v>
      </c>
      <c r="I125" s="3">
        <f t="shared" si="35"/>
        <v>0</v>
      </c>
      <c r="J125" s="8"/>
      <c r="K125" s="8"/>
      <c r="L125" s="8"/>
      <c r="M125" s="8"/>
      <c r="N125" s="8"/>
      <c r="O125" s="8"/>
      <c r="P125" s="2"/>
      <c r="Q125" s="2"/>
      <c r="R125" s="2"/>
      <c r="S125" s="2"/>
      <c r="T125" s="2"/>
      <c r="U125" s="2"/>
      <c r="AL125" s="2">
        <v>20</v>
      </c>
      <c r="AM125" s="2">
        <v>20</v>
      </c>
      <c r="AN125" s="2">
        <v>21</v>
      </c>
      <c r="BQ125" s="1">
        <f t="shared" si="29"/>
        <v>61</v>
      </c>
      <c r="BR125" s="1">
        <f t="shared" si="36"/>
        <v>61</v>
      </c>
      <c r="BS125" s="1" t="str">
        <f t="shared" si="37"/>
        <v>243-25</v>
      </c>
      <c r="BT125" s="58">
        <f t="shared" si="32"/>
        <v>0</v>
      </c>
    </row>
    <row r="126" spans="1:72" s="16" customFormat="1" x14ac:dyDescent="0.2">
      <c r="A126" s="65" t="s">
        <v>163</v>
      </c>
      <c r="B126" s="21">
        <v>46265</v>
      </c>
      <c r="C126" s="54" t="str">
        <f t="shared" si="33"/>
        <v>244-25</v>
      </c>
      <c r="D126" s="29">
        <v>61</v>
      </c>
      <c r="E126" s="7"/>
      <c r="F126" s="2"/>
      <c r="G126" s="7"/>
      <c r="H126" s="2">
        <f t="shared" si="34"/>
        <v>0</v>
      </c>
      <c r="I126" s="3">
        <f t="shared" si="35"/>
        <v>0</v>
      </c>
      <c r="J126" s="8"/>
      <c r="K126" s="8"/>
      <c r="L126" s="8"/>
      <c r="M126" s="8"/>
      <c r="N126" s="8"/>
      <c r="O126" s="8"/>
      <c r="P126" s="2"/>
      <c r="Q126" s="2"/>
      <c r="R126" s="2"/>
      <c r="S126" s="2"/>
      <c r="T126" s="2"/>
      <c r="U126" s="2"/>
      <c r="AL126" s="2">
        <v>20</v>
      </c>
      <c r="AM126" s="2">
        <v>20</v>
      </c>
      <c r="AN126" s="2">
        <v>21</v>
      </c>
      <c r="BQ126" s="1">
        <f t="shared" si="29"/>
        <v>61</v>
      </c>
      <c r="BR126" s="1">
        <f t="shared" si="36"/>
        <v>61</v>
      </c>
      <c r="BS126" s="1" t="str">
        <f t="shared" si="37"/>
        <v>244-25</v>
      </c>
      <c r="BT126" s="58">
        <f t="shared" si="32"/>
        <v>0</v>
      </c>
    </row>
    <row r="127" spans="1:72" s="16" customFormat="1" x14ac:dyDescent="0.2">
      <c r="A127" s="65" t="s">
        <v>164</v>
      </c>
      <c r="B127" s="21">
        <v>46265</v>
      </c>
      <c r="C127" s="54" t="str">
        <f t="shared" si="33"/>
        <v>245-25</v>
      </c>
      <c r="D127" s="29">
        <v>61</v>
      </c>
      <c r="E127" s="7"/>
      <c r="F127" s="2"/>
      <c r="G127" s="7"/>
      <c r="H127" s="2">
        <f t="shared" si="34"/>
        <v>0</v>
      </c>
      <c r="I127" s="3">
        <f t="shared" si="35"/>
        <v>0</v>
      </c>
      <c r="J127" s="8"/>
      <c r="K127" s="8"/>
      <c r="L127" s="8"/>
      <c r="M127" s="8"/>
      <c r="N127" s="8"/>
      <c r="O127" s="8"/>
      <c r="P127" s="2"/>
      <c r="Q127" s="2"/>
      <c r="R127" s="2"/>
      <c r="S127" s="2"/>
      <c r="T127" s="2"/>
      <c r="U127" s="2"/>
      <c r="AL127" s="2">
        <v>20</v>
      </c>
      <c r="AM127" s="2">
        <v>20</v>
      </c>
      <c r="AN127" s="2">
        <v>21</v>
      </c>
      <c r="BQ127" s="1">
        <f t="shared" si="29"/>
        <v>61</v>
      </c>
      <c r="BR127" s="1">
        <f t="shared" si="36"/>
        <v>61</v>
      </c>
      <c r="BS127" s="1" t="str">
        <f t="shared" si="37"/>
        <v>245-25</v>
      </c>
      <c r="BT127" s="58">
        <f t="shared" si="32"/>
        <v>0</v>
      </c>
    </row>
    <row r="128" spans="1:72" s="16" customFormat="1" x14ac:dyDescent="0.2">
      <c r="A128" s="65" t="s">
        <v>165</v>
      </c>
      <c r="B128" s="21">
        <v>46265</v>
      </c>
      <c r="C128" s="54" t="str">
        <f t="shared" si="33"/>
        <v>246-25</v>
      </c>
      <c r="D128" s="29">
        <v>61</v>
      </c>
      <c r="E128" s="7"/>
      <c r="F128" s="2"/>
      <c r="G128" s="7"/>
      <c r="H128" s="2">
        <f t="shared" si="34"/>
        <v>0</v>
      </c>
      <c r="I128" s="3">
        <f t="shared" si="35"/>
        <v>0</v>
      </c>
      <c r="J128" s="8"/>
      <c r="K128" s="8"/>
      <c r="L128" s="8"/>
      <c r="M128" s="8"/>
      <c r="N128" s="8"/>
      <c r="O128" s="8"/>
      <c r="P128" s="2"/>
      <c r="Q128" s="2"/>
      <c r="R128" s="2"/>
      <c r="S128" s="2"/>
      <c r="T128" s="2"/>
      <c r="U128" s="2"/>
      <c r="AL128" s="2">
        <v>20</v>
      </c>
      <c r="AM128" s="2">
        <v>20</v>
      </c>
      <c r="AN128" s="2">
        <v>21</v>
      </c>
      <c r="BQ128" s="1">
        <f t="shared" si="29"/>
        <v>61</v>
      </c>
      <c r="BR128" s="1">
        <f t="shared" si="36"/>
        <v>61</v>
      </c>
      <c r="BS128" s="1" t="str">
        <f t="shared" si="37"/>
        <v>246-25</v>
      </c>
      <c r="BT128" s="58">
        <f t="shared" si="32"/>
        <v>0</v>
      </c>
    </row>
    <row r="129" spans="1:72" s="16" customFormat="1" x14ac:dyDescent="0.2">
      <c r="A129" s="65" t="s">
        <v>166</v>
      </c>
      <c r="B129" s="21">
        <v>46265</v>
      </c>
      <c r="C129" s="54" t="str">
        <f t="shared" si="33"/>
        <v>247-25</v>
      </c>
      <c r="D129" s="29">
        <v>61</v>
      </c>
      <c r="E129" s="7"/>
      <c r="F129" s="2"/>
      <c r="G129" s="7"/>
      <c r="H129" s="2">
        <f t="shared" si="34"/>
        <v>0</v>
      </c>
      <c r="I129" s="3">
        <f t="shared" si="35"/>
        <v>0</v>
      </c>
      <c r="J129" s="8"/>
      <c r="K129" s="8"/>
      <c r="L129" s="8"/>
      <c r="M129" s="8"/>
      <c r="N129" s="8"/>
      <c r="O129" s="8"/>
      <c r="P129" s="2"/>
      <c r="Q129" s="2"/>
      <c r="R129" s="2"/>
      <c r="S129" s="2"/>
      <c r="T129" s="2"/>
      <c r="U129" s="2"/>
      <c r="AL129" s="2">
        <v>20</v>
      </c>
      <c r="AM129" s="2">
        <v>20</v>
      </c>
      <c r="AN129" s="2">
        <v>21</v>
      </c>
      <c r="BQ129" s="1">
        <f t="shared" si="29"/>
        <v>61</v>
      </c>
      <c r="BR129" s="1">
        <f t="shared" si="36"/>
        <v>61</v>
      </c>
      <c r="BS129" s="1" t="str">
        <f t="shared" si="37"/>
        <v>247-25</v>
      </c>
      <c r="BT129" s="58">
        <f t="shared" si="32"/>
        <v>0</v>
      </c>
    </row>
    <row r="130" spans="1:72" s="16" customFormat="1" x14ac:dyDescent="0.2">
      <c r="A130" s="65" t="s">
        <v>167</v>
      </c>
      <c r="B130" s="21">
        <v>46265</v>
      </c>
      <c r="C130" s="54" t="str">
        <f t="shared" si="33"/>
        <v>248-25</v>
      </c>
      <c r="D130" s="29">
        <v>61</v>
      </c>
      <c r="E130" s="7"/>
      <c r="F130" s="2"/>
      <c r="G130" s="7"/>
      <c r="H130" s="2">
        <f t="shared" si="34"/>
        <v>0</v>
      </c>
      <c r="I130" s="3">
        <f t="shared" si="35"/>
        <v>0</v>
      </c>
      <c r="J130" s="8"/>
      <c r="K130" s="8"/>
      <c r="L130" s="8"/>
      <c r="M130" s="8"/>
      <c r="N130" s="8"/>
      <c r="O130" s="8"/>
      <c r="P130" s="2"/>
      <c r="Q130" s="2"/>
      <c r="R130" s="2"/>
      <c r="S130" s="2"/>
      <c r="T130" s="2"/>
      <c r="U130" s="2"/>
      <c r="AM130" s="2">
        <v>20</v>
      </c>
      <c r="AN130" s="2">
        <v>20</v>
      </c>
      <c r="AO130" s="2">
        <v>21</v>
      </c>
      <c r="AQ130" s="67"/>
      <c r="BQ130" s="1">
        <f t="shared" si="29"/>
        <v>61</v>
      </c>
      <c r="BR130" s="1">
        <f t="shared" si="36"/>
        <v>61</v>
      </c>
      <c r="BS130" s="1" t="str">
        <f t="shared" si="37"/>
        <v>248-25</v>
      </c>
      <c r="BT130" s="58">
        <f t="shared" si="32"/>
        <v>0</v>
      </c>
    </row>
    <row r="131" spans="1:72" s="16" customFormat="1" x14ac:dyDescent="0.2">
      <c r="A131" s="65" t="s">
        <v>168</v>
      </c>
      <c r="B131" s="21">
        <v>46265</v>
      </c>
      <c r="C131" s="54" t="str">
        <f t="shared" si="33"/>
        <v>249-25</v>
      </c>
      <c r="D131" s="29">
        <v>61</v>
      </c>
      <c r="E131" s="7"/>
      <c r="F131" s="2"/>
      <c r="G131" s="7"/>
      <c r="H131" s="2">
        <f t="shared" si="34"/>
        <v>0</v>
      </c>
      <c r="I131" s="3">
        <f t="shared" si="35"/>
        <v>0</v>
      </c>
      <c r="J131" s="8"/>
      <c r="K131" s="8"/>
      <c r="L131" s="8"/>
      <c r="M131" s="8"/>
      <c r="N131" s="8"/>
      <c r="O131" s="8"/>
      <c r="P131" s="2"/>
      <c r="Q131" s="2"/>
      <c r="R131" s="2"/>
      <c r="S131" s="2"/>
      <c r="T131" s="2"/>
      <c r="U131" s="2"/>
      <c r="AM131" s="2">
        <v>20</v>
      </c>
      <c r="AN131" s="2">
        <v>20</v>
      </c>
      <c r="AO131" s="2">
        <v>21</v>
      </c>
      <c r="AQ131" s="67"/>
      <c r="BQ131" s="1">
        <f t="shared" si="29"/>
        <v>61</v>
      </c>
      <c r="BR131" s="1">
        <f t="shared" si="36"/>
        <v>61</v>
      </c>
      <c r="BS131" s="1" t="str">
        <f t="shared" si="37"/>
        <v>249-25</v>
      </c>
      <c r="BT131" s="58">
        <f t="shared" si="32"/>
        <v>0</v>
      </c>
    </row>
    <row r="132" spans="1:72" s="16" customFormat="1" x14ac:dyDescent="0.2">
      <c r="A132" s="65" t="s">
        <v>169</v>
      </c>
      <c r="B132" s="21">
        <v>46265</v>
      </c>
      <c r="C132" s="54" t="str">
        <f t="shared" si="33"/>
        <v>250-25</v>
      </c>
      <c r="D132" s="29">
        <v>61</v>
      </c>
      <c r="E132" s="7"/>
      <c r="F132" s="2"/>
      <c r="G132" s="7"/>
      <c r="H132" s="2">
        <f t="shared" si="34"/>
        <v>0</v>
      </c>
      <c r="I132" s="3">
        <f t="shared" si="35"/>
        <v>0</v>
      </c>
      <c r="J132" s="8"/>
      <c r="K132" s="8"/>
      <c r="L132" s="8"/>
      <c r="M132" s="8"/>
      <c r="N132" s="8"/>
      <c r="O132" s="8"/>
      <c r="P132" s="2"/>
      <c r="Q132" s="2"/>
      <c r="R132" s="2"/>
      <c r="S132" s="2"/>
      <c r="T132" s="2"/>
      <c r="U132" s="2"/>
      <c r="AM132" s="2">
        <v>20</v>
      </c>
      <c r="AN132" s="2">
        <v>20</v>
      </c>
      <c r="AO132" s="2">
        <v>21</v>
      </c>
      <c r="AQ132" s="67"/>
      <c r="BQ132" s="1">
        <f t="shared" si="29"/>
        <v>61</v>
      </c>
      <c r="BR132" s="1">
        <f t="shared" si="36"/>
        <v>61</v>
      </c>
      <c r="BS132" s="1" t="str">
        <f t="shared" si="37"/>
        <v>250-25</v>
      </c>
      <c r="BT132" s="58">
        <f t="shared" si="32"/>
        <v>0</v>
      </c>
    </row>
    <row r="133" spans="1:72" s="16" customFormat="1" x14ac:dyDescent="0.2">
      <c r="A133" s="65" t="s">
        <v>170</v>
      </c>
      <c r="B133" s="21">
        <v>46265</v>
      </c>
      <c r="C133" s="54" t="str">
        <f t="shared" si="33"/>
        <v>251-25</v>
      </c>
      <c r="D133" s="29">
        <v>61</v>
      </c>
      <c r="E133" s="7"/>
      <c r="F133" s="2"/>
      <c r="G133" s="7"/>
      <c r="H133" s="2">
        <f t="shared" si="34"/>
        <v>0</v>
      </c>
      <c r="I133" s="3">
        <f t="shared" si="35"/>
        <v>0</v>
      </c>
      <c r="J133" s="8"/>
      <c r="K133" s="8"/>
      <c r="L133" s="8"/>
      <c r="M133" s="8"/>
      <c r="N133" s="8"/>
      <c r="O133" s="8"/>
      <c r="P133" s="2"/>
      <c r="Q133" s="2"/>
      <c r="R133" s="2"/>
      <c r="S133" s="2"/>
      <c r="T133" s="2"/>
      <c r="U133" s="2"/>
      <c r="AM133" s="2">
        <v>20</v>
      </c>
      <c r="AN133" s="2">
        <v>20</v>
      </c>
      <c r="AO133" s="2">
        <v>21</v>
      </c>
      <c r="AQ133" s="67"/>
      <c r="BQ133" s="1">
        <f t="shared" si="29"/>
        <v>61</v>
      </c>
      <c r="BR133" s="1">
        <f t="shared" si="36"/>
        <v>61</v>
      </c>
      <c r="BS133" s="1" t="str">
        <f t="shared" si="37"/>
        <v>251-25</v>
      </c>
      <c r="BT133" s="58">
        <f t="shared" si="32"/>
        <v>0</v>
      </c>
    </row>
    <row r="134" spans="1:72" s="16" customFormat="1" x14ac:dyDescent="0.2">
      <c r="A134" s="70" t="s">
        <v>171</v>
      </c>
      <c r="B134" s="21">
        <v>46328</v>
      </c>
      <c r="C134" s="54" t="str">
        <f t="shared" si="33"/>
        <v>252-25</v>
      </c>
      <c r="D134" s="29">
        <v>61</v>
      </c>
      <c r="E134" s="7"/>
      <c r="F134" s="2"/>
      <c r="G134" s="7"/>
      <c r="H134" s="2">
        <f t="shared" si="34"/>
        <v>0</v>
      </c>
      <c r="I134" s="3">
        <f t="shared" si="35"/>
        <v>0</v>
      </c>
      <c r="J134" s="8"/>
      <c r="K134" s="8"/>
      <c r="L134" s="8"/>
      <c r="M134" s="8"/>
      <c r="N134" s="8"/>
      <c r="O134" s="8"/>
      <c r="P134" s="2"/>
      <c r="Q134" s="2"/>
      <c r="R134" s="2"/>
      <c r="S134" s="2"/>
      <c r="T134" s="2"/>
      <c r="U134" s="2"/>
      <c r="AM134" s="2">
        <v>20</v>
      </c>
      <c r="AN134" s="2">
        <v>20</v>
      </c>
      <c r="AO134" s="2">
        <v>21</v>
      </c>
      <c r="AQ134" s="67"/>
      <c r="BQ134" s="1">
        <f t="shared" ref="BQ134:BQ197" si="38">SUM(J134:BP134)</f>
        <v>61</v>
      </c>
      <c r="BR134" s="1">
        <f t="shared" ref="BR134:BR165" si="39">D134-H134</f>
        <v>61</v>
      </c>
      <c r="BS134" s="1" t="str">
        <f t="shared" ref="BS134:BS165" si="40">C134</f>
        <v>252-25</v>
      </c>
      <c r="BT134" s="58">
        <f t="shared" ref="BT134:BT197" si="41">D134-H134-BQ134</f>
        <v>0</v>
      </c>
    </row>
    <row r="135" spans="1:72" s="16" customFormat="1" x14ac:dyDescent="0.2">
      <c r="A135" s="70" t="s">
        <v>172</v>
      </c>
      <c r="B135" s="21">
        <v>46328</v>
      </c>
      <c r="C135" s="54" t="str">
        <f t="shared" si="33"/>
        <v>253-25</v>
      </c>
      <c r="D135" s="29">
        <v>61</v>
      </c>
      <c r="E135" s="7"/>
      <c r="F135" s="2"/>
      <c r="G135" s="7"/>
      <c r="H135" s="2">
        <f t="shared" si="34"/>
        <v>0</v>
      </c>
      <c r="I135" s="3">
        <f t="shared" si="35"/>
        <v>0</v>
      </c>
      <c r="J135" s="8"/>
      <c r="K135" s="8"/>
      <c r="L135" s="8"/>
      <c r="M135" s="8"/>
      <c r="N135" s="8"/>
      <c r="O135" s="8"/>
      <c r="P135" s="2"/>
      <c r="Q135" s="2"/>
      <c r="R135" s="2"/>
      <c r="S135" s="2"/>
      <c r="T135" s="2"/>
      <c r="U135" s="2"/>
      <c r="AN135" s="2">
        <v>20</v>
      </c>
      <c r="AO135" s="2">
        <v>20</v>
      </c>
      <c r="AP135" s="2">
        <v>21</v>
      </c>
      <c r="BQ135" s="1">
        <f t="shared" si="38"/>
        <v>61</v>
      </c>
      <c r="BR135" s="1">
        <f t="shared" si="39"/>
        <v>61</v>
      </c>
      <c r="BS135" s="1" t="str">
        <f t="shared" si="40"/>
        <v>253-25</v>
      </c>
      <c r="BT135" s="58">
        <f t="shared" si="41"/>
        <v>0</v>
      </c>
    </row>
    <row r="136" spans="1:72" s="16" customFormat="1" x14ac:dyDescent="0.2">
      <c r="A136" s="70" t="s">
        <v>173</v>
      </c>
      <c r="B136" s="21">
        <v>46328</v>
      </c>
      <c r="C136" s="54" t="str">
        <f t="shared" si="33"/>
        <v>254-25</v>
      </c>
      <c r="D136" s="29">
        <v>61</v>
      </c>
      <c r="E136" s="7"/>
      <c r="F136" s="2"/>
      <c r="G136" s="7"/>
      <c r="H136" s="2">
        <f t="shared" si="34"/>
        <v>0</v>
      </c>
      <c r="I136" s="3">
        <f t="shared" si="35"/>
        <v>0</v>
      </c>
      <c r="J136" s="8"/>
      <c r="K136" s="8"/>
      <c r="L136" s="8"/>
      <c r="M136" s="8"/>
      <c r="N136" s="8"/>
      <c r="O136" s="8"/>
      <c r="P136" s="2"/>
      <c r="Q136" s="2"/>
      <c r="R136" s="2"/>
      <c r="S136" s="2"/>
      <c r="T136" s="2"/>
      <c r="U136" s="2"/>
      <c r="AN136" s="2">
        <v>20</v>
      </c>
      <c r="AO136" s="2">
        <v>20</v>
      </c>
      <c r="AP136" s="2">
        <v>21</v>
      </c>
      <c r="BQ136" s="1">
        <f t="shared" si="38"/>
        <v>61</v>
      </c>
      <c r="BR136" s="1">
        <f t="shared" si="39"/>
        <v>61</v>
      </c>
      <c r="BS136" s="1" t="str">
        <f t="shared" si="40"/>
        <v>254-25</v>
      </c>
      <c r="BT136" s="58">
        <f t="shared" si="41"/>
        <v>0</v>
      </c>
    </row>
    <row r="137" spans="1:72" s="16" customFormat="1" x14ac:dyDescent="0.2">
      <c r="A137" s="70" t="s">
        <v>174</v>
      </c>
      <c r="B137" s="21">
        <v>46328</v>
      </c>
      <c r="C137" s="54" t="str">
        <f t="shared" si="33"/>
        <v>255-25</v>
      </c>
      <c r="D137" s="29">
        <v>61</v>
      </c>
      <c r="E137" s="7"/>
      <c r="F137" s="2"/>
      <c r="G137" s="7"/>
      <c r="H137" s="2">
        <f t="shared" si="34"/>
        <v>0</v>
      </c>
      <c r="I137" s="3">
        <f t="shared" si="35"/>
        <v>0</v>
      </c>
      <c r="J137" s="8"/>
      <c r="K137" s="8"/>
      <c r="L137" s="8"/>
      <c r="M137" s="8"/>
      <c r="N137" s="8"/>
      <c r="O137" s="8"/>
      <c r="P137" s="2"/>
      <c r="Q137" s="2"/>
      <c r="R137" s="2"/>
      <c r="S137" s="2"/>
      <c r="T137" s="2"/>
      <c r="U137" s="2"/>
      <c r="AN137" s="2">
        <v>20</v>
      </c>
      <c r="AO137" s="2">
        <v>20</v>
      </c>
      <c r="AP137" s="2">
        <v>21</v>
      </c>
      <c r="BQ137" s="1">
        <f t="shared" si="38"/>
        <v>61</v>
      </c>
      <c r="BR137" s="1">
        <f t="shared" si="39"/>
        <v>61</v>
      </c>
      <c r="BS137" s="1" t="str">
        <f t="shared" si="40"/>
        <v>255-25</v>
      </c>
      <c r="BT137" s="58">
        <f t="shared" si="41"/>
        <v>0</v>
      </c>
    </row>
    <row r="138" spans="1:72" s="16" customFormat="1" x14ac:dyDescent="0.2">
      <c r="A138" s="70" t="s">
        <v>175</v>
      </c>
      <c r="B138" s="21">
        <v>46328</v>
      </c>
      <c r="C138" s="54" t="str">
        <f t="shared" ref="C138:C201" si="42">CONCATENATE(LEFT(C137,3)+1,"-","25")</f>
        <v>256-25</v>
      </c>
      <c r="D138" s="29">
        <v>61</v>
      </c>
      <c r="E138" s="7"/>
      <c r="F138" s="2"/>
      <c r="G138" s="7"/>
      <c r="H138" s="2">
        <f t="shared" si="34"/>
        <v>0</v>
      </c>
      <c r="I138" s="3">
        <f t="shared" si="35"/>
        <v>0</v>
      </c>
      <c r="J138" s="8"/>
      <c r="K138" s="8"/>
      <c r="L138" s="8"/>
      <c r="M138" s="8"/>
      <c r="N138" s="8"/>
      <c r="O138" s="8"/>
      <c r="P138" s="2"/>
      <c r="Q138" s="2"/>
      <c r="R138" s="2"/>
      <c r="S138" s="2"/>
      <c r="T138" s="2"/>
      <c r="U138" s="2"/>
      <c r="AN138" s="2">
        <v>20</v>
      </c>
      <c r="AO138" s="2">
        <v>20</v>
      </c>
      <c r="AP138" s="2">
        <v>21</v>
      </c>
      <c r="BQ138" s="1">
        <f t="shared" si="38"/>
        <v>61</v>
      </c>
      <c r="BR138" s="1">
        <f t="shared" si="39"/>
        <v>61</v>
      </c>
      <c r="BS138" s="1" t="str">
        <f t="shared" si="40"/>
        <v>256-25</v>
      </c>
      <c r="BT138" s="58">
        <f t="shared" si="41"/>
        <v>0</v>
      </c>
    </row>
    <row r="139" spans="1:72" s="16" customFormat="1" x14ac:dyDescent="0.2">
      <c r="A139" s="70" t="s">
        <v>176</v>
      </c>
      <c r="B139" s="21">
        <v>46328</v>
      </c>
      <c r="C139" s="54" t="str">
        <f t="shared" si="42"/>
        <v>257-25</v>
      </c>
      <c r="D139" s="29">
        <v>61</v>
      </c>
      <c r="E139" s="7"/>
      <c r="F139" s="2"/>
      <c r="G139" s="7"/>
      <c r="H139" s="2">
        <f t="shared" si="34"/>
        <v>0</v>
      </c>
      <c r="I139" s="3">
        <f t="shared" si="35"/>
        <v>0</v>
      </c>
      <c r="J139" s="8"/>
      <c r="K139" s="8"/>
      <c r="L139" s="8"/>
      <c r="M139" s="8"/>
      <c r="N139" s="8"/>
      <c r="O139" s="8"/>
      <c r="P139" s="2"/>
      <c r="Q139" s="2"/>
      <c r="R139" s="2"/>
      <c r="S139" s="2"/>
      <c r="T139" s="2"/>
      <c r="U139" s="2"/>
      <c r="AN139" s="2">
        <v>20</v>
      </c>
      <c r="AO139" s="2">
        <v>20</v>
      </c>
      <c r="AP139" s="2">
        <v>21</v>
      </c>
      <c r="BQ139" s="1">
        <f t="shared" si="38"/>
        <v>61</v>
      </c>
      <c r="BR139" s="1">
        <f t="shared" si="39"/>
        <v>61</v>
      </c>
      <c r="BS139" s="1" t="str">
        <f t="shared" si="40"/>
        <v>257-25</v>
      </c>
      <c r="BT139" s="58">
        <f t="shared" si="41"/>
        <v>0</v>
      </c>
    </row>
    <row r="140" spans="1:72" s="16" customFormat="1" x14ac:dyDescent="0.2">
      <c r="A140" s="70" t="s">
        <v>177</v>
      </c>
      <c r="B140" s="21">
        <v>46328</v>
      </c>
      <c r="C140" s="54" t="str">
        <f t="shared" si="42"/>
        <v>258-25</v>
      </c>
      <c r="D140" s="29">
        <v>61</v>
      </c>
      <c r="E140" s="7"/>
      <c r="F140" s="2"/>
      <c r="G140" s="7"/>
      <c r="H140" s="2">
        <f t="shared" si="34"/>
        <v>0</v>
      </c>
      <c r="I140" s="3">
        <f t="shared" si="35"/>
        <v>0</v>
      </c>
      <c r="J140" s="8"/>
      <c r="K140" s="8"/>
      <c r="L140" s="8"/>
      <c r="M140" s="8"/>
      <c r="N140" s="8"/>
      <c r="O140" s="8"/>
      <c r="P140" s="2"/>
      <c r="Q140" s="2"/>
      <c r="R140" s="2"/>
      <c r="S140" s="2"/>
      <c r="T140" s="2"/>
      <c r="U140" s="2"/>
      <c r="AM140" s="2"/>
      <c r="AO140" s="2">
        <v>20</v>
      </c>
      <c r="AP140" s="2">
        <v>20</v>
      </c>
      <c r="AQ140" s="2">
        <v>21</v>
      </c>
      <c r="BQ140" s="1">
        <f t="shared" si="38"/>
        <v>61</v>
      </c>
      <c r="BR140" s="1">
        <f t="shared" si="39"/>
        <v>61</v>
      </c>
      <c r="BS140" s="1" t="str">
        <f t="shared" si="40"/>
        <v>258-25</v>
      </c>
      <c r="BT140" s="58">
        <f t="shared" si="41"/>
        <v>0</v>
      </c>
    </row>
    <row r="141" spans="1:72" s="16" customFormat="1" x14ac:dyDescent="0.2">
      <c r="A141" s="70" t="s">
        <v>178</v>
      </c>
      <c r="B141" s="21">
        <v>46328</v>
      </c>
      <c r="C141" s="54" t="str">
        <f t="shared" si="42"/>
        <v>259-25</v>
      </c>
      <c r="D141" s="29">
        <v>61</v>
      </c>
      <c r="E141" s="7"/>
      <c r="F141" s="2"/>
      <c r="G141" s="7"/>
      <c r="H141" s="2">
        <f t="shared" si="34"/>
        <v>0</v>
      </c>
      <c r="I141" s="3">
        <f t="shared" si="35"/>
        <v>0</v>
      </c>
      <c r="J141" s="8"/>
      <c r="K141" s="8"/>
      <c r="L141" s="8"/>
      <c r="M141" s="8"/>
      <c r="N141" s="8"/>
      <c r="O141" s="8"/>
      <c r="P141" s="2"/>
      <c r="Q141" s="2"/>
      <c r="R141" s="2"/>
      <c r="S141" s="2"/>
      <c r="T141" s="2"/>
      <c r="U141" s="2"/>
      <c r="AM141" s="2"/>
      <c r="AO141" s="2">
        <v>20</v>
      </c>
      <c r="AP141" s="2">
        <v>20</v>
      </c>
      <c r="AQ141" s="2">
        <v>21</v>
      </c>
      <c r="BQ141" s="1">
        <f t="shared" si="38"/>
        <v>61</v>
      </c>
      <c r="BR141" s="1">
        <f t="shared" si="39"/>
        <v>61</v>
      </c>
      <c r="BS141" s="1" t="str">
        <f t="shared" si="40"/>
        <v>259-25</v>
      </c>
      <c r="BT141" s="58">
        <f t="shared" si="41"/>
        <v>0</v>
      </c>
    </row>
    <row r="142" spans="1:72" s="16" customFormat="1" x14ac:dyDescent="0.2">
      <c r="A142" s="70" t="s">
        <v>179</v>
      </c>
      <c r="B142" s="21">
        <v>46328</v>
      </c>
      <c r="C142" s="54" t="str">
        <f t="shared" si="42"/>
        <v>260-25</v>
      </c>
      <c r="D142" s="29">
        <v>61</v>
      </c>
      <c r="E142" s="7"/>
      <c r="F142" s="2"/>
      <c r="G142" s="7"/>
      <c r="H142" s="2">
        <f t="shared" si="34"/>
        <v>0</v>
      </c>
      <c r="I142" s="3">
        <f t="shared" si="35"/>
        <v>0</v>
      </c>
      <c r="J142" s="8"/>
      <c r="K142" s="8"/>
      <c r="L142" s="8"/>
      <c r="M142" s="8"/>
      <c r="N142" s="8"/>
      <c r="O142" s="8"/>
      <c r="P142" s="2"/>
      <c r="Q142" s="2"/>
      <c r="R142" s="2"/>
      <c r="S142" s="2"/>
      <c r="T142" s="2"/>
      <c r="U142" s="2"/>
      <c r="AM142" s="2"/>
      <c r="AO142" s="2">
        <v>20</v>
      </c>
      <c r="AP142" s="2">
        <v>20</v>
      </c>
      <c r="AQ142" s="2">
        <v>21</v>
      </c>
      <c r="BQ142" s="1">
        <f t="shared" si="38"/>
        <v>61</v>
      </c>
      <c r="BR142" s="1">
        <f t="shared" si="39"/>
        <v>61</v>
      </c>
      <c r="BS142" s="1" t="str">
        <f t="shared" si="40"/>
        <v>260-25</v>
      </c>
      <c r="BT142" s="58">
        <f t="shared" si="41"/>
        <v>0</v>
      </c>
    </row>
    <row r="143" spans="1:72" s="16" customFormat="1" x14ac:dyDescent="0.2">
      <c r="A143" s="70" t="s">
        <v>180</v>
      </c>
      <c r="B143" s="21">
        <v>46328</v>
      </c>
      <c r="C143" s="54" t="str">
        <f t="shared" si="42"/>
        <v>261-25</v>
      </c>
      <c r="D143" s="29">
        <v>61</v>
      </c>
      <c r="E143" s="7"/>
      <c r="F143" s="2"/>
      <c r="G143" s="7"/>
      <c r="H143" s="2">
        <f t="shared" si="34"/>
        <v>0</v>
      </c>
      <c r="I143" s="3">
        <f t="shared" si="35"/>
        <v>0</v>
      </c>
      <c r="J143" s="8"/>
      <c r="K143" s="8"/>
      <c r="L143" s="8"/>
      <c r="M143" s="8"/>
      <c r="N143" s="8"/>
      <c r="O143" s="8"/>
      <c r="P143" s="2"/>
      <c r="Q143" s="2"/>
      <c r="R143" s="2"/>
      <c r="S143" s="2"/>
      <c r="T143" s="2"/>
      <c r="U143" s="2"/>
      <c r="AM143" s="2"/>
      <c r="AO143" s="2">
        <v>20</v>
      </c>
      <c r="AP143" s="2">
        <v>20</v>
      </c>
      <c r="AQ143" s="2">
        <v>21</v>
      </c>
      <c r="BQ143" s="1">
        <f t="shared" si="38"/>
        <v>61</v>
      </c>
      <c r="BR143" s="1">
        <f t="shared" si="39"/>
        <v>61</v>
      </c>
      <c r="BS143" s="1" t="str">
        <f t="shared" si="40"/>
        <v>261-25</v>
      </c>
      <c r="BT143" s="58">
        <f t="shared" si="41"/>
        <v>0</v>
      </c>
    </row>
    <row r="144" spans="1:72" s="16" customFormat="1" x14ac:dyDescent="0.2">
      <c r="A144" s="70" t="s">
        <v>181</v>
      </c>
      <c r="B144" s="21">
        <v>46328</v>
      </c>
      <c r="C144" s="54" t="str">
        <f t="shared" si="42"/>
        <v>262-25</v>
      </c>
      <c r="D144" s="29">
        <v>61</v>
      </c>
      <c r="E144" s="7"/>
      <c r="F144" s="2"/>
      <c r="G144" s="7"/>
      <c r="H144" s="2">
        <f t="shared" si="34"/>
        <v>0</v>
      </c>
      <c r="I144" s="3">
        <f t="shared" si="35"/>
        <v>0</v>
      </c>
      <c r="J144" s="8"/>
      <c r="K144" s="8"/>
      <c r="L144" s="8"/>
      <c r="M144" s="8"/>
      <c r="N144" s="8"/>
      <c r="O144" s="8"/>
      <c r="P144" s="2"/>
      <c r="Q144" s="2"/>
      <c r="R144" s="2"/>
      <c r="S144" s="2"/>
      <c r="T144" s="2"/>
      <c r="U144" s="2"/>
      <c r="AM144" s="2"/>
      <c r="AO144" s="2">
        <v>20</v>
      </c>
      <c r="AP144" s="2">
        <v>20</v>
      </c>
      <c r="AQ144" s="2">
        <v>21</v>
      </c>
      <c r="BQ144" s="1">
        <f t="shared" si="38"/>
        <v>61</v>
      </c>
      <c r="BR144" s="1">
        <f t="shared" si="39"/>
        <v>61</v>
      </c>
      <c r="BS144" s="1" t="str">
        <f t="shared" si="40"/>
        <v>262-25</v>
      </c>
      <c r="BT144" s="58">
        <f t="shared" si="41"/>
        <v>0</v>
      </c>
    </row>
    <row r="145" spans="1:72" s="16" customFormat="1" x14ac:dyDescent="0.2">
      <c r="A145" s="70" t="s">
        <v>182</v>
      </c>
      <c r="B145" s="21">
        <v>46328</v>
      </c>
      <c r="C145" s="54" t="str">
        <f t="shared" si="42"/>
        <v>263-25</v>
      </c>
      <c r="D145" s="29">
        <v>61</v>
      </c>
      <c r="E145" s="7"/>
      <c r="F145" s="2"/>
      <c r="G145" s="7"/>
      <c r="H145" s="2">
        <f t="shared" si="34"/>
        <v>0</v>
      </c>
      <c r="I145" s="3">
        <f t="shared" si="35"/>
        <v>0</v>
      </c>
      <c r="J145" s="8"/>
      <c r="K145" s="8"/>
      <c r="L145" s="8"/>
      <c r="M145" s="8"/>
      <c r="N145" s="8"/>
      <c r="O145" s="8"/>
      <c r="P145" s="2"/>
      <c r="Q145" s="2"/>
      <c r="R145" s="2"/>
      <c r="S145" s="2"/>
      <c r="T145" s="2"/>
      <c r="U145" s="2"/>
      <c r="AM145" s="2"/>
      <c r="AN145" s="2"/>
      <c r="AP145" s="2">
        <v>20</v>
      </c>
      <c r="AQ145" s="2">
        <v>20</v>
      </c>
      <c r="AR145" s="2">
        <v>21</v>
      </c>
      <c r="BQ145" s="1">
        <f t="shared" si="38"/>
        <v>61</v>
      </c>
      <c r="BR145" s="1">
        <f t="shared" si="39"/>
        <v>61</v>
      </c>
      <c r="BS145" s="1" t="str">
        <f t="shared" si="40"/>
        <v>263-25</v>
      </c>
      <c r="BT145" s="58">
        <f t="shared" si="41"/>
        <v>0</v>
      </c>
    </row>
    <row r="146" spans="1:72" s="16" customFormat="1" x14ac:dyDescent="0.2">
      <c r="A146" s="70" t="s">
        <v>183</v>
      </c>
      <c r="B146" s="21">
        <v>46328</v>
      </c>
      <c r="C146" s="54" t="str">
        <f t="shared" si="42"/>
        <v>264-25</v>
      </c>
      <c r="D146" s="29">
        <v>61</v>
      </c>
      <c r="E146" s="7"/>
      <c r="F146" s="2"/>
      <c r="G146" s="7"/>
      <c r="H146" s="2">
        <f t="shared" si="34"/>
        <v>0</v>
      </c>
      <c r="I146" s="3">
        <f t="shared" si="35"/>
        <v>0</v>
      </c>
      <c r="J146" s="8"/>
      <c r="K146" s="8"/>
      <c r="L146" s="8"/>
      <c r="M146" s="8"/>
      <c r="N146" s="8"/>
      <c r="O146" s="8"/>
      <c r="P146" s="2"/>
      <c r="Q146" s="2"/>
      <c r="R146" s="2"/>
      <c r="S146" s="2"/>
      <c r="T146" s="2"/>
      <c r="U146" s="2"/>
      <c r="AM146" s="2"/>
      <c r="AN146" s="2"/>
      <c r="AP146" s="2">
        <v>20</v>
      </c>
      <c r="AQ146" s="2">
        <v>20</v>
      </c>
      <c r="AR146" s="2">
        <v>21</v>
      </c>
      <c r="BQ146" s="1">
        <f t="shared" si="38"/>
        <v>61</v>
      </c>
      <c r="BR146" s="1">
        <f t="shared" si="39"/>
        <v>61</v>
      </c>
      <c r="BS146" s="1" t="str">
        <f t="shared" si="40"/>
        <v>264-25</v>
      </c>
      <c r="BT146" s="58">
        <f t="shared" si="41"/>
        <v>0</v>
      </c>
    </row>
    <row r="147" spans="1:72" s="16" customFormat="1" x14ac:dyDescent="0.2">
      <c r="A147" s="70" t="s">
        <v>184</v>
      </c>
      <c r="B147" s="21">
        <v>46328</v>
      </c>
      <c r="C147" s="54" t="str">
        <f t="shared" si="42"/>
        <v>265-25</v>
      </c>
      <c r="D147" s="29">
        <v>61</v>
      </c>
      <c r="E147" s="7"/>
      <c r="F147" s="2"/>
      <c r="G147" s="7"/>
      <c r="H147" s="2">
        <f t="shared" si="34"/>
        <v>0</v>
      </c>
      <c r="I147" s="3">
        <f t="shared" si="35"/>
        <v>0</v>
      </c>
      <c r="J147" s="8"/>
      <c r="K147" s="8"/>
      <c r="L147" s="8"/>
      <c r="M147" s="8"/>
      <c r="N147" s="8"/>
      <c r="O147" s="8"/>
      <c r="P147" s="2"/>
      <c r="Q147" s="2"/>
      <c r="R147" s="2"/>
      <c r="S147" s="2"/>
      <c r="T147" s="2"/>
      <c r="U147" s="2"/>
      <c r="AM147" s="2"/>
      <c r="AN147" s="2"/>
      <c r="AP147" s="2">
        <v>20</v>
      </c>
      <c r="AQ147" s="2">
        <v>20</v>
      </c>
      <c r="AR147" s="2">
        <v>21</v>
      </c>
      <c r="BQ147" s="1">
        <f t="shared" si="38"/>
        <v>61</v>
      </c>
      <c r="BR147" s="1">
        <f t="shared" si="39"/>
        <v>61</v>
      </c>
      <c r="BS147" s="1" t="str">
        <f t="shared" si="40"/>
        <v>265-25</v>
      </c>
      <c r="BT147" s="58">
        <f t="shared" si="41"/>
        <v>0</v>
      </c>
    </row>
    <row r="148" spans="1:72" s="16" customFormat="1" x14ac:dyDescent="0.2">
      <c r="A148" s="70" t="s">
        <v>185</v>
      </c>
      <c r="B148" s="21">
        <v>46328</v>
      </c>
      <c r="C148" s="54" t="str">
        <f t="shared" si="42"/>
        <v>266-25</v>
      </c>
      <c r="D148" s="29">
        <v>61</v>
      </c>
      <c r="E148" s="7"/>
      <c r="F148" s="2"/>
      <c r="G148" s="7"/>
      <c r="H148" s="2">
        <f t="shared" si="34"/>
        <v>0</v>
      </c>
      <c r="I148" s="3">
        <f t="shared" si="35"/>
        <v>0</v>
      </c>
      <c r="J148" s="8"/>
      <c r="K148" s="8"/>
      <c r="L148" s="8"/>
      <c r="M148" s="8"/>
      <c r="N148" s="8"/>
      <c r="O148" s="8"/>
      <c r="P148" s="2"/>
      <c r="Q148" s="2"/>
      <c r="R148" s="2"/>
      <c r="S148" s="2"/>
      <c r="T148" s="2"/>
      <c r="U148" s="2"/>
      <c r="AM148" s="2"/>
      <c r="AN148" s="2"/>
      <c r="AP148" s="2">
        <v>20</v>
      </c>
      <c r="AQ148" s="2">
        <v>20</v>
      </c>
      <c r="AR148" s="2">
        <v>21</v>
      </c>
      <c r="BQ148" s="1">
        <f t="shared" si="38"/>
        <v>61</v>
      </c>
      <c r="BR148" s="1">
        <f t="shared" si="39"/>
        <v>61</v>
      </c>
      <c r="BS148" s="1" t="str">
        <f t="shared" si="40"/>
        <v>266-25</v>
      </c>
      <c r="BT148" s="58">
        <f t="shared" si="41"/>
        <v>0</v>
      </c>
    </row>
    <row r="149" spans="1:72" s="16" customFormat="1" x14ac:dyDescent="0.2">
      <c r="A149" s="70" t="s">
        <v>186</v>
      </c>
      <c r="B149" s="21">
        <v>46328</v>
      </c>
      <c r="C149" s="54" t="str">
        <f t="shared" si="42"/>
        <v>267-25</v>
      </c>
      <c r="D149" s="29">
        <v>61</v>
      </c>
      <c r="E149" s="7"/>
      <c r="F149" s="2"/>
      <c r="G149" s="7"/>
      <c r="H149" s="2">
        <f t="shared" si="34"/>
        <v>0</v>
      </c>
      <c r="I149" s="3">
        <f t="shared" si="35"/>
        <v>0</v>
      </c>
      <c r="J149" s="8"/>
      <c r="K149" s="8"/>
      <c r="L149" s="8"/>
      <c r="M149" s="8"/>
      <c r="N149" s="8"/>
      <c r="O149" s="8"/>
      <c r="P149" s="2"/>
      <c r="Q149" s="2"/>
      <c r="R149" s="2"/>
      <c r="S149" s="2"/>
      <c r="T149" s="2"/>
      <c r="U149" s="2"/>
      <c r="AM149" s="2"/>
      <c r="AN149" s="2"/>
      <c r="AP149" s="2">
        <v>20</v>
      </c>
      <c r="AQ149" s="2">
        <v>20</v>
      </c>
      <c r="AR149" s="2">
        <v>21</v>
      </c>
      <c r="BQ149" s="1">
        <f t="shared" si="38"/>
        <v>61</v>
      </c>
      <c r="BR149" s="1">
        <f t="shared" si="39"/>
        <v>61</v>
      </c>
      <c r="BS149" s="1" t="str">
        <f t="shared" si="40"/>
        <v>267-25</v>
      </c>
      <c r="BT149" s="58">
        <f t="shared" si="41"/>
        <v>0</v>
      </c>
    </row>
    <row r="150" spans="1:72" s="16" customFormat="1" x14ac:dyDescent="0.2">
      <c r="A150" s="70" t="s">
        <v>187</v>
      </c>
      <c r="B150" s="21">
        <v>46328</v>
      </c>
      <c r="C150" s="54" t="str">
        <f t="shared" si="42"/>
        <v>268-25</v>
      </c>
      <c r="D150" s="29">
        <v>61</v>
      </c>
      <c r="E150" s="7"/>
      <c r="F150" s="2"/>
      <c r="G150" s="7"/>
      <c r="H150" s="2">
        <f t="shared" si="34"/>
        <v>0</v>
      </c>
      <c r="I150" s="3">
        <f t="shared" si="35"/>
        <v>0</v>
      </c>
      <c r="J150" s="8"/>
      <c r="K150" s="8"/>
      <c r="L150" s="8"/>
      <c r="M150" s="8"/>
      <c r="N150" s="8"/>
      <c r="O150" s="8"/>
      <c r="P150" s="2"/>
      <c r="Q150" s="2"/>
      <c r="R150" s="2"/>
      <c r="S150" s="2"/>
      <c r="T150" s="2"/>
      <c r="U150" s="2"/>
      <c r="AM150" s="2"/>
      <c r="AN150" s="2"/>
      <c r="AO150" s="2"/>
      <c r="AQ150" s="2">
        <v>20</v>
      </c>
      <c r="AR150" s="2">
        <v>20</v>
      </c>
      <c r="AS150" s="2">
        <v>21</v>
      </c>
      <c r="BQ150" s="1">
        <f t="shared" si="38"/>
        <v>61</v>
      </c>
      <c r="BR150" s="1">
        <f t="shared" si="39"/>
        <v>61</v>
      </c>
      <c r="BS150" s="1" t="str">
        <f t="shared" si="40"/>
        <v>268-25</v>
      </c>
      <c r="BT150" s="58">
        <f t="shared" si="41"/>
        <v>0</v>
      </c>
    </row>
    <row r="151" spans="1:72" s="16" customFormat="1" x14ac:dyDescent="0.2">
      <c r="A151" s="70" t="s">
        <v>188</v>
      </c>
      <c r="B151" s="21">
        <v>46328</v>
      </c>
      <c r="C151" s="54" t="str">
        <f t="shared" si="42"/>
        <v>269-25</v>
      </c>
      <c r="D151" s="29">
        <v>61</v>
      </c>
      <c r="E151" s="7"/>
      <c r="F151" s="2"/>
      <c r="G151" s="7"/>
      <c r="H151" s="2">
        <f t="shared" si="34"/>
        <v>0</v>
      </c>
      <c r="I151" s="3">
        <f t="shared" si="35"/>
        <v>0</v>
      </c>
      <c r="J151" s="8"/>
      <c r="K151" s="8"/>
      <c r="L151" s="8"/>
      <c r="M151" s="8"/>
      <c r="N151" s="8"/>
      <c r="O151" s="8"/>
      <c r="P151" s="2"/>
      <c r="Q151" s="2"/>
      <c r="R151" s="2"/>
      <c r="S151" s="2"/>
      <c r="T151" s="2"/>
      <c r="U151" s="2"/>
      <c r="AM151" s="2"/>
      <c r="AN151" s="2"/>
      <c r="AO151" s="2"/>
      <c r="AQ151" s="2">
        <v>20</v>
      </c>
      <c r="AR151" s="2">
        <v>20</v>
      </c>
      <c r="AS151" s="2">
        <v>21</v>
      </c>
      <c r="BQ151" s="1">
        <f t="shared" si="38"/>
        <v>61</v>
      </c>
      <c r="BR151" s="1">
        <f t="shared" si="39"/>
        <v>61</v>
      </c>
      <c r="BS151" s="1" t="str">
        <f t="shared" si="40"/>
        <v>269-25</v>
      </c>
      <c r="BT151" s="58">
        <f t="shared" si="41"/>
        <v>0</v>
      </c>
    </row>
    <row r="152" spans="1:72" s="16" customFormat="1" x14ac:dyDescent="0.2">
      <c r="A152" s="70" t="s">
        <v>189</v>
      </c>
      <c r="B152" s="21">
        <v>46328</v>
      </c>
      <c r="C152" s="54" t="str">
        <f t="shared" si="42"/>
        <v>270-25</v>
      </c>
      <c r="D152" s="29">
        <v>61</v>
      </c>
      <c r="E152" s="7"/>
      <c r="F152" s="2"/>
      <c r="G152" s="7"/>
      <c r="H152" s="2">
        <f t="shared" si="34"/>
        <v>0</v>
      </c>
      <c r="I152" s="3">
        <f t="shared" si="35"/>
        <v>0</v>
      </c>
      <c r="J152" s="8"/>
      <c r="K152" s="8"/>
      <c r="L152" s="8"/>
      <c r="M152" s="8"/>
      <c r="N152" s="8"/>
      <c r="O152" s="8"/>
      <c r="P152" s="2"/>
      <c r="Q152" s="2"/>
      <c r="R152" s="2"/>
      <c r="S152" s="2"/>
      <c r="T152" s="2"/>
      <c r="U152" s="2"/>
      <c r="AM152" s="2"/>
      <c r="AN152" s="2"/>
      <c r="AO152" s="2"/>
      <c r="AQ152" s="2">
        <v>20</v>
      </c>
      <c r="AR152" s="2">
        <v>20</v>
      </c>
      <c r="AS152" s="2">
        <v>21</v>
      </c>
      <c r="BQ152" s="1">
        <f t="shared" si="38"/>
        <v>61</v>
      </c>
      <c r="BR152" s="1">
        <f t="shared" si="39"/>
        <v>61</v>
      </c>
      <c r="BS152" s="1" t="str">
        <f t="shared" si="40"/>
        <v>270-25</v>
      </c>
      <c r="BT152" s="58">
        <f t="shared" si="41"/>
        <v>0</v>
      </c>
    </row>
    <row r="153" spans="1:72" s="16" customFormat="1" x14ac:dyDescent="0.2">
      <c r="A153" s="70" t="s">
        <v>190</v>
      </c>
      <c r="B153" s="21">
        <v>46328</v>
      </c>
      <c r="C153" s="54" t="str">
        <f t="shared" si="42"/>
        <v>271-25</v>
      </c>
      <c r="D153" s="29">
        <v>61</v>
      </c>
      <c r="E153" s="7"/>
      <c r="F153" s="2"/>
      <c r="G153" s="7"/>
      <c r="H153" s="2">
        <f t="shared" si="34"/>
        <v>0</v>
      </c>
      <c r="I153" s="3">
        <f t="shared" si="35"/>
        <v>0</v>
      </c>
      <c r="J153" s="8"/>
      <c r="K153" s="8"/>
      <c r="L153" s="8"/>
      <c r="M153" s="8"/>
      <c r="N153" s="8"/>
      <c r="O153" s="8"/>
      <c r="P153" s="2"/>
      <c r="Q153" s="2"/>
      <c r="R153" s="2"/>
      <c r="S153" s="2"/>
      <c r="T153" s="2"/>
      <c r="U153" s="2"/>
      <c r="AM153" s="2"/>
      <c r="AN153" s="2"/>
      <c r="AO153" s="2"/>
      <c r="AQ153" s="2">
        <v>20</v>
      </c>
      <c r="AR153" s="2">
        <v>20</v>
      </c>
      <c r="AS153" s="2">
        <v>21</v>
      </c>
      <c r="BQ153" s="1">
        <f t="shared" si="38"/>
        <v>61</v>
      </c>
      <c r="BR153" s="1">
        <f t="shared" si="39"/>
        <v>61</v>
      </c>
      <c r="BS153" s="1" t="str">
        <f t="shared" si="40"/>
        <v>271-25</v>
      </c>
      <c r="BT153" s="58">
        <f t="shared" si="41"/>
        <v>0</v>
      </c>
    </row>
    <row r="154" spans="1:72" s="16" customFormat="1" x14ac:dyDescent="0.2">
      <c r="A154" s="70" t="s">
        <v>191</v>
      </c>
      <c r="B154" s="21">
        <v>46328</v>
      </c>
      <c r="C154" s="54" t="str">
        <f t="shared" si="42"/>
        <v>272-25</v>
      </c>
      <c r="D154" s="29">
        <v>61</v>
      </c>
      <c r="E154" s="7"/>
      <c r="F154" s="2"/>
      <c r="G154" s="7"/>
      <c r="H154" s="2">
        <f t="shared" si="34"/>
        <v>0</v>
      </c>
      <c r="I154" s="3">
        <f t="shared" si="35"/>
        <v>0</v>
      </c>
      <c r="J154" s="8"/>
      <c r="K154" s="8"/>
      <c r="L154" s="8"/>
      <c r="M154" s="8"/>
      <c r="N154" s="8"/>
      <c r="O154" s="8"/>
      <c r="P154" s="2"/>
      <c r="Q154" s="2"/>
      <c r="R154" s="2"/>
      <c r="S154" s="2"/>
      <c r="T154" s="2"/>
      <c r="U154" s="2"/>
      <c r="AM154" s="2"/>
      <c r="AN154" s="2"/>
      <c r="AO154" s="2"/>
      <c r="AQ154" s="2">
        <v>20</v>
      </c>
      <c r="AR154" s="2">
        <v>20</v>
      </c>
      <c r="AS154" s="2">
        <v>21</v>
      </c>
      <c r="BQ154" s="1">
        <f t="shared" si="38"/>
        <v>61</v>
      </c>
      <c r="BR154" s="1">
        <f t="shared" si="39"/>
        <v>61</v>
      </c>
      <c r="BS154" s="1" t="str">
        <f t="shared" si="40"/>
        <v>272-25</v>
      </c>
      <c r="BT154" s="58">
        <f t="shared" si="41"/>
        <v>0</v>
      </c>
    </row>
    <row r="155" spans="1:72" s="16" customFormat="1" x14ac:dyDescent="0.2">
      <c r="A155" s="70" t="s">
        <v>192</v>
      </c>
      <c r="B155" s="21">
        <v>46328</v>
      </c>
      <c r="C155" s="54" t="str">
        <f t="shared" si="42"/>
        <v>273-25</v>
      </c>
      <c r="D155" s="29">
        <v>61</v>
      </c>
      <c r="E155" s="7"/>
      <c r="F155" s="2"/>
      <c r="G155" s="7"/>
      <c r="H155" s="2">
        <f t="shared" si="34"/>
        <v>0</v>
      </c>
      <c r="I155" s="3">
        <f t="shared" si="35"/>
        <v>0</v>
      </c>
      <c r="J155" s="8"/>
      <c r="K155" s="8"/>
      <c r="L155" s="8"/>
      <c r="M155" s="8"/>
      <c r="N155" s="8"/>
      <c r="O155" s="8"/>
      <c r="P155" s="2"/>
      <c r="Q155" s="2"/>
      <c r="R155" s="2"/>
      <c r="S155" s="2"/>
      <c r="T155" s="2"/>
      <c r="U155" s="2"/>
      <c r="AM155" s="2"/>
      <c r="AN155" s="2"/>
      <c r="AO155" s="2"/>
      <c r="AS155" s="2">
        <v>20</v>
      </c>
      <c r="AT155" s="2">
        <v>20</v>
      </c>
      <c r="AU155" s="2">
        <v>21</v>
      </c>
      <c r="BQ155" s="1">
        <f t="shared" si="38"/>
        <v>61</v>
      </c>
      <c r="BR155" s="1">
        <f t="shared" si="39"/>
        <v>61</v>
      </c>
      <c r="BS155" s="1" t="str">
        <f t="shared" si="40"/>
        <v>273-25</v>
      </c>
      <c r="BT155" s="58">
        <f t="shared" si="41"/>
        <v>0</v>
      </c>
    </row>
    <row r="156" spans="1:72" s="16" customFormat="1" x14ac:dyDescent="0.2">
      <c r="A156" s="70" t="s">
        <v>193</v>
      </c>
      <c r="B156" s="21">
        <v>46328</v>
      </c>
      <c r="C156" s="54" t="str">
        <f t="shared" si="42"/>
        <v>274-25</v>
      </c>
      <c r="D156" s="29">
        <v>61</v>
      </c>
      <c r="E156" s="7"/>
      <c r="F156" s="2"/>
      <c r="G156" s="7"/>
      <c r="H156" s="2">
        <f t="shared" si="34"/>
        <v>0</v>
      </c>
      <c r="I156" s="3">
        <f t="shared" si="35"/>
        <v>0</v>
      </c>
      <c r="J156" s="8"/>
      <c r="K156" s="8"/>
      <c r="L156" s="8"/>
      <c r="M156" s="8"/>
      <c r="N156" s="8"/>
      <c r="O156" s="8"/>
      <c r="P156" s="2"/>
      <c r="Q156" s="2"/>
      <c r="R156" s="2"/>
      <c r="S156" s="2"/>
      <c r="T156" s="2"/>
      <c r="U156" s="2"/>
      <c r="AM156" s="2"/>
      <c r="AN156" s="2"/>
      <c r="AO156" s="2"/>
      <c r="AS156" s="2">
        <v>20</v>
      </c>
      <c r="AT156" s="2">
        <v>20</v>
      </c>
      <c r="AU156" s="2">
        <v>21</v>
      </c>
      <c r="BQ156" s="1">
        <f t="shared" si="38"/>
        <v>61</v>
      </c>
      <c r="BR156" s="1">
        <f t="shared" si="39"/>
        <v>61</v>
      </c>
      <c r="BS156" s="1" t="str">
        <f t="shared" si="40"/>
        <v>274-25</v>
      </c>
      <c r="BT156" s="58">
        <f t="shared" si="41"/>
        <v>0</v>
      </c>
    </row>
    <row r="157" spans="1:72" s="16" customFormat="1" x14ac:dyDescent="0.2">
      <c r="A157" s="70" t="s">
        <v>194</v>
      </c>
      <c r="B157" s="21">
        <v>46328</v>
      </c>
      <c r="C157" s="54" t="str">
        <f t="shared" si="42"/>
        <v>275-25</v>
      </c>
      <c r="D157" s="29">
        <v>61</v>
      </c>
      <c r="E157" s="7"/>
      <c r="F157" s="2"/>
      <c r="G157" s="7"/>
      <c r="H157" s="2">
        <f t="shared" si="34"/>
        <v>0</v>
      </c>
      <c r="I157" s="3">
        <f t="shared" si="35"/>
        <v>0</v>
      </c>
      <c r="J157" s="8"/>
      <c r="K157" s="8"/>
      <c r="L157" s="8"/>
      <c r="M157" s="8"/>
      <c r="N157" s="8"/>
      <c r="O157" s="8"/>
      <c r="P157" s="2"/>
      <c r="Q157" s="2"/>
      <c r="R157" s="2"/>
      <c r="S157" s="2"/>
      <c r="T157" s="2"/>
      <c r="U157" s="2"/>
      <c r="AM157" s="2"/>
      <c r="AN157" s="2"/>
      <c r="AO157" s="2"/>
      <c r="AS157" s="2">
        <v>20</v>
      </c>
      <c r="AT157" s="2">
        <v>20</v>
      </c>
      <c r="AU157" s="2">
        <v>21</v>
      </c>
      <c r="BQ157" s="1">
        <f t="shared" si="38"/>
        <v>61</v>
      </c>
      <c r="BR157" s="1">
        <f t="shared" si="39"/>
        <v>61</v>
      </c>
      <c r="BS157" s="1" t="str">
        <f t="shared" si="40"/>
        <v>275-25</v>
      </c>
      <c r="BT157" s="58">
        <f t="shared" si="41"/>
        <v>0</v>
      </c>
    </row>
    <row r="158" spans="1:72" s="16" customFormat="1" x14ac:dyDescent="0.2">
      <c r="A158" s="70" t="s">
        <v>195</v>
      </c>
      <c r="B158" s="21">
        <v>46328</v>
      </c>
      <c r="C158" s="54" t="str">
        <f t="shared" si="42"/>
        <v>276-25</v>
      </c>
      <c r="D158" s="29">
        <v>61</v>
      </c>
      <c r="E158" s="7"/>
      <c r="F158" s="2"/>
      <c r="G158" s="7"/>
      <c r="H158" s="2">
        <f t="shared" si="34"/>
        <v>0</v>
      </c>
      <c r="I158" s="3">
        <f t="shared" si="35"/>
        <v>0</v>
      </c>
      <c r="J158" s="8"/>
      <c r="K158" s="8"/>
      <c r="L158" s="8"/>
      <c r="M158" s="8"/>
      <c r="N158" s="8"/>
      <c r="O158" s="8"/>
      <c r="P158" s="2"/>
      <c r="Q158" s="2"/>
      <c r="R158" s="2"/>
      <c r="S158" s="2"/>
      <c r="T158" s="2"/>
      <c r="U158" s="2"/>
      <c r="AM158" s="2"/>
      <c r="AN158" s="2"/>
      <c r="AO158" s="2"/>
      <c r="AS158" s="2">
        <v>20</v>
      </c>
      <c r="AT158" s="2">
        <v>20</v>
      </c>
      <c r="AU158" s="2">
        <v>21</v>
      </c>
      <c r="BQ158" s="1">
        <f t="shared" si="38"/>
        <v>61</v>
      </c>
      <c r="BR158" s="1">
        <f t="shared" si="39"/>
        <v>61</v>
      </c>
      <c r="BS158" s="1" t="str">
        <f t="shared" si="40"/>
        <v>276-25</v>
      </c>
      <c r="BT158" s="58">
        <f t="shared" si="41"/>
        <v>0</v>
      </c>
    </row>
    <row r="159" spans="1:72" s="16" customFormat="1" x14ac:dyDescent="0.2">
      <c r="A159" s="70" t="s">
        <v>196</v>
      </c>
      <c r="B159" s="21">
        <v>46328</v>
      </c>
      <c r="C159" s="54" t="str">
        <f t="shared" si="42"/>
        <v>277-25</v>
      </c>
      <c r="D159" s="29">
        <v>61</v>
      </c>
      <c r="E159" s="7"/>
      <c r="F159" s="2"/>
      <c r="G159" s="7"/>
      <c r="H159" s="2">
        <f t="shared" si="34"/>
        <v>0</v>
      </c>
      <c r="I159" s="3">
        <f t="shared" si="35"/>
        <v>0</v>
      </c>
      <c r="J159" s="8"/>
      <c r="K159" s="8"/>
      <c r="L159" s="8"/>
      <c r="M159" s="8"/>
      <c r="N159" s="8"/>
      <c r="O159" s="8"/>
      <c r="P159" s="2"/>
      <c r="Q159" s="2"/>
      <c r="R159" s="2"/>
      <c r="S159" s="2"/>
      <c r="T159" s="2"/>
      <c r="U159" s="2"/>
      <c r="AM159" s="2"/>
      <c r="AN159" s="2"/>
      <c r="AO159" s="2"/>
      <c r="AS159" s="2">
        <v>20</v>
      </c>
      <c r="AT159" s="2">
        <v>20</v>
      </c>
      <c r="AU159" s="2">
        <v>21</v>
      </c>
      <c r="BQ159" s="1">
        <f t="shared" si="38"/>
        <v>61</v>
      </c>
      <c r="BR159" s="1">
        <f t="shared" si="39"/>
        <v>61</v>
      </c>
      <c r="BS159" s="1" t="str">
        <f t="shared" si="40"/>
        <v>277-25</v>
      </c>
      <c r="BT159" s="58">
        <f t="shared" si="41"/>
        <v>0</v>
      </c>
    </row>
    <row r="160" spans="1:72" s="16" customFormat="1" x14ac:dyDescent="0.2">
      <c r="A160" s="70" t="s">
        <v>197</v>
      </c>
      <c r="B160" s="21">
        <v>46328</v>
      </c>
      <c r="C160" s="54" t="str">
        <f t="shared" si="42"/>
        <v>278-25</v>
      </c>
      <c r="D160" s="29">
        <v>61</v>
      </c>
      <c r="E160" s="7"/>
      <c r="F160" s="2"/>
      <c r="G160" s="7"/>
      <c r="H160" s="2">
        <f t="shared" si="34"/>
        <v>0</v>
      </c>
      <c r="I160" s="3">
        <f t="shared" si="35"/>
        <v>0</v>
      </c>
      <c r="J160" s="8"/>
      <c r="K160" s="8"/>
      <c r="L160" s="8"/>
      <c r="M160" s="8"/>
      <c r="N160" s="8"/>
      <c r="O160" s="8"/>
      <c r="P160" s="2"/>
      <c r="Q160" s="2"/>
      <c r="R160" s="2"/>
      <c r="S160" s="2"/>
      <c r="T160" s="2"/>
      <c r="U160" s="2"/>
      <c r="AM160" s="2"/>
      <c r="AN160" s="2"/>
      <c r="AO160" s="2"/>
      <c r="AT160" s="2">
        <v>20</v>
      </c>
      <c r="AU160" s="2">
        <v>20</v>
      </c>
      <c r="AV160" s="2">
        <v>21</v>
      </c>
      <c r="AZ160" s="67"/>
      <c r="BQ160" s="1">
        <f t="shared" si="38"/>
        <v>61</v>
      </c>
      <c r="BR160" s="1">
        <f t="shared" si="39"/>
        <v>61</v>
      </c>
      <c r="BS160" s="1" t="str">
        <f t="shared" si="40"/>
        <v>278-25</v>
      </c>
      <c r="BT160" s="58">
        <f t="shared" si="41"/>
        <v>0</v>
      </c>
    </row>
    <row r="161" spans="1:72" s="16" customFormat="1" x14ac:dyDescent="0.2">
      <c r="A161" s="70" t="s">
        <v>198</v>
      </c>
      <c r="B161" s="21">
        <v>46328</v>
      </c>
      <c r="C161" s="54" t="str">
        <f t="shared" si="42"/>
        <v>279-25</v>
      </c>
      <c r="D161" s="29">
        <v>61</v>
      </c>
      <c r="E161" s="7"/>
      <c r="F161" s="2"/>
      <c r="G161" s="7"/>
      <c r="H161" s="2">
        <f t="shared" si="34"/>
        <v>0</v>
      </c>
      <c r="I161" s="3">
        <f t="shared" si="35"/>
        <v>0</v>
      </c>
      <c r="J161" s="8"/>
      <c r="K161" s="8"/>
      <c r="L161" s="8"/>
      <c r="M161" s="8"/>
      <c r="N161" s="8"/>
      <c r="O161" s="8"/>
      <c r="P161" s="2"/>
      <c r="Q161" s="2"/>
      <c r="R161" s="2"/>
      <c r="S161" s="2"/>
      <c r="T161" s="2"/>
      <c r="U161" s="2"/>
      <c r="AM161" s="2"/>
      <c r="AN161" s="2"/>
      <c r="AO161" s="2"/>
      <c r="AT161" s="2">
        <v>20</v>
      </c>
      <c r="AU161" s="2">
        <v>20</v>
      </c>
      <c r="AV161" s="2">
        <v>21</v>
      </c>
      <c r="AZ161" s="67"/>
      <c r="BQ161" s="1">
        <f t="shared" si="38"/>
        <v>61</v>
      </c>
      <c r="BR161" s="1">
        <f t="shared" si="39"/>
        <v>61</v>
      </c>
      <c r="BS161" s="1" t="str">
        <f t="shared" si="40"/>
        <v>279-25</v>
      </c>
      <c r="BT161" s="58">
        <f t="shared" si="41"/>
        <v>0</v>
      </c>
    </row>
    <row r="162" spans="1:72" s="16" customFormat="1" x14ac:dyDescent="0.2">
      <c r="A162" s="70" t="s">
        <v>199</v>
      </c>
      <c r="B162" s="21">
        <v>46328</v>
      </c>
      <c r="C162" s="54" t="str">
        <f t="shared" si="42"/>
        <v>280-25</v>
      </c>
      <c r="D162" s="29">
        <v>61</v>
      </c>
      <c r="E162" s="7"/>
      <c r="F162" s="2"/>
      <c r="G162" s="7"/>
      <c r="H162" s="2">
        <f t="shared" si="34"/>
        <v>0</v>
      </c>
      <c r="I162" s="3">
        <f t="shared" si="35"/>
        <v>0</v>
      </c>
      <c r="J162" s="8"/>
      <c r="K162" s="8"/>
      <c r="L162" s="8"/>
      <c r="M162" s="8"/>
      <c r="N162" s="8"/>
      <c r="O162" s="8"/>
      <c r="P162" s="2"/>
      <c r="Q162" s="2"/>
      <c r="R162" s="2"/>
      <c r="S162" s="2"/>
      <c r="T162" s="2"/>
      <c r="U162" s="2"/>
      <c r="AM162" s="2"/>
      <c r="AN162" s="2"/>
      <c r="AO162" s="2"/>
      <c r="AT162" s="2">
        <v>20</v>
      </c>
      <c r="AU162" s="2">
        <v>20</v>
      </c>
      <c r="AV162" s="2">
        <v>21</v>
      </c>
      <c r="AZ162" s="67"/>
      <c r="BQ162" s="1">
        <f t="shared" si="38"/>
        <v>61</v>
      </c>
      <c r="BR162" s="1">
        <f t="shared" si="39"/>
        <v>61</v>
      </c>
      <c r="BS162" s="1" t="str">
        <f t="shared" si="40"/>
        <v>280-25</v>
      </c>
      <c r="BT162" s="58">
        <f t="shared" si="41"/>
        <v>0</v>
      </c>
    </row>
    <row r="163" spans="1:72" s="16" customFormat="1" x14ac:dyDescent="0.2">
      <c r="A163" s="70" t="s">
        <v>200</v>
      </c>
      <c r="B163" s="21">
        <v>46328</v>
      </c>
      <c r="C163" s="54" t="str">
        <f t="shared" si="42"/>
        <v>281-25</v>
      </c>
      <c r="D163" s="29">
        <v>61</v>
      </c>
      <c r="E163" s="7"/>
      <c r="F163" s="2"/>
      <c r="G163" s="7"/>
      <c r="H163" s="2">
        <f t="shared" si="34"/>
        <v>0</v>
      </c>
      <c r="I163" s="3">
        <f t="shared" si="35"/>
        <v>0</v>
      </c>
      <c r="J163" s="8"/>
      <c r="K163" s="8"/>
      <c r="L163" s="8"/>
      <c r="M163" s="8"/>
      <c r="N163" s="8"/>
      <c r="O163" s="8"/>
      <c r="P163" s="2"/>
      <c r="Q163" s="2"/>
      <c r="R163" s="2"/>
      <c r="S163" s="2"/>
      <c r="T163" s="2"/>
      <c r="U163" s="2"/>
      <c r="AM163" s="2"/>
      <c r="AN163" s="2"/>
      <c r="AO163" s="2"/>
      <c r="AT163" s="2">
        <v>20</v>
      </c>
      <c r="AU163" s="2">
        <v>20</v>
      </c>
      <c r="AV163" s="2">
        <v>21</v>
      </c>
      <c r="AZ163" s="67"/>
      <c r="BQ163" s="1">
        <f t="shared" si="38"/>
        <v>61</v>
      </c>
      <c r="BR163" s="1">
        <f t="shared" si="39"/>
        <v>61</v>
      </c>
      <c r="BS163" s="1" t="str">
        <f t="shared" si="40"/>
        <v>281-25</v>
      </c>
      <c r="BT163" s="58">
        <f t="shared" si="41"/>
        <v>0</v>
      </c>
    </row>
    <row r="164" spans="1:72" s="16" customFormat="1" x14ac:dyDescent="0.2">
      <c r="A164" s="70" t="s">
        <v>201</v>
      </c>
      <c r="B164" s="21">
        <v>46328</v>
      </c>
      <c r="C164" s="54" t="str">
        <f t="shared" si="42"/>
        <v>282-25</v>
      </c>
      <c r="D164" s="29">
        <v>61</v>
      </c>
      <c r="E164" s="7"/>
      <c r="F164" s="2"/>
      <c r="G164" s="7"/>
      <c r="H164" s="2">
        <f t="shared" si="34"/>
        <v>0</v>
      </c>
      <c r="I164" s="3">
        <f t="shared" si="35"/>
        <v>0</v>
      </c>
      <c r="J164" s="8"/>
      <c r="K164" s="8"/>
      <c r="L164" s="8"/>
      <c r="M164" s="8"/>
      <c r="N164" s="8"/>
      <c r="O164" s="8"/>
      <c r="P164" s="2"/>
      <c r="Q164" s="2"/>
      <c r="R164" s="2"/>
      <c r="S164" s="2"/>
      <c r="T164" s="2"/>
      <c r="U164" s="2"/>
      <c r="AM164" s="2"/>
      <c r="AN164" s="2"/>
      <c r="AO164" s="2"/>
      <c r="AT164" s="2">
        <v>20</v>
      </c>
      <c r="AU164" s="2">
        <v>20</v>
      </c>
      <c r="AV164" s="2">
        <v>21</v>
      </c>
      <c r="AZ164" s="67"/>
      <c r="BQ164" s="1">
        <f t="shared" si="38"/>
        <v>61</v>
      </c>
      <c r="BR164" s="1">
        <f t="shared" si="39"/>
        <v>61</v>
      </c>
      <c r="BS164" s="1" t="str">
        <f t="shared" si="40"/>
        <v>282-25</v>
      </c>
      <c r="BT164" s="58">
        <f t="shared" si="41"/>
        <v>0</v>
      </c>
    </row>
    <row r="165" spans="1:72" s="16" customFormat="1" x14ac:dyDescent="0.2">
      <c r="A165" s="70" t="s">
        <v>202</v>
      </c>
      <c r="B165" s="21">
        <v>46328</v>
      </c>
      <c r="C165" s="54" t="str">
        <f t="shared" si="42"/>
        <v>283-25</v>
      </c>
      <c r="D165" s="29">
        <v>61</v>
      </c>
      <c r="E165" s="7"/>
      <c r="F165" s="2"/>
      <c r="G165" s="7"/>
      <c r="H165" s="2">
        <f t="shared" si="34"/>
        <v>0</v>
      </c>
      <c r="I165" s="3">
        <f t="shared" si="35"/>
        <v>0</v>
      </c>
      <c r="J165" s="8"/>
      <c r="K165" s="8"/>
      <c r="L165" s="8"/>
      <c r="M165" s="8"/>
      <c r="N165" s="8"/>
      <c r="O165" s="8"/>
      <c r="P165" s="2"/>
      <c r="Q165" s="2"/>
      <c r="R165" s="2"/>
      <c r="S165" s="2"/>
      <c r="T165" s="2"/>
      <c r="U165" s="2"/>
      <c r="AM165" s="2"/>
      <c r="AN165" s="2"/>
      <c r="AO165" s="2"/>
      <c r="AU165" s="2">
        <v>20</v>
      </c>
      <c r="AV165" s="2">
        <v>20</v>
      </c>
      <c r="AW165" s="2">
        <v>21</v>
      </c>
      <c r="AZ165" s="67"/>
      <c r="BQ165" s="1">
        <f t="shared" si="38"/>
        <v>61</v>
      </c>
      <c r="BR165" s="1">
        <f t="shared" si="39"/>
        <v>61</v>
      </c>
      <c r="BS165" s="1" t="str">
        <f t="shared" si="40"/>
        <v>283-25</v>
      </c>
      <c r="BT165" s="58">
        <f t="shared" si="41"/>
        <v>0</v>
      </c>
    </row>
    <row r="166" spans="1:72" s="16" customFormat="1" x14ac:dyDescent="0.2">
      <c r="A166" s="71" t="s">
        <v>203</v>
      </c>
      <c r="B166" s="21">
        <v>46377</v>
      </c>
      <c r="C166" s="54" t="str">
        <f t="shared" si="42"/>
        <v>284-25</v>
      </c>
      <c r="D166" s="29">
        <v>61</v>
      </c>
      <c r="E166" s="7"/>
      <c r="F166" s="2"/>
      <c r="G166" s="7"/>
      <c r="H166" s="2">
        <f t="shared" ref="H166:H229" si="43">E166+G166</f>
        <v>0</v>
      </c>
      <c r="I166" s="3">
        <f t="shared" ref="I166:I229" si="44">H166/D166</f>
        <v>0</v>
      </c>
      <c r="J166" s="8"/>
      <c r="K166" s="8"/>
      <c r="L166" s="8"/>
      <c r="M166" s="8"/>
      <c r="N166" s="8"/>
      <c r="O166" s="8"/>
      <c r="P166" s="2"/>
      <c r="Q166" s="2"/>
      <c r="R166" s="2"/>
      <c r="S166" s="2"/>
      <c r="T166" s="2"/>
      <c r="U166" s="2"/>
      <c r="AM166" s="2"/>
      <c r="AN166" s="2"/>
      <c r="AO166" s="2"/>
      <c r="AU166" s="2">
        <v>20</v>
      </c>
      <c r="AV166" s="2">
        <v>20</v>
      </c>
      <c r="AW166" s="2">
        <v>21</v>
      </c>
      <c r="BQ166" s="1">
        <f t="shared" si="38"/>
        <v>61</v>
      </c>
      <c r="BR166" s="1">
        <f t="shared" ref="BR166:BR197" si="45">D166-H166</f>
        <v>61</v>
      </c>
      <c r="BS166" s="1" t="str">
        <f t="shared" ref="BS166:BS197" si="46">C166</f>
        <v>284-25</v>
      </c>
      <c r="BT166" s="58">
        <f t="shared" si="41"/>
        <v>0</v>
      </c>
    </row>
    <row r="167" spans="1:72" s="16" customFormat="1" x14ac:dyDescent="0.2">
      <c r="A167" s="71" t="s">
        <v>204</v>
      </c>
      <c r="B167" s="21">
        <v>46377</v>
      </c>
      <c r="C167" s="54" t="str">
        <f t="shared" si="42"/>
        <v>285-25</v>
      </c>
      <c r="D167" s="29">
        <v>61</v>
      </c>
      <c r="E167" s="7"/>
      <c r="F167" s="2"/>
      <c r="G167" s="7"/>
      <c r="H167" s="2">
        <f t="shared" si="43"/>
        <v>0</v>
      </c>
      <c r="I167" s="3">
        <f t="shared" si="44"/>
        <v>0</v>
      </c>
      <c r="J167" s="8"/>
      <c r="K167" s="8"/>
      <c r="L167" s="8"/>
      <c r="M167" s="8"/>
      <c r="N167" s="8"/>
      <c r="O167" s="8"/>
      <c r="P167" s="2"/>
      <c r="Q167" s="2"/>
      <c r="R167" s="2"/>
      <c r="S167" s="2"/>
      <c r="T167" s="2"/>
      <c r="U167" s="2"/>
      <c r="AM167" s="2"/>
      <c r="AN167" s="2"/>
      <c r="AO167" s="2"/>
      <c r="AU167" s="2">
        <v>20</v>
      </c>
      <c r="AV167" s="2">
        <v>20</v>
      </c>
      <c r="AW167" s="2">
        <v>21</v>
      </c>
      <c r="BQ167" s="1">
        <f t="shared" si="38"/>
        <v>61</v>
      </c>
      <c r="BR167" s="1">
        <f t="shared" si="45"/>
        <v>61</v>
      </c>
      <c r="BS167" s="1" t="str">
        <f t="shared" si="46"/>
        <v>285-25</v>
      </c>
      <c r="BT167" s="58">
        <f t="shared" si="41"/>
        <v>0</v>
      </c>
    </row>
    <row r="168" spans="1:72" s="16" customFormat="1" x14ac:dyDescent="0.2">
      <c r="A168" s="71" t="s">
        <v>205</v>
      </c>
      <c r="B168" s="21">
        <v>46377</v>
      </c>
      <c r="C168" s="54" t="str">
        <f t="shared" si="42"/>
        <v>286-25</v>
      </c>
      <c r="D168" s="29">
        <v>61</v>
      </c>
      <c r="E168" s="7"/>
      <c r="F168" s="2"/>
      <c r="G168" s="7"/>
      <c r="H168" s="2">
        <f t="shared" si="43"/>
        <v>0</v>
      </c>
      <c r="I168" s="3">
        <f t="shared" si="44"/>
        <v>0</v>
      </c>
      <c r="J168" s="8"/>
      <c r="K168" s="8"/>
      <c r="L168" s="8"/>
      <c r="M168" s="8"/>
      <c r="N168" s="8"/>
      <c r="O168" s="8"/>
      <c r="P168" s="2"/>
      <c r="Q168" s="2"/>
      <c r="R168" s="2"/>
      <c r="S168" s="2"/>
      <c r="T168" s="2"/>
      <c r="U168" s="2"/>
      <c r="AM168" s="2"/>
      <c r="AN168" s="2"/>
      <c r="AO168" s="2"/>
      <c r="AU168" s="2">
        <v>20</v>
      </c>
      <c r="AV168" s="2">
        <v>20</v>
      </c>
      <c r="AW168" s="2">
        <v>21</v>
      </c>
      <c r="BQ168" s="1">
        <f t="shared" si="38"/>
        <v>61</v>
      </c>
      <c r="BR168" s="1">
        <f t="shared" si="45"/>
        <v>61</v>
      </c>
      <c r="BS168" s="1" t="str">
        <f t="shared" si="46"/>
        <v>286-25</v>
      </c>
      <c r="BT168" s="58">
        <f t="shared" si="41"/>
        <v>0</v>
      </c>
    </row>
    <row r="169" spans="1:72" s="16" customFormat="1" x14ac:dyDescent="0.2">
      <c r="A169" s="71" t="s">
        <v>206</v>
      </c>
      <c r="B169" s="21">
        <v>46377</v>
      </c>
      <c r="C169" s="54" t="str">
        <f t="shared" si="42"/>
        <v>287-25</v>
      </c>
      <c r="D169" s="29">
        <v>61</v>
      </c>
      <c r="E169" s="7"/>
      <c r="F169" s="2"/>
      <c r="G169" s="7"/>
      <c r="H169" s="2">
        <f t="shared" si="43"/>
        <v>0</v>
      </c>
      <c r="I169" s="3">
        <f t="shared" si="44"/>
        <v>0</v>
      </c>
      <c r="J169" s="8"/>
      <c r="K169" s="8"/>
      <c r="L169" s="8"/>
      <c r="M169" s="8"/>
      <c r="N169" s="8"/>
      <c r="O169" s="8"/>
      <c r="P169" s="2"/>
      <c r="Q169" s="2"/>
      <c r="R169" s="2"/>
      <c r="S169" s="2"/>
      <c r="T169" s="2"/>
      <c r="U169" s="2"/>
      <c r="AM169" s="2"/>
      <c r="AN169" s="2"/>
      <c r="AO169" s="2"/>
      <c r="AU169" s="2">
        <v>20</v>
      </c>
      <c r="AV169" s="2">
        <v>20</v>
      </c>
      <c r="AW169" s="2">
        <v>21</v>
      </c>
      <c r="BQ169" s="1">
        <f t="shared" si="38"/>
        <v>61</v>
      </c>
      <c r="BR169" s="1">
        <f t="shared" si="45"/>
        <v>61</v>
      </c>
      <c r="BS169" s="1" t="str">
        <f t="shared" si="46"/>
        <v>287-25</v>
      </c>
      <c r="BT169" s="58">
        <f t="shared" si="41"/>
        <v>0</v>
      </c>
    </row>
    <row r="170" spans="1:72" s="16" customFormat="1" x14ac:dyDescent="0.2">
      <c r="A170" s="71" t="s">
        <v>207</v>
      </c>
      <c r="B170" s="21">
        <v>46377</v>
      </c>
      <c r="C170" s="54" t="str">
        <f t="shared" si="42"/>
        <v>288-25</v>
      </c>
      <c r="D170" s="29">
        <v>61</v>
      </c>
      <c r="E170" s="7"/>
      <c r="F170" s="2"/>
      <c r="G170" s="7"/>
      <c r="H170" s="2">
        <f t="shared" si="43"/>
        <v>0</v>
      </c>
      <c r="I170" s="3">
        <f t="shared" si="44"/>
        <v>0</v>
      </c>
      <c r="J170" s="8"/>
      <c r="K170" s="8"/>
      <c r="L170" s="8"/>
      <c r="M170" s="8"/>
      <c r="N170" s="8"/>
      <c r="O170" s="8"/>
      <c r="P170" s="2"/>
      <c r="Q170" s="2"/>
      <c r="R170" s="2"/>
      <c r="S170" s="2"/>
      <c r="T170" s="2"/>
      <c r="U170" s="2"/>
      <c r="AM170" s="2"/>
      <c r="AN170" s="2"/>
      <c r="AO170" s="2"/>
      <c r="AV170" s="2">
        <v>20</v>
      </c>
      <c r="AW170" s="2">
        <v>20</v>
      </c>
      <c r="AX170" s="2">
        <v>21</v>
      </c>
      <c r="BQ170" s="1">
        <f t="shared" si="38"/>
        <v>61</v>
      </c>
      <c r="BR170" s="1">
        <f t="shared" si="45"/>
        <v>61</v>
      </c>
      <c r="BS170" s="1" t="str">
        <f t="shared" si="46"/>
        <v>288-25</v>
      </c>
      <c r="BT170" s="58">
        <f t="shared" si="41"/>
        <v>0</v>
      </c>
    </row>
    <row r="171" spans="1:72" s="16" customFormat="1" x14ac:dyDescent="0.2">
      <c r="A171" s="71" t="s">
        <v>208</v>
      </c>
      <c r="B171" s="21">
        <v>46377</v>
      </c>
      <c r="C171" s="54" t="str">
        <f t="shared" si="42"/>
        <v>289-25</v>
      </c>
      <c r="D171" s="29">
        <v>61</v>
      </c>
      <c r="E171" s="7"/>
      <c r="F171" s="2"/>
      <c r="G171" s="7"/>
      <c r="H171" s="2">
        <f t="shared" si="43"/>
        <v>0</v>
      </c>
      <c r="I171" s="3">
        <f t="shared" si="44"/>
        <v>0</v>
      </c>
      <c r="J171" s="8"/>
      <c r="K171" s="8"/>
      <c r="L171" s="8"/>
      <c r="M171" s="8"/>
      <c r="N171" s="8"/>
      <c r="O171" s="8"/>
      <c r="P171" s="2"/>
      <c r="Q171" s="2"/>
      <c r="R171" s="2"/>
      <c r="S171" s="2"/>
      <c r="T171" s="2"/>
      <c r="U171" s="2"/>
      <c r="AM171" s="2"/>
      <c r="AN171" s="2"/>
      <c r="AO171" s="2"/>
      <c r="AV171" s="2">
        <v>20</v>
      </c>
      <c r="AW171" s="2">
        <v>20</v>
      </c>
      <c r="AX171" s="2">
        <v>21</v>
      </c>
      <c r="BQ171" s="1">
        <f t="shared" si="38"/>
        <v>61</v>
      </c>
      <c r="BR171" s="1">
        <f t="shared" si="45"/>
        <v>61</v>
      </c>
      <c r="BS171" s="1" t="str">
        <f t="shared" si="46"/>
        <v>289-25</v>
      </c>
      <c r="BT171" s="58">
        <f t="shared" si="41"/>
        <v>0</v>
      </c>
    </row>
    <row r="172" spans="1:72" s="16" customFormat="1" x14ac:dyDescent="0.2">
      <c r="A172" s="71" t="s">
        <v>209</v>
      </c>
      <c r="B172" s="21">
        <v>46377</v>
      </c>
      <c r="C172" s="54" t="str">
        <f t="shared" si="42"/>
        <v>290-25</v>
      </c>
      <c r="D172" s="29">
        <v>61</v>
      </c>
      <c r="E172" s="7"/>
      <c r="F172" s="2"/>
      <c r="G172" s="7"/>
      <c r="H172" s="2">
        <f t="shared" si="43"/>
        <v>0</v>
      </c>
      <c r="I172" s="3">
        <f t="shared" si="44"/>
        <v>0</v>
      </c>
      <c r="J172" s="8"/>
      <c r="K172" s="8"/>
      <c r="L172" s="8"/>
      <c r="M172" s="8"/>
      <c r="N172" s="8"/>
      <c r="O172" s="8"/>
      <c r="P172" s="2"/>
      <c r="Q172" s="2"/>
      <c r="R172" s="2"/>
      <c r="S172" s="2"/>
      <c r="T172" s="2"/>
      <c r="U172" s="2"/>
      <c r="AM172" s="2"/>
      <c r="AN172" s="2"/>
      <c r="AO172" s="2"/>
      <c r="AV172" s="2">
        <v>20</v>
      </c>
      <c r="AW172" s="2">
        <v>20</v>
      </c>
      <c r="AX172" s="2">
        <v>21</v>
      </c>
      <c r="BQ172" s="1">
        <f t="shared" si="38"/>
        <v>61</v>
      </c>
      <c r="BR172" s="1">
        <f t="shared" si="45"/>
        <v>61</v>
      </c>
      <c r="BS172" s="1" t="str">
        <f t="shared" si="46"/>
        <v>290-25</v>
      </c>
      <c r="BT172" s="58">
        <f t="shared" si="41"/>
        <v>0</v>
      </c>
    </row>
    <row r="173" spans="1:72" s="16" customFormat="1" x14ac:dyDescent="0.2">
      <c r="A173" s="71" t="s">
        <v>210</v>
      </c>
      <c r="B173" s="21">
        <v>46377</v>
      </c>
      <c r="C173" s="54" t="str">
        <f t="shared" si="42"/>
        <v>291-25</v>
      </c>
      <c r="D173" s="29">
        <v>61</v>
      </c>
      <c r="E173" s="7"/>
      <c r="F173" s="2"/>
      <c r="G173" s="7"/>
      <c r="H173" s="2">
        <f t="shared" si="43"/>
        <v>0</v>
      </c>
      <c r="I173" s="3">
        <f t="shared" si="44"/>
        <v>0</v>
      </c>
      <c r="J173" s="8"/>
      <c r="K173" s="8"/>
      <c r="L173" s="8"/>
      <c r="M173" s="8"/>
      <c r="N173" s="8"/>
      <c r="O173" s="8"/>
      <c r="P173" s="2"/>
      <c r="Q173" s="2"/>
      <c r="R173" s="2"/>
      <c r="S173" s="2"/>
      <c r="T173" s="2"/>
      <c r="U173" s="2"/>
      <c r="AM173" s="2"/>
      <c r="AN173" s="2"/>
      <c r="AO173" s="2"/>
      <c r="AV173" s="2">
        <v>20</v>
      </c>
      <c r="AW173" s="2">
        <v>20</v>
      </c>
      <c r="AX173" s="2">
        <v>21</v>
      </c>
      <c r="BQ173" s="1">
        <f t="shared" si="38"/>
        <v>61</v>
      </c>
      <c r="BR173" s="1">
        <f t="shared" si="45"/>
        <v>61</v>
      </c>
      <c r="BS173" s="1" t="str">
        <f t="shared" si="46"/>
        <v>291-25</v>
      </c>
      <c r="BT173" s="58">
        <f t="shared" si="41"/>
        <v>0</v>
      </c>
    </row>
    <row r="174" spans="1:72" s="16" customFormat="1" x14ac:dyDescent="0.2">
      <c r="A174" s="71" t="s">
        <v>211</v>
      </c>
      <c r="B174" s="21">
        <v>46377</v>
      </c>
      <c r="C174" s="54" t="str">
        <f t="shared" si="42"/>
        <v>292-25</v>
      </c>
      <c r="D174" s="29">
        <v>61</v>
      </c>
      <c r="E174" s="7"/>
      <c r="F174" s="2"/>
      <c r="G174" s="7"/>
      <c r="H174" s="2">
        <f t="shared" si="43"/>
        <v>0</v>
      </c>
      <c r="I174" s="3">
        <f t="shared" si="44"/>
        <v>0</v>
      </c>
      <c r="J174" s="8"/>
      <c r="K174" s="8"/>
      <c r="L174" s="8"/>
      <c r="M174" s="8"/>
      <c r="N174" s="8"/>
      <c r="O174" s="8"/>
      <c r="P174" s="2"/>
      <c r="Q174" s="2"/>
      <c r="R174" s="2"/>
      <c r="S174" s="2"/>
      <c r="T174" s="2"/>
      <c r="U174" s="2"/>
      <c r="AM174" s="2"/>
      <c r="AN174" s="2"/>
      <c r="AO174" s="2"/>
      <c r="AV174" s="2">
        <v>20</v>
      </c>
      <c r="AW174" s="2">
        <v>20</v>
      </c>
      <c r="AX174" s="2">
        <v>21</v>
      </c>
      <c r="BQ174" s="1">
        <f t="shared" si="38"/>
        <v>61</v>
      </c>
      <c r="BR174" s="1">
        <f t="shared" si="45"/>
        <v>61</v>
      </c>
      <c r="BS174" s="1" t="str">
        <f t="shared" si="46"/>
        <v>292-25</v>
      </c>
      <c r="BT174" s="58">
        <f t="shared" si="41"/>
        <v>0</v>
      </c>
    </row>
    <row r="175" spans="1:72" s="16" customFormat="1" x14ac:dyDescent="0.2">
      <c r="A175" s="71" t="s">
        <v>212</v>
      </c>
      <c r="B175" s="21">
        <v>46377</v>
      </c>
      <c r="C175" s="54" t="str">
        <f t="shared" si="42"/>
        <v>293-25</v>
      </c>
      <c r="D175" s="29">
        <v>61</v>
      </c>
      <c r="E175" s="7"/>
      <c r="F175" s="2"/>
      <c r="G175" s="7"/>
      <c r="H175" s="2">
        <f t="shared" si="43"/>
        <v>0</v>
      </c>
      <c r="I175" s="3">
        <f t="shared" si="44"/>
        <v>0</v>
      </c>
      <c r="J175" s="8"/>
      <c r="K175" s="8"/>
      <c r="L175" s="8"/>
      <c r="M175" s="8"/>
      <c r="N175" s="8"/>
      <c r="O175" s="8"/>
      <c r="P175" s="2"/>
      <c r="Q175" s="2"/>
      <c r="R175" s="2"/>
      <c r="S175" s="2"/>
      <c r="T175" s="2"/>
      <c r="U175" s="2"/>
      <c r="AM175" s="2"/>
      <c r="AN175" s="2"/>
      <c r="AO175" s="2"/>
      <c r="AW175" s="2">
        <v>20</v>
      </c>
      <c r="AX175" s="2">
        <v>20</v>
      </c>
      <c r="AY175" s="2">
        <v>21</v>
      </c>
      <c r="BQ175" s="1">
        <f t="shared" si="38"/>
        <v>61</v>
      </c>
      <c r="BR175" s="1">
        <f t="shared" si="45"/>
        <v>61</v>
      </c>
      <c r="BS175" s="1" t="str">
        <f t="shared" si="46"/>
        <v>293-25</v>
      </c>
      <c r="BT175" s="58">
        <f t="shared" si="41"/>
        <v>0</v>
      </c>
    </row>
    <row r="176" spans="1:72" s="16" customFormat="1" x14ac:dyDescent="0.2">
      <c r="A176" s="71" t="s">
        <v>213</v>
      </c>
      <c r="B176" s="21">
        <v>46377</v>
      </c>
      <c r="C176" s="54" t="str">
        <f t="shared" si="42"/>
        <v>294-25</v>
      </c>
      <c r="D176" s="29">
        <v>61</v>
      </c>
      <c r="E176" s="7"/>
      <c r="F176" s="2"/>
      <c r="G176" s="7"/>
      <c r="H176" s="2">
        <f t="shared" si="43"/>
        <v>0</v>
      </c>
      <c r="I176" s="3">
        <f t="shared" si="44"/>
        <v>0</v>
      </c>
      <c r="J176" s="8"/>
      <c r="K176" s="8"/>
      <c r="L176" s="8"/>
      <c r="M176" s="8"/>
      <c r="N176" s="8"/>
      <c r="O176" s="8"/>
      <c r="P176" s="2"/>
      <c r="Q176" s="2"/>
      <c r="R176" s="2"/>
      <c r="S176" s="2"/>
      <c r="T176" s="2"/>
      <c r="U176" s="2"/>
      <c r="AM176" s="2"/>
      <c r="AN176" s="2"/>
      <c r="AO176" s="2"/>
      <c r="AW176" s="2">
        <v>20</v>
      </c>
      <c r="AX176" s="2">
        <v>20</v>
      </c>
      <c r="AY176" s="2">
        <v>21</v>
      </c>
      <c r="BQ176" s="1">
        <f t="shared" si="38"/>
        <v>61</v>
      </c>
      <c r="BR176" s="1">
        <f t="shared" si="45"/>
        <v>61</v>
      </c>
      <c r="BS176" s="1" t="str">
        <f t="shared" si="46"/>
        <v>294-25</v>
      </c>
      <c r="BT176" s="58">
        <f t="shared" si="41"/>
        <v>0</v>
      </c>
    </row>
    <row r="177" spans="1:72" s="16" customFormat="1" x14ac:dyDescent="0.2">
      <c r="A177" s="71" t="s">
        <v>214</v>
      </c>
      <c r="B177" s="21">
        <v>46377</v>
      </c>
      <c r="C177" s="54" t="str">
        <f t="shared" si="42"/>
        <v>295-25</v>
      </c>
      <c r="D177" s="29">
        <v>61</v>
      </c>
      <c r="E177" s="7"/>
      <c r="F177" s="2"/>
      <c r="G177" s="7"/>
      <c r="H177" s="2">
        <f t="shared" si="43"/>
        <v>0</v>
      </c>
      <c r="I177" s="3">
        <f t="shared" si="44"/>
        <v>0</v>
      </c>
      <c r="J177" s="8"/>
      <c r="K177" s="8"/>
      <c r="L177" s="8"/>
      <c r="M177" s="8"/>
      <c r="N177" s="8"/>
      <c r="O177" s="8"/>
      <c r="P177" s="2"/>
      <c r="Q177" s="2"/>
      <c r="R177" s="2"/>
      <c r="S177" s="2"/>
      <c r="T177" s="2"/>
      <c r="U177" s="2"/>
      <c r="AM177" s="2"/>
      <c r="AN177" s="2"/>
      <c r="AO177" s="2"/>
      <c r="AW177" s="2">
        <v>20</v>
      </c>
      <c r="AX177" s="2">
        <v>20</v>
      </c>
      <c r="AY177" s="2">
        <v>21</v>
      </c>
      <c r="BQ177" s="1">
        <f t="shared" si="38"/>
        <v>61</v>
      </c>
      <c r="BR177" s="1">
        <f t="shared" si="45"/>
        <v>61</v>
      </c>
      <c r="BS177" s="1" t="str">
        <f t="shared" si="46"/>
        <v>295-25</v>
      </c>
      <c r="BT177" s="58">
        <f t="shared" si="41"/>
        <v>0</v>
      </c>
    </row>
    <row r="178" spans="1:72" s="16" customFormat="1" x14ac:dyDescent="0.2">
      <c r="A178" s="71" t="s">
        <v>215</v>
      </c>
      <c r="B178" s="21">
        <v>46377</v>
      </c>
      <c r="C178" s="54" t="str">
        <f t="shared" si="42"/>
        <v>296-25</v>
      </c>
      <c r="D178" s="29">
        <v>61</v>
      </c>
      <c r="E178" s="7"/>
      <c r="F178" s="2"/>
      <c r="G178" s="7"/>
      <c r="H178" s="2">
        <f t="shared" si="43"/>
        <v>0</v>
      </c>
      <c r="I178" s="3">
        <f t="shared" si="44"/>
        <v>0</v>
      </c>
      <c r="J178" s="8"/>
      <c r="K178" s="8"/>
      <c r="L178" s="8"/>
      <c r="M178" s="8"/>
      <c r="N178" s="8"/>
      <c r="O178" s="8"/>
      <c r="P178" s="2"/>
      <c r="Q178" s="2"/>
      <c r="R178" s="2"/>
      <c r="S178" s="2"/>
      <c r="T178" s="2"/>
      <c r="U178" s="2"/>
      <c r="AM178" s="2"/>
      <c r="AN178" s="2"/>
      <c r="AO178" s="2"/>
      <c r="AW178" s="2">
        <v>20</v>
      </c>
      <c r="AX178" s="2">
        <v>20</v>
      </c>
      <c r="AY178" s="2">
        <v>21</v>
      </c>
      <c r="BQ178" s="1">
        <f t="shared" si="38"/>
        <v>61</v>
      </c>
      <c r="BR178" s="1">
        <f t="shared" si="45"/>
        <v>61</v>
      </c>
      <c r="BS178" s="1" t="str">
        <f t="shared" si="46"/>
        <v>296-25</v>
      </c>
      <c r="BT178" s="58">
        <f t="shared" si="41"/>
        <v>0</v>
      </c>
    </row>
    <row r="179" spans="1:72" s="16" customFormat="1" x14ac:dyDescent="0.2">
      <c r="A179" s="71" t="s">
        <v>216</v>
      </c>
      <c r="B179" s="21">
        <v>46377</v>
      </c>
      <c r="C179" s="54" t="str">
        <f t="shared" si="42"/>
        <v>297-25</v>
      </c>
      <c r="D179" s="29">
        <v>61</v>
      </c>
      <c r="E179" s="7"/>
      <c r="F179" s="2"/>
      <c r="G179" s="7"/>
      <c r="H179" s="2">
        <f t="shared" si="43"/>
        <v>0</v>
      </c>
      <c r="I179" s="3">
        <f t="shared" si="44"/>
        <v>0</v>
      </c>
      <c r="J179" s="8"/>
      <c r="K179" s="8"/>
      <c r="L179" s="8"/>
      <c r="M179" s="8"/>
      <c r="N179" s="8"/>
      <c r="O179" s="8"/>
      <c r="P179" s="2"/>
      <c r="Q179" s="2"/>
      <c r="R179" s="2"/>
      <c r="S179" s="2"/>
      <c r="T179" s="2"/>
      <c r="U179" s="2"/>
      <c r="AM179" s="2"/>
      <c r="AN179" s="2"/>
      <c r="AO179" s="2"/>
      <c r="AW179" s="2">
        <v>20</v>
      </c>
      <c r="AX179" s="2">
        <v>20</v>
      </c>
      <c r="AY179" s="2">
        <v>21</v>
      </c>
      <c r="BQ179" s="1">
        <f t="shared" si="38"/>
        <v>61</v>
      </c>
      <c r="BR179" s="1">
        <f t="shared" si="45"/>
        <v>61</v>
      </c>
      <c r="BS179" s="1" t="str">
        <f t="shared" si="46"/>
        <v>297-25</v>
      </c>
      <c r="BT179" s="58">
        <f t="shared" si="41"/>
        <v>0</v>
      </c>
    </row>
    <row r="180" spans="1:72" s="16" customFormat="1" x14ac:dyDescent="0.2">
      <c r="A180" s="71" t="s">
        <v>217</v>
      </c>
      <c r="B180" s="21">
        <v>46377</v>
      </c>
      <c r="C180" s="54" t="str">
        <f t="shared" si="42"/>
        <v>298-25</v>
      </c>
      <c r="D180" s="29">
        <v>61</v>
      </c>
      <c r="E180" s="7"/>
      <c r="F180" s="2"/>
      <c r="G180" s="7"/>
      <c r="H180" s="2">
        <f t="shared" si="43"/>
        <v>0</v>
      </c>
      <c r="I180" s="3">
        <f t="shared" si="44"/>
        <v>0</v>
      </c>
      <c r="J180" s="8"/>
      <c r="K180" s="8"/>
      <c r="L180" s="8"/>
      <c r="M180" s="8"/>
      <c r="N180" s="8"/>
      <c r="O180" s="8"/>
      <c r="P180" s="2"/>
      <c r="Q180" s="2"/>
      <c r="R180" s="2"/>
      <c r="S180" s="2"/>
      <c r="T180" s="2"/>
      <c r="U180" s="2"/>
      <c r="AM180" s="2"/>
      <c r="AN180" s="2"/>
      <c r="AO180" s="2"/>
      <c r="AX180" s="2">
        <v>20</v>
      </c>
      <c r="AY180" s="2">
        <v>20</v>
      </c>
      <c r="AZ180" s="2">
        <v>21</v>
      </c>
      <c r="BQ180" s="1">
        <f t="shared" si="38"/>
        <v>61</v>
      </c>
      <c r="BR180" s="1">
        <f t="shared" si="45"/>
        <v>61</v>
      </c>
      <c r="BS180" s="1" t="str">
        <f t="shared" si="46"/>
        <v>298-25</v>
      </c>
      <c r="BT180" s="58">
        <f t="shared" si="41"/>
        <v>0</v>
      </c>
    </row>
    <row r="181" spans="1:72" s="16" customFormat="1" x14ac:dyDescent="0.2">
      <c r="A181" s="71" t="s">
        <v>218</v>
      </c>
      <c r="B181" s="21">
        <v>46377</v>
      </c>
      <c r="C181" s="54" t="str">
        <f t="shared" si="42"/>
        <v>299-25</v>
      </c>
      <c r="D181" s="29">
        <v>61</v>
      </c>
      <c r="E181" s="7"/>
      <c r="F181" s="2"/>
      <c r="G181" s="7"/>
      <c r="H181" s="2">
        <f t="shared" si="43"/>
        <v>0</v>
      </c>
      <c r="I181" s="3">
        <f t="shared" si="44"/>
        <v>0</v>
      </c>
      <c r="J181" s="8"/>
      <c r="K181" s="8"/>
      <c r="L181" s="8"/>
      <c r="M181" s="8"/>
      <c r="N181" s="8"/>
      <c r="O181" s="8"/>
      <c r="P181" s="2"/>
      <c r="Q181" s="2"/>
      <c r="R181" s="2"/>
      <c r="S181" s="2"/>
      <c r="T181" s="2"/>
      <c r="U181" s="2"/>
      <c r="AM181" s="2"/>
      <c r="AN181" s="2"/>
      <c r="AO181" s="2"/>
      <c r="AX181" s="2">
        <v>20</v>
      </c>
      <c r="AY181" s="2">
        <v>20</v>
      </c>
      <c r="AZ181" s="2">
        <v>21</v>
      </c>
      <c r="BQ181" s="1">
        <f t="shared" si="38"/>
        <v>61</v>
      </c>
      <c r="BR181" s="1">
        <f t="shared" si="45"/>
        <v>61</v>
      </c>
      <c r="BS181" s="1" t="str">
        <f t="shared" si="46"/>
        <v>299-25</v>
      </c>
      <c r="BT181" s="58">
        <f t="shared" si="41"/>
        <v>0</v>
      </c>
    </row>
    <row r="182" spans="1:72" s="16" customFormat="1" x14ac:dyDescent="0.2">
      <c r="A182" s="71" t="s">
        <v>219</v>
      </c>
      <c r="B182" s="21">
        <v>46377</v>
      </c>
      <c r="C182" s="54" t="str">
        <f t="shared" si="42"/>
        <v>300-25</v>
      </c>
      <c r="D182" s="29">
        <v>61</v>
      </c>
      <c r="E182" s="7"/>
      <c r="F182" s="2"/>
      <c r="G182" s="7"/>
      <c r="H182" s="2">
        <f t="shared" si="43"/>
        <v>0</v>
      </c>
      <c r="I182" s="3">
        <f t="shared" si="44"/>
        <v>0</v>
      </c>
      <c r="J182" s="8"/>
      <c r="K182" s="8"/>
      <c r="L182" s="8"/>
      <c r="M182" s="8"/>
      <c r="N182" s="8"/>
      <c r="O182" s="8"/>
      <c r="P182" s="2"/>
      <c r="Q182" s="2"/>
      <c r="R182" s="2"/>
      <c r="S182" s="2"/>
      <c r="T182" s="2"/>
      <c r="U182" s="2"/>
      <c r="AM182" s="2"/>
      <c r="AN182" s="2"/>
      <c r="AO182" s="2"/>
      <c r="AX182" s="2">
        <v>20</v>
      </c>
      <c r="AY182" s="2">
        <v>20</v>
      </c>
      <c r="AZ182" s="2">
        <v>21</v>
      </c>
      <c r="BQ182" s="1">
        <f t="shared" si="38"/>
        <v>61</v>
      </c>
      <c r="BR182" s="1">
        <f t="shared" si="45"/>
        <v>61</v>
      </c>
      <c r="BS182" s="1" t="str">
        <f t="shared" si="46"/>
        <v>300-25</v>
      </c>
      <c r="BT182" s="58">
        <f t="shared" si="41"/>
        <v>0</v>
      </c>
    </row>
    <row r="183" spans="1:72" s="16" customFormat="1" x14ac:dyDescent="0.2">
      <c r="A183" s="71" t="s">
        <v>220</v>
      </c>
      <c r="B183" s="21">
        <v>46377</v>
      </c>
      <c r="C183" s="54" t="str">
        <f t="shared" si="42"/>
        <v>301-25</v>
      </c>
      <c r="D183" s="29">
        <v>61</v>
      </c>
      <c r="E183" s="7"/>
      <c r="F183" s="2"/>
      <c r="G183" s="7"/>
      <c r="H183" s="2">
        <f t="shared" si="43"/>
        <v>0</v>
      </c>
      <c r="I183" s="3">
        <f t="shared" si="44"/>
        <v>0</v>
      </c>
      <c r="J183" s="8"/>
      <c r="K183" s="8"/>
      <c r="L183" s="8"/>
      <c r="M183" s="8"/>
      <c r="N183" s="8"/>
      <c r="O183" s="8"/>
      <c r="P183" s="2"/>
      <c r="Q183" s="2"/>
      <c r="R183" s="2"/>
      <c r="S183" s="2"/>
      <c r="T183" s="2"/>
      <c r="U183" s="2"/>
      <c r="AM183" s="2"/>
      <c r="AN183" s="2"/>
      <c r="AO183" s="2"/>
      <c r="AX183" s="2">
        <v>20</v>
      </c>
      <c r="AY183" s="2">
        <v>20</v>
      </c>
      <c r="AZ183" s="2">
        <v>21</v>
      </c>
      <c r="BQ183" s="1">
        <f t="shared" si="38"/>
        <v>61</v>
      </c>
      <c r="BR183" s="1">
        <f t="shared" si="45"/>
        <v>61</v>
      </c>
      <c r="BS183" s="1" t="str">
        <f t="shared" si="46"/>
        <v>301-25</v>
      </c>
      <c r="BT183" s="58">
        <f t="shared" si="41"/>
        <v>0</v>
      </c>
    </row>
    <row r="184" spans="1:72" s="16" customFormat="1" x14ac:dyDescent="0.2">
      <c r="A184" s="71" t="s">
        <v>221</v>
      </c>
      <c r="B184" s="21">
        <v>46377</v>
      </c>
      <c r="C184" s="54" t="str">
        <f t="shared" si="42"/>
        <v>302-25</v>
      </c>
      <c r="D184" s="29">
        <v>61</v>
      </c>
      <c r="E184" s="7"/>
      <c r="F184" s="2"/>
      <c r="G184" s="7"/>
      <c r="H184" s="2">
        <f t="shared" si="43"/>
        <v>0</v>
      </c>
      <c r="I184" s="3">
        <f t="shared" si="44"/>
        <v>0</v>
      </c>
      <c r="J184" s="8"/>
      <c r="K184" s="8"/>
      <c r="L184" s="8"/>
      <c r="M184" s="8"/>
      <c r="N184" s="8"/>
      <c r="O184" s="8"/>
      <c r="P184" s="2"/>
      <c r="Q184" s="2"/>
      <c r="R184" s="2"/>
      <c r="S184" s="2"/>
      <c r="T184" s="2"/>
      <c r="U184" s="2"/>
      <c r="AM184" s="2"/>
      <c r="AN184" s="2"/>
      <c r="AO184" s="2"/>
      <c r="AX184" s="2">
        <v>20</v>
      </c>
      <c r="AY184" s="2">
        <v>20</v>
      </c>
      <c r="AZ184" s="2">
        <v>21</v>
      </c>
      <c r="BQ184" s="1">
        <f t="shared" si="38"/>
        <v>61</v>
      </c>
      <c r="BR184" s="1">
        <f t="shared" si="45"/>
        <v>61</v>
      </c>
      <c r="BS184" s="1" t="str">
        <f t="shared" si="46"/>
        <v>302-25</v>
      </c>
      <c r="BT184" s="58">
        <f t="shared" si="41"/>
        <v>0</v>
      </c>
    </row>
    <row r="185" spans="1:72" s="16" customFormat="1" x14ac:dyDescent="0.2">
      <c r="A185" s="71" t="s">
        <v>222</v>
      </c>
      <c r="B185" s="21">
        <v>46377</v>
      </c>
      <c r="C185" s="54" t="str">
        <f t="shared" si="42"/>
        <v>303-25</v>
      </c>
      <c r="D185" s="29">
        <v>61</v>
      </c>
      <c r="E185" s="7"/>
      <c r="F185" s="2"/>
      <c r="G185" s="7"/>
      <c r="H185" s="2">
        <f t="shared" si="43"/>
        <v>0</v>
      </c>
      <c r="I185" s="3">
        <f t="shared" si="44"/>
        <v>0</v>
      </c>
      <c r="J185" s="8"/>
      <c r="K185" s="8"/>
      <c r="L185" s="8"/>
      <c r="M185" s="8"/>
      <c r="N185" s="8"/>
      <c r="O185" s="8"/>
      <c r="P185" s="2"/>
      <c r="Q185" s="2"/>
      <c r="R185" s="2"/>
      <c r="S185" s="2"/>
      <c r="T185" s="2"/>
      <c r="U185" s="2"/>
      <c r="AM185" s="2"/>
      <c r="AN185" s="2"/>
      <c r="AO185" s="2"/>
      <c r="AY185" s="2">
        <v>20</v>
      </c>
      <c r="AZ185" s="2">
        <v>20</v>
      </c>
      <c r="BA185" s="2">
        <v>21</v>
      </c>
      <c r="BQ185" s="1">
        <f t="shared" si="38"/>
        <v>61</v>
      </c>
      <c r="BR185" s="1">
        <f t="shared" si="45"/>
        <v>61</v>
      </c>
      <c r="BS185" s="1" t="str">
        <f t="shared" si="46"/>
        <v>303-25</v>
      </c>
      <c r="BT185" s="58">
        <f t="shared" si="41"/>
        <v>0</v>
      </c>
    </row>
    <row r="186" spans="1:72" s="16" customFormat="1" x14ac:dyDescent="0.2">
      <c r="A186" s="71" t="s">
        <v>223</v>
      </c>
      <c r="B186" s="21">
        <v>46377</v>
      </c>
      <c r="C186" s="54" t="str">
        <f t="shared" si="42"/>
        <v>304-25</v>
      </c>
      <c r="D186" s="29">
        <v>61</v>
      </c>
      <c r="E186" s="7"/>
      <c r="F186" s="2"/>
      <c r="G186" s="7"/>
      <c r="H186" s="2">
        <f t="shared" si="43"/>
        <v>0</v>
      </c>
      <c r="I186" s="3">
        <f t="shared" si="44"/>
        <v>0</v>
      </c>
      <c r="J186" s="8"/>
      <c r="K186" s="8"/>
      <c r="L186" s="8"/>
      <c r="M186" s="8"/>
      <c r="N186" s="8"/>
      <c r="O186" s="8"/>
      <c r="P186" s="2"/>
      <c r="Q186" s="2"/>
      <c r="R186" s="2"/>
      <c r="S186" s="2"/>
      <c r="T186" s="2"/>
      <c r="U186" s="2"/>
      <c r="AM186" s="2"/>
      <c r="AN186" s="2"/>
      <c r="AO186" s="2"/>
      <c r="AY186" s="2">
        <v>20</v>
      </c>
      <c r="AZ186" s="2">
        <v>20</v>
      </c>
      <c r="BA186" s="2">
        <v>21</v>
      </c>
      <c r="BQ186" s="1">
        <f t="shared" si="38"/>
        <v>61</v>
      </c>
      <c r="BR186" s="1">
        <f t="shared" si="45"/>
        <v>61</v>
      </c>
      <c r="BS186" s="1" t="str">
        <f t="shared" si="46"/>
        <v>304-25</v>
      </c>
      <c r="BT186" s="58">
        <f t="shared" si="41"/>
        <v>0</v>
      </c>
    </row>
    <row r="187" spans="1:72" s="16" customFormat="1" x14ac:dyDescent="0.2">
      <c r="A187" s="71" t="s">
        <v>224</v>
      </c>
      <c r="B187" s="21">
        <v>46377</v>
      </c>
      <c r="C187" s="54" t="str">
        <f t="shared" si="42"/>
        <v>305-25</v>
      </c>
      <c r="D187" s="29">
        <v>61</v>
      </c>
      <c r="E187" s="7"/>
      <c r="F187" s="2"/>
      <c r="G187" s="7"/>
      <c r="H187" s="2">
        <f t="shared" si="43"/>
        <v>0</v>
      </c>
      <c r="I187" s="3">
        <f t="shared" si="44"/>
        <v>0</v>
      </c>
      <c r="J187" s="8"/>
      <c r="K187" s="8"/>
      <c r="L187" s="8"/>
      <c r="M187" s="8"/>
      <c r="N187" s="8"/>
      <c r="O187" s="8"/>
      <c r="P187" s="2"/>
      <c r="Q187" s="2"/>
      <c r="R187" s="2"/>
      <c r="S187" s="2"/>
      <c r="T187" s="2"/>
      <c r="U187" s="2"/>
      <c r="AM187" s="2"/>
      <c r="AN187" s="2"/>
      <c r="AO187" s="2"/>
      <c r="AY187" s="2">
        <v>20</v>
      </c>
      <c r="AZ187" s="2">
        <v>20</v>
      </c>
      <c r="BA187" s="2">
        <v>21</v>
      </c>
      <c r="BQ187" s="1">
        <f t="shared" si="38"/>
        <v>61</v>
      </c>
      <c r="BR187" s="1">
        <f t="shared" si="45"/>
        <v>61</v>
      </c>
      <c r="BS187" s="1" t="str">
        <f t="shared" si="46"/>
        <v>305-25</v>
      </c>
      <c r="BT187" s="58">
        <f t="shared" si="41"/>
        <v>0</v>
      </c>
    </row>
    <row r="188" spans="1:72" s="16" customFormat="1" x14ac:dyDescent="0.2">
      <c r="A188" s="71" t="s">
        <v>225</v>
      </c>
      <c r="B188" s="21">
        <v>46377</v>
      </c>
      <c r="C188" s="54" t="str">
        <f t="shared" si="42"/>
        <v>306-25</v>
      </c>
      <c r="D188" s="29">
        <v>61</v>
      </c>
      <c r="E188" s="7"/>
      <c r="F188" s="2"/>
      <c r="G188" s="7"/>
      <c r="H188" s="2">
        <f t="shared" si="43"/>
        <v>0</v>
      </c>
      <c r="I188" s="3">
        <f t="shared" si="44"/>
        <v>0</v>
      </c>
      <c r="J188" s="8"/>
      <c r="K188" s="8"/>
      <c r="L188" s="8"/>
      <c r="M188" s="8"/>
      <c r="N188" s="8"/>
      <c r="O188" s="8"/>
      <c r="P188" s="2"/>
      <c r="Q188" s="2"/>
      <c r="R188" s="2"/>
      <c r="S188" s="2"/>
      <c r="T188" s="2"/>
      <c r="U188" s="2"/>
      <c r="AM188" s="2"/>
      <c r="AN188" s="2"/>
      <c r="AO188" s="2"/>
      <c r="AY188" s="2">
        <v>20</v>
      </c>
      <c r="AZ188" s="2">
        <v>20</v>
      </c>
      <c r="BA188" s="2">
        <v>21</v>
      </c>
      <c r="BQ188" s="1">
        <f t="shared" si="38"/>
        <v>61</v>
      </c>
      <c r="BR188" s="1">
        <f t="shared" si="45"/>
        <v>61</v>
      </c>
      <c r="BS188" s="1" t="str">
        <f t="shared" si="46"/>
        <v>306-25</v>
      </c>
      <c r="BT188" s="58">
        <f t="shared" si="41"/>
        <v>0</v>
      </c>
    </row>
    <row r="189" spans="1:72" s="16" customFormat="1" x14ac:dyDescent="0.2">
      <c r="A189" s="71" t="s">
        <v>226</v>
      </c>
      <c r="B189" s="21">
        <v>46377</v>
      </c>
      <c r="C189" s="54" t="str">
        <f t="shared" si="42"/>
        <v>307-25</v>
      </c>
      <c r="D189" s="29">
        <v>61</v>
      </c>
      <c r="E189" s="7"/>
      <c r="F189" s="2"/>
      <c r="G189" s="7"/>
      <c r="H189" s="2">
        <f t="shared" si="43"/>
        <v>0</v>
      </c>
      <c r="I189" s="3">
        <f t="shared" si="44"/>
        <v>0</v>
      </c>
      <c r="J189" s="8"/>
      <c r="K189" s="8"/>
      <c r="L189" s="8"/>
      <c r="M189" s="8"/>
      <c r="N189" s="8"/>
      <c r="O189" s="8"/>
      <c r="P189" s="2"/>
      <c r="Q189" s="2"/>
      <c r="R189" s="2"/>
      <c r="S189" s="2"/>
      <c r="T189" s="2"/>
      <c r="U189" s="2"/>
      <c r="AM189" s="2"/>
      <c r="AN189" s="2"/>
      <c r="AO189" s="2"/>
      <c r="AY189" s="2">
        <v>20</v>
      </c>
      <c r="AZ189" s="2">
        <v>20</v>
      </c>
      <c r="BA189" s="2">
        <v>21</v>
      </c>
      <c r="BG189" s="67"/>
      <c r="BQ189" s="1">
        <f t="shared" si="38"/>
        <v>61</v>
      </c>
      <c r="BR189" s="1">
        <f t="shared" si="45"/>
        <v>61</v>
      </c>
      <c r="BS189" s="1" t="str">
        <f t="shared" si="46"/>
        <v>307-25</v>
      </c>
      <c r="BT189" s="58">
        <f t="shared" si="41"/>
        <v>0</v>
      </c>
    </row>
    <row r="190" spans="1:72" s="16" customFormat="1" x14ac:dyDescent="0.2">
      <c r="A190" s="71" t="s">
        <v>227</v>
      </c>
      <c r="B190" s="21">
        <v>46377</v>
      </c>
      <c r="C190" s="54" t="str">
        <f t="shared" si="42"/>
        <v>308-25</v>
      </c>
      <c r="D190" s="29">
        <v>61</v>
      </c>
      <c r="E190" s="7"/>
      <c r="F190" s="2"/>
      <c r="G190" s="7"/>
      <c r="H190" s="2">
        <f t="shared" si="43"/>
        <v>0</v>
      </c>
      <c r="I190" s="3">
        <f t="shared" si="44"/>
        <v>0</v>
      </c>
      <c r="J190" s="8"/>
      <c r="K190" s="8"/>
      <c r="L190" s="8"/>
      <c r="M190" s="8"/>
      <c r="N190" s="8"/>
      <c r="O190" s="8"/>
      <c r="P190" s="2"/>
      <c r="Q190" s="2"/>
      <c r="R190" s="2"/>
      <c r="S190" s="2"/>
      <c r="T190" s="2"/>
      <c r="U190" s="2"/>
      <c r="AM190" s="2"/>
      <c r="AN190" s="2"/>
      <c r="AO190" s="2"/>
      <c r="AZ190" s="2">
        <v>20</v>
      </c>
      <c r="BA190" s="2">
        <v>20</v>
      </c>
      <c r="BB190" s="2">
        <v>21</v>
      </c>
      <c r="BG190" s="67"/>
      <c r="BQ190" s="1">
        <f t="shared" si="38"/>
        <v>61</v>
      </c>
      <c r="BR190" s="1">
        <f t="shared" si="45"/>
        <v>61</v>
      </c>
      <c r="BS190" s="1" t="str">
        <f t="shared" si="46"/>
        <v>308-25</v>
      </c>
      <c r="BT190" s="58">
        <f t="shared" si="41"/>
        <v>0</v>
      </c>
    </row>
    <row r="191" spans="1:72" s="16" customFormat="1" x14ac:dyDescent="0.2">
      <c r="A191" s="71" t="s">
        <v>228</v>
      </c>
      <c r="B191" s="21">
        <v>46377</v>
      </c>
      <c r="C191" s="54" t="str">
        <f t="shared" si="42"/>
        <v>309-25</v>
      </c>
      <c r="D191" s="29">
        <v>61</v>
      </c>
      <c r="E191" s="7"/>
      <c r="F191" s="2"/>
      <c r="G191" s="7"/>
      <c r="H191" s="2">
        <f t="shared" si="43"/>
        <v>0</v>
      </c>
      <c r="I191" s="3">
        <f t="shared" si="44"/>
        <v>0</v>
      </c>
      <c r="J191" s="8"/>
      <c r="K191" s="8"/>
      <c r="L191" s="8"/>
      <c r="M191" s="8"/>
      <c r="N191" s="8"/>
      <c r="O191" s="8"/>
      <c r="P191" s="2"/>
      <c r="Q191" s="2"/>
      <c r="R191" s="2"/>
      <c r="S191" s="2"/>
      <c r="T191" s="2"/>
      <c r="U191" s="2"/>
      <c r="AM191" s="2"/>
      <c r="AN191" s="2"/>
      <c r="AO191" s="2"/>
      <c r="AZ191" s="2">
        <v>20</v>
      </c>
      <c r="BA191" s="2">
        <v>20</v>
      </c>
      <c r="BB191" s="2">
        <v>21</v>
      </c>
      <c r="BG191" s="67"/>
      <c r="BQ191" s="1">
        <f t="shared" si="38"/>
        <v>61</v>
      </c>
      <c r="BR191" s="1">
        <f t="shared" si="45"/>
        <v>61</v>
      </c>
      <c r="BS191" s="1" t="str">
        <f t="shared" si="46"/>
        <v>309-25</v>
      </c>
      <c r="BT191" s="58">
        <f t="shared" si="41"/>
        <v>0</v>
      </c>
    </row>
    <row r="192" spans="1:72" s="16" customFormat="1" x14ac:dyDescent="0.2">
      <c r="A192" s="71" t="s">
        <v>229</v>
      </c>
      <c r="B192" s="21">
        <v>46377</v>
      </c>
      <c r="C192" s="54" t="str">
        <f t="shared" si="42"/>
        <v>310-25</v>
      </c>
      <c r="D192" s="29">
        <v>61</v>
      </c>
      <c r="E192" s="7"/>
      <c r="F192" s="2"/>
      <c r="G192" s="7"/>
      <c r="H192" s="2">
        <f t="shared" si="43"/>
        <v>0</v>
      </c>
      <c r="I192" s="3">
        <f t="shared" si="44"/>
        <v>0</v>
      </c>
      <c r="J192" s="8"/>
      <c r="K192" s="8"/>
      <c r="L192" s="8"/>
      <c r="M192" s="8"/>
      <c r="N192" s="8"/>
      <c r="O192" s="8"/>
      <c r="P192" s="2"/>
      <c r="Q192" s="2"/>
      <c r="R192" s="2"/>
      <c r="S192" s="2"/>
      <c r="T192" s="2"/>
      <c r="U192" s="2"/>
      <c r="AM192" s="2"/>
      <c r="AN192" s="2"/>
      <c r="AO192" s="2"/>
      <c r="AZ192" s="2">
        <v>20</v>
      </c>
      <c r="BA192" s="2">
        <v>20</v>
      </c>
      <c r="BB192" s="2">
        <v>21</v>
      </c>
      <c r="BG192" s="67"/>
      <c r="BQ192" s="1">
        <f t="shared" si="38"/>
        <v>61</v>
      </c>
      <c r="BR192" s="1">
        <f t="shared" si="45"/>
        <v>61</v>
      </c>
      <c r="BS192" s="1" t="str">
        <f t="shared" si="46"/>
        <v>310-25</v>
      </c>
      <c r="BT192" s="58">
        <f t="shared" si="41"/>
        <v>0</v>
      </c>
    </row>
    <row r="193" spans="1:72" s="16" customFormat="1" x14ac:dyDescent="0.2">
      <c r="A193" s="71" t="s">
        <v>230</v>
      </c>
      <c r="B193" s="21">
        <v>46377</v>
      </c>
      <c r="C193" s="54" t="str">
        <f t="shared" si="42"/>
        <v>311-25</v>
      </c>
      <c r="D193" s="29">
        <v>61</v>
      </c>
      <c r="E193" s="7"/>
      <c r="F193" s="2"/>
      <c r="G193" s="7"/>
      <c r="H193" s="2">
        <f t="shared" si="43"/>
        <v>0</v>
      </c>
      <c r="I193" s="3">
        <f t="shared" si="44"/>
        <v>0</v>
      </c>
      <c r="J193" s="8"/>
      <c r="K193" s="8"/>
      <c r="L193" s="8"/>
      <c r="M193" s="8"/>
      <c r="N193" s="8"/>
      <c r="O193" s="8"/>
      <c r="P193" s="2"/>
      <c r="Q193" s="2"/>
      <c r="R193" s="2"/>
      <c r="S193" s="2"/>
      <c r="T193" s="2"/>
      <c r="U193" s="2"/>
      <c r="AM193" s="2"/>
      <c r="AN193" s="2"/>
      <c r="AO193" s="2"/>
      <c r="AZ193" s="2">
        <v>20</v>
      </c>
      <c r="BA193" s="2">
        <v>20</v>
      </c>
      <c r="BB193" s="2">
        <v>21</v>
      </c>
      <c r="BG193" s="67"/>
      <c r="BQ193" s="1">
        <f t="shared" si="38"/>
        <v>61</v>
      </c>
      <c r="BR193" s="1">
        <f t="shared" si="45"/>
        <v>61</v>
      </c>
      <c r="BS193" s="1" t="str">
        <f t="shared" si="46"/>
        <v>311-25</v>
      </c>
      <c r="BT193" s="58">
        <f t="shared" si="41"/>
        <v>0</v>
      </c>
    </row>
    <row r="194" spans="1:72" s="16" customFormat="1" x14ac:dyDescent="0.2">
      <c r="A194" s="73" t="s">
        <v>231</v>
      </c>
      <c r="B194" s="21">
        <v>46412</v>
      </c>
      <c r="C194" s="54" t="str">
        <f t="shared" si="42"/>
        <v>312-25</v>
      </c>
      <c r="D194" s="29">
        <v>61</v>
      </c>
      <c r="E194" s="7"/>
      <c r="F194" s="2"/>
      <c r="G194" s="7"/>
      <c r="H194" s="2">
        <f t="shared" si="43"/>
        <v>0</v>
      </c>
      <c r="I194" s="3">
        <f t="shared" si="44"/>
        <v>0</v>
      </c>
      <c r="J194" s="8"/>
      <c r="K194" s="8"/>
      <c r="L194" s="8"/>
      <c r="M194" s="8"/>
      <c r="N194" s="8"/>
      <c r="O194" s="8"/>
      <c r="P194" s="2"/>
      <c r="Q194" s="2"/>
      <c r="R194" s="2"/>
      <c r="S194" s="2"/>
      <c r="T194" s="2"/>
      <c r="U194" s="2"/>
      <c r="AM194" s="2"/>
      <c r="AN194" s="2"/>
      <c r="AO194" s="2"/>
      <c r="AZ194" s="2">
        <v>20</v>
      </c>
      <c r="BA194" s="2">
        <v>20</v>
      </c>
      <c r="BB194" s="2">
        <v>21</v>
      </c>
      <c r="BQ194" s="1">
        <f t="shared" si="38"/>
        <v>61</v>
      </c>
      <c r="BR194" s="1">
        <f t="shared" si="45"/>
        <v>61</v>
      </c>
      <c r="BS194" s="1" t="str">
        <f t="shared" si="46"/>
        <v>312-25</v>
      </c>
      <c r="BT194" s="58">
        <f t="shared" si="41"/>
        <v>0</v>
      </c>
    </row>
    <row r="195" spans="1:72" s="16" customFormat="1" x14ac:dyDescent="0.2">
      <c r="A195" s="73" t="s">
        <v>232</v>
      </c>
      <c r="B195" s="21">
        <v>46412</v>
      </c>
      <c r="C195" s="54" t="str">
        <f t="shared" si="42"/>
        <v>313-25</v>
      </c>
      <c r="D195" s="29">
        <v>61</v>
      </c>
      <c r="E195" s="7"/>
      <c r="F195" s="2"/>
      <c r="G195" s="7"/>
      <c r="H195" s="2">
        <f t="shared" si="43"/>
        <v>0</v>
      </c>
      <c r="I195" s="3">
        <f t="shared" si="44"/>
        <v>0</v>
      </c>
      <c r="J195" s="8"/>
      <c r="K195" s="8"/>
      <c r="L195" s="8"/>
      <c r="M195" s="8"/>
      <c r="N195" s="8"/>
      <c r="O195" s="8"/>
      <c r="P195" s="2"/>
      <c r="Q195" s="2"/>
      <c r="R195" s="2"/>
      <c r="S195" s="2"/>
      <c r="T195" s="2"/>
      <c r="U195" s="2"/>
      <c r="AM195" s="2"/>
      <c r="AN195" s="2"/>
      <c r="AO195" s="2"/>
      <c r="BA195" s="2">
        <v>20</v>
      </c>
      <c r="BB195" s="2">
        <v>20</v>
      </c>
      <c r="BC195" s="2">
        <v>21</v>
      </c>
      <c r="BQ195" s="1">
        <f t="shared" si="38"/>
        <v>61</v>
      </c>
      <c r="BR195" s="1">
        <f t="shared" si="45"/>
        <v>61</v>
      </c>
      <c r="BS195" s="1" t="str">
        <f t="shared" si="46"/>
        <v>313-25</v>
      </c>
      <c r="BT195" s="58">
        <f t="shared" si="41"/>
        <v>0</v>
      </c>
    </row>
    <row r="196" spans="1:72" s="16" customFormat="1" x14ac:dyDescent="0.2">
      <c r="A196" s="73" t="s">
        <v>233</v>
      </c>
      <c r="B196" s="21">
        <v>46412</v>
      </c>
      <c r="C196" s="54" t="str">
        <f t="shared" si="42"/>
        <v>314-25</v>
      </c>
      <c r="D196" s="29">
        <v>61</v>
      </c>
      <c r="E196" s="7"/>
      <c r="F196" s="2"/>
      <c r="G196" s="7"/>
      <c r="H196" s="2">
        <f t="shared" si="43"/>
        <v>0</v>
      </c>
      <c r="I196" s="3">
        <f t="shared" si="44"/>
        <v>0</v>
      </c>
      <c r="J196" s="8"/>
      <c r="K196" s="8"/>
      <c r="L196" s="8"/>
      <c r="M196" s="8"/>
      <c r="N196" s="8"/>
      <c r="O196" s="8"/>
      <c r="P196" s="2"/>
      <c r="Q196" s="2"/>
      <c r="R196" s="2"/>
      <c r="S196" s="2"/>
      <c r="T196" s="2"/>
      <c r="U196" s="2"/>
      <c r="AM196" s="2"/>
      <c r="AN196" s="2"/>
      <c r="AO196" s="2"/>
      <c r="BA196" s="2">
        <v>20</v>
      </c>
      <c r="BB196" s="2">
        <v>20</v>
      </c>
      <c r="BC196" s="2">
        <v>21</v>
      </c>
      <c r="BQ196" s="1">
        <f t="shared" si="38"/>
        <v>61</v>
      </c>
      <c r="BR196" s="1">
        <f t="shared" si="45"/>
        <v>61</v>
      </c>
      <c r="BS196" s="1" t="str">
        <f t="shared" si="46"/>
        <v>314-25</v>
      </c>
      <c r="BT196" s="58">
        <f t="shared" si="41"/>
        <v>0</v>
      </c>
    </row>
    <row r="197" spans="1:72" s="16" customFormat="1" x14ac:dyDescent="0.2">
      <c r="A197" s="73" t="s">
        <v>234</v>
      </c>
      <c r="B197" s="21">
        <v>46412</v>
      </c>
      <c r="C197" s="54" t="str">
        <f t="shared" si="42"/>
        <v>315-25</v>
      </c>
      <c r="D197" s="29">
        <v>61</v>
      </c>
      <c r="E197" s="7"/>
      <c r="F197" s="2"/>
      <c r="G197" s="7"/>
      <c r="H197" s="2">
        <f t="shared" si="43"/>
        <v>0</v>
      </c>
      <c r="I197" s="3">
        <f t="shared" si="44"/>
        <v>0</v>
      </c>
      <c r="J197" s="8"/>
      <c r="K197" s="8"/>
      <c r="L197" s="8"/>
      <c r="M197" s="8"/>
      <c r="N197" s="8"/>
      <c r="O197" s="8"/>
      <c r="P197" s="2"/>
      <c r="Q197" s="2"/>
      <c r="R197" s="2"/>
      <c r="S197" s="2"/>
      <c r="T197" s="2"/>
      <c r="U197" s="2"/>
      <c r="AM197" s="2"/>
      <c r="AN197" s="2"/>
      <c r="AO197" s="2"/>
      <c r="BA197" s="2">
        <v>20</v>
      </c>
      <c r="BB197" s="2">
        <v>20</v>
      </c>
      <c r="BC197" s="2">
        <v>21</v>
      </c>
      <c r="BQ197" s="1">
        <f t="shared" si="38"/>
        <v>61</v>
      </c>
      <c r="BR197" s="1">
        <f t="shared" si="45"/>
        <v>61</v>
      </c>
      <c r="BS197" s="1" t="str">
        <f t="shared" si="46"/>
        <v>315-25</v>
      </c>
      <c r="BT197" s="58">
        <f t="shared" si="41"/>
        <v>0</v>
      </c>
    </row>
    <row r="198" spans="1:72" s="16" customFormat="1" x14ac:dyDescent="0.2">
      <c r="A198" s="73" t="s">
        <v>235</v>
      </c>
      <c r="B198" s="21">
        <v>46412</v>
      </c>
      <c r="C198" s="54" t="str">
        <f t="shared" si="42"/>
        <v>316-25</v>
      </c>
      <c r="D198" s="29">
        <v>61</v>
      </c>
      <c r="E198" s="7"/>
      <c r="F198" s="2"/>
      <c r="G198" s="7"/>
      <c r="H198" s="2">
        <f t="shared" si="43"/>
        <v>0</v>
      </c>
      <c r="I198" s="3">
        <f t="shared" si="44"/>
        <v>0</v>
      </c>
      <c r="J198" s="8"/>
      <c r="K198" s="8"/>
      <c r="L198" s="8"/>
      <c r="M198" s="8"/>
      <c r="N198" s="8"/>
      <c r="O198" s="8"/>
      <c r="P198" s="2"/>
      <c r="Q198" s="2"/>
      <c r="R198" s="2"/>
      <c r="S198" s="2"/>
      <c r="T198" s="2"/>
      <c r="U198" s="2"/>
      <c r="AM198" s="2"/>
      <c r="AN198" s="2"/>
      <c r="AO198" s="2"/>
      <c r="BA198" s="2">
        <v>20</v>
      </c>
      <c r="BB198" s="2">
        <v>20</v>
      </c>
      <c r="BC198" s="2">
        <v>21</v>
      </c>
      <c r="BQ198" s="1">
        <f t="shared" ref="BQ198:BQ229" si="47">SUM(J198:BP198)</f>
        <v>61</v>
      </c>
      <c r="BR198" s="1">
        <f t="shared" ref="BR198:BR229" si="48">D198-H198</f>
        <v>61</v>
      </c>
      <c r="BS198" s="1" t="str">
        <f t="shared" ref="BS198:BS229" si="49">C198</f>
        <v>316-25</v>
      </c>
      <c r="BT198" s="58">
        <f t="shared" ref="BT198:BT229" si="50">D198-H198-BQ198</f>
        <v>0</v>
      </c>
    </row>
    <row r="199" spans="1:72" s="16" customFormat="1" x14ac:dyDescent="0.2">
      <c r="A199" s="73" t="s">
        <v>236</v>
      </c>
      <c r="B199" s="21">
        <v>46412</v>
      </c>
      <c r="C199" s="54" t="str">
        <f t="shared" si="42"/>
        <v>317-25</v>
      </c>
      <c r="D199" s="29">
        <v>61</v>
      </c>
      <c r="E199" s="7"/>
      <c r="F199" s="2"/>
      <c r="G199" s="7"/>
      <c r="H199" s="2">
        <f t="shared" si="43"/>
        <v>0</v>
      </c>
      <c r="I199" s="3">
        <f t="shared" si="44"/>
        <v>0</v>
      </c>
      <c r="J199" s="8"/>
      <c r="K199" s="8"/>
      <c r="L199" s="8"/>
      <c r="M199" s="8"/>
      <c r="N199" s="8"/>
      <c r="O199" s="8"/>
      <c r="P199" s="2"/>
      <c r="Q199" s="2"/>
      <c r="R199" s="2"/>
      <c r="S199" s="2"/>
      <c r="T199" s="2"/>
      <c r="U199" s="2"/>
      <c r="AM199" s="2"/>
      <c r="AN199" s="2"/>
      <c r="AO199" s="2"/>
      <c r="BA199" s="2">
        <v>20</v>
      </c>
      <c r="BB199" s="2">
        <v>20</v>
      </c>
      <c r="BC199" s="2">
        <v>21</v>
      </c>
      <c r="BQ199" s="1">
        <f t="shared" si="47"/>
        <v>61</v>
      </c>
      <c r="BR199" s="1">
        <f t="shared" si="48"/>
        <v>61</v>
      </c>
      <c r="BS199" s="1" t="str">
        <f t="shared" si="49"/>
        <v>317-25</v>
      </c>
      <c r="BT199" s="58">
        <f t="shared" si="50"/>
        <v>0</v>
      </c>
    </row>
    <row r="200" spans="1:72" s="16" customFormat="1" x14ac:dyDescent="0.2">
      <c r="A200" s="73" t="s">
        <v>237</v>
      </c>
      <c r="B200" s="21">
        <v>46412</v>
      </c>
      <c r="C200" s="54" t="str">
        <f t="shared" si="42"/>
        <v>318-25</v>
      </c>
      <c r="D200" s="29">
        <v>61</v>
      </c>
      <c r="E200" s="7"/>
      <c r="F200" s="2"/>
      <c r="G200" s="7"/>
      <c r="H200" s="2">
        <f t="shared" si="43"/>
        <v>0</v>
      </c>
      <c r="I200" s="3">
        <f t="shared" si="44"/>
        <v>0</v>
      </c>
      <c r="J200" s="8"/>
      <c r="K200" s="8"/>
      <c r="L200" s="8"/>
      <c r="M200" s="8"/>
      <c r="N200" s="8"/>
      <c r="O200" s="8"/>
      <c r="P200" s="2"/>
      <c r="Q200" s="2"/>
      <c r="R200" s="2"/>
      <c r="S200" s="2"/>
      <c r="T200" s="2"/>
      <c r="U200" s="2"/>
      <c r="AM200" s="2"/>
      <c r="AN200" s="2"/>
      <c r="AO200" s="2"/>
      <c r="BB200" s="2">
        <v>20</v>
      </c>
      <c r="BC200" s="2">
        <v>20</v>
      </c>
      <c r="BD200" s="2">
        <v>21</v>
      </c>
      <c r="BQ200" s="1">
        <f t="shared" si="47"/>
        <v>61</v>
      </c>
      <c r="BR200" s="1">
        <f t="shared" si="48"/>
        <v>61</v>
      </c>
      <c r="BS200" s="1" t="str">
        <f t="shared" si="49"/>
        <v>318-25</v>
      </c>
      <c r="BT200" s="58">
        <f t="shared" si="50"/>
        <v>0</v>
      </c>
    </row>
    <row r="201" spans="1:72" s="16" customFormat="1" x14ac:dyDescent="0.2">
      <c r="A201" s="73" t="s">
        <v>238</v>
      </c>
      <c r="B201" s="21">
        <v>46412</v>
      </c>
      <c r="C201" s="54" t="str">
        <f t="shared" si="42"/>
        <v>319-25</v>
      </c>
      <c r="D201" s="29">
        <v>61</v>
      </c>
      <c r="E201" s="7"/>
      <c r="F201" s="2"/>
      <c r="G201" s="7"/>
      <c r="H201" s="2">
        <f t="shared" si="43"/>
        <v>0</v>
      </c>
      <c r="I201" s="3">
        <f t="shared" si="44"/>
        <v>0</v>
      </c>
      <c r="J201" s="8"/>
      <c r="K201" s="8"/>
      <c r="L201" s="8"/>
      <c r="M201" s="8"/>
      <c r="N201" s="8"/>
      <c r="O201" s="8"/>
      <c r="P201" s="2"/>
      <c r="Q201" s="2"/>
      <c r="R201" s="2"/>
      <c r="S201" s="2"/>
      <c r="T201" s="2"/>
      <c r="U201" s="2"/>
      <c r="AM201" s="2"/>
      <c r="AN201" s="2"/>
      <c r="AO201" s="2"/>
      <c r="BB201" s="2">
        <v>20</v>
      </c>
      <c r="BC201" s="2">
        <v>20</v>
      </c>
      <c r="BD201" s="2">
        <v>21</v>
      </c>
      <c r="BQ201" s="1">
        <f t="shared" si="47"/>
        <v>61</v>
      </c>
      <c r="BR201" s="1">
        <f t="shared" si="48"/>
        <v>61</v>
      </c>
      <c r="BS201" s="1" t="str">
        <f t="shared" si="49"/>
        <v>319-25</v>
      </c>
      <c r="BT201" s="58">
        <f t="shared" si="50"/>
        <v>0</v>
      </c>
    </row>
    <row r="202" spans="1:72" s="16" customFormat="1" x14ac:dyDescent="0.2">
      <c r="A202" s="73" t="s">
        <v>239</v>
      </c>
      <c r="B202" s="21">
        <v>46412</v>
      </c>
      <c r="C202" s="54" t="str">
        <f t="shared" ref="C202:C229" si="51">CONCATENATE(LEFT(C201,3)+1,"-","25")</f>
        <v>320-25</v>
      </c>
      <c r="D202" s="29">
        <v>61</v>
      </c>
      <c r="E202" s="7"/>
      <c r="F202" s="2"/>
      <c r="G202" s="7"/>
      <c r="H202" s="2">
        <f t="shared" si="43"/>
        <v>0</v>
      </c>
      <c r="I202" s="3">
        <f t="shared" si="44"/>
        <v>0</v>
      </c>
      <c r="J202" s="8"/>
      <c r="K202" s="8"/>
      <c r="L202" s="8"/>
      <c r="M202" s="8"/>
      <c r="N202" s="8"/>
      <c r="O202" s="8"/>
      <c r="P202" s="2"/>
      <c r="Q202" s="2"/>
      <c r="R202" s="2"/>
      <c r="S202" s="2"/>
      <c r="T202" s="2"/>
      <c r="U202" s="2"/>
      <c r="AM202" s="2"/>
      <c r="AN202" s="2"/>
      <c r="AO202" s="2"/>
      <c r="BB202" s="2">
        <v>20</v>
      </c>
      <c r="BC202" s="2">
        <v>20</v>
      </c>
      <c r="BD202" s="2">
        <v>21</v>
      </c>
      <c r="BQ202" s="1">
        <f t="shared" si="47"/>
        <v>61</v>
      </c>
      <c r="BR202" s="1">
        <f t="shared" si="48"/>
        <v>61</v>
      </c>
      <c r="BS202" s="1" t="str">
        <f t="shared" si="49"/>
        <v>320-25</v>
      </c>
      <c r="BT202" s="58">
        <f t="shared" si="50"/>
        <v>0</v>
      </c>
    </row>
    <row r="203" spans="1:72" s="16" customFormat="1" x14ac:dyDescent="0.2">
      <c r="A203" s="73" t="s">
        <v>240</v>
      </c>
      <c r="B203" s="21">
        <v>46412</v>
      </c>
      <c r="C203" s="54" t="str">
        <f t="shared" si="51"/>
        <v>321-25</v>
      </c>
      <c r="D203" s="29">
        <v>61</v>
      </c>
      <c r="E203" s="7"/>
      <c r="F203" s="2"/>
      <c r="G203" s="7"/>
      <c r="H203" s="2">
        <f t="shared" si="43"/>
        <v>0</v>
      </c>
      <c r="I203" s="3">
        <f t="shared" si="44"/>
        <v>0</v>
      </c>
      <c r="J203" s="8"/>
      <c r="K203" s="8"/>
      <c r="L203" s="8"/>
      <c r="M203" s="8"/>
      <c r="N203" s="8"/>
      <c r="O203" s="8"/>
      <c r="P203" s="2"/>
      <c r="Q203" s="2"/>
      <c r="R203" s="2"/>
      <c r="S203" s="2"/>
      <c r="T203" s="2"/>
      <c r="U203" s="2"/>
      <c r="AM203" s="2"/>
      <c r="AN203" s="2"/>
      <c r="AO203" s="2"/>
      <c r="BB203" s="2">
        <v>20</v>
      </c>
      <c r="BC203" s="2">
        <v>20</v>
      </c>
      <c r="BD203" s="2">
        <v>21</v>
      </c>
      <c r="BQ203" s="1">
        <f t="shared" si="47"/>
        <v>61</v>
      </c>
      <c r="BR203" s="1">
        <f t="shared" si="48"/>
        <v>61</v>
      </c>
      <c r="BS203" s="1" t="str">
        <f t="shared" si="49"/>
        <v>321-25</v>
      </c>
      <c r="BT203" s="58">
        <f t="shared" si="50"/>
        <v>0</v>
      </c>
    </row>
    <row r="204" spans="1:72" s="16" customFormat="1" x14ac:dyDescent="0.2">
      <c r="A204" s="73" t="s">
        <v>241</v>
      </c>
      <c r="B204" s="21">
        <v>46412</v>
      </c>
      <c r="C204" s="54" t="str">
        <f t="shared" si="51"/>
        <v>322-25</v>
      </c>
      <c r="D204" s="29">
        <v>61</v>
      </c>
      <c r="E204" s="7"/>
      <c r="F204" s="2"/>
      <c r="G204" s="7"/>
      <c r="H204" s="2">
        <f t="shared" si="43"/>
        <v>0</v>
      </c>
      <c r="I204" s="3">
        <f t="shared" si="44"/>
        <v>0</v>
      </c>
      <c r="J204" s="8"/>
      <c r="K204" s="8"/>
      <c r="L204" s="8"/>
      <c r="M204" s="8"/>
      <c r="N204" s="8"/>
      <c r="O204" s="8"/>
      <c r="P204" s="2"/>
      <c r="Q204" s="2"/>
      <c r="R204" s="2"/>
      <c r="S204" s="2"/>
      <c r="T204" s="2"/>
      <c r="U204" s="2"/>
      <c r="AM204" s="2"/>
      <c r="AN204" s="2"/>
      <c r="AO204" s="2"/>
      <c r="BB204" s="2">
        <v>20</v>
      </c>
      <c r="BC204" s="2">
        <v>20</v>
      </c>
      <c r="BD204" s="2">
        <v>21</v>
      </c>
      <c r="BQ204" s="1">
        <f t="shared" si="47"/>
        <v>61</v>
      </c>
      <c r="BR204" s="1">
        <f t="shared" si="48"/>
        <v>61</v>
      </c>
      <c r="BS204" s="1" t="str">
        <f t="shared" si="49"/>
        <v>322-25</v>
      </c>
      <c r="BT204" s="58">
        <f t="shared" si="50"/>
        <v>0</v>
      </c>
    </row>
    <row r="205" spans="1:72" s="16" customFormat="1" x14ac:dyDescent="0.2">
      <c r="A205" s="73" t="s">
        <v>242</v>
      </c>
      <c r="B205" s="21">
        <v>46412</v>
      </c>
      <c r="C205" s="54" t="str">
        <f t="shared" si="51"/>
        <v>323-25</v>
      </c>
      <c r="D205" s="29">
        <v>61</v>
      </c>
      <c r="E205" s="7"/>
      <c r="F205" s="2"/>
      <c r="G205" s="7"/>
      <c r="H205" s="2">
        <f t="shared" si="43"/>
        <v>0</v>
      </c>
      <c r="I205" s="3">
        <f t="shared" si="44"/>
        <v>0</v>
      </c>
      <c r="J205" s="8"/>
      <c r="K205" s="8"/>
      <c r="L205" s="8"/>
      <c r="M205" s="8"/>
      <c r="N205" s="8"/>
      <c r="O205" s="8"/>
      <c r="P205" s="2"/>
      <c r="Q205" s="2"/>
      <c r="R205" s="2"/>
      <c r="S205" s="2"/>
      <c r="T205" s="2"/>
      <c r="U205" s="2"/>
      <c r="AM205" s="2"/>
      <c r="AN205" s="2"/>
      <c r="AO205" s="2"/>
      <c r="BD205" s="2">
        <v>20</v>
      </c>
      <c r="BE205" s="2">
        <v>20</v>
      </c>
      <c r="BF205" s="2">
        <v>21</v>
      </c>
      <c r="BQ205" s="1">
        <f t="shared" si="47"/>
        <v>61</v>
      </c>
      <c r="BR205" s="1">
        <f t="shared" si="48"/>
        <v>61</v>
      </c>
      <c r="BS205" s="1" t="str">
        <f t="shared" si="49"/>
        <v>323-25</v>
      </c>
      <c r="BT205" s="58">
        <f t="shared" si="50"/>
        <v>0</v>
      </c>
    </row>
    <row r="206" spans="1:72" s="16" customFormat="1" x14ac:dyDescent="0.2">
      <c r="A206" s="73" t="s">
        <v>243</v>
      </c>
      <c r="B206" s="21">
        <v>46412</v>
      </c>
      <c r="C206" s="54" t="str">
        <f t="shared" si="51"/>
        <v>324-25</v>
      </c>
      <c r="D206" s="29">
        <v>61</v>
      </c>
      <c r="E206" s="7"/>
      <c r="F206" s="2"/>
      <c r="G206" s="7"/>
      <c r="H206" s="2">
        <f t="shared" si="43"/>
        <v>0</v>
      </c>
      <c r="I206" s="3">
        <f t="shared" si="44"/>
        <v>0</v>
      </c>
      <c r="J206" s="8"/>
      <c r="K206" s="8"/>
      <c r="L206" s="8"/>
      <c r="M206" s="8"/>
      <c r="N206" s="8"/>
      <c r="O206" s="8"/>
      <c r="P206" s="2"/>
      <c r="Q206" s="2"/>
      <c r="R206" s="2"/>
      <c r="S206" s="2"/>
      <c r="T206" s="2"/>
      <c r="U206" s="2"/>
      <c r="AM206" s="2"/>
      <c r="AN206" s="2"/>
      <c r="AO206" s="2"/>
      <c r="BD206" s="2">
        <v>20</v>
      </c>
      <c r="BE206" s="2">
        <v>20</v>
      </c>
      <c r="BF206" s="2">
        <v>21</v>
      </c>
      <c r="BQ206" s="1">
        <f t="shared" si="47"/>
        <v>61</v>
      </c>
      <c r="BR206" s="1">
        <f t="shared" si="48"/>
        <v>61</v>
      </c>
      <c r="BS206" s="1" t="str">
        <f t="shared" si="49"/>
        <v>324-25</v>
      </c>
      <c r="BT206" s="58">
        <f t="shared" si="50"/>
        <v>0</v>
      </c>
    </row>
    <row r="207" spans="1:72" s="16" customFormat="1" x14ac:dyDescent="0.2">
      <c r="A207" s="73" t="s">
        <v>244</v>
      </c>
      <c r="B207" s="21">
        <v>46412</v>
      </c>
      <c r="C207" s="54" t="str">
        <f t="shared" si="51"/>
        <v>325-25</v>
      </c>
      <c r="D207" s="29">
        <v>61</v>
      </c>
      <c r="E207" s="7"/>
      <c r="F207" s="2"/>
      <c r="G207" s="7"/>
      <c r="H207" s="2">
        <f t="shared" si="43"/>
        <v>0</v>
      </c>
      <c r="I207" s="3">
        <f t="shared" si="44"/>
        <v>0</v>
      </c>
      <c r="J207" s="8"/>
      <c r="K207" s="8"/>
      <c r="L207" s="8"/>
      <c r="M207" s="8"/>
      <c r="N207" s="8"/>
      <c r="O207" s="8"/>
      <c r="P207" s="2"/>
      <c r="Q207" s="2"/>
      <c r="R207" s="2"/>
      <c r="S207" s="2"/>
      <c r="T207" s="2"/>
      <c r="U207" s="2"/>
      <c r="AM207" s="2"/>
      <c r="AN207" s="2"/>
      <c r="AO207" s="2"/>
      <c r="BD207" s="2">
        <v>20</v>
      </c>
      <c r="BE207" s="2">
        <v>20</v>
      </c>
      <c r="BF207" s="2">
        <v>21</v>
      </c>
      <c r="BQ207" s="1">
        <f t="shared" si="47"/>
        <v>61</v>
      </c>
      <c r="BR207" s="1">
        <f t="shared" si="48"/>
        <v>61</v>
      </c>
      <c r="BS207" s="1" t="str">
        <f t="shared" si="49"/>
        <v>325-25</v>
      </c>
      <c r="BT207" s="58">
        <f t="shared" si="50"/>
        <v>0</v>
      </c>
    </row>
    <row r="208" spans="1:72" s="16" customFormat="1" x14ac:dyDescent="0.2">
      <c r="A208" s="73" t="s">
        <v>245</v>
      </c>
      <c r="B208" s="21">
        <v>46412</v>
      </c>
      <c r="C208" s="54" t="str">
        <f t="shared" si="51"/>
        <v>326-25</v>
      </c>
      <c r="D208" s="29">
        <v>61</v>
      </c>
      <c r="E208" s="7"/>
      <c r="F208" s="2"/>
      <c r="G208" s="7"/>
      <c r="H208" s="2">
        <f t="shared" si="43"/>
        <v>0</v>
      </c>
      <c r="I208" s="3">
        <f t="shared" si="44"/>
        <v>0</v>
      </c>
      <c r="J208" s="8"/>
      <c r="K208" s="8"/>
      <c r="L208" s="8"/>
      <c r="M208" s="8"/>
      <c r="N208" s="8"/>
      <c r="O208" s="8"/>
      <c r="P208" s="2"/>
      <c r="Q208" s="2"/>
      <c r="R208" s="2"/>
      <c r="S208" s="2"/>
      <c r="T208" s="2"/>
      <c r="U208" s="2"/>
      <c r="AM208" s="2"/>
      <c r="AN208" s="2"/>
      <c r="AO208" s="2"/>
      <c r="BD208" s="2">
        <v>20</v>
      </c>
      <c r="BE208" s="2">
        <v>20</v>
      </c>
      <c r="BF208" s="2">
        <v>21</v>
      </c>
      <c r="BQ208" s="1">
        <f t="shared" si="47"/>
        <v>61</v>
      </c>
      <c r="BR208" s="1">
        <f t="shared" si="48"/>
        <v>61</v>
      </c>
      <c r="BS208" s="1" t="str">
        <f t="shared" si="49"/>
        <v>326-25</v>
      </c>
      <c r="BT208" s="58">
        <f t="shared" si="50"/>
        <v>0</v>
      </c>
    </row>
    <row r="209" spans="1:72" s="16" customFormat="1" x14ac:dyDescent="0.2">
      <c r="A209" s="73" t="s">
        <v>246</v>
      </c>
      <c r="B209" s="21">
        <v>46412</v>
      </c>
      <c r="C209" s="54" t="str">
        <f t="shared" si="51"/>
        <v>327-25</v>
      </c>
      <c r="D209" s="29">
        <v>61</v>
      </c>
      <c r="E209" s="7"/>
      <c r="F209" s="2"/>
      <c r="G209" s="7"/>
      <c r="H209" s="2">
        <f t="shared" si="43"/>
        <v>0</v>
      </c>
      <c r="I209" s="3">
        <f t="shared" si="44"/>
        <v>0</v>
      </c>
      <c r="J209" s="8"/>
      <c r="K209" s="8"/>
      <c r="L209" s="8"/>
      <c r="M209" s="8"/>
      <c r="N209" s="8"/>
      <c r="O209" s="8"/>
      <c r="P209" s="2"/>
      <c r="Q209" s="2"/>
      <c r="R209" s="2"/>
      <c r="S209" s="2"/>
      <c r="T209" s="2"/>
      <c r="U209" s="2"/>
      <c r="AM209" s="2"/>
      <c r="AN209" s="2"/>
      <c r="AO209" s="2"/>
      <c r="BD209" s="2">
        <v>20</v>
      </c>
      <c r="BE209" s="2">
        <v>20</v>
      </c>
      <c r="BF209" s="2">
        <v>21</v>
      </c>
      <c r="BQ209" s="1">
        <f t="shared" si="47"/>
        <v>61</v>
      </c>
      <c r="BR209" s="1">
        <f t="shared" si="48"/>
        <v>61</v>
      </c>
      <c r="BS209" s="1" t="str">
        <f t="shared" si="49"/>
        <v>327-25</v>
      </c>
      <c r="BT209" s="58">
        <f t="shared" si="50"/>
        <v>0</v>
      </c>
    </row>
    <row r="210" spans="1:72" s="16" customFormat="1" x14ac:dyDescent="0.2">
      <c r="A210" s="73" t="s">
        <v>247</v>
      </c>
      <c r="B210" s="21">
        <v>46412</v>
      </c>
      <c r="C210" s="54" t="str">
        <f t="shared" si="51"/>
        <v>328-25</v>
      </c>
      <c r="D210" s="29">
        <v>61</v>
      </c>
      <c r="E210" s="7"/>
      <c r="F210" s="2"/>
      <c r="G210" s="7"/>
      <c r="H210" s="2">
        <f t="shared" si="43"/>
        <v>0</v>
      </c>
      <c r="I210" s="3">
        <f t="shared" si="44"/>
        <v>0</v>
      </c>
      <c r="J210" s="8"/>
      <c r="K210" s="8"/>
      <c r="L210" s="8"/>
      <c r="M210" s="8"/>
      <c r="N210" s="8"/>
      <c r="O210" s="8"/>
      <c r="P210" s="2"/>
      <c r="Q210" s="2"/>
      <c r="R210" s="2"/>
      <c r="S210" s="2"/>
      <c r="T210" s="2"/>
      <c r="U210" s="2"/>
      <c r="AM210" s="2"/>
      <c r="AN210" s="2"/>
      <c r="AO210" s="2"/>
      <c r="BE210" s="2">
        <v>20</v>
      </c>
      <c r="BF210" s="2">
        <v>20</v>
      </c>
      <c r="BG210" s="2">
        <v>21</v>
      </c>
      <c r="BQ210" s="1">
        <f t="shared" si="47"/>
        <v>61</v>
      </c>
      <c r="BR210" s="1">
        <f t="shared" si="48"/>
        <v>61</v>
      </c>
      <c r="BS210" s="1" t="str">
        <f t="shared" si="49"/>
        <v>328-25</v>
      </c>
      <c r="BT210" s="58">
        <f t="shared" si="50"/>
        <v>0</v>
      </c>
    </row>
    <row r="211" spans="1:72" s="16" customFormat="1" x14ac:dyDescent="0.2">
      <c r="A211" s="73" t="s">
        <v>248</v>
      </c>
      <c r="B211" s="21">
        <v>46412</v>
      </c>
      <c r="C211" s="54" t="str">
        <f t="shared" si="51"/>
        <v>329-25</v>
      </c>
      <c r="D211" s="29">
        <v>61</v>
      </c>
      <c r="E211" s="7"/>
      <c r="F211" s="2"/>
      <c r="G211" s="7"/>
      <c r="H211" s="2">
        <f t="shared" si="43"/>
        <v>0</v>
      </c>
      <c r="I211" s="3">
        <f t="shared" si="44"/>
        <v>0</v>
      </c>
      <c r="J211" s="8"/>
      <c r="K211" s="8"/>
      <c r="L211" s="8"/>
      <c r="M211" s="8"/>
      <c r="N211" s="8"/>
      <c r="O211" s="8"/>
      <c r="P211" s="2"/>
      <c r="Q211" s="2"/>
      <c r="R211" s="2"/>
      <c r="S211" s="2"/>
      <c r="T211" s="2"/>
      <c r="U211" s="2"/>
      <c r="AM211" s="2"/>
      <c r="AN211" s="2"/>
      <c r="AO211" s="2"/>
      <c r="BE211" s="2">
        <v>20</v>
      </c>
      <c r="BF211" s="2">
        <v>20</v>
      </c>
      <c r="BG211" s="2">
        <v>21</v>
      </c>
      <c r="BQ211" s="1">
        <f t="shared" si="47"/>
        <v>61</v>
      </c>
      <c r="BR211" s="1">
        <f t="shared" si="48"/>
        <v>61</v>
      </c>
      <c r="BS211" s="1" t="str">
        <f t="shared" si="49"/>
        <v>329-25</v>
      </c>
      <c r="BT211" s="58">
        <f t="shared" si="50"/>
        <v>0</v>
      </c>
    </row>
    <row r="212" spans="1:72" s="16" customFormat="1" x14ac:dyDescent="0.2">
      <c r="A212" s="73" t="s">
        <v>249</v>
      </c>
      <c r="B212" s="21">
        <v>46412</v>
      </c>
      <c r="C212" s="54" t="str">
        <f t="shared" si="51"/>
        <v>330-25</v>
      </c>
      <c r="D212" s="29">
        <v>61</v>
      </c>
      <c r="E212" s="7"/>
      <c r="F212" s="2"/>
      <c r="G212" s="7"/>
      <c r="H212" s="2">
        <f t="shared" si="43"/>
        <v>0</v>
      </c>
      <c r="I212" s="3">
        <f t="shared" si="44"/>
        <v>0</v>
      </c>
      <c r="J212" s="8"/>
      <c r="K212" s="8"/>
      <c r="L212" s="8"/>
      <c r="M212" s="8"/>
      <c r="N212" s="8"/>
      <c r="O212" s="8"/>
      <c r="P212" s="2"/>
      <c r="Q212" s="2"/>
      <c r="R212" s="2"/>
      <c r="S212" s="2"/>
      <c r="T212" s="2"/>
      <c r="U212" s="2"/>
      <c r="AM212" s="2"/>
      <c r="AN212" s="2"/>
      <c r="AO212" s="2"/>
      <c r="BE212" s="2">
        <v>20</v>
      </c>
      <c r="BF212" s="2">
        <v>20</v>
      </c>
      <c r="BG212" s="2">
        <v>21</v>
      </c>
      <c r="BQ212" s="1">
        <f t="shared" si="47"/>
        <v>61</v>
      </c>
      <c r="BR212" s="1">
        <f t="shared" si="48"/>
        <v>61</v>
      </c>
      <c r="BS212" s="1" t="str">
        <f t="shared" si="49"/>
        <v>330-25</v>
      </c>
      <c r="BT212" s="58">
        <f t="shared" si="50"/>
        <v>0</v>
      </c>
    </row>
    <row r="213" spans="1:72" s="16" customFormat="1" x14ac:dyDescent="0.2">
      <c r="A213" s="73" t="s">
        <v>250</v>
      </c>
      <c r="B213" s="21">
        <v>46412</v>
      </c>
      <c r="C213" s="54" t="str">
        <f t="shared" si="51"/>
        <v>331-25</v>
      </c>
      <c r="D213" s="29">
        <v>61</v>
      </c>
      <c r="E213" s="7"/>
      <c r="F213" s="2"/>
      <c r="G213" s="7"/>
      <c r="H213" s="2">
        <f t="shared" si="43"/>
        <v>0</v>
      </c>
      <c r="I213" s="3">
        <f t="shared" si="44"/>
        <v>0</v>
      </c>
      <c r="J213" s="8"/>
      <c r="K213" s="8"/>
      <c r="L213" s="8"/>
      <c r="M213" s="8"/>
      <c r="N213" s="8"/>
      <c r="O213" s="8"/>
      <c r="P213" s="2"/>
      <c r="Q213" s="2"/>
      <c r="R213" s="2"/>
      <c r="S213" s="2"/>
      <c r="T213" s="2"/>
      <c r="U213" s="2"/>
      <c r="AM213" s="2"/>
      <c r="AN213" s="2"/>
      <c r="AO213" s="2"/>
      <c r="BE213" s="2">
        <v>20</v>
      </c>
      <c r="BF213" s="2">
        <v>20</v>
      </c>
      <c r="BG213" s="2">
        <v>21</v>
      </c>
      <c r="BL213" s="67"/>
      <c r="BQ213" s="1">
        <f t="shared" si="47"/>
        <v>61</v>
      </c>
      <c r="BR213" s="1">
        <f t="shared" si="48"/>
        <v>61</v>
      </c>
      <c r="BS213" s="1" t="str">
        <f t="shared" si="49"/>
        <v>331-25</v>
      </c>
      <c r="BT213" s="58">
        <f t="shared" si="50"/>
        <v>0</v>
      </c>
    </row>
    <row r="214" spans="1:72" s="16" customFormat="1" x14ac:dyDescent="0.2">
      <c r="A214" s="73" t="s">
        <v>251</v>
      </c>
      <c r="B214" s="21">
        <v>46412</v>
      </c>
      <c r="C214" s="54" t="str">
        <f t="shared" si="51"/>
        <v>332-25</v>
      </c>
      <c r="D214" s="29">
        <v>61</v>
      </c>
      <c r="E214" s="7"/>
      <c r="F214" s="2"/>
      <c r="G214" s="7"/>
      <c r="H214" s="2">
        <f t="shared" si="43"/>
        <v>0</v>
      </c>
      <c r="I214" s="3">
        <f t="shared" si="44"/>
        <v>0</v>
      </c>
      <c r="J214" s="8"/>
      <c r="K214" s="8"/>
      <c r="L214" s="8"/>
      <c r="M214" s="8"/>
      <c r="N214" s="8"/>
      <c r="O214" s="8"/>
      <c r="P214" s="2"/>
      <c r="Q214" s="2"/>
      <c r="R214" s="2"/>
      <c r="S214" s="2"/>
      <c r="T214" s="2"/>
      <c r="U214" s="2"/>
      <c r="AM214" s="2"/>
      <c r="AN214" s="2"/>
      <c r="AO214" s="2"/>
      <c r="BE214" s="2">
        <v>20</v>
      </c>
      <c r="BF214" s="2">
        <v>20</v>
      </c>
      <c r="BG214" s="2">
        <v>21</v>
      </c>
      <c r="BL214" s="67"/>
      <c r="BQ214" s="1">
        <f t="shared" si="47"/>
        <v>61</v>
      </c>
      <c r="BR214" s="1">
        <f t="shared" si="48"/>
        <v>61</v>
      </c>
      <c r="BS214" s="1" t="str">
        <f t="shared" si="49"/>
        <v>332-25</v>
      </c>
      <c r="BT214" s="58">
        <f t="shared" si="50"/>
        <v>0</v>
      </c>
    </row>
    <row r="215" spans="1:72" s="16" customFormat="1" x14ac:dyDescent="0.2">
      <c r="A215" s="73" t="s">
        <v>252</v>
      </c>
      <c r="B215" s="21">
        <v>46412</v>
      </c>
      <c r="C215" s="54" t="str">
        <f t="shared" si="51"/>
        <v>333-25</v>
      </c>
      <c r="D215" s="29">
        <v>61</v>
      </c>
      <c r="E215" s="7"/>
      <c r="F215" s="2"/>
      <c r="G215" s="7"/>
      <c r="H215" s="2">
        <f t="shared" si="43"/>
        <v>0</v>
      </c>
      <c r="I215" s="3">
        <f t="shared" si="44"/>
        <v>0</v>
      </c>
      <c r="J215" s="8"/>
      <c r="K215" s="8"/>
      <c r="L215" s="8"/>
      <c r="M215" s="8"/>
      <c r="N215" s="8"/>
      <c r="O215" s="8"/>
      <c r="P215" s="2"/>
      <c r="Q215" s="2"/>
      <c r="R215" s="2"/>
      <c r="S215" s="2"/>
      <c r="T215" s="2"/>
      <c r="U215" s="2"/>
      <c r="AM215" s="2"/>
      <c r="AN215" s="2"/>
      <c r="AO215" s="2"/>
      <c r="BF215" s="2">
        <v>20</v>
      </c>
      <c r="BG215" s="2">
        <v>20</v>
      </c>
      <c r="BH215" s="2">
        <v>21</v>
      </c>
      <c r="BL215" s="67"/>
      <c r="BQ215" s="1">
        <f t="shared" si="47"/>
        <v>61</v>
      </c>
      <c r="BR215" s="1">
        <f t="shared" si="48"/>
        <v>61</v>
      </c>
      <c r="BS215" s="1" t="str">
        <f t="shared" si="49"/>
        <v>333-25</v>
      </c>
      <c r="BT215" s="58">
        <f t="shared" si="50"/>
        <v>0</v>
      </c>
    </row>
    <row r="216" spans="1:72" s="16" customFormat="1" x14ac:dyDescent="0.2">
      <c r="A216" s="73" t="s">
        <v>253</v>
      </c>
      <c r="B216" s="21">
        <v>46412</v>
      </c>
      <c r="C216" s="54" t="str">
        <f t="shared" si="51"/>
        <v>334-25</v>
      </c>
      <c r="D216" s="29">
        <v>61</v>
      </c>
      <c r="E216" s="7"/>
      <c r="F216" s="2"/>
      <c r="G216" s="7"/>
      <c r="H216" s="2">
        <f t="shared" si="43"/>
        <v>0</v>
      </c>
      <c r="I216" s="3">
        <f t="shared" si="44"/>
        <v>0</v>
      </c>
      <c r="J216" s="8"/>
      <c r="K216" s="8"/>
      <c r="L216" s="8"/>
      <c r="M216" s="8"/>
      <c r="N216" s="8"/>
      <c r="O216" s="8"/>
      <c r="P216" s="2"/>
      <c r="Q216" s="2"/>
      <c r="R216" s="2"/>
      <c r="S216" s="2"/>
      <c r="T216" s="2"/>
      <c r="U216" s="2"/>
      <c r="AM216" s="2"/>
      <c r="AN216" s="2"/>
      <c r="AO216" s="2"/>
      <c r="BF216" s="2">
        <v>20</v>
      </c>
      <c r="BG216" s="2">
        <v>20</v>
      </c>
      <c r="BH216" s="2">
        <v>21</v>
      </c>
      <c r="BL216" s="67"/>
      <c r="BQ216" s="1">
        <f t="shared" si="47"/>
        <v>61</v>
      </c>
      <c r="BR216" s="1">
        <f t="shared" si="48"/>
        <v>61</v>
      </c>
      <c r="BS216" s="1" t="str">
        <f t="shared" si="49"/>
        <v>334-25</v>
      </c>
      <c r="BT216" s="58">
        <f t="shared" si="50"/>
        <v>0</v>
      </c>
    </row>
    <row r="217" spans="1:72" s="16" customFormat="1" x14ac:dyDescent="0.2">
      <c r="A217" s="73" t="s">
        <v>254</v>
      </c>
      <c r="B217" s="21">
        <v>46412</v>
      </c>
      <c r="C217" s="54" t="str">
        <f t="shared" si="51"/>
        <v>335-25</v>
      </c>
      <c r="D217" s="29">
        <v>61</v>
      </c>
      <c r="E217" s="7"/>
      <c r="F217" s="2"/>
      <c r="G217" s="7"/>
      <c r="H217" s="2">
        <f t="shared" si="43"/>
        <v>0</v>
      </c>
      <c r="I217" s="3">
        <f t="shared" si="44"/>
        <v>0</v>
      </c>
      <c r="J217" s="8"/>
      <c r="K217" s="8"/>
      <c r="L217" s="8"/>
      <c r="M217" s="8"/>
      <c r="N217" s="8"/>
      <c r="O217" s="8"/>
      <c r="P217" s="2"/>
      <c r="Q217" s="2"/>
      <c r="R217" s="2"/>
      <c r="S217" s="2"/>
      <c r="T217" s="2"/>
      <c r="U217" s="2"/>
      <c r="AM217" s="2"/>
      <c r="AN217" s="2"/>
      <c r="AO217" s="2"/>
      <c r="BF217" s="2">
        <v>20</v>
      </c>
      <c r="BG217" s="2">
        <v>20</v>
      </c>
      <c r="BH217" s="2">
        <v>21</v>
      </c>
      <c r="BL217" s="67"/>
      <c r="BQ217" s="1">
        <f t="shared" si="47"/>
        <v>61</v>
      </c>
      <c r="BR217" s="1">
        <f t="shared" si="48"/>
        <v>61</v>
      </c>
      <c r="BS217" s="1" t="str">
        <f t="shared" si="49"/>
        <v>335-25</v>
      </c>
      <c r="BT217" s="58">
        <f t="shared" si="50"/>
        <v>0</v>
      </c>
    </row>
    <row r="218" spans="1:72" s="16" customFormat="1" x14ac:dyDescent="0.2">
      <c r="A218" s="75" t="s">
        <v>255</v>
      </c>
      <c r="B218" s="21">
        <v>46426</v>
      </c>
      <c r="C218" s="54" t="str">
        <f t="shared" si="51"/>
        <v>336-25</v>
      </c>
      <c r="D218" s="29">
        <v>61</v>
      </c>
      <c r="E218" s="7"/>
      <c r="F218" s="2"/>
      <c r="G218" s="7"/>
      <c r="H218" s="2">
        <f t="shared" si="43"/>
        <v>0</v>
      </c>
      <c r="I218" s="3">
        <f t="shared" si="44"/>
        <v>0</v>
      </c>
      <c r="J218" s="8"/>
      <c r="K218" s="8"/>
      <c r="L218" s="8"/>
      <c r="M218" s="8"/>
      <c r="N218" s="8"/>
      <c r="O218" s="8"/>
      <c r="P218" s="2"/>
      <c r="Q218" s="2"/>
      <c r="R218" s="2"/>
      <c r="S218" s="2"/>
      <c r="T218" s="2"/>
      <c r="U218" s="2"/>
      <c r="AM218" s="2"/>
      <c r="AN218" s="2"/>
      <c r="AO218" s="2"/>
      <c r="BF218" s="2">
        <v>20</v>
      </c>
      <c r="BG218" s="2">
        <v>20</v>
      </c>
      <c r="BH218" s="2">
        <v>21</v>
      </c>
      <c r="BQ218" s="1">
        <f t="shared" si="47"/>
        <v>61</v>
      </c>
      <c r="BR218" s="1">
        <f t="shared" si="48"/>
        <v>61</v>
      </c>
      <c r="BS218" s="1" t="str">
        <f t="shared" si="49"/>
        <v>336-25</v>
      </c>
      <c r="BT218" s="58">
        <f t="shared" si="50"/>
        <v>0</v>
      </c>
    </row>
    <row r="219" spans="1:72" s="16" customFormat="1" x14ac:dyDescent="0.2">
      <c r="A219" s="75" t="s">
        <v>256</v>
      </c>
      <c r="B219" s="21">
        <v>46426</v>
      </c>
      <c r="C219" s="54" t="str">
        <f t="shared" si="51"/>
        <v>337-25</v>
      </c>
      <c r="D219" s="29">
        <v>61</v>
      </c>
      <c r="E219" s="7"/>
      <c r="F219" s="2"/>
      <c r="G219" s="7"/>
      <c r="H219" s="2">
        <f t="shared" si="43"/>
        <v>0</v>
      </c>
      <c r="I219" s="3">
        <f t="shared" si="44"/>
        <v>0</v>
      </c>
      <c r="J219" s="8"/>
      <c r="K219" s="8"/>
      <c r="L219" s="8"/>
      <c r="M219" s="8"/>
      <c r="N219" s="8"/>
      <c r="O219" s="8"/>
      <c r="P219" s="2"/>
      <c r="Q219" s="2"/>
      <c r="R219" s="2"/>
      <c r="S219" s="2"/>
      <c r="T219" s="2"/>
      <c r="U219" s="2"/>
      <c r="AM219" s="2"/>
      <c r="AN219" s="2"/>
      <c r="AO219" s="2"/>
      <c r="BF219" s="2">
        <v>20</v>
      </c>
      <c r="BG219" s="2">
        <v>20</v>
      </c>
      <c r="BH219" s="2">
        <v>21</v>
      </c>
      <c r="BQ219" s="1">
        <f t="shared" si="47"/>
        <v>61</v>
      </c>
      <c r="BR219" s="1">
        <f t="shared" si="48"/>
        <v>61</v>
      </c>
      <c r="BS219" s="1" t="str">
        <f t="shared" si="49"/>
        <v>337-25</v>
      </c>
      <c r="BT219" s="58">
        <f t="shared" si="50"/>
        <v>0</v>
      </c>
    </row>
    <row r="220" spans="1:72" s="16" customFormat="1" x14ac:dyDescent="0.2">
      <c r="A220" s="75" t="s">
        <v>257</v>
      </c>
      <c r="B220" s="21">
        <v>46426</v>
      </c>
      <c r="C220" s="54" t="str">
        <f t="shared" si="51"/>
        <v>338-25</v>
      </c>
      <c r="D220" s="29">
        <v>61</v>
      </c>
      <c r="E220" s="7"/>
      <c r="F220" s="2"/>
      <c r="G220" s="7"/>
      <c r="H220" s="2">
        <f t="shared" si="43"/>
        <v>0</v>
      </c>
      <c r="I220" s="3">
        <f t="shared" si="44"/>
        <v>0</v>
      </c>
      <c r="J220" s="8"/>
      <c r="K220" s="8"/>
      <c r="L220" s="8"/>
      <c r="M220" s="8"/>
      <c r="N220" s="8"/>
      <c r="O220" s="8"/>
      <c r="P220" s="2"/>
      <c r="Q220" s="2"/>
      <c r="R220" s="2"/>
      <c r="S220" s="2"/>
      <c r="T220" s="2"/>
      <c r="U220" s="2"/>
      <c r="AM220" s="2"/>
      <c r="AN220" s="2"/>
      <c r="AO220" s="2"/>
      <c r="BG220" s="2">
        <v>20</v>
      </c>
      <c r="BH220" s="2">
        <v>20</v>
      </c>
      <c r="BI220" s="2">
        <v>21</v>
      </c>
      <c r="BQ220" s="1">
        <f t="shared" si="47"/>
        <v>61</v>
      </c>
      <c r="BR220" s="1">
        <f t="shared" si="48"/>
        <v>61</v>
      </c>
      <c r="BS220" s="1" t="str">
        <f t="shared" si="49"/>
        <v>338-25</v>
      </c>
      <c r="BT220" s="58">
        <f t="shared" si="50"/>
        <v>0</v>
      </c>
    </row>
    <row r="221" spans="1:72" s="16" customFormat="1" x14ac:dyDescent="0.2">
      <c r="A221" s="75" t="s">
        <v>258</v>
      </c>
      <c r="B221" s="21">
        <v>46426</v>
      </c>
      <c r="C221" s="54" t="str">
        <f t="shared" si="51"/>
        <v>339-25</v>
      </c>
      <c r="D221" s="29">
        <v>61</v>
      </c>
      <c r="E221" s="7"/>
      <c r="F221" s="2"/>
      <c r="G221" s="7"/>
      <c r="H221" s="2">
        <f t="shared" si="43"/>
        <v>0</v>
      </c>
      <c r="I221" s="3">
        <f t="shared" si="44"/>
        <v>0</v>
      </c>
      <c r="J221" s="8"/>
      <c r="K221" s="8"/>
      <c r="L221" s="8"/>
      <c r="M221" s="8"/>
      <c r="N221" s="8"/>
      <c r="O221" s="8"/>
      <c r="P221" s="2"/>
      <c r="Q221" s="2"/>
      <c r="R221" s="2"/>
      <c r="S221" s="2"/>
      <c r="T221" s="2"/>
      <c r="U221" s="2"/>
      <c r="AM221" s="2"/>
      <c r="AN221" s="2"/>
      <c r="AO221" s="2"/>
      <c r="BG221" s="2">
        <v>20</v>
      </c>
      <c r="BH221" s="2">
        <v>20</v>
      </c>
      <c r="BI221" s="2">
        <v>21</v>
      </c>
      <c r="BQ221" s="1">
        <f t="shared" si="47"/>
        <v>61</v>
      </c>
      <c r="BR221" s="1">
        <f t="shared" si="48"/>
        <v>61</v>
      </c>
      <c r="BS221" s="1" t="str">
        <f t="shared" si="49"/>
        <v>339-25</v>
      </c>
      <c r="BT221" s="58">
        <f t="shared" si="50"/>
        <v>0</v>
      </c>
    </row>
    <row r="222" spans="1:72" s="16" customFormat="1" x14ac:dyDescent="0.2">
      <c r="A222" s="75" t="s">
        <v>259</v>
      </c>
      <c r="B222" s="21">
        <v>46426</v>
      </c>
      <c r="C222" s="54" t="str">
        <f t="shared" si="51"/>
        <v>340-25</v>
      </c>
      <c r="D222" s="29">
        <v>61</v>
      </c>
      <c r="E222" s="7"/>
      <c r="F222" s="2"/>
      <c r="G222" s="7"/>
      <c r="H222" s="2">
        <f t="shared" si="43"/>
        <v>0</v>
      </c>
      <c r="I222" s="3">
        <f t="shared" si="44"/>
        <v>0</v>
      </c>
      <c r="J222" s="8"/>
      <c r="K222" s="8"/>
      <c r="L222" s="8"/>
      <c r="M222" s="8"/>
      <c r="N222" s="8"/>
      <c r="O222" s="8"/>
      <c r="P222" s="2"/>
      <c r="Q222" s="2"/>
      <c r="R222" s="2"/>
      <c r="S222" s="2"/>
      <c r="T222" s="2"/>
      <c r="U222" s="2"/>
      <c r="AM222" s="2"/>
      <c r="AN222" s="2"/>
      <c r="AO222" s="2"/>
      <c r="BG222" s="2">
        <v>20</v>
      </c>
      <c r="BH222" s="2">
        <v>20</v>
      </c>
      <c r="BI222" s="2">
        <v>21</v>
      </c>
      <c r="BQ222" s="1">
        <f t="shared" si="47"/>
        <v>61</v>
      </c>
      <c r="BR222" s="1">
        <f t="shared" si="48"/>
        <v>61</v>
      </c>
      <c r="BS222" s="1" t="str">
        <f t="shared" si="49"/>
        <v>340-25</v>
      </c>
      <c r="BT222" s="58">
        <f t="shared" si="50"/>
        <v>0</v>
      </c>
    </row>
    <row r="223" spans="1:72" s="16" customFormat="1" x14ac:dyDescent="0.2">
      <c r="A223" s="75" t="s">
        <v>260</v>
      </c>
      <c r="B223" s="21">
        <v>46426</v>
      </c>
      <c r="C223" s="54" t="str">
        <f t="shared" si="51"/>
        <v>341-25</v>
      </c>
      <c r="D223" s="29">
        <v>61</v>
      </c>
      <c r="E223" s="7"/>
      <c r="F223" s="2"/>
      <c r="G223" s="7"/>
      <c r="H223" s="2">
        <f t="shared" si="43"/>
        <v>0</v>
      </c>
      <c r="I223" s="3">
        <f t="shared" si="44"/>
        <v>0</v>
      </c>
      <c r="J223" s="8"/>
      <c r="K223" s="8"/>
      <c r="L223" s="8"/>
      <c r="M223" s="8"/>
      <c r="N223" s="8"/>
      <c r="O223" s="8"/>
      <c r="P223" s="2"/>
      <c r="Q223" s="2"/>
      <c r="R223" s="2"/>
      <c r="S223" s="2"/>
      <c r="T223" s="2"/>
      <c r="U223" s="2"/>
      <c r="AM223" s="2"/>
      <c r="AN223" s="2"/>
      <c r="AO223" s="2"/>
      <c r="BG223" s="2">
        <v>20</v>
      </c>
      <c r="BH223" s="2">
        <v>20</v>
      </c>
      <c r="BI223" s="2">
        <v>21</v>
      </c>
      <c r="BQ223" s="1">
        <f t="shared" si="47"/>
        <v>61</v>
      </c>
      <c r="BR223" s="1">
        <f t="shared" si="48"/>
        <v>61</v>
      </c>
      <c r="BS223" s="1" t="str">
        <f t="shared" si="49"/>
        <v>341-25</v>
      </c>
      <c r="BT223" s="58">
        <f t="shared" si="50"/>
        <v>0</v>
      </c>
    </row>
    <row r="224" spans="1:72" s="16" customFormat="1" x14ac:dyDescent="0.2">
      <c r="A224" s="75" t="s">
        <v>261</v>
      </c>
      <c r="B224" s="21">
        <v>46426</v>
      </c>
      <c r="C224" s="54" t="str">
        <f t="shared" si="51"/>
        <v>342-25</v>
      </c>
      <c r="D224" s="29">
        <v>61</v>
      </c>
      <c r="E224" s="7"/>
      <c r="F224" s="2"/>
      <c r="G224" s="7"/>
      <c r="H224" s="2">
        <f t="shared" si="43"/>
        <v>0</v>
      </c>
      <c r="I224" s="3">
        <f t="shared" si="44"/>
        <v>0</v>
      </c>
      <c r="J224" s="8"/>
      <c r="K224" s="8"/>
      <c r="L224" s="8"/>
      <c r="M224" s="8"/>
      <c r="N224" s="8"/>
      <c r="O224" s="8"/>
      <c r="P224" s="2"/>
      <c r="Q224" s="2"/>
      <c r="R224" s="2"/>
      <c r="S224" s="2"/>
      <c r="T224" s="2"/>
      <c r="U224" s="2"/>
      <c r="AM224" s="2"/>
      <c r="AN224" s="2"/>
      <c r="AO224" s="2"/>
      <c r="BG224" s="2">
        <v>20</v>
      </c>
      <c r="BH224" s="2">
        <v>20</v>
      </c>
      <c r="BI224" s="2">
        <v>21</v>
      </c>
      <c r="BQ224" s="1">
        <f t="shared" si="47"/>
        <v>61</v>
      </c>
      <c r="BR224" s="1">
        <f t="shared" si="48"/>
        <v>61</v>
      </c>
      <c r="BS224" s="1" t="str">
        <f t="shared" si="49"/>
        <v>342-25</v>
      </c>
      <c r="BT224" s="58">
        <f t="shared" si="50"/>
        <v>0</v>
      </c>
    </row>
    <row r="225" spans="1:73" s="16" customFormat="1" x14ac:dyDescent="0.2">
      <c r="A225" s="75" t="s">
        <v>262</v>
      </c>
      <c r="B225" s="21">
        <v>46426</v>
      </c>
      <c r="C225" s="54" t="str">
        <f t="shared" si="51"/>
        <v>343-25</v>
      </c>
      <c r="D225" s="29">
        <v>61</v>
      </c>
      <c r="E225" s="7"/>
      <c r="F225" s="2"/>
      <c r="G225" s="7"/>
      <c r="H225" s="2">
        <f t="shared" si="43"/>
        <v>0</v>
      </c>
      <c r="I225" s="3">
        <f t="shared" si="44"/>
        <v>0</v>
      </c>
      <c r="J225" s="8"/>
      <c r="K225" s="8"/>
      <c r="L225" s="8"/>
      <c r="M225" s="8"/>
      <c r="N225" s="8"/>
      <c r="O225" s="8"/>
      <c r="P225" s="2"/>
      <c r="Q225" s="2"/>
      <c r="R225" s="2"/>
      <c r="S225" s="2"/>
      <c r="T225" s="2"/>
      <c r="U225" s="2"/>
      <c r="AM225" s="2"/>
      <c r="AN225" s="2"/>
      <c r="AO225" s="2"/>
      <c r="BI225" s="2">
        <v>20</v>
      </c>
      <c r="BJ225" s="2">
        <v>20</v>
      </c>
      <c r="BK225" s="2">
        <v>21</v>
      </c>
      <c r="BN225" s="67"/>
      <c r="BQ225" s="1">
        <f t="shared" si="47"/>
        <v>61</v>
      </c>
      <c r="BR225" s="1">
        <f t="shared" si="48"/>
        <v>61</v>
      </c>
      <c r="BS225" s="1" t="str">
        <f t="shared" si="49"/>
        <v>343-25</v>
      </c>
      <c r="BT225" s="58">
        <f t="shared" si="50"/>
        <v>0</v>
      </c>
    </row>
    <row r="226" spans="1:73" s="16" customFormat="1" x14ac:dyDescent="0.2">
      <c r="A226" s="75" t="s">
        <v>263</v>
      </c>
      <c r="B226" s="21">
        <v>46426</v>
      </c>
      <c r="C226" s="54" t="str">
        <f t="shared" si="51"/>
        <v>344-25</v>
      </c>
      <c r="D226" s="29">
        <v>61</v>
      </c>
      <c r="E226" s="7"/>
      <c r="F226" s="2"/>
      <c r="G226" s="7"/>
      <c r="H226" s="2">
        <f t="shared" si="43"/>
        <v>0</v>
      </c>
      <c r="I226" s="3">
        <f t="shared" si="44"/>
        <v>0</v>
      </c>
      <c r="J226" s="8"/>
      <c r="K226" s="8"/>
      <c r="L226" s="8"/>
      <c r="M226" s="8"/>
      <c r="N226" s="8"/>
      <c r="O226" s="8"/>
      <c r="P226" s="2"/>
      <c r="Q226" s="2"/>
      <c r="R226" s="2"/>
      <c r="S226" s="2"/>
      <c r="T226" s="2"/>
      <c r="U226" s="2"/>
      <c r="AM226" s="2"/>
      <c r="AN226" s="2"/>
      <c r="AO226" s="2"/>
      <c r="BI226" s="2">
        <v>20</v>
      </c>
      <c r="BJ226" s="2">
        <v>20</v>
      </c>
      <c r="BK226" s="2">
        <v>21</v>
      </c>
      <c r="BN226" s="67"/>
      <c r="BQ226" s="1">
        <f t="shared" si="47"/>
        <v>61</v>
      </c>
      <c r="BR226" s="1">
        <f t="shared" si="48"/>
        <v>61</v>
      </c>
      <c r="BS226" s="1" t="str">
        <f t="shared" si="49"/>
        <v>344-25</v>
      </c>
      <c r="BT226" s="58">
        <f t="shared" si="50"/>
        <v>0</v>
      </c>
    </row>
    <row r="227" spans="1:73" s="16" customFormat="1" x14ac:dyDescent="0.2">
      <c r="A227" s="75" t="s">
        <v>264</v>
      </c>
      <c r="B227" s="21">
        <v>46426</v>
      </c>
      <c r="C227" s="54" t="str">
        <f t="shared" si="51"/>
        <v>345-25</v>
      </c>
      <c r="D227" s="29">
        <v>61</v>
      </c>
      <c r="E227" s="7"/>
      <c r="F227" s="2"/>
      <c r="G227" s="7"/>
      <c r="H227" s="2">
        <f t="shared" si="43"/>
        <v>0</v>
      </c>
      <c r="I227" s="3">
        <f t="shared" si="44"/>
        <v>0</v>
      </c>
      <c r="J227" s="8"/>
      <c r="K227" s="8"/>
      <c r="L227" s="8"/>
      <c r="M227" s="8"/>
      <c r="N227" s="8"/>
      <c r="O227" s="8"/>
      <c r="P227" s="2"/>
      <c r="Q227" s="2"/>
      <c r="R227" s="2"/>
      <c r="S227" s="2"/>
      <c r="T227" s="2"/>
      <c r="U227" s="2"/>
      <c r="AM227" s="2"/>
      <c r="AN227" s="2"/>
      <c r="AO227" s="2"/>
      <c r="BI227" s="2">
        <v>20</v>
      </c>
      <c r="BJ227" s="2">
        <v>20</v>
      </c>
      <c r="BK227" s="2">
        <v>21</v>
      </c>
      <c r="BN227" s="67"/>
      <c r="BQ227" s="1">
        <f t="shared" si="47"/>
        <v>61</v>
      </c>
      <c r="BR227" s="1">
        <f t="shared" si="48"/>
        <v>61</v>
      </c>
      <c r="BS227" s="1" t="str">
        <f t="shared" si="49"/>
        <v>345-25</v>
      </c>
      <c r="BT227" s="58">
        <f t="shared" si="50"/>
        <v>0</v>
      </c>
    </row>
    <row r="228" spans="1:73" s="16" customFormat="1" x14ac:dyDescent="0.2">
      <c r="A228" s="75" t="s">
        <v>265</v>
      </c>
      <c r="B228" s="21">
        <v>46426</v>
      </c>
      <c r="C228" s="54" t="str">
        <f t="shared" si="51"/>
        <v>346-25</v>
      </c>
      <c r="D228" s="29">
        <v>61</v>
      </c>
      <c r="E228" s="7"/>
      <c r="F228" s="2"/>
      <c r="G228" s="7"/>
      <c r="H228" s="2">
        <f t="shared" si="43"/>
        <v>0</v>
      </c>
      <c r="I228" s="3">
        <f t="shared" si="44"/>
        <v>0</v>
      </c>
      <c r="J228" s="8"/>
      <c r="K228" s="8"/>
      <c r="L228" s="8"/>
      <c r="M228" s="8"/>
      <c r="N228" s="8"/>
      <c r="O228" s="8"/>
      <c r="P228" s="2"/>
      <c r="Q228" s="2"/>
      <c r="R228" s="2"/>
      <c r="S228" s="2"/>
      <c r="T228" s="2"/>
      <c r="U228" s="2"/>
      <c r="AM228" s="2"/>
      <c r="AN228" s="2"/>
      <c r="AO228" s="2"/>
      <c r="BI228" s="2">
        <v>20</v>
      </c>
      <c r="BJ228" s="2">
        <v>20</v>
      </c>
      <c r="BK228" s="2">
        <v>21</v>
      </c>
      <c r="BN228" s="67"/>
      <c r="BQ228" s="1">
        <f t="shared" si="47"/>
        <v>61</v>
      </c>
      <c r="BR228" s="1">
        <f t="shared" si="48"/>
        <v>61</v>
      </c>
      <c r="BS228" s="1" t="str">
        <f t="shared" si="49"/>
        <v>346-25</v>
      </c>
      <c r="BT228" s="58">
        <f t="shared" si="50"/>
        <v>0</v>
      </c>
    </row>
    <row r="229" spans="1:73" s="16" customFormat="1" x14ac:dyDescent="0.2">
      <c r="A229" s="75" t="s">
        <v>266</v>
      </c>
      <c r="B229" s="21">
        <v>46426</v>
      </c>
      <c r="C229" s="54" t="str">
        <f t="shared" si="51"/>
        <v>347-25</v>
      </c>
      <c r="D229" s="29">
        <v>61</v>
      </c>
      <c r="E229" s="7"/>
      <c r="F229" s="2"/>
      <c r="G229" s="7"/>
      <c r="H229" s="2">
        <f t="shared" si="43"/>
        <v>0</v>
      </c>
      <c r="I229" s="3">
        <f t="shared" si="44"/>
        <v>0</v>
      </c>
      <c r="J229" s="8"/>
      <c r="K229" s="8"/>
      <c r="L229" s="8"/>
      <c r="M229" s="8"/>
      <c r="N229" s="8"/>
      <c r="O229" s="8"/>
      <c r="P229" s="2"/>
      <c r="Q229" s="2"/>
      <c r="R229" s="2"/>
      <c r="S229" s="2"/>
      <c r="T229" s="2"/>
      <c r="U229" s="2"/>
      <c r="AM229" s="2"/>
      <c r="AN229" s="2"/>
      <c r="AO229" s="2"/>
      <c r="BI229" s="2">
        <v>20</v>
      </c>
      <c r="BJ229" s="2">
        <v>20</v>
      </c>
      <c r="BK229" s="2">
        <v>21</v>
      </c>
      <c r="BN229" s="67"/>
      <c r="BQ229" s="1">
        <f t="shared" si="47"/>
        <v>61</v>
      </c>
      <c r="BR229" s="1">
        <f t="shared" si="48"/>
        <v>61</v>
      </c>
      <c r="BS229" s="1" t="str">
        <f t="shared" si="49"/>
        <v>347-25</v>
      </c>
      <c r="BT229" s="58">
        <f t="shared" si="50"/>
        <v>0</v>
      </c>
    </row>
    <row r="230" spans="1:73" s="16" customFormat="1" ht="9" customHeight="1" x14ac:dyDescent="0.2">
      <c r="A230" s="28"/>
      <c r="B230" s="21"/>
      <c r="C230" s="54"/>
      <c r="D230" s="29"/>
      <c r="E230" s="7"/>
      <c r="F230" s="2"/>
      <c r="G230" s="7"/>
      <c r="H230" s="2"/>
      <c r="I230" s="3"/>
      <c r="J230" s="8"/>
      <c r="K230" s="8"/>
      <c r="L230" s="8"/>
      <c r="M230" s="8"/>
      <c r="N230" s="8"/>
      <c r="O230" s="8"/>
      <c r="P230" s="2"/>
      <c r="Q230" s="2"/>
      <c r="R230" s="2"/>
      <c r="S230" s="2"/>
      <c r="T230" s="2"/>
      <c r="U230" s="2"/>
      <c r="AM230" s="2"/>
      <c r="AN230" s="2"/>
      <c r="AO230" s="2"/>
      <c r="BQ230" s="1"/>
      <c r="BR230" s="1"/>
      <c r="BS230" s="1"/>
      <c r="BT230" s="4"/>
    </row>
    <row r="231" spans="1:73" ht="9" customHeight="1" x14ac:dyDescent="0.2">
      <c r="A231" s="16" t="s">
        <v>30</v>
      </c>
      <c r="B231" s="21"/>
      <c r="C231" s="29"/>
      <c r="D231" s="8"/>
      <c r="E231" s="53"/>
      <c r="G231" s="53"/>
      <c r="H231" s="2">
        <f t="shared" ref="H231" si="52">E231+G231</f>
        <v>0</v>
      </c>
      <c r="I231" s="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1">
        <f>SUM(J231:BP231)</f>
        <v>0</v>
      </c>
      <c r="BR231" s="6">
        <f>D231-H231</f>
        <v>0</v>
      </c>
      <c r="BS231" s="6">
        <f>D231-H231</f>
        <v>0</v>
      </c>
      <c r="BT231" s="4">
        <f>D231-H231-BQ231</f>
        <v>0</v>
      </c>
    </row>
    <row r="232" spans="1:73" x14ac:dyDescent="0.2">
      <c r="A232" s="36"/>
      <c r="B232" s="37"/>
      <c r="C232" s="38"/>
      <c r="D232" s="38"/>
      <c r="E232" s="2" t="s">
        <v>8</v>
      </c>
      <c r="F232" s="11">
        <f>SUM(F6:F231)</f>
        <v>0</v>
      </c>
      <c r="G232" s="11">
        <f>SUM(G8:G231)</f>
        <v>0</v>
      </c>
      <c r="H232" s="2">
        <f>SUM(H8:H231)</f>
        <v>0</v>
      </c>
      <c r="I232" s="2" t="s">
        <v>13</v>
      </c>
      <c r="J232" s="11">
        <f t="shared" ref="J232:AO232" si="53">SUM(J6:J231)</f>
        <v>0</v>
      </c>
      <c r="K232" s="11">
        <f t="shared" si="53"/>
        <v>0</v>
      </c>
      <c r="L232" s="11">
        <f t="shared" si="53"/>
        <v>0</v>
      </c>
      <c r="M232" s="11">
        <f t="shared" si="53"/>
        <v>140</v>
      </c>
      <c r="N232" s="11">
        <f t="shared" si="53"/>
        <v>260</v>
      </c>
      <c r="O232" s="11">
        <f t="shared" si="53"/>
        <v>367</v>
      </c>
      <c r="P232" s="11">
        <f t="shared" si="53"/>
        <v>346</v>
      </c>
      <c r="Q232" s="11">
        <f t="shared" si="53"/>
        <v>325</v>
      </c>
      <c r="R232" s="11">
        <f t="shared" si="53"/>
        <v>326</v>
      </c>
      <c r="S232" s="11">
        <f t="shared" si="53"/>
        <v>305</v>
      </c>
      <c r="T232" s="11">
        <f t="shared" si="53"/>
        <v>305</v>
      </c>
      <c r="U232" s="11">
        <f t="shared" si="53"/>
        <v>305</v>
      </c>
      <c r="V232" s="11">
        <f t="shared" si="53"/>
        <v>305</v>
      </c>
      <c r="W232" s="11">
        <f t="shared" si="53"/>
        <v>305</v>
      </c>
      <c r="X232" s="11">
        <f t="shared" si="53"/>
        <v>305</v>
      </c>
      <c r="Y232" s="11">
        <f t="shared" si="53"/>
        <v>305</v>
      </c>
      <c r="Z232" s="11">
        <f t="shared" si="53"/>
        <v>305</v>
      </c>
      <c r="AA232" s="11">
        <f t="shared" si="53"/>
        <v>305</v>
      </c>
      <c r="AB232" s="11">
        <f t="shared" si="53"/>
        <v>305</v>
      </c>
      <c r="AC232" s="11">
        <f t="shared" si="53"/>
        <v>205</v>
      </c>
      <c r="AD232" s="11">
        <f t="shared" si="53"/>
        <v>205</v>
      </c>
      <c r="AE232" s="11">
        <f t="shared" si="53"/>
        <v>200</v>
      </c>
      <c r="AF232" s="11">
        <f t="shared" si="53"/>
        <v>305</v>
      </c>
      <c r="AG232" s="11">
        <f t="shared" si="53"/>
        <v>305</v>
      </c>
      <c r="AH232" s="11">
        <f t="shared" si="53"/>
        <v>305</v>
      </c>
      <c r="AI232" s="11">
        <f t="shared" si="53"/>
        <v>205</v>
      </c>
      <c r="AJ232" s="11">
        <f t="shared" si="53"/>
        <v>205</v>
      </c>
      <c r="AK232" s="11">
        <f t="shared" si="53"/>
        <v>200</v>
      </c>
      <c r="AL232" s="11">
        <f t="shared" si="53"/>
        <v>305</v>
      </c>
      <c r="AM232" s="11">
        <f t="shared" si="53"/>
        <v>305</v>
      </c>
      <c r="AN232" s="11">
        <f t="shared" si="53"/>
        <v>305</v>
      </c>
      <c r="AO232" s="11">
        <f t="shared" si="53"/>
        <v>305</v>
      </c>
      <c r="AP232" s="11">
        <f t="shared" ref="AP232:BP232" si="54">SUM(AP6:AP231)</f>
        <v>305</v>
      </c>
      <c r="AQ232" s="11">
        <f t="shared" si="54"/>
        <v>305</v>
      </c>
      <c r="AR232" s="11">
        <f t="shared" si="54"/>
        <v>205</v>
      </c>
      <c r="AS232" s="11">
        <f t="shared" si="54"/>
        <v>205</v>
      </c>
      <c r="AT232" s="11">
        <f t="shared" si="54"/>
        <v>200</v>
      </c>
      <c r="AU232" s="11">
        <f t="shared" si="54"/>
        <v>305</v>
      </c>
      <c r="AV232" s="11">
        <f t="shared" si="54"/>
        <v>305</v>
      </c>
      <c r="AW232" s="11">
        <f t="shared" si="54"/>
        <v>305</v>
      </c>
      <c r="AX232" s="11">
        <f t="shared" si="54"/>
        <v>305</v>
      </c>
      <c r="AY232" s="11">
        <f t="shared" si="54"/>
        <v>305</v>
      </c>
      <c r="AZ232" s="11">
        <f t="shared" si="54"/>
        <v>305</v>
      </c>
      <c r="BA232" s="11">
        <f t="shared" si="54"/>
        <v>305</v>
      </c>
      <c r="BB232" s="11">
        <f t="shared" si="54"/>
        <v>305</v>
      </c>
      <c r="BC232" s="11">
        <f t="shared" si="54"/>
        <v>205</v>
      </c>
      <c r="BD232" s="11">
        <f t="shared" si="54"/>
        <v>205</v>
      </c>
      <c r="BE232" s="11">
        <f t="shared" si="54"/>
        <v>200</v>
      </c>
      <c r="BF232" s="11">
        <f t="shared" si="54"/>
        <v>305</v>
      </c>
      <c r="BG232" s="11">
        <f t="shared" si="54"/>
        <v>305</v>
      </c>
      <c r="BH232" s="11">
        <f t="shared" si="54"/>
        <v>205</v>
      </c>
      <c r="BI232" s="11">
        <f t="shared" si="54"/>
        <v>205</v>
      </c>
      <c r="BJ232" s="11">
        <f t="shared" si="54"/>
        <v>100</v>
      </c>
      <c r="BK232" s="11">
        <f t="shared" si="54"/>
        <v>105</v>
      </c>
      <c r="BL232" s="11">
        <f t="shared" si="54"/>
        <v>0</v>
      </c>
      <c r="BM232" s="11">
        <f t="shared" si="54"/>
        <v>0</v>
      </c>
      <c r="BN232" s="11">
        <f t="shared" si="54"/>
        <v>0</v>
      </c>
      <c r="BO232" s="11">
        <f t="shared" si="54"/>
        <v>0</v>
      </c>
      <c r="BP232" s="11">
        <f t="shared" si="54"/>
        <v>0</v>
      </c>
      <c r="BQ232" s="11">
        <f>SUM(BQ8:BQ231)</f>
        <v>13542</v>
      </c>
      <c r="BR232" s="6"/>
      <c r="BS232" s="6"/>
    </row>
    <row r="233" spans="1:73" s="9" customFormat="1" x14ac:dyDescent="0.2">
      <c r="A233" s="36"/>
      <c r="B233" s="37"/>
      <c r="C233" s="38"/>
      <c r="D233" s="38"/>
      <c r="E233" s="9" t="s">
        <v>20</v>
      </c>
      <c r="F233" s="12">
        <f>((F232)/(F4*F3))</f>
        <v>0</v>
      </c>
      <c r="G233" s="12">
        <f>((G232)/(G4*G3))</f>
        <v>0</v>
      </c>
      <c r="I233" s="9" t="s">
        <v>20</v>
      </c>
      <c r="J233" s="12">
        <f t="shared" ref="J233:AO233" si="55">((J232)/(J4*J3))</f>
        <v>0</v>
      </c>
      <c r="K233" s="12">
        <f t="shared" si="55"/>
        <v>0</v>
      </c>
      <c r="L233" s="12">
        <f t="shared" si="55"/>
        <v>0</v>
      </c>
      <c r="M233" s="12">
        <f t="shared" si="55"/>
        <v>0.4</v>
      </c>
      <c r="N233" s="12">
        <f t="shared" si="55"/>
        <v>0.74285714285714288</v>
      </c>
      <c r="O233" s="12">
        <f t="shared" si="55"/>
        <v>1.0485714285714285</v>
      </c>
      <c r="P233" s="12">
        <f t="shared" si="55"/>
        <v>0.98857142857142855</v>
      </c>
      <c r="Q233" s="12">
        <f t="shared" si="55"/>
        <v>0.9285714285714286</v>
      </c>
      <c r="R233" s="12">
        <f t="shared" si="55"/>
        <v>0.93142857142857138</v>
      </c>
      <c r="S233" s="12">
        <f t="shared" si="55"/>
        <v>0.87142857142857144</v>
      </c>
      <c r="T233" s="12">
        <f t="shared" si="55"/>
        <v>0.87142857142857144</v>
      </c>
      <c r="U233" s="12">
        <f t="shared" si="55"/>
        <v>0.87142857142857144</v>
      </c>
      <c r="V233" s="12">
        <f t="shared" si="55"/>
        <v>0.87142857142857144</v>
      </c>
      <c r="W233" s="12">
        <f t="shared" si="55"/>
        <v>0.87142857142857144</v>
      </c>
      <c r="X233" s="12">
        <f t="shared" si="55"/>
        <v>0.87142857142857144</v>
      </c>
      <c r="Y233" s="12">
        <f t="shared" si="55"/>
        <v>0.87142857142857144</v>
      </c>
      <c r="Z233" s="12">
        <f t="shared" si="55"/>
        <v>0.87142857142857144</v>
      </c>
      <c r="AA233" s="12">
        <f t="shared" si="55"/>
        <v>0.87142857142857144</v>
      </c>
      <c r="AB233" s="12">
        <f t="shared" si="55"/>
        <v>0.87142857142857144</v>
      </c>
      <c r="AC233" s="12">
        <f t="shared" si="55"/>
        <v>0.7321428571428571</v>
      </c>
      <c r="AD233" s="12">
        <f t="shared" si="55"/>
        <v>0.58571428571428574</v>
      </c>
      <c r="AE233" s="12">
        <f t="shared" si="55"/>
        <v>0.5714285714285714</v>
      </c>
      <c r="AF233" s="12">
        <f t="shared" si="55"/>
        <v>0.87142857142857144</v>
      </c>
      <c r="AG233" s="12">
        <f t="shared" si="55"/>
        <v>0.87142857142857144</v>
      </c>
      <c r="AH233" s="12">
        <f t="shared" si="55"/>
        <v>0.87142857142857144</v>
      </c>
      <c r="AI233" s="12">
        <f t="shared" si="55"/>
        <v>0.7321428571428571</v>
      </c>
      <c r="AJ233" s="12">
        <f t="shared" si="55"/>
        <v>0.58571428571428574</v>
      </c>
      <c r="AK233" s="12">
        <f t="shared" si="55"/>
        <v>0.5714285714285714</v>
      </c>
      <c r="AL233" s="12">
        <f t="shared" si="55"/>
        <v>0.87142857142857144</v>
      </c>
      <c r="AM233" s="12">
        <f t="shared" si="55"/>
        <v>0.87142857142857144</v>
      </c>
      <c r="AN233" s="12">
        <f t="shared" si="55"/>
        <v>0.87142857142857144</v>
      </c>
      <c r="AO233" s="12">
        <f t="shared" si="55"/>
        <v>0.87142857142857144</v>
      </c>
      <c r="AP233" s="12">
        <f t="shared" ref="AP233:BP233" si="56">((AP232)/(AP4*AP3))</f>
        <v>0.87142857142857144</v>
      </c>
      <c r="AQ233" s="12">
        <f t="shared" si="56"/>
        <v>0.87142857142857144</v>
      </c>
      <c r="AR233" s="12">
        <f t="shared" si="56"/>
        <v>0.7321428571428571</v>
      </c>
      <c r="AS233" s="12">
        <f t="shared" si="56"/>
        <v>0.58571428571428574</v>
      </c>
      <c r="AT233" s="12">
        <f t="shared" si="56"/>
        <v>0.5714285714285714</v>
      </c>
      <c r="AU233" s="12">
        <f t="shared" si="56"/>
        <v>0.87142857142857144</v>
      </c>
      <c r="AV233" s="12">
        <f t="shared" si="56"/>
        <v>0.87142857142857144</v>
      </c>
      <c r="AW233" s="12">
        <f t="shared" si="56"/>
        <v>0.87142857142857144</v>
      </c>
      <c r="AX233" s="12">
        <f t="shared" si="56"/>
        <v>0.87142857142857144</v>
      </c>
      <c r="AY233" s="12">
        <f t="shared" si="56"/>
        <v>0.87142857142857144</v>
      </c>
      <c r="AZ233" s="12">
        <f t="shared" si="56"/>
        <v>0.87142857142857144</v>
      </c>
      <c r="BA233" s="12">
        <f t="shared" si="56"/>
        <v>0.87142857142857144</v>
      </c>
      <c r="BB233" s="12">
        <f t="shared" si="56"/>
        <v>0.87142857142857144</v>
      </c>
      <c r="BC233" s="12">
        <f t="shared" si="56"/>
        <v>0.7321428571428571</v>
      </c>
      <c r="BD233" s="12">
        <f t="shared" si="56"/>
        <v>0.58571428571428574</v>
      </c>
      <c r="BE233" s="12">
        <f t="shared" si="56"/>
        <v>0.5714285714285714</v>
      </c>
      <c r="BF233" s="12">
        <f t="shared" si="56"/>
        <v>0.87142857142857144</v>
      </c>
      <c r="BG233" s="12">
        <f t="shared" si="56"/>
        <v>0.87142857142857144</v>
      </c>
      <c r="BH233" s="12">
        <f t="shared" si="56"/>
        <v>0.7321428571428571</v>
      </c>
      <c r="BI233" s="12">
        <f t="shared" si="56"/>
        <v>0.58571428571428574</v>
      </c>
      <c r="BJ233" s="12">
        <f t="shared" si="56"/>
        <v>0.2857142857142857</v>
      </c>
      <c r="BK233" s="12">
        <f t="shared" si="56"/>
        <v>0.3</v>
      </c>
      <c r="BL233" s="12">
        <f t="shared" si="56"/>
        <v>0</v>
      </c>
      <c r="BM233" s="12">
        <f t="shared" si="56"/>
        <v>0</v>
      </c>
      <c r="BN233" s="12">
        <f t="shared" si="56"/>
        <v>0</v>
      </c>
      <c r="BO233" s="12">
        <f t="shared" si="56"/>
        <v>0</v>
      </c>
      <c r="BP233" s="12">
        <f t="shared" si="56"/>
        <v>0</v>
      </c>
      <c r="BQ233" s="6"/>
      <c r="BR233" s="6"/>
      <c r="BS233" s="6"/>
      <c r="BT233" s="4"/>
    </row>
    <row r="234" spans="1:73" x14ac:dyDescent="0.2">
      <c r="A234" s="36"/>
      <c r="B234" s="37"/>
      <c r="C234" s="38"/>
      <c r="D234" s="38"/>
      <c r="E234" s="2" t="s">
        <v>2</v>
      </c>
      <c r="F234" s="22">
        <f>(F3*F4)-(F232)</f>
        <v>350</v>
      </c>
      <c r="G234" s="22">
        <f>(G3*G4)-(G232)</f>
        <v>350</v>
      </c>
      <c r="I234" s="2" t="s">
        <v>2</v>
      </c>
      <c r="J234" s="22">
        <f t="shared" ref="J234:AO234" si="57">(J3*J4)-(J232)</f>
        <v>350</v>
      </c>
      <c r="K234" s="22">
        <f t="shared" si="57"/>
        <v>350</v>
      </c>
      <c r="L234" s="22">
        <f t="shared" si="57"/>
        <v>350</v>
      </c>
      <c r="M234" s="22">
        <f t="shared" si="57"/>
        <v>210</v>
      </c>
      <c r="N234" s="22">
        <f t="shared" si="57"/>
        <v>90</v>
      </c>
      <c r="O234" s="22">
        <f t="shared" si="57"/>
        <v>-17</v>
      </c>
      <c r="P234" s="22">
        <f t="shared" si="57"/>
        <v>4</v>
      </c>
      <c r="Q234" s="22">
        <f t="shared" si="57"/>
        <v>25</v>
      </c>
      <c r="R234" s="22">
        <f t="shared" si="57"/>
        <v>24</v>
      </c>
      <c r="S234" s="22">
        <f t="shared" si="57"/>
        <v>45</v>
      </c>
      <c r="T234" s="22">
        <f t="shared" si="57"/>
        <v>45</v>
      </c>
      <c r="U234" s="22">
        <f t="shared" si="57"/>
        <v>45</v>
      </c>
      <c r="V234" s="22">
        <f t="shared" si="57"/>
        <v>45</v>
      </c>
      <c r="W234" s="22">
        <f t="shared" si="57"/>
        <v>45</v>
      </c>
      <c r="X234" s="22">
        <f t="shared" si="57"/>
        <v>45</v>
      </c>
      <c r="Y234" s="22">
        <f t="shared" si="57"/>
        <v>45</v>
      </c>
      <c r="Z234" s="22">
        <f t="shared" si="57"/>
        <v>45</v>
      </c>
      <c r="AA234" s="22">
        <f t="shared" si="57"/>
        <v>45</v>
      </c>
      <c r="AB234" s="22">
        <f t="shared" si="57"/>
        <v>45</v>
      </c>
      <c r="AC234" s="22">
        <f t="shared" si="57"/>
        <v>75</v>
      </c>
      <c r="AD234" s="22">
        <f t="shared" si="57"/>
        <v>145</v>
      </c>
      <c r="AE234" s="22">
        <f t="shared" si="57"/>
        <v>150</v>
      </c>
      <c r="AF234" s="22">
        <f t="shared" si="57"/>
        <v>45</v>
      </c>
      <c r="AG234" s="22">
        <f t="shared" si="57"/>
        <v>45</v>
      </c>
      <c r="AH234" s="22">
        <f t="shared" si="57"/>
        <v>45</v>
      </c>
      <c r="AI234" s="22">
        <f t="shared" si="57"/>
        <v>75</v>
      </c>
      <c r="AJ234" s="22">
        <f t="shared" si="57"/>
        <v>145</v>
      </c>
      <c r="AK234" s="22">
        <f t="shared" si="57"/>
        <v>150</v>
      </c>
      <c r="AL234" s="22">
        <f t="shared" si="57"/>
        <v>45</v>
      </c>
      <c r="AM234" s="22">
        <f t="shared" si="57"/>
        <v>45</v>
      </c>
      <c r="AN234" s="22">
        <f t="shared" si="57"/>
        <v>45</v>
      </c>
      <c r="AO234" s="22">
        <f t="shared" si="57"/>
        <v>45</v>
      </c>
      <c r="AP234" s="22">
        <f t="shared" ref="AP234:BP234" si="58">(AP3*AP4)-(AP232)</f>
        <v>45</v>
      </c>
      <c r="AQ234" s="22">
        <f t="shared" si="58"/>
        <v>45</v>
      </c>
      <c r="AR234" s="22">
        <f t="shared" si="58"/>
        <v>75</v>
      </c>
      <c r="AS234" s="22">
        <f t="shared" si="58"/>
        <v>145</v>
      </c>
      <c r="AT234" s="22">
        <f t="shared" si="58"/>
        <v>150</v>
      </c>
      <c r="AU234" s="22">
        <f t="shared" si="58"/>
        <v>45</v>
      </c>
      <c r="AV234" s="22">
        <f t="shared" si="58"/>
        <v>45</v>
      </c>
      <c r="AW234" s="22">
        <f t="shared" si="58"/>
        <v>45</v>
      </c>
      <c r="AX234" s="22">
        <f t="shared" si="58"/>
        <v>45</v>
      </c>
      <c r="AY234" s="22">
        <f t="shared" si="58"/>
        <v>45</v>
      </c>
      <c r="AZ234" s="22">
        <f t="shared" si="58"/>
        <v>45</v>
      </c>
      <c r="BA234" s="22">
        <f t="shared" si="58"/>
        <v>45</v>
      </c>
      <c r="BB234" s="22">
        <f t="shared" si="58"/>
        <v>45</v>
      </c>
      <c r="BC234" s="22">
        <f t="shared" si="58"/>
        <v>75</v>
      </c>
      <c r="BD234" s="22">
        <f t="shared" si="58"/>
        <v>145</v>
      </c>
      <c r="BE234" s="22">
        <f t="shared" si="58"/>
        <v>150</v>
      </c>
      <c r="BF234" s="22">
        <f t="shared" si="58"/>
        <v>45</v>
      </c>
      <c r="BG234" s="22">
        <f t="shared" si="58"/>
        <v>45</v>
      </c>
      <c r="BH234" s="22">
        <f t="shared" si="58"/>
        <v>75</v>
      </c>
      <c r="BI234" s="22">
        <f t="shared" si="58"/>
        <v>145</v>
      </c>
      <c r="BJ234" s="22">
        <f t="shared" si="58"/>
        <v>250</v>
      </c>
      <c r="BK234" s="22">
        <f t="shared" si="58"/>
        <v>245</v>
      </c>
      <c r="BL234" s="22">
        <f t="shared" si="58"/>
        <v>350</v>
      </c>
      <c r="BM234" s="22">
        <f t="shared" si="58"/>
        <v>350</v>
      </c>
      <c r="BN234" s="22">
        <f t="shared" si="58"/>
        <v>350</v>
      </c>
      <c r="BO234" s="22">
        <f t="shared" si="58"/>
        <v>350</v>
      </c>
      <c r="BP234" s="22">
        <f t="shared" si="58"/>
        <v>350</v>
      </c>
      <c r="BQ234" s="6">
        <f>SUM(J234:BP234)</f>
        <v>6636</v>
      </c>
      <c r="BR234" s="6"/>
      <c r="BS234" s="6"/>
    </row>
    <row r="235" spans="1:73" s="11" customFormat="1" x14ac:dyDescent="0.2">
      <c r="A235" s="36"/>
      <c r="B235" s="37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/>
      <c r="BU235" s="39"/>
    </row>
    <row r="236" spans="1:73" s="19" customFormat="1" ht="9" customHeight="1" x14ac:dyDescent="0.2">
      <c r="A236" s="16"/>
      <c r="B236" s="5" t="s">
        <v>0</v>
      </c>
      <c r="C236" s="5" t="s">
        <v>1</v>
      </c>
      <c r="D236" s="5" t="s">
        <v>4</v>
      </c>
      <c r="E236" s="29" t="s">
        <v>5</v>
      </c>
      <c r="F236" s="29" t="s">
        <v>18</v>
      </c>
      <c r="G236" s="29" t="s">
        <v>19</v>
      </c>
      <c r="H236" s="19" t="s">
        <v>6</v>
      </c>
      <c r="I236" s="19" t="s">
        <v>7</v>
      </c>
      <c r="J236" s="5">
        <v>46034</v>
      </c>
      <c r="K236" s="5">
        <v>46041</v>
      </c>
      <c r="L236" s="5">
        <v>46048</v>
      </c>
      <c r="M236" s="5">
        <v>46055</v>
      </c>
      <c r="N236" s="5">
        <v>46062</v>
      </c>
      <c r="O236" s="5">
        <v>46069</v>
      </c>
      <c r="P236" s="5">
        <v>46076</v>
      </c>
      <c r="Q236" s="5">
        <v>46083</v>
      </c>
      <c r="R236" s="5">
        <v>46090</v>
      </c>
      <c r="S236" s="5">
        <v>46097</v>
      </c>
      <c r="T236" s="5">
        <v>46104</v>
      </c>
      <c r="U236" s="5">
        <v>46111</v>
      </c>
      <c r="V236" s="5">
        <v>46118</v>
      </c>
      <c r="W236" s="5">
        <v>46125</v>
      </c>
      <c r="X236" s="5">
        <v>46132</v>
      </c>
      <c r="Y236" s="5">
        <v>46139</v>
      </c>
      <c r="Z236" s="5">
        <v>46146</v>
      </c>
      <c r="AA236" s="5">
        <v>46153</v>
      </c>
      <c r="AB236" s="5">
        <v>46160</v>
      </c>
      <c r="AC236" s="5">
        <v>46167</v>
      </c>
      <c r="AD236" s="5">
        <v>46174</v>
      </c>
      <c r="AE236" s="5">
        <v>46181</v>
      </c>
      <c r="AF236" s="5">
        <v>46188</v>
      </c>
      <c r="AG236" s="5">
        <v>46195</v>
      </c>
      <c r="AH236" s="5">
        <v>46202</v>
      </c>
      <c r="AI236" s="5">
        <v>46209</v>
      </c>
      <c r="AJ236" s="5">
        <v>46216</v>
      </c>
      <c r="AK236" s="5">
        <v>46223</v>
      </c>
      <c r="AL236" s="5">
        <v>46230</v>
      </c>
      <c r="AM236" s="5">
        <v>46237</v>
      </c>
      <c r="AN236" s="5">
        <v>46244</v>
      </c>
      <c r="AO236" s="5">
        <v>46251</v>
      </c>
      <c r="AP236" s="5">
        <v>46258</v>
      </c>
      <c r="AQ236" s="5">
        <v>46265</v>
      </c>
      <c r="AR236" s="5">
        <v>46272</v>
      </c>
      <c r="AS236" s="5">
        <v>46279</v>
      </c>
      <c r="AT236" s="5">
        <v>46286</v>
      </c>
      <c r="AU236" s="5">
        <v>46293</v>
      </c>
      <c r="AV236" s="5">
        <v>46300</v>
      </c>
      <c r="AW236" s="5">
        <v>46307</v>
      </c>
      <c r="AX236" s="5">
        <v>46314</v>
      </c>
      <c r="AY236" s="5">
        <v>46321</v>
      </c>
      <c r="AZ236" s="5">
        <v>46328</v>
      </c>
      <c r="BA236" s="5">
        <v>46335</v>
      </c>
      <c r="BB236" s="5">
        <v>46342</v>
      </c>
      <c r="BC236" s="5">
        <v>46349</v>
      </c>
      <c r="BD236" s="5">
        <v>46356</v>
      </c>
      <c r="BE236" s="5">
        <v>46363</v>
      </c>
      <c r="BF236" s="5">
        <v>46370</v>
      </c>
      <c r="BG236" s="5">
        <v>46377</v>
      </c>
      <c r="BH236" s="5">
        <v>46384</v>
      </c>
      <c r="BI236" s="5">
        <v>46391</v>
      </c>
      <c r="BJ236" s="5">
        <v>46398</v>
      </c>
      <c r="BK236" s="5">
        <v>46405</v>
      </c>
      <c r="BL236" s="5">
        <v>46412</v>
      </c>
      <c r="BM236" s="5">
        <v>46419</v>
      </c>
      <c r="BN236" s="5">
        <v>46426</v>
      </c>
      <c r="BO236" s="5">
        <v>46433</v>
      </c>
      <c r="BP236" s="5">
        <v>46440</v>
      </c>
      <c r="BQ236" s="5" t="s">
        <v>17</v>
      </c>
      <c r="BR236" s="5" t="s">
        <v>2</v>
      </c>
      <c r="BS236" s="5" t="s">
        <v>1</v>
      </c>
      <c r="BT236" s="4"/>
    </row>
    <row r="237" spans="1:73" s="16" customFormat="1" x14ac:dyDescent="0.2">
      <c r="A237" s="28"/>
      <c r="B237" s="21"/>
      <c r="C237" s="54"/>
      <c r="D237" s="29"/>
      <c r="E237" s="7"/>
      <c r="F237" s="2"/>
      <c r="G237" s="7"/>
      <c r="H237" s="2"/>
      <c r="I237" s="3"/>
      <c r="J237" s="8"/>
      <c r="K237" s="8"/>
      <c r="L237" s="8"/>
      <c r="M237" s="8"/>
      <c r="N237" s="8"/>
      <c r="O237" s="8"/>
      <c r="P237" s="2"/>
      <c r="Q237" s="2"/>
      <c r="R237" s="2"/>
      <c r="S237" s="2"/>
      <c r="T237" s="2"/>
      <c r="U237" s="2"/>
      <c r="BQ237" s="1"/>
      <c r="BR237" s="1"/>
      <c r="BS237" s="1"/>
      <c r="BT237" s="4"/>
    </row>
    <row r="238" spans="1:73" ht="9" customHeight="1" x14ac:dyDescent="0.2">
      <c r="A238" s="28"/>
      <c r="B238" s="21"/>
      <c r="D238" s="8"/>
      <c r="E238" s="7"/>
      <c r="G238" s="7"/>
      <c r="I238" s="8"/>
      <c r="BQ238" s="6"/>
      <c r="BR238" s="6"/>
      <c r="BS238" s="6"/>
    </row>
    <row r="239" spans="1:73" x14ac:dyDescent="0.2">
      <c r="A239" s="36"/>
      <c r="B239" s="36"/>
      <c r="C239" s="36"/>
      <c r="D239" s="36"/>
      <c r="E239" s="2" t="s">
        <v>8</v>
      </c>
      <c r="F239" s="2">
        <f>SUM(F6:F238)+F232</f>
        <v>350</v>
      </c>
      <c r="G239" s="2">
        <f>SUM(G6:G238)+G232</f>
        <v>350</v>
      </c>
      <c r="H239" s="16"/>
      <c r="I239" s="2" t="s">
        <v>3</v>
      </c>
      <c r="J239" s="2">
        <f t="shared" ref="J239:AI239" si="59">J232+SUM(J237:J238)</f>
        <v>0</v>
      </c>
      <c r="K239" s="2">
        <f t="shared" si="59"/>
        <v>0</v>
      </c>
      <c r="L239" s="2">
        <f t="shared" si="59"/>
        <v>0</v>
      </c>
      <c r="M239" s="2">
        <f t="shared" si="59"/>
        <v>140</v>
      </c>
      <c r="N239" s="2">
        <f t="shared" si="59"/>
        <v>260</v>
      </c>
      <c r="O239" s="2">
        <f t="shared" si="59"/>
        <v>367</v>
      </c>
      <c r="P239" s="2">
        <f t="shared" si="59"/>
        <v>346</v>
      </c>
      <c r="Q239" s="2">
        <f t="shared" si="59"/>
        <v>325</v>
      </c>
      <c r="R239" s="2">
        <f t="shared" si="59"/>
        <v>326</v>
      </c>
      <c r="S239" s="2">
        <f t="shared" si="59"/>
        <v>305</v>
      </c>
      <c r="T239" s="2">
        <f t="shared" si="59"/>
        <v>305</v>
      </c>
      <c r="U239" s="2">
        <f t="shared" si="59"/>
        <v>305</v>
      </c>
      <c r="V239" s="2">
        <f t="shared" si="59"/>
        <v>305</v>
      </c>
      <c r="W239" s="2">
        <f t="shared" si="59"/>
        <v>305</v>
      </c>
      <c r="X239" s="2">
        <f t="shared" si="59"/>
        <v>305</v>
      </c>
      <c r="Y239" s="2">
        <f t="shared" si="59"/>
        <v>305</v>
      </c>
      <c r="Z239" s="2">
        <f t="shared" si="59"/>
        <v>305</v>
      </c>
      <c r="AA239" s="2">
        <f t="shared" si="59"/>
        <v>305</v>
      </c>
      <c r="AB239" s="2">
        <f t="shared" si="59"/>
        <v>305</v>
      </c>
      <c r="AC239" s="2">
        <f t="shared" si="59"/>
        <v>205</v>
      </c>
      <c r="AD239" s="2">
        <f t="shared" si="59"/>
        <v>205</v>
      </c>
      <c r="AE239" s="2">
        <f t="shared" si="59"/>
        <v>200</v>
      </c>
      <c r="AF239" s="2">
        <f t="shared" si="59"/>
        <v>305</v>
      </c>
      <c r="AG239" s="2">
        <f t="shared" si="59"/>
        <v>305</v>
      </c>
      <c r="AH239" s="2">
        <f t="shared" si="59"/>
        <v>305</v>
      </c>
      <c r="AI239" s="2">
        <f t="shared" si="59"/>
        <v>205</v>
      </c>
      <c r="AJ239" s="2">
        <f t="shared" ref="AJ239:BF239" si="60">AJ232+SUM(AJ237:AJ238)</f>
        <v>205</v>
      </c>
      <c r="AK239" s="2">
        <f t="shared" si="60"/>
        <v>200</v>
      </c>
      <c r="AL239" s="2">
        <f t="shared" si="60"/>
        <v>305</v>
      </c>
      <c r="AM239" s="2">
        <f t="shared" si="60"/>
        <v>305</v>
      </c>
      <c r="AN239" s="2">
        <f t="shared" si="60"/>
        <v>305</v>
      </c>
      <c r="AO239" s="2">
        <f t="shared" si="60"/>
        <v>305</v>
      </c>
      <c r="AP239" s="2">
        <f t="shared" si="60"/>
        <v>305</v>
      </c>
      <c r="AQ239" s="2">
        <f t="shared" si="60"/>
        <v>305</v>
      </c>
      <c r="AR239" s="2">
        <f t="shared" si="60"/>
        <v>205</v>
      </c>
      <c r="AS239" s="2">
        <f t="shared" si="60"/>
        <v>205</v>
      </c>
      <c r="AT239" s="2">
        <f t="shared" si="60"/>
        <v>200</v>
      </c>
      <c r="AU239" s="2">
        <f t="shared" si="60"/>
        <v>305</v>
      </c>
      <c r="AV239" s="2">
        <f t="shared" si="60"/>
        <v>305</v>
      </c>
      <c r="AW239" s="2">
        <f t="shared" si="60"/>
        <v>305</v>
      </c>
      <c r="AX239" s="2">
        <f t="shared" si="60"/>
        <v>305</v>
      </c>
      <c r="AY239" s="2">
        <f t="shared" si="60"/>
        <v>305</v>
      </c>
      <c r="AZ239" s="2">
        <f t="shared" si="60"/>
        <v>305</v>
      </c>
      <c r="BA239" s="2">
        <f t="shared" si="60"/>
        <v>305</v>
      </c>
      <c r="BB239" s="2">
        <f t="shared" si="60"/>
        <v>305</v>
      </c>
      <c r="BC239" s="2">
        <f t="shared" si="60"/>
        <v>205</v>
      </c>
      <c r="BD239" s="2">
        <f t="shared" si="60"/>
        <v>205</v>
      </c>
      <c r="BE239" s="2">
        <f t="shared" si="60"/>
        <v>200</v>
      </c>
      <c r="BF239" s="2">
        <f t="shared" si="60"/>
        <v>305</v>
      </c>
      <c r="BG239" s="2">
        <f t="shared" ref="BG239:BP239" si="61">BG232+SUM(BG237:BG238)</f>
        <v>305</v>
      </c>
      <c r="BH239" s="2">
        <f t="shared" si="61"/>
        <v>205</v>
      </c>
      <c r="BI239" s="2">
        <f t="shared" si="61"/>
        <v>205</v>
      </c>
      <c r="BJ239" s="2">
        <f t="shared" si="61"/>
        <v>100</v>
      </c>
      <c r="BK239" s="2">
        <f t="shared" si="61"/>
        <v>105</v>
      </c>
      <c r="BL239" s="2">
        <f t="shared" si="61"/>
        <v>0</v>
      </c>
      <c r="BM239" s="2">
        <f t="shared" si="61"/>
        <v>0</v>
      </c>
      <c r="BN239" s="2">
        <f t="shared" si="61"/>
        <v>0</v>
      </c>
      <c r="BO239" s="2">
        <f t="shared" si="61"/>
        <v>0</v>
      </c>
      <c r="BP239" s="2">
        <f t="shared" si="61"/>
        <v>0</v>
      </c>
      <c r="BQ239" s="6">
        <f>SUM(J239:BP239)</f>
        <v>13664</v>
      </c>
      <c r="BR239" s="16"/>
      <c r="BS239" s="16"/>
    </row>
    <row r="240" spans="1:73" x14ac:dyDescent="0.2">
      <c r="A240" s="41"/>
      <c r="B240" s="42" t="s">
        <v>15</v>
      </c>
      <c r="C240" s="43" t="s">
        <v>16</v>
      </c>
      <c r="D240" s="36"/>
      <c r="E240" s="9" t="s">
        <v>20</v>
      </c>
      <c r="F240" s="16"/>
      <c r="G240" s="16"/>
      <c r="H240" s="16"/>
      <c r="I240" s="9" t="s">
        <v>20</v>
      </c>
      <c r="J240" s="3">
        <f t="shared" ref="J240:AO240" si="62">((J239)/(J3*J4))</f>
        <v>0</v>
      </c>
      <c r="K240" s="3">
        <f t="shared" si="62"/>
        <v>0</v>
      </c>
      <c r="L240" s="3">
        <f t="shared" si="62"/>
        <v>0</v>
      </c>
      <c r="M240" s="3">
        <f t="shared" si="62"/>
        <v>0.4</v>
      </c>
      <c r="N240" s="3">
        <f t="shared" si="62"/>
        <v>0.74285714285714288</v>
      </c>
      <c r="O240" s="3">
        <f t="shared" si="62"/>
        <v>1.0485714285714285</v>
      </c>
      <c r="P240" s="3">
        <f t="shared" si="62"/>
        <v>0.98857142857142855</v>
      </c>
      <c r="Q240" s="3">
        <f t="shared" si="62"/>
        <v>0.9285714285714286</v>
      </c>
      <c r="R240" s="3">
        <f t="shared" si="62"/>
        <v>0.93142857142857138</v>
      </c>
      <c r="S240" s="3">
        <f t="shared" si="62"/>
        <v>0.87142857142857144</v>
      </c>
      <c r="T240" s="3">
        <f t="shared" si="62"/>
        <v>0.87142857142857144</v>
      </c>
      <c r="U240" s="3">
        <f t="shared" si="62"/>
        <v>0.87142857142857144</v>
      </c>
      <c r="V240" s="3">
        <f t="shared" si="62"/>
        <v>0.87142857142857144</v>
      </c>
      <c r="W240" s="3">
        <f t="shared" si="62"/>
        <v>0.87142857142857144</v>
      </c>
      <c r="X240" s="3">
        <f t="shared" si="62"/>
        <v>0.87142857142857144</v>
      </c>
      <c r="Y240" s="3">
        <f t="shared" si="62"/>
        <v>0.87142857142857144</v>
      </c>
      <c r="Z240" s="3">
        <f t="shared" si="62"/>
        <v>0.87142857142857144</v>
      </c>
      <c r="AA240" s="3">
        <f t="shared" si="62"/>
        <v>0.87142857142857144</v>
      </c>
      <c r="AB240" s="3">
        <f t="shared" si="62"/>
        <v>0.87142857142857144</v>
      </c>
      <c r="AC240" s="3">
        <f t="shared" si="62"/>
        <v>0.7321428571428571</v>
      </c>
      <c r="AD240" s="3">
        <f t="shared" si="62"/>
        <v>0.58571428571428574</v>
      </c>
      <c r="AE240" s="3">
        <f t="shared" si="62"/>
        <v>0.5714285714285714</v>
      </c>
      <c r="AF240" s="3">
        <f t="shared" si="62"/>
        <v>0.87142857142857144</v>
      </c>
      <c r="AG240" s="3">
        <f t="shared" si="62"/>
        <v>0.87142857142857144</v>
      </c>
      <c r="AH240" s="3">
        <f t="shared" si="62"/>
        <v>0.87142857142857144</v>
      </c>
      <c r="AI240" s="3">
        <f t="shared" si="62"/>
        <v>0.7321428571428571</v>
      </c>
      <c r="AJ240" s="3">
        <f t="shared" si="62"/>
        <v>0.58571428571428574</v>
      </c>
      <c r="AK240" s="3">
        <f t="shared" si="62"/>
        <v>0.5714285714285714</v>
      </c>
      <c r="AL240" s="3">
        <f t="shared" si="62"/>
        <v>0.87142857142857144</v>
      </c>
      <c r="AM240" s="3">
        <f t="shared" si="62"/>
        <v>0.87142857142857144</v>
      </c>
      <c r="AN240" s="3">
        <f t="shared" si="62"/>
        <v>0.87142857142857144</v>
      </c>
      <c r="AO240" s="3">
        <f t="shared" si="62"/>
        <v>0.87142857142857144</v>
      </c>
      <c r="AP240" s="3">
        <f t="shared" ref="AP240:BP240" si="63">((AP239)/(AP3*AP4))</f>
        <v>0.87142857142857144</v>
      </c>
      <c r="AQ240" s="3">
        <f t="shared" si="63"/>
        <v>0.87142857142857144</v>
      </c>
      <c r="AR240" s="3">
        <f t="shared" si="63"/>
        <v>0.7321428571428571</v>
      </c>
      <c r="AS240" s="3">
        <f t="shared" si="63"/>
        <v>0.58571428571428574</v>
      </c>
      <c r="AT240" s="3">
        <f t="shared" si="63"/>
        <v>0.5714285714285714</v>
      </c>
      <c r="AU240" s="3">
        <f t="shared" si="63"/>
        <v>0.87142857142857144</v>
      </c>
      <c r="AV240" s="3">
        <f t="shared" si="63"/>
        <v>0.87142857142857144</v>
      </c>
      <c r="AW240" s="3">
        <f t="shared" si="63"/>
        <v>0.87142857142857144</v>
      </c>
      <c r="AX240" s="3">
        <f t="shared" si="63"/>
        <v>0.87142857142857144</v>
      </c>
      <c r="AY240" s="3">
        <f t="shared" si="63"/>
        <v>0.87142857142857144</v>
      </c>
      <c r="AZ240" s="3">
        <f t="shared" si="63"/>
        <v>0.87142857142857144</v>
      </c>
      <c r="BA240" s="3">
        <f t="shared" si="63"/>
        <v>0.87142857142857144</v>
      </c>
      <c r="BB240" s="3">
        <f t="shared" si="63"/>
        <v>0.87142857142857144</v>
      </c>
      <c r="BC240" s="3">
        <f t="shared" si="63"/>
        <v>0.7321428571428571</v>
      </c>
      <c r="BD240" s="3">
        <f t="shared" si="63"/>
        <v>0.58571428571428574</v>
      </c>
      <c r="BE240" s="3">
        <f t="shared" si="63"/>
        <v>0.5714285714285714</v>
      </c>
      <c r="BF240" s="3">
        <f t="shared" si="63"/>
        <v>0.87142857142857144</v>
      </c>
      <c r="BG240" s="3">
        <f t="shared" si="63"/>
        <v>0.87142857142857144</v>
      </c>
      <c r="BH240" s="3">
        <f t="shared" si="63"/>
        <v>0.7321428571428571</v>
      </c>
      <c r="BI240" s="3">
        <f t="shared" si="63"/>
        <v>0.58571428571428574</v>
      </c>
      <c r="BJ240" s="3">
        <f t="shared" si="63"/>
        <v>0.2857142857142857</v>
      </c>
      <c r="BK240" s="3">
        <f t="shared" si="63"/>
        <v>0.3</v>
      </c>
      <c r="BL240" s="3">
        <f t="shared" si="63"/>
        <v>0</v>
      </c>
      <c r="BM240" s="3">
        <f t="shared" si="63"/>
        <v>0</v>
      </c>
      <c r="BN240" s="3">
        <f t="shared" si="63"/>
        <v>0</v>
      </c>
      <c r="BO240" s="3">
        <f t="shared" si="63"/>
        <v>0</v>
      </c>
      <c r="BP240" s="3">
        <f t="shared" si="63"/>
        <v>0</v>
      </c>
      <c r="BQ240" s="16"/>
      <c r="BR240" s="16"/>
      <c r="BS240" s="16"/>
    </row>
    <row r="241" spans="1:72" s="3" customFormat="1" x14ac:dyDescent="0.2">
      <c r="A241" s="44" t="s">
        <v>14</v>
      </c>
      <c r="B241" s="40">
        <f>BQ239/(C266*48)</f>
        <v>40.666666666666664</v>
      </c>
      <c r="C241" s="45">
        <f>BQ239/((C266)*40)</f>
        <v>48.8</v>
      </c>
      <c r="D241" s="36"/>
      <c r="E241" s="2" t="s">
        <v>2</v>
      </c>
      <c r="F241" s="16"/>
      <c r="G241" s="16"/>
      <c r="H241" s="16"/>
      <c r="I241" s="2" t="s">
        <v>2</v>
      </c>
      <c r="J241" s="4">
        <f t="shared" ref="J241:AO241" si="64">(J3*J4)-J239</f>
        <v>350</v>
      </c>
      <c r="K241" s="4">
        <f t="shared" si="64"/>
        <v>350</v>
      </c>
      <c r="L241" s="4">
        <f t="shared" si="64"/>
        <v>350</v>
      </c>
      <c r="M241" s="4">
        <f t="shared" si="64"/>
        <v>210</v>
      </c>
      <c r="N241" s="4">
        <f t="shared" si="64"/>
        <v>90</v>
      </c>
      <c r="O241" s="4">
        <f t="shared" si="64"/>
        <v>-17</v>
      </c>
      <c r="P241" s="4">
        <f t="shared" si="64"/>
        <v>4</v>
      </c>
      <c r="Q241" s="4">
        <f t="shared" si="64"/>
        <v>25</v>
      </c>
      <c r="R241" s="4">
        <f t="shared" si="64"/>
        <v>24</v>
      </c>
      <c r="S241" s="4">
        <f t="shared" si="64"/>
        <v>45</v>
      </c>
      <c r="T241" s="4">
        <f t="shared" si="64"/>
        <v>45</v>
      </c>
      <c r="U241" s="4">
        <f t="shared" si="64"/>
        <v>45</v>
      </c>
      <c r="V241" s="4">
        <f t="shared" si="64"/>
        <v>45</v>
      </c>
      <c r="W241" s="4">
        <f t="shared" si="64"/>
        <v>45</v>
      </c>
      <c r="X241" s="4">
        <f t="shared" si="64"/>
        <v>45</v>
      </c>
      <c r="Y241" s="4">
        <f t="shared" si="64"/>
        <v>45</v>
      </c>
      <c r="Z241" s="4">
        <f t="shared" si="64"/>
        <v>45</v>
      </c>
      <c r="AA241" s="4">
        <f t="shared" si="64"/>
        <v>45</v>
      </c>
      <c r="AB241" s="4">
        <f t="shared" si="64"/>
        <v>45</v>
      </c>
      <c r="AC241" s="4">
        <f t="shared" si="64"/>
        <v>75</v>
      </c>
      <c r="AD241" s="4">
        <f t="shared" si="64"/>
        <v>145</v>
      </c>
      <c r="AE241" s="4">
        <f t="shared" si="64"/>
        <v>150</v>
      </c>
      <c r="AF241" s="4">
        <f t="shared" si="64"/>
        <v>45</v>
      </c>
      <c r="AG241" s="4">
        <f t="shared" si="64"/>
        <v>45</v>
      </c>
      <c r="AH241" s="4">
        <f t="shared" si="64"/>
        <v>45</v>
      </c>
      <c r="AI241" s="4">
        <f t="shared" si="64"/>
        <v>75</v>
      </c>
      <c r="AJ241" s="4">
        <f t="shared" si="64"/>
        <v>145</v>
      </c>
      <c r="AK241" s="4">
        <f t="shared" si="64"/>
        <v>150</v>
      </c>
      <c r="AL241" s="4">
        <f t="shared" si="64"/>
        <v>45</v>
      </c>
      <c r="AM241" s="4">
        <f t="shared" si="64"/>
        <v>45</v>
      </c>
      <c r="AN241" s="4">
        <f t="shared" si="64"/>
        <v>45</v>
      </c>
      <c r="AO241" s="4">
        <f t="shared" si="64"/>
        <v>45</v>
      </c>
      <c r="AP241" s="4">
        <f t="shared" ref="AP241:BP241" si="65">(AP3*AP4)-AP239</f>
        <v>45</v>
      </c>
      <c r="AQ241" s="4">
        <f t="shared" si="65"/>
        <v>45</v>
      </c>
      <c r="AR241" s="4">
        <f t="shared" si="65"/>
        <v>75</v>
      </c>
      <c r="AS241" s="4">
        <f t="shared" si="65"/>
        <v>145</v>
      </c>
      <c r="AT241" s="4">
        <f t="shared" si="65"/>
        <v>150</v>
      </c>
      <c r="AU241" s="4">
        <f t="shared" si="65"/>
        <v>45</v>
      </c>
      <c r="AV241" s="4">
        <f t="shared" si="65"/>
        <v>45</v>
      </c>
      <c r="AW241" s="4">
        <f t="shared" si="65"/>
        <v>45</v>
      </c>
      <c r="AX241" s="4">
        <f t="shared" si="65"/>
        <v>45</v>
      </c>
      <c r="AY241" s="4">
        <f t="shared" si="65"/>
        <v>45</v>
      </c>
      <c r="AZ241" s="4">
        <f t="shared" si="65"/>
        <v>45</v>
      </c>
      <c r="BA241" s="4">
        <f t="shared" si="65"/>
        <v>45</v>
      </c>
      <c r="BB241" s="4">
        <f t="shared" si="65"/>
        <v>45</v>
      </c>
      <c r="BC241" s="4">
        <f t="shared" si="65"/>
        <v>75</v>
      </c>
      <c r="BD241" s="4">
        <f t="shared" si="65"/>
        <v>145</v>
      </c>
      <c r="BE241" s="4">
        <f t="shared" si="65"/>
        <v>150</v>
      </c>
      <c r="BF241" s="4">
        <f t="shared" si="65"/>
        <v>45</v>
      </c>
      <c r="BG241" s="4">
        <f t="shared" si="65"/>
        <v>45</v>
      </c>
      <c r="BH241" s="4">
        <f t="shared" si="65"/>
        <v>75</v>
      </c>
      <c r="BI241" s="4">
        <f t="shared" si="65"/>
        <v>145</v>
      </c>
      <c r="BJ241" s="4">
        <f t="shared" si="65"/>
        <v>250</v>
      </c>
      <c r="BK241" s="4">
        <f t="shared" si="65"/>
        <v>245</v>
      </c>
      <c r="BL241" s="4">
        <f t="shared" si="65"/>
        <v>350</v>
      </c>
      <c r="BM241" s="4">
        <f t="shared" si="65"/>
        <v>350</v>
      </c>
      <c r="BN241" s="4">
        <f t="shared" si="65"/>
        <v>350</v>
      </c>
      <c r="BO241" s="4">
        <f t="shared" si="65"/>
        <v>350</v>
      </c>
      <c r="BP241" s="4">
        <f t="shared" si="65"/>
        <v>350</v>
      </c>
      <c r="BQ241" s="16"/>
      <c r="BR241" s="16"/>
      <c r="BS241" s="16"/>
      <c r="BT241" s="4"/>
    </row>
    <row r="242" spans="1:72" x14ac:dyDescent="0.2">
      <c r="A242" s="46"/>
      <c r="B242" s="47"/>
      <c r="C242" s="48"/>
      <c r="D242" s="3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</row>
    <row r="243" spans="1:72" ht="9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</row>
    <row r="244" spans="1:72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36"/>
      <c r="BR244" s="36"/>
      <c r="BS244" s="36"/>
      <c r="BT244" s="36"/>
    </row>
    <row r="245" spans="1:72" ht="9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36"/>
      <c r="BR245" s="36"/>
      <c r="BS245" s="36"/>
      <c r="BT245" s="36"/>
    </row>
    <row r="246" spans="1:72" ht="9" customHeight="1" x14ac:dyDescent="0.2">
      <c r="A246" s="36"/>
      <c r="B246" s="36"/>
      <c r="C246" s="36"/>
      <c r="D246" s="36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</row>
    <row r="247" spans="1:72" ht="9" customHeight="1" x14ac:dyDescent="0.2">
      <c r="A247" s="36"/>
      <c r="B247" s="36"/>
      <c r="C247" s="36"/>
      <c r="D247" s="36"/>
      <c r="E247" s="49"/>
      <c r="F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</row>
    <row r="248" spans="1:72" ht="9" customHeight="1" x14ac:dyDescent="0.2">
      <c r="BQ248" s="18"/>
    </row>
    <row r="249" spans="1:72" x14ac:dyDescent="0.2">
      <c r="A249" s="50" t="s">
        <v>26</v>
      </c>
      <c r="B249" s="51"/>
      <c r="C249" s="51"/>
    </row>
    <row r="250" spans="1:72" x14ac:dyDescent="0.2">
      <c r="A250" s="16" t="s">
        <v>267</v>
      </c>
      <c r="C250" s="55">
        <v>1</v>
      </c>
    </row>
    <row r="251" spans="1:72" x14ac:dyDescent="0.2">
      <c r="A251" s="16" t="s">
        <v>268</v>
      </c>
      <c r="C251" s="2">
        <v>1</v>
      </c>
    </row>
    <row r="252" spans="1:72" x14ac:dyDescent="0.2"/>
    <row r="253" spans="1:72" s="17" customFormat="1" x14ac:dyDescent="0.2">
      <c r="A253" s="50" t="s">
        <v>35</v>
      </c>
      <c r="B253" s="51"/>
      <c r="C253" s="51"/>
    </row>
    <row r="254" spans="1:72" x14ac:dyDescent="0.2">
      <c r="A254" s="16" t="s">
        <v>38</v>
      </c>
      <c r="C254" s="2">
        <v>1</v>
      </c>
    </row>
    <row r="255" spans="1:72" x14ac:dyDescent="0.2">
      <c r="A255" s="16" t="s">
        <v>270</v>
      </c>
      <c r="C255" s="2">
        <v>1</v>
      </c>
    </row>
    <row r="256" spans="1:72" x14ac:dyDescent="0.2">
      <c r="A256" s="16" t="s">
        <v>271</v>
      </c>
      <c r="C256" s="2">
        <v>1</v>
      </c>
    </row>
    <row r="257" spans="1:3" x14ac:dyDescent="0.2">
      <c r="A257" s="16" t="s">
        <v>272</v>
      </c>
      <c r="C257" s="2">
        <v>1</v>
      </c>
    </row>
    <row r="258" spans="1:3" x14ac:dyDescent="0.2"/>
    <row r="259" spans="1:3" x14ac:dyDescent="0.2">
      <c r="A259" s="50" t="s">
        <v>36</v>
      </c>
      <c r="B259" s="51"/>
      <c r="C259" s="51"/>
    </row>
    <row r="260" spans="1:3" x14ac:dyDescent="0.2">
      <c r="A260" s="16" t="s">
        <v>269</v>
      </c>
      <c r="C260" s="2">
        <v>1</v>
      </c>
    </row>
    <row r="261" spans="1:3" ht="9" customHeight="1" x14ac:dyDescent="0.2">
      <c r="A261" s="16" t="s">
        <v>41</v>
      </c>
    </row>
    <row r="262" spans="1:3" x14ac:dyDescent="0.2">
      <c r="A262" s="50" t="s">
        <v>21</v>
      </c>
      <c r="B262" s="51"/>
      <c r="C262" s="51"/>
    </row>
    <row r="263" spans="1:3" x14ac:dyDescent="0.2">
      <c r="A263" s="16" t="s">
        <v>42</v>
      </c>
      <c r="C263" s="55">
        <v>0</v>
      </c>
    </row>
    <row r="264" spans="1:3" x14ac:dyDescent="0.2"/>
    <row r="265" spans="1:3" x14ac:dyDescent="0.2"/>
    <row r="266" spans="1:3" x14ac:dyDescent="0.2">
      <c r="A266" s="16" t="s">
        <v>22</v>
      </c>
      <c r="C266" s="55">
        <f>SUM(C250:C261)</f>
        <v>7</v>
      </c>
    </row>
    <row r="267" spans="1:3" x14ac:dyDescent="0.2">
      <c r="A267" s="16" t="s">
        <v>23</v>
      </c>
      <c r="C267" s="55">
        <f>SUM(C263:C264)</f>
        <v>0</v>
      </c>
    </row>
    <row r="268" spans="1:3" x14ac:dyDescent="0.2"/>
    <row r="269" spans="1:3" x14ac:dyDescent="0.2">
      <c r="A269" s="16" t="s">
        <v>32</v>
      </c>
      <c r="C269" s="2">
        <f>SUM(C266:C267)</f>
        <v>7</v>
      </c>
    </row>
    <row r="270" spans="1:3" x14ac:dyDescent="0.2"/>
    <row r="271" spans="1:3" x14ac:dyDescent="0.2">
      <c r="A271" s="50" t="s">
        <v>33</v>
      </c>
      <c r="B271" s="51"/>
      <c r="C271" s="51"/>
    </row>
    <row r="272" spans="1:3" x14ac:dyDescent="0.2">
      <c r="A272" s="16" t="s">
        <v>27</v>
      </c>
      <c r="C272" s="2">
        <v>1</v>
      </c>
    </row>
    <row r="273" spans="1:3" x14ac:dyDescent="0.2">
      <c r="A273" s="16" t="s">
        <v>31</v>
      </c>
      <c r="C273" s="2">
        <v>1</v>
      </c>
    </row>
    <row r="274" spans="1:3" ht="9" customHeight="1" x14ac:dyDescent="0.2">
      <c r="A274" s="16" t="s">
        <v>28</v>
      </c>
      <c r="C274" s="2">
        <v>1</v>
      </c>
    </row>
    <row r="275" spans="1:3" ht="9" customHeight="1" x14ac:dyDescent="0.2">
      <c r="A275" s="16" t="s">
        <v>37</v>
      </c>
      <c r="C275" s="2">
        <v>1</v>
      </c>
    </row>
    <row r="276" spans="1:3" ht="9" customHeight="1" x14ac:dyDescent="0.2">
      <c r="A276" s="16" t="s">
        <v>40</v>
      </c>
      <c r="C276" s="2">
        <v>1</v>
      </c>
    </row>
    <row r="277" spans="1:3" ht="9" customHeight="1" x14ac:dyDescent="0.2">
      <c r="A277" s="16" t="s">
        <v>34</v>
      </c>
      <c r="C277" s="2">
        <v>1</v>
      </c>
    </row>
    <row r="278" spans="1:3" ht="9" customHeight="1" x14ac:dyDescent="0.2">
      <c r="A278" s="16" t="s">
        <v>39</v>
      </c>
      <c r="C278" s="2">
        <v>1</v>
      </c>
    </row>
    <row r="279" spans="1:3" ht="9" customHeight="1" x14ac:dyDescent="0.2">
      <c r="A279" s="16" t="s">
        <v>29</v>
      </c>
      <c r="C279" s="2">
        <v>1</v>
      </c>
    </row>
    <row r="281" spans="1:3" ht="9" customHeight="1" x14ac:dyDescent="0.2">
      <c r="A281" s="16" t="s">
        <v>33</v>
      </c>
      <c r="C281" s="2">
        <f>SUM(C271:C280)</f>
        <v>8</v>
      </c>
    </row>
    <row r="283" spans="1:3" ht="9" customHeight="1" x14ac:dyDescent="0.2">
      <c r="A283" s="16" t="s">
        <v>24</v>
      </c>
      <c r="C283" s="2">
        <f>C269+C281</f>
        <v>15</v>
      </c>
    </row>
  </sheetData>
  <sheetProtection selectLockedCells="1"/>
  <mergeCells count="1">
    <mergeCell ref="A1:C1"/>
  </mergeCells>
  <phoneticPr fontId="9" type="noConversion"/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9"/>
  <sheetViews>
    <sheetView workbookViewId="0">
      <selection activeCell="H37" sqref="H37"/>
    </sheetView>
  </sheetViews>
  <sheetFormatPr defaultRowHeight="15" x14ac:dyDescent="0.2"/>
  <cols>
    <col min="2" max="2" width="11.44140625" bestFit="1" customWidth="1"/>
    <col min="3" max="3" width="42" customWidth="1"/>
    <col min="4" max="5" width="7.21875" bestFit="1" customWidth="1"/>
  </cols>
  <sheetData>
    <row r="1" spans="1:5" ht="18" x14ac:dyDescent="0.2">
      <c r="A1" s="77" t="s">
        <v>273</v>
      </c>
      <c r="B1" s="78" t="s">
        <v>274</v>
      </c>
      <c r="C1" s="79"/>
      <c r="E1" s="80"/>
    </row>
    <row r="2" spans="1:5" ht="15.75" x14ac:dyDescent="0.25">
      <c r="A2" s="81"/>
      <c r="B2" s="82" t="s">
        <v>275</v>
      </c>
      <c r="C2" s="83" t="str">
        <f>'[1]Sheet2-PASTE HERE!'!B1</f>
        <v>BUFFER TANK 1 OF 224</v>
      </c>
      <c r="D2" s="80"/>
      <c r="E2" s="84"/>
    </row>
    <row r="3" spans="1:5" x14ac:dyDescent="0.2">
      <c r="A3" s="80"/>
      <c r="B3" s="80"/>
      <c r="C3" s="85"/>
      <c r="D3" s="80"/>
      <c r="E3" s="80"/>
    </row>
    <row r="4" spans="1:5" x14ac:dyDescent="0.2">
      <c r="A4" s="86" t="s">
        <v>276</v>
      </c>
      <c r="B4" s="87" t="s">
        <v>277</v>
      </c>
      <c r="C4" s="86" t="s">
        <v>278</v>
      </c>
      <c r="D4" s="86" t="s">
        <v>279</v>
      </c>
    </row>
    <row r="5" spans="1:5" x14ac:dyDescent="0.2">
      <c r="A5" s="88" t="str">
        <f>'[1]Sheet2-PASTE HERE!'!A17</f>
        <v>PRE FAB</v>
      </c>
      <c r="B5" s="89" t="str">
        <f>'[1]Sheet2-PASTE HERE!'!I17</f>
        <v>.100</v>
      </c>
      <c r="C5" s="90" t="str">
        <f>'[1]Sheet2-PASTE HERE!'!K17</f>
        <v>Cut nozzle pipe and clean</v>
      </c>
      <c r="D5" s="93">
        <f>'[1]Sheet2-PASTE HERE!'!F17</f>
        <v>2</v>
      </c>
    </row>
    <row r="6" spans="1:5" ht="30" x14ac:dyDescent="0.2">
      <c r="A6" s="88" t="str">
        <f>'[1]Sheet2-PASTE HERE!'!A18</f>
        <v>PRE FAB</v>
      </c>
      <c r="B6" s="89" t="str">
        <f>'[1]Sheet2-PASTE HERE!'!I18</f>
        <v>.105</v>
      </c>
      <c r="C6" s="90" t="str">
        <f>'[1]Sheet2-PASTE HERE!'!K18</f>
        <v>Build nozzles and weld_x000D_
USE COBOT FOR N1 &amp; N2</v>
      </c>
      <c r="D6" s="93">
        <f>'[1]Sheet2-PASTE HERE!'!F18</f>
        <v>4</v>
      </c>
    </row>
    <row r="7" spans="1:5" ht="30" x14ac:dyDescent="0.2">
      <c r="A7" s="88" t="str">
        <f>'[1]Sheet2-PASTE HERE!'!A19</f>
        <v>PRE FAB</v>
      </c>
      <c r="B7" s="89" t="str">
        <f>'[1]Sheet2-PASTE HERE!'!I19</f>
        <v>.155</v>
      </c>
      <c r="C7" s="90" t="str">
        <f>'[1]Sheet2-PASTE HERE!'!K19</f>
        <v>Burn and clean parts:  lugs, supports, repads, base ring, etc. (CHECK!)</v>
      </c>
      <c r="D7" s="93">
        <f>'[1]Sheet2-PASTE HERE!'!F19</f>
        <v>6</v>
      </c>
    </row>
    <row r="8" spans="1:5" x14ac:dyDescent="0.2">
      <c r="A8" s="88" t="str">
        <f>'[1]Sheet2-PASTE HERE!'!A20</f>
        <v>PRE FAB</v>
      </c>
      <c r="B8" s="89" t="str">
        <f>'[1]Sheet2-PASTE HERE!'!I20</f>
        <v>.156</v>
      </c>
      <c r="C8" s="90"/>
      <c r="D8" s="93">
        <f>'[1]Sheet2-PASTE HERE!'!F20</f>
        <v>3</v>
      </c>
    </row>
    <row r="9" spans="1:5" x14ac:dyDescent="0.2">
      <c r="A9" s="88" t="str">
        <f>'[1]Sheet2-PASTE HERE!'!A21</f>
        <v>PRE FAB</v>
      </c>
      <c r="B9" s="89" t="str">
        <f>'[1]Sheet2-PASTE HERE!'!I21</f>
        <v>.200</v>
      </c>
      <c r="C9" s="90" t="str">
        <f>'[1]Sheet2-PASTE HERE!'!K21</f>
        <v>Make lift lugs, ground lugs, etc.</v>
      </c>
      <c r="D9" s="93">
        <f>'[1]Sheet2-PASTE HERE!'!F21</f>
        <v>1</v>
      </c>
    </row>
    <row r="10" spans="1:5" ht="45" x14ac:dyDescent="0.2">
      <c r="A10" s="88" t="str">
        <f>'[1]Sheet2-PASTE HERE!'!A22</f>
        <v>PRE FAB</v>
      </c>
      <c r="B10" s="89" t="str">
        <f>'[1]Sheet2-PASTE HERE!'!I22</f>
        <v>.252</v>
      </c>
      <c r="C10" s="90" t="str">
        <f>'[1]Sheet2-PASTE HERE!'!K22</f>
        <v>Fabricate miscellaneous parts_x000D_
CUT (4) ANCHOR ANGLES &amp; PUNCH BOLT HOLES</v>
      </c>
      <c r="D10" s="93">
        <f>'[1]Sheet2-PASTE HERE!'!F22</f>
        <v>2</v>
      </c>
    </row>
    <row r="11" spans="1:5" ht="45" x14ac:dyDescent="0.2">
      <c r="A11" s="88" t="str">
        <f>'[1]Sheet2-PASTE HERE!'!A23</f>
        <v>PRE FAB</v>
      </c>
      <c r="B11" s="89" t="str">
        <f>'[1]Sheet2-PASTE HERE!'!I23</f>
        <v>.261</v>
      </c>
      <c r="C11" s="90" t="str">
        <f>'[1]Sheet2-PASTE HERE!'!K23</f>
        <v>Miscellaneous Fabrication - Braces, Mounting Plates, Cone Outlet Necks_x000D_
ROLL &amp; WELD BACKING BAR</v>
      </c>
      <c r="D11" s="93">
        <f>'[1]Sheet2-PASTE HERE!'!F23</f>
        <v>2</v>
      </c>
    </row>
    <row r="12" spans="1:5" x14ac:dyDescent="0.2">
      <c r="A12" s="88" t="str">
        <f>'[1]Sheet2-PASTE HERE!'!A24</f>
        <v>PRE FAB</v>
      </c>
      <c r="B12" s="89" t="str">
        <f>'[1]Sheet2-PASTE HERE!'!I24</f>
        <v>.300</v>
      </c>
      <c r="C12" s="90" t="str">
        <f>'[1]Sheet2-PASTE HERE!'!K24</f>
        <v>Wrap top and bottom heads</v>
      </c>
      <c r="D12" s="94">
        <f>'[1]Sheet2-PASTE HERE!'!F24</f>
        <v>1</v>
      </c>
    </row>
    <row r="13" spans="1:5" x14ac:dyDescent="0.2">
      <c r="A13" s="88" t="str">
        <f>'[1]Sheet2-PASTE HERE!'!A25</f>
        <v>INSPECTION</v>
      </c>
      <c r="B13" s="89" t="str">
        <f>'[1]Sheet2-PASTE HERE!'!I25</f>
        <v>.QC3</v>
      </c>
      <c r="C13" s="90" t="str">
        <f>'[1]Sheet2-PASTE HERE!'!K25</f>
        <v>UT Shells</v>
      </c>
      <c r="D13" s="94"/>
    </row>
    <row r="14" spans="1:5" x14ac:dyDescent="0.2">
      <c r="A14" s="88" t="str">
        <f>'[1]Sheet2-PASTE HERE!'!A26</f>
        <v>PRE FAB</v>
      </c>
      <c r="B14" s="89" t="str">
        <f>'[1]Sheet2-PASTE HERE!'!I26</f>
        <v>.305</v>
      </c>
      <c r="C14" s="90" t="str">
        <f>'[1]Sheet2-PASTE HERE!'!K26</f>
        <v>Shells: bring in plate, square, trim and clean</v>
      </c>
      <c r="D14" s="94">
        <f>'[1]Sheet2-PASTE HERE!'!F26</f>
        <v>1</v>
      </c>
    </row>
    <row r="15" spans="1:5" ht="30" x14ac:dyDescent="0.2">
      <c r="A15" s="88" t="str">
        <f>'[1]Sheet2-PASTE HERE!'!A27</f>
        <v>PRE FAB</v>
      </c>
      <c r="B15" s="89" t="str">
        <f>'[1]Sheet2-PASTE HERE!'!I27</f>
        <v>.315</v>
      </c>
      <c r="C15" s="90" t="str">
        <f>'[1]Sheet2-PASTE HERE!'!K27</f>
        <v>Roll shells, tack and weld inside seams_x000D_
INCL WELD LONG SEAM INSIDE &amp; OUTSIDE</v>
      </c>
      <c r="D15" s="94">
        <f>'[1]Sheet2-PASTE HERE!'!F27</f>
        <v>3</v>
      </c>
    </row>
    <row r="16" spans="1:5" x14ac:dyDescent="0.2">
      <c r="A16" s="88" t="str">
        <f>'[1]Sheet2-PASTE HERE!'!A28</f>
        <v>INSPECTION</v>
      </c>
      <c r="B16" s="89" t="str">
        <f>'[1]Sheet2-PASTE HERE!'!I28</f>
        <v>.QC4</v>
      </c>
      <c r="C16" s="90" t="str">
        <f>'[1]Sheet2-PASTE HERE!'!K28</f>
        <v>QC Inspection - Top/Bottom/Cones</v>
      </c>
      <c r="D16" s="94">
        <f>'[1]Sheet2-PASTE HERE!'!F28</f>
        <v>0</v>
      </c>
    </row>
    <row r="17" spans="1:4" x14ac:dyDescent="0.2">
      <c r="A17" s="88" t="str">
        <f>'[1]Sheet2-PASTE HERE!'!A29</f>
        <v>PRE FAB</v>
      </c>
      <c r="B17" s="89" t="str">
        <f>'[1]Sheet2-PASTE HERE!'!I29</f>
        <v>.365</v>
      </c>
      <c r="C17" s="90" t="str">
        <f>'[1]Sheet2-PASTE HERE!'!K29</f>
        <v>Set  nozzles, lift lugs, etc. in top head - tack</v>
      </c>
      <c r="D17" s="94">
        <f>'[1]Sheet2-PASTE HERE!'!F29</f>
        <v>1</v>
      </c>
    </row>
    <row r="18" spans="1:4" ht="30" x14ac:dyDescent="0.2">
      <c r="A18" s="88" t="str">
        <f>'[1]Sheet2-PASTE HERE!'!A30</f>
        <v>PRE FAB</v>
      </c>
      <c r="B18" s="89" t="str">
        <f>'[1]Sheet2-PASTE HERE!'!I30</f>
        <v>.366</v>
      </c>
      <c r="C18" s="90" t="str">
        <f>'[1]Sheet2-PASTE HERE!'!K30</f>
        <v>Weld out top head nozzles, etc. _x000D_
INCL (2) LIFT LUGS</v>
      </c>
      <c r="D18" s="94">
        <f>'[1]Sheet2-PASTE HERE!'!F30</f>
        <v>3</v>
      </c>
    </row>
    <row r="19" spans="1:4" x14ac:dyDescent="0.2">
      <c r="A19" s="88" t="str">
        <f>'[1]Sheet2-PASTE HERE!'!A31</f>
        <v>INSPECTION</v>
      </c>
      <c r="B19" s="89" t="str">
        <f>'[1]Sheet2-PASTE HERE!'!I31</f>
        <v>.QC4</v>
      </c>
      <c r="C19" s="90" t="str">
        <f>'[1]Sheet2-PASTE HERE!'!K31</f>
        <v>QC Inspection - Top/Bottom/Cones</v>
      </c>
      <c r="D19" s="94"/>
    </row>
    <row r="20" spans="1:4" x14ac:dyDescent="0.2">
      <c r="A20" s="88" t="str">
        <f>'[1]Sheet2-PASTE HERE!'!A32</f>
        <v>PRE FAB</v>
      </c>
      <c r="B20" s="89" t="str">
        <f>'[1]Sheet2-PASTE HERE!'!I32</f>
        <v>.465</v>
      </c>
      <c r="C20" s="90" t="str">
        <f>'[1]Sheet2-PASTE HERE!'!K32</f>
        <v>Set  nozzles in bottom head - tack</v>
      </c>
      <c r="D20" s="94">
        <f>'[1]Sheet2-PASTE HERE!'!F32</f>
        <v>1</v>
      </c>
    </row>
    <row r="21" spans="1:4" x14ac:dyDescent="0.2">
      <c r="A21" s="88" t="str">
        <f>'[1]Sheet2-PASTE HERE!'!A33</f>
        <v>PRE FAB</v>
      </c>
      <c r="B21" s="89" t="str">
        <f>'[1]Sheet2-PASTE HERE!'!I33</f>
        <v>.466</v>
      </c>
      <c r="C21" s="90" t="str">
        <f>'[1]Sheet2-PASTE HERE!'!K33</f>
        <v>Weld nozzles in bottom head; weld complete</v>
      </c>
      <c r="D21" s="94">
        <f>'[1]Sheet2-PASTE HERE!'!F33</f>
        <v>1</v>
      </c>
    </row>
    <row r="22" spans="1:4" ht="45" x14ac:dyDescent="0.2">
      <c r="A22" s="88" t="str">
        <f>'[1]Sheet2-PASTE HERE!'!A34</f>
        <v>PRE FAB</v>
      </c>
      <c r="B22" s="89" t="str">
        <f>'[1]Sheet2-PASTE HERE!'!I34</f>
        <v>.500</v>
      </c>
      <c r="C22" s="90" t="str">
        <f>'[1]Sheet2-PASTE HERE!'!K34</f>
        <v>Build skirt - fit and weld shells_x000D_
ROLL SKIRT SHELL &amp; WELD LONG SEAM INSIDE &amp; OUTSIDE</v>
      </c>
      <c r="D22" s="94">
        <f>'[1]Sheet2-PASTE HERE!'!F34</f>
        <v>2</v>
      </c>
    </row>
    <row r="23" spans="1:4" x14ac:dyDescent="0.2">
      <c r="A23" s="88" t="str">
        <f>'[1]Sheet2-PASTE HERE!'!A35</f>
        <v>FIT</v>
      </c>
      <c r="B23" s="89" t="str">
        <f>'[1]Sheet2-PASTE HERE!'!I35</f>
        <v>.530</v>
      </c>
      <c r="C23" s="90" t="str">
        <f>'[1]Sheet2-PASTE HERE!'!K35</f>
        <v>Build skirt - fit anchors / gussets</v>
      </c>
      <c r="D23" s="94">
        <f>'[1]Sheet2-PASTE HERE!'!F35</f>
        <v>1</v>
      </c>
    </row>
    <row r="24" spans="1:4" x14ac:dyDescent="0.2">
      <c r="A24" s="88" t="str">
        <f>'[1]Sheet2-PASTE HERE!'!A36</f>
        <v>FIT</v>
      </c>
      <c r="B24" s="89" t="str">
        <f>'[1]Sheet2-PASTE HERE!'!I36</f>
        <v>.545</v>
      </c>
      <c r="C24" s="90" t="str">
        <f>'[1]Sheet2-PASTE HERE!'!K36</f>
        <v>Weld skirt anchors, gussets, nozzles, manways, etc.</v>
      </c>
      <c r="D24" s="94">
        <f>'[1]Sheet2-PASTE HERE!'!F36</f>
        <v>1</v>
      </c>
    </row>
    <row r="25" spans="1:4" x14ac:dyDescent="0.2">
      <c r="A25" s="88" t="str">
        <f>'[1]Sheet2-PASTE HERE!'!A37</f>
        <v>INSPECTION</v>
      </c>
      <c r="B25" s="89" t="str">
        <f>'[1]Sheet2-PASTE HERE!'!I37</f>
        <v>.OI1</v>
      </c>
      <c r="C25" s="90" t="str">
        <f>'[1]Sheet2-PASTE HERE!'!K37</f>
        <v>ASME Hold Point</v>
      </c>
      <c r="D25" s="94"/>
    </row>
    <row r="26" spans="1:4" ht="30" x14ac:dyDescent="0.2">
      <c r="A26" s="88" t="str">
        <f>'[1]Sheet2-PASTE HERE!'!A38</f>
        <v>FIT</v>
      </c>
      <c r="B26" s="89" t="str">
        <f>'[1]Sheet2-PASTE HERE!'!I38</f>
        <v>.600</v>
      </c>
      <c r="C26" s="90" t="str">
        <f>'[1]Sheet2-PASTE HERE!'!K38</f>
        <v>Fit bottom head to shell_x000D_
AND WELD INSIDE</v>
      </c>
      <c r="D26" s="94">
        <f>'[1]Sheet2-PASTE HERE!'!F38</f>
        <v>4</v>
      </c>
    </row>
    <row r="27" spans="1:4" x14ac:dyDescent="0.2">
      <c r="A27" s="88" t="str">
        <f>'[1]Sheet2-PASTE HERE!'!A39</f>
        <v>FIT</v>
      </c>
      <c r="B27" s="89" t="str">
        <f>'[1]Sheet2-PASTE HERE!'!I39</f>
        <v>.625</v>
      </c>
      <c r="C27" s="90" t="str">
        <f>'[1]Sheet2-PASTE HERE!'!K39</f>
        <v>Install baffles and weld</v>
      </c>
      <c r="D27" s="95">
        <f>'[1]Sheet2-PASTE HERE!'!F39</f>
        <v>6</v>
      </c>
    </row>
    <row r="28" spans="1:4" ht="30" x14ac:dyDescent="0.2">
      <c r="A28" s="88" t="str">
        <f>'[1]Sheet2-PASTE HERE!'!A40</f>
        <v>FIT</v>
      </c>
      <c r="B28" s="89" t="str">
        <f>'[1]Sheet2-PASTE HERE!'!I40</f>
        <v>.630</v>
      </c>
      <c r="C28" s="90" t="str">
        <f>'[1]Sheet2-PASTE HERE!'!K40</f>
        <v>Install internals - wear plates, rings, clips, etc._x000D_
FIT &amp; WELD BACKING BAR TO SHELL</v>
      </c>
      <c r="D28" s="95">
        <f>'[1]Sheet2-PASTE HERE!'!F40</f>
        <v>3</v>
      </c>
    </row>
    <row r="29" spans="1:4" x14ac:dyDescent="0.2">
      <c r="A29" s="88" t="str">
        <f>'[1]Sheet2-PASTE HERE!'!A41</f>
        <v>INSPECTION</v>
      </c>
      <c r="B29" s="89" t="str">
        <f>'[1]Sheet2-PASTE HERE!'!I41</f>
        <v>.QC5</v>
      </c>
      <c r="C29" s="90" t="str">
        <f>'[1]Sheet2-PASTE HERE!'!K41</f>
        <v>QC Inspection - Internal</v>
      </c>
      <c r="D29" s="95"/>
    </row>
    <row r="30" spans="1:4" x14ac:dyDescent="0.2">
      <c r="A30" s="88" t="str">
        <f>'[1]Sheet2-PASTE HERE!'!A42</f>
        <v>FIT</v>
      </c>
      <c r="B30" s="89" t="str">
        <f>'[1]Sheet2-PASTE HERE!'!I42</f>
        <v>.640</v>
      </c>
      <c r="C30" s="90" t="str">
        <f>'[1]Sheet2-PASTE HERE!'!K42</f>
        <v>Fit top head to shell - tack</v>
      </c>
      <c r="D30" s="95">
        <f>'[1]Sheet2-PASTE HERE!'!F42</f>
        <v>1</v>
      </c>
    </row>
    <row r="31" spans="1:4" x14ac:dyDescent="0.2">
      <c r="A31" s="88" t="str">
        <f>'[1]Sheet2-PASTE HERE!'!A43</f>
        <v>FIT</v>
      </c>
      <c r="B31" s="89" t="str">
        <f>'[1]Sheet2-PASTE HERE!'!I43</f>
        <v>.645</v>
      </c>
      <c r="C31" s="90" t="str">
        <f>'[1]Sheet2-PASTE HERE!'!K43</f>
        <v>Weld all outside seams</v>
      </c>
      <c r="D31" s="95">
        <f>'[1]Sheet2-PASTE HERE!'!F43</f>
        <v>2</v>
      </c>
    </row>
    <row r="32" spans="1:4" x14ac:dyDescent="0.2">
      <c r="A32" s="88" t="str">
        <f>'[1]Sheet2-PASTE HERE!'!A44</f>
        <v>MOVE TANK</v>
      </c>
      <c r="B32" s="89" t="str">
        <f>'[1]Sheet2-PASTE HERE!'!I44</f>
        <v>.800</v>
      </c>
      <c r="C32" s="90" t="str">
        <f>'[1]Sheet2-PASTE HERE!'!K44</f>
        <v>Move tank to detail rolls</v>
      </c>
      <c r="D32" s="95">
        <f>'[1]Sheet2-PASTE HERE!'!F44</f>
        <v>1</v>
      </c>
    </row>
    <row r="33" spans="1:4" ht="30" x14ac:dyDescent="0.2">
      <c r="A33" s="88" t="str">
        <f>'[1]Sheet2-PASTE HERE!'!A45</f>
        <v>FIT</v>
      </c>
      <c r="B33" s="89" t="str">
        <f>'[1]Sheet2-PASTE HERE!'!I45</f>
        <v>.720</v>
      </c>
      <c r="C33" s="90" t="str">
        <f>'[1]Sheet2-PASTE HERE!'!K45</f>
        <v>Install supports - legs, lugs, anchors, saddles, skirt_x000D_
FIT SKIRT &amp; WELD TO BOTTOM HEAD</v>
      </c>
      <c r="D33" s="95">
        <f>'[1]Sheet2-PASTE HERE!'!F45</f>
        <v>4</v>
      </c>
    </row>
    <row r="34" spans="1:4" x14ac:dyDescent="0.2">
      <c r="A34" s="88" t="str">
        <f>'[1]Sheet2-PASTE HERE!'!A46</f>
        <v>FIT</v>
      </c>
      <c r="B34" s="89" t="str">
        <f>'[1]Sheet2-PASTE HERE!'!I46</f>
        <v>.725</v>
      </c>
      <c r="C34" s="90" t="str">
        <f>'[1]Sheet2-PASTE HERE!'!K46</f>
        <v>Set nozzles in shell - tack</v>
      </c>
      <c r="D34" s="95">
        <f>'[1]Sheet2-PASTE HERE!'!F46</f>
        <v>1</v>
      </c>
    </row>
    <row r="35" spans="1:4" ht="45" x14ac:dyDescent="0.2">
      <c r="A35" s="88" t="str">
        <f>'[1]Sheet2-PASTE HERE!'!A47</f>
        <v>FIT</v>
      </c>
      <c r="B35" s="89" t="str">
        <f>'[1]Sheet2-PASTE HERE!'!I47</f>
        <v>.726</v>
      </c>
      <c r="C35" s="90" t="str">
        <f>'[1]Sheet2-PASTE HERE!'!K47</f>
        <v>Weld shell nozzles, manways, etc._x000D_
SET &amp; WELD NOZZLES BEFORE INSTALLING TOP HEADS</v>
      </c>
      <c r="D35" s="95">
        <f>'[1]Sheet2-PASTE HERE!'!F47</f>
        <v>3</v>
      </c>
    </row>
    <row r="36" spans="1:4" x14ac:dyDescent="0.2">
      <c r="A36" s="88" t="str">
        <f>'[1]Sheet2-PASTE HERE!'!A48</f>
        <v>FINISHING</v>
      </c>
      <c r="B36" s="89" t="str">
        <f>'[1]Sheet2-PASTE HERE!'!I48</f>
        <v>.765</v>
      </c>
      <c r="C36" s="90" t="str">
        <f>'[1]Sheet2-PASTE HERE!'!K48</f>
        <v>Install name tag</v>
      </c>
      <c r="D36" s="91">
        <f>'[1]Sheet2-PASTE HERE!'!F48</f>
        <v>1</v>
      </c>
    </row>
    <row r="37" spans="1:4" x14ac:dyDescent="0.2">
      <c r="A37" s="88" t="str">
        <f>'[1]Sheet2-PASTE HERE!'!A49</f>
        <v>FIT</v>
      </c>
      <c r="B37" s="89" t="str">
        <f>'[1]Sheet2-PASTE HERE!'!I49</f>
        <v>.770</v>
      </c>
      <c r="C37" s="90" t="str">
        <f>'[1]Sheet2-PASTE HERE!'!K49</f>
        <v>Inspect tank, make repairs, get QC inspector</v>
      </c>
      <c r="D37" s="91">
        <f>'[1]Sheet2-PASTE HERE!'!F49</f>
        <v>1</v>
      </c>
    </row>
    <row r="38" spans="1:4" x14ac:dyDescent="0.2">
      <c r="A38" s="88" t="str">
        <f>'[1]Sheet2-PASTE HERE!'!A50</f>
        <v>INSPECTION</v>
      </c>
      <c r="B38" s="89" t="str">
        <f>'[1]Sheet2-PASTE HERE!'!I50</f>
        <v>.QC6</v>
      </c>
      <c r="C38" s="90" t="str">
        <f>'[1]Sheet2-PASTE HERE!'!K50</f>
        <v>QC Inspection - Fabrication</v>
      </c>
      <c r="D38" s="91"/>
    </row>
    <row r="39" spans="1:4" x14ac:dyDescent="0.2">
      <c r="A39" s="88" t="str">
        <f>'[1]Sheet2-PASTE HERE!'!A51</f>
        <v>INSPECTION</v>
      </c>
      <c r="B39" s="89" t="str">
        <f>'[1]Sheet2-PASTE HERE!'!I51</f>
        <v>.OI2</v>
      </c>
      <c r="C39" s="90" t="str">
        <f>'[1]Sheet2-PASTE HERE!'!K51</f>
        <v>ASME Inspection Internal</v>
      </c>
      <c r="D39" s="91"/>
    </row>
    <row r="40" spans="1:4" x14ac:dyDescent="0.2">
      <c r="A40" s="88" t="str">
        <f>'[1]Sheet2-PASTE HERE!'!A52</f>
        <v>MOVE TANK</v>
      </c>
      <c r="B40" s="89" t="str">
        <f>'[1]Sheet2-PASTE HERE!'!I52</f>
        <v>.801</v>
      </c>
      <c r="C40" s="90" t="str">
        <f>'[1]Sheet2-PASTE HERE!'!K52</f>
        <v>Move to shop test area</v>
      </c>
      <c r="D40" s="91">
        <f>'[1]Sheet2-PASTE HERE!'!F52</f>
        <v>1</v>
      </c>
    </row>
    <row r="41" spans="1:4" x14ac:dyDescent="0.2">
      <c r="A41" s="88" t="str">
        <f>'[1]Sheet2-PASTE HERE!'!A53</f>
        <v>FINISHING</v>
      </c>
      <c r="B41" s="89" t="str">
        <f>'[1]Sheet2-PASTE HERE!'!I53</f>
        <v>.910</v>
      </c>
      <c r="C41" s="90" t="str">
        <f>'[1]Sheet2-PASTE HERE!'!K53</f>
        <v>Test tank</v>
      </c>
      <c r="D41" s="91">
        <f>'[1]Sheet2-PASTE HERE!'!F53</f>
        <v>4</v>
      </c>
    </row>
    <row r="42" spans="1:4" x14ac:dyDescent="0.2">
      <c r="A42" s="88" t="str">
        <f>'[1]Sheet2-PASTE HERE!'!A54</f>
        <v>INSPECTION</v>
      </c>
      <c r="B42" s="89" t="str">
        <f>'[1]Sheet2-PASTE HERE!'!I54</f>
        <v>.QC7</v>
      </c>
      <c r="C42" s="90" t="str">
        <f>'[1]Sheet2-PASTE HERE!'!K54</f>
        <v>QC Inspection - Test</v>
      </c>
      <c r="D42" s="91"/>
    </row>
    <row r="43" spans="1:4" x14ac:dyDescent="0.2">
      <c r="A43" s="88" t="str">
        <f>'[1]Sheet2-PASTE HERE!'!A55</f>
        <v>INSPECTION</v>
      </c>
      <c r="B43" s="89" t="str">
        <f>'[1]Sheet2-PASTE HERE!'!I55</f>
        <v>.OI3</v>
      </c>
      <c r="C43" s="90" t="str">
        <f>'[1]Sheet2-PASTE HERE!'!K55</f>
        <v>ASME Inspection Test</v>
      </c>
      <c r="D43" s="91"/>
    </row>
    <row r="44" spans="1:4" ht="30" x14ac:dyDescent="0.2">
      <c r="A44" s="88" t="str">
        <f>'[1]Sheet2-PASTE HERE!'!A56</f>
        <v>FINISHING</v>
      </c>
      <c r="B44" s="89" t="str">
        <f>'[1]Sheet2-PASTE HERE!'!I56</f>
        <v>.920</v>
      </c>
      <c r="C44" s="90" t="str">
        <f>'[1]Sheet2-PASTE HERE!'!K56</f>
        <v>Clean tank complete_x000D_
CLEAN INSIDE BEFORE INSTALLING TOP HEAD</v>
      </c>
      <c r="D44" s="91">
        <f>'[1]Sheet2-PASTE HERE!'!F56</f>
        <v>5</v>
      </c>
    </row>
    <row r="45" spans="1:4" x14ac:dyDescent="0.2">
      <c r="A45" s="88" t="str">
        <f>'[1]Sheet2-PASTE HERE!'!A57</f>
        <v>INSPECTION</v>
      </c>
      <c r="B45" s="89" t="str">
        <f>'[1]Sheet2-PASTE HERE!'!I57</f>
        <v>.QC8</v>
      </c>
      <c r="C45" s="90" t="str">
        <f>'[1]Sheet2-PASTE HERE!'!K57</f>
        <v>QC Inspection - Clean</v>
      </c>
      <c r="D45" s="91"/>
    </row>
    <row r="46" spans="1:4" x14ac:dyDescent="0.2">
      <c r="A46" s="88" t="str">
        <f>'[1]Sheet2-PASTE HERE!'!A58</f>
        <v>FINISHING</v>
      </c>
      <c r="B46" s="89" t="str">
        <f>'[1]Sheet2-PASTE HERE!'!I58</f>
        <v>.940</v>
      </c>
      <c r="C46" s="90" t="str">
        <f>'[1]Sheet2-PASTE HERE!'!K58</f>
        <v>Prepare tank for shipment</v>
      </c>
      <c r="D46" s="91">
        <f>'[1]Sheet2-PASTE HERE!'!F58</f>
        <v>1</v>
      </c>
    </row>
    <row r="47" spans="1:4" x14ac:dyDescent="0.2">
      <c r="A47" s="88" t="str">
        <f>'[1]Sheet2-PASTE HERE!'!A59</f>
        <v>INSPECTION</v>
      </c>
      <c r="B47" s="89" t="str">
        <f>'[1]Sheet2-PASTE HERE!'!I59</f>
        <v>.QC95</v>
      </c>
      <c r="C47" s="90" t="str">
        <f>'[1]Sheet2-PASTE HERE!'!K59</f>
        <v>QC Inspection - Final &amp; Loose Items</v>
      </c>
      <c r="D47" s="91"/>
    </row>
    <row r="48" spans="1:4" x14ac:dyDescent="0.2">
      <c r="A48" s="88" t="str">
        <f>'[1]Sheet2-PASTE HERE!'!A60</f>
        <v>SHIPPING</v>
      </c>
      <c r="B48" s="89" t="str">
        <f>'[1]Sheet2-PASTE HERE!'!I60</f>
        <v>.960</v>
      </c>
      <c r="C48" s="90" t="str">
        <f>'[1]Sheet2-PASTE HERE!'!K60</f>
        <v>Load on truck</v>
      </c>
      <c r="D48" s="91">
        <f>'[1]Sheet2-PASTE HERE!'!F60</f>
        <v>1</v>
      </c>
    </row>
    <row r="49" spans="4:4" x14ac:dyDescent="0.2">
      <c r="D49" s="92">
        <f>SUM(D5:D48)</f>
        <v>74</v>
      </c>
    </row>
  </sheetData>
  <conditionalFormatting sqref="A5:D48">
    <cfRule type="expression" dxfId="11" priority="5" stopIfTrue="1">
      <formula>$J5=1</formula>
    </cfRule>
  </conditionalFormatting>
  <conditionalFormatting sqref="C5:C48">
    <cfRule type="expression" dxfId="10" priority="1" stopIfTrue="1">
      <formula>$K5=1</formula>
    </cfRule>
  </conditionalFormatting>
  <conditionalFormatting sqref="C6:C48">
    <cfRule type="expression" dxfId="9" priority="2" stopIfTrue="1">
      <formula>$K6=1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AD6F-1498-433B-B155-895EED693794}">
  <dimension ref="A1:E49"/>
  <sheetViews>
    <sheetView workbookViewId="0">
      <selection activeCell="H37" sqref="H37"/>
    </sheetView>
  </sheetViews>
  <sheetFormatPr defaultRowHeight="15" x14ac:dyDescent="0.2"/>
  <cols>
    <col min="2" max="2" width="11.44140625" bestFit="1" customWidth="1"/>
    <col min="3" max="3" width="42" customWidth="1"/>
    <col min="4" max="5" width="7.21875" bestFit="1" customWidth="1"/>
  </cols>
  <sheetData>
    <row r="1" spans="1:5" ht="18" x14ac:dyDescent="0.2">
      <c r="A1" s="77" t="s">
        <v>273</v>
      </c>
      <c r="B1" s="78" t="s">
        <v>280</v>
      </c>
      <c r="C1" s="79"/>
      <c r="E1" s="80"/>
    </row>
    <row r="2" spans="1:5" ht="15.75" x14ac:dyDescent="0.25">
      <c r="A2" s="81"/>
      <c r="B2" s="82" t="s">
        <v>275</v>
      </c>
      <c r="C2" s="83" t="str">
        <f>'[1]Sheet2-PASTE HERE!'!B1</f>
        <v>BUFFER TANK 1 OF 224</v>
      </c>
      <c r="D2" s="80"/>
      <c r="E2" s="84"/>
    </row>
    <row r="3" spans="1:5" x14ac:dyDescent="0.2">
      <c r="A3" s="80"/>
      <c r="B3" s="80"/>
      <c r="C3" s="85"/>
      <c r="D3" s="80"/>
      <c r="E3" s="80"/>
    </row>
    <row r="4" spans="1:5" x14ac:dyDescent="0.2">
      <c r="A4" s="86" t="s">
        <v>276</v>
      </c>
      <c r="B4" s="87" t="s">
        <v>277</v>
      </c>
      <c r="C4" s="86" t="s">
        <v>278</v>
      </c>
      <c r="D4" s="86" t="s">
        <v>279</v>
      </c>
    </row>
    <row r="5" spans="1:5" x14ac:dyDescent="0.2">
      <c r="A5" s="88" t="str">
        <f>'[1]Sheet2-PASTE HERE!'!A17</f>
        <v>PRE FAB</v>
      </c>
      <c r="B5" s="89" t="str">
        <f>'[1]Sheet2-PASTE HERE!'!I17</f>
        <v>.100</v>
      </c>
      <c r="C5" s="90" t="str">
        <f>'[1]Sheet2-PASTE HERE!'!K17</f>
        <v>Cut nozzle pipe and clean</v>
      </c>
      <c r="D5" s="93">
        <f>'[1]Sheet2-PASTE HERE!'!F17</f>
        <v>2</v>
      </c>
    </row>
    <row r="6" spans="1:5" ht="30" x14ac:dyDescent="0.2">
      <c r="A6" s="88" t="str">
        <f>'[1]Sheet2-PASTE HERE!'!A18</f>
        <v>PRE FAB</v>
      </c>
      <c r="B6" s="89" t="str">
        <f>'[1]Sheet2-PASTE HERE!'!I18</f>
        <v>.105</v>
      </c>
      <c r="C6" s="90" t="str">
        <f>'[1]Sheet2-PASTE HERE!'!K18</f>
        <v>Build nozzles and weld_x000D_
USE COBOT FOR N1 &amp; N2</v>
      </c>
      <c r="D6" s="93">
        <f>'[1]Sheet2-PASTE HERE!'!F18</f>
        <v>4</v>
      </c>
    </row>
    <row r="7" spans="1:5" ht="30" x14ac:dyDescent="0.2">
      <c r="A7" s="88" t="str">
        <f>'[1]Sheet2-PASTE HERE!'!A19</f>
        <v>PRE FAB</v>
      </c>
      <c r="B7" s="89" t="str">
        <f>'[1]Sheet2-PASTE HERE!'!I19</f>
        <v>.155</v>
      </c>
      <c r="C7" s="90" t="str">
        <f>'[1]Sheet2-PASTE HERE!'!K19</f>
        <v>Burn and clean parts:  lugs, supports, repads, base ring, etc. (CHECK!)</v>
      </c>
      <c r="D7" s="93">
        <f>'[1]Sheet2-PASTE HERE!'!F19</f>
        <v>6</v>
      </c>
    </row>
    <row r="8" spans="1:5" x14ac:dyDescent="0.2">
      <c r="A8" s="88" t="str">
        <f>'[1]Sheet2-PASTE HERE!'!A20</f>
        <v>PRE FAB</v>
      </c>
      <c r="B8" s="89" t="str">
        <f>'[1]Sheet2-PASTE HERE!'!I20</f>
        <v>.156</v>
      </c>
      <c r="C8" s="90"/>
      <c r="D8" s="93">
        <f>'[1]Sheet2-PASTE HERE!'!F20</f>
        <v>3</v>
      </c>
    </row>
    <row r="9" spans="1:5" x14ac:dyDescent="0.2">
      <c r="A9" s="88" t="str">
        <f>'[1]Sheet2-PASTE HERE!'!A21</f>
        <v>PRE FAB</v>
      </c>
      <c r="B9" s="89" t="str">
        <f>'[1]Sheet2-PASTE HERE!'!I21</f>
        <v>.200</v>
      </c>
      <c r="C9" s="90" t="str">
        <f>'[1]Sheet2-PASTE HERE!'!K21</f>
        <v>Make lift lugs, ground lugs, etc.</v>
      </c>
      <c r="D9" s="93">
        <f>'[1]Sheet2-PASTE HERE!'!F21</f>
        <v>1</v>
      </c>
    </row>
    <row r="10" spans="1:5" ht="45" x14ac:dyDescent="0.2">
      <c r="A10" s="88" t="str">
        <f>'[1]Sheet2-PASTE HERE!'!A22</f>
        <v>PRE FAB</v>
      </c>
      <c r="B10" s="89" t="str">
        <f>'[1]Sheet2-PASTE HERE!'!I22</f>
        <v>.252</v>
      </c>
      <c r="C10" s="90" t="str">
        <f>'[1]Sheet2-PASTE HERE!'!K22</f>
        <v>Fabricate miscellaneous parts_x000D_
CUT (4) ANCHOR ANGLES &amp; PUNCH BOLT HOLES</v>
      </c>
      <c r="D10" s="93">
        <f>'[1]Sheet2-PASTE HERE!'!F22</f>
        <v>2</v>
      </c>
    </row>
    <row r="11" spans="1:5" ht="45" x14ac:dyDescent="0.2">
      <c r="A11" s="88" t="str">
        <f>'[1]Sheet2-PASTE HERE!'!A23</f>
        <v>PRE FAB</v>
      </c>
      <c r="B11" s="89" t="str">
        <f>'[1]Sheet2-PASTE HERE!'!I23</f>
        <v>.261</v>
      </c>
      <c r="C11" s="90" t="str">
        <f>'[1]Sheet2-PASTE HERE!'!K23</f>
        <v>Miscellaneous Fabrication - Braces, Mounting Plates, Cone Outlet Necks_x000D_
ROLL &amp; WELD BACKING BAR</v>
      </c>
      <c r="D11" s="93">
        <f>'[1]Sheet2-PASTE HERE!'!F23</f>
        <v>2</v>
      </c>
    </row>
    <row r="12" spans="1:5" x14ac:dyDescent="0.2">
      <c r="A12" s="88" t="str">
        <f>'[1]Sheet2-PASTE HERE!'!A24</f>
        <v>PRE FAB</v>
      </c>
      <c r="B12" s="89" t="str">
        <f>'[1]Sheet2-PASTE HERE!'!I24</f>
        <v>.300</v>
      </c>
      <c r="C12" s="90" t="str">
        <f>'[1]Sheet2-PASTE HERE!'!K24</f>
        <v>Wrap top and bottom heads</v>
      </c>
      <c r="D12" s="94">
        <f>'[1]Sheet2-PASTE HERE!'!F24</f>
        <v>1</v>
      </c>
    </row>
    <row r="13" spans="1:5" x14ac:dyDescent="0.2">
      <c r="A13" s="88" t="str">
        <f>'[1]Sheet2-PASTE HERE!'!A25</f>
        <v>INSPECTION</v>
      </c>
      <c r="B13" s="89" t="str">
        <f>'[1]Sheet2-PASTE HERE!'!I25</f>
        <v>.QC3</v>
      </c>
      <c r="C13" s="90" t="str">
        <f>'[1]Sheet2-PASTE HERE!'!K25</f>
        <v>UT Shells</v>
      </c>
      <c r="D13" s="94"/>
    </row>
    <row r="14" spans="1:5" x14ac:dyDescent="0.2">
      <c r="A14" s="88" t="str">
        <f>'[1]Sheet2-PASTE HERE!'!A26</f>
        <v>PRE FAB</v>
      </c>
      <c r="B14" s="89" t="str">
        <f>'[1]Sheet2-PASTE HERE!'!I26</f>
        <v>.305</v>
      </c>
      <c r="C14" s="90" t="str">
        <f>'[1]Sheet2-PASTE HERE!'!K26</f>
        <v>Shells: bring in plate, square, trim and clean</v>
      </c>
      <c r="D14" s="94">
        <f>'[1]Sheet2-PASTE HERE!'!F26</f>
        <v>1</v>
      </c>
    </row>
    <row r="15" spans="1:5" ht="30" x14ac:dyDescent="0.2">
      <c r="A15" s="88" t="str">
        <f>'[1]Sheet2-PASTE HERE!'!A27</f>
        <v>PRE FAB</v>
      </c>
      <c r="B15" s="89" t="str">
        <f>'[1]Sheet2-PASTE HERE!'!I27</f>
        <v>.315</v>
      </c>
      <c r="C15" s="90" t="str">
        <f>'[1]Sheet2-PASTE HERE!'!K27</f>
        <v>Roll shells, tack and weld inside seams_x000D_
INCL WELD LONG SEAM INSIDE &amp; OUTSIDE</v>
      </c>
      <c r="D15" s="94">
        <f>'[1]Sheet2-PASTE HERE!'!F27</f>
        <v>3</v>
      </c>
    </row>
    <row r="16" spans="1:5" x14ac:dyDescent="0.2">
      <c r="A16" s="88" t="str">
        <f>'[1]Sheet2-PASTE HERE!'!A28</f>
        <v>INSPECTION</v>
      </c>
      <c r="B16" s="89" t="str">
        <f>'[1]Sheet2-PASTE HERE!'!I28</f>
        <v>.QC4</v>
      </c>
      <c r="C16" s="90" t="str">
        <f>'[1]Sheet2-PASTE HERE!'!K28</f>
        <v>QC Inspection - Top/Bottom/Cones</v>
      </c>
      <c r="D16" s="94">
        <f>'[1]Sheet2-PASTE HERE!'!F28</f>
        <v>0</v>
      </c>
    </row>
    <row r="17" spans="1:4" x14ac:dyDescent="0.2">
      <c r="A17" s="88" t="str">
        <f>'[1]Sheet2-PASTE HERE!'!A29</f>
        <v>PRE FAB</v>
      </c>
      <c r="B17" s="89" t="str">
        <f>'[1]Sheet2-PASTE HERE!'!I29</f>
        <v>.365</v>
      </c>
      <c r="C17" s="90" t="str">
        <f>'[1]Sheet2-PASTE HERE!'!K29</f>
        <v>Set  nozzles, lift lugs, etc. in top head - tack</v>
      </c>
      <c r="D17" s="94">
        <f>'[1]Sheet2-PASTE HERE!'!F29</f>
        <v>1</v>
      </c>
    </row>
    <row r="18" spans="1:4" ht="30" x14ac:dyDescent="0.2">
      <c r="A18" s="88" t="str">
        <f>'[1]Sheet2-PASTE HERE!'!A30</f>
        <v>PRE FAB</v>
      </c>
      <c r="B18" s="89" t="str">
        <f>'[1]Sheet2-PASTE HERE!'!I30</f>
        <v>.366</v>
      </c>
      <c r="C18" s="90" t="str">
        <f>'[1]Sheet2-PASTE HERE!'!K30</f>
        <v>Weld out top head nozzles, etc. _x000D_
INCL (2) LIFT LUGS</v>
      </c>
      <c r="D18" s="94">
        <f>'[1]Sheet2-PASTE HERE!'!F30</f>
        <v>3</v>
      </c>
    </row>
    <row r="19" spans="1:4" x14ac:dyDescent="0.2">
      <c r="A19" s="88" t="str">
        <f>'[1]Sheet2-PASTE HERE!'!A31</f>
        <v>INSPECTION</v>
      </c>
      <c r="B19" s="89" t="str">
        <f>'[1]Sheet2-PASTE HERE!'!I31</f>
        <v>.QC4</v>
      </c>
      <c r="C19" s="90" t="str">
        <f>'[1]Sheet2-PASTE HERE!'!K31</f>
        <v>QC Inspection - Top/Bottom/Cones</v>
      </c>
      <c r="D19" s="94"/>
    </row>
    <row r="20" spans="1:4" x14ac:dyDescent="0.2">
      <c r="A20" s="88" t="str">
        <f>'[1]Sheet2-PASTE HERE!'!A32</f>
        <v>PRE FAB</v>
      </c>
      <c r="B20" s="89" t="str">
        <f>'[1]Sheet2-PASTE HERE!'!I32</f>
        <v>.465</v>
      </c>
      <c r="C20" s="90" t="str">
        <f>'[1]Sheet2-PASTE HERE!'!K32</f>
        <v>Set  nozzles in bottom head - tack</v>
      </c>
      <c r="D20" s="94">
        <f>'[1]Sheet2-PASTE HERE!'!F32</f>
        <v>1</v>
      </c>
    </row>
    <row r="21" spans="1:4" x14ac:dyDescent="0.2">
      <c r="A21" s="88" t="str">
        <f>'[1]Sheet2-PASTE HERE!'!A33</f>
        <v>PRE FAB</v>
      </c>
      <c r="B21" s="89" t="str">
        <f>'[1]Sheet2-PASTE HERE!'!I33</f>
        <v>.466</v>
      </c>
      <c r="C21" s="90" t="str">
        <f>'[1]Sheet2-PASTE HERE!'!K33</f>
        <v>Weld nozzles in bottom head; weld complete</v>
      </c>
      <c r="D21" s="94">
        <f>'[1]Sheet2-PASTE HERE!'!F33</f>
        <v>1</v>
      </c>
    </row>
    <row r="22" spans="1:4" ht="45" x14ac:dyDescent="0.2">
      <c r="A22" s="88" t="str">
        <f>'[1]Sheet2-PASTE HERE!'!A34</f>
        <v>PRE FAB</v>
      </c>
      <c r="B22" s="89" t="str">
        <f>'[1]Sheet2-PASTE HERE!'!I34</f>
        <v>.500</v>
      </c>
      <c r="C22" s="90" t="str">
        <f>'[1]Sheet2-PASTE HERE!'!K34</f>
        <v>Build skirt - fit and weld shells_x000D_
ROLL SKIRT SHELL &amp; WELD LONG SEAM INSIDE &amp; OUTSIDE</v>
      </c>
      <c r="D22" s="94">
        <f>'[1]Sheet2-PASTE HERE!'!F34</f>
        <v>2</v>
      </c>
    </row>
    <row r="23" spans="1:4" x14ac:dyDescent="0.2">
      <c r="A23" s="88" t="str">
        <f>'[1]Sheet2-PASTE HERE!'!A35</f>
        <v>FIT</v>
      </c>
      <c r="B23" s="89" t="str">
        <f>'[1]Sheet2-PASTE HERE!'!I35</f>
        <v>.530</v>
      </c>
      <c r="C23" s="90" t="str">
        <f>'[1]Sheet2-PASTE HERE!'!K35</f>
        <v>Build skirt - fit anchors / gussets</v>
      </c>
      <c r="D23" s="94">
        <f>'[1]Sheet2-PASTE HERE!'!F35</f>
        <v>1</v>
      </c>
    </row>
    <row r="24" spans="1:4" x14ac:dyDescent="0.2">
      <c r="A24" s="88" t="str">
        <f>'[1]Sheet2-PASTE HERE!'!A36</f>
        <v>FIT</v>
      </c>
      <c r="B24" s="89" t="str">
        <f>'[1]Sheet2-PASTE HERE!'!I36</f>
        <v>.545</v>
      </c>
      <c r="C24" s="90" t="str">
        <f>'[1]Sheet2-PASTE HERE!'!K36</f>
        <v>Weld skirt anchors, gussets, nozzles, manways, etc.</v>
      </c>
      <c r="D24" s="94">
        <f>'[1]Sheet2-PASTE HERE!'!F36</f>
        <v>1</v>
      </c>
    </row>
    <row r="25" spans="1:4" x14ac:dyDescent="0.2">
      <c r="A25" s="88" t="str">
        <f>'[1]Sheet2-PASTE HERE!'!A37</f>
        <v>INSPECTION</v>
      </c>
      <c r="B25" s="89" t="str">
        <f>'[1]Sheet2-PASTE HERE!'!I37</f>
        <v>.OI1</v>
      </c>
      <c r="C25" s="90" t="str">
        <f>'[1]Sheet2-PASTE HERE!'!K37</f>
        <v>ASME Hold Point</v>
      </c>
      <c r="D25" s="94"/>
    </row>
    <row r="26" spans="1:4" ht="30" x14ac:dyDescent="0.2">
      <c r="A26" s="88" t="str">
        <f>'[1]Sheet2-PASTE HERE!'!A38</f>
        <v>FIT</v>
      </c>
      <c r="B26" s="89" t="str">
        <f>'[1]Sheet2-PASTE HERE!'!I38</f>
        <v>.600</v>
      </c>
      <c r="C26" s="90" t="str">
        <f>'[1]Sheet2-PASTE HERE!'!K38</f>
        <v>Fit bottom head to shell_x000D_
AND WELD INSIDE</v>
      </c>
      <c r="D26" s="94">
        <f>'[1]Sheet2-PASTE HERE!'!F38</f>
        <v>4</v>
      </c>
    </row>
    <row r="27" spans="1:4" x14ac:dyDescent="0.2">
      <c r="A27" s="88" t="str">
        <f>'[1]Sheet2-PASTE HERE!'!A39</f>
        <v>FIT</v>
      </c>
      <c r="B27" s="89" t="str">
        <f>'[1]Sheet2-PASTE HERE!'!I39</f>
        <v>.625</v>
      </c>
      <c r="C27" s="90" t="str">
        <f>'[1]Sheet2-PASTE HERE!'!K39</f>
        <v>Install baffles and weld</v>
      </c>
      <c r="D27" s="95">
        <f>'[1]Sheet2-PASTE HERE!'!F39</f>
        <v>6</v>
      </c>
    </row>
    <row r="28" spans="1:4" ht="30" x14ac:dyDescent="0.2">
      <c r="A28" s="88" t="str">
        <f>'[1]Sheet2-PASTE HERE!'!A40</f>
        <v>FIT</v>
      </c>
      <c r="B28" s="89" t="str">
        <f>'[1]Sheet2-PASTE HERE!'!I40</f>
        <v>.630</v>
      </c>
      <c r="C28" s="90" t="str">
        <f>'[1]Sheet2-PASTE HERE!'!K40</f>
        <v>Install internals - wear plates, rings, clips, etc._x000D_
FIT &amp; WELD BACKING BAR TO SHELL</v>
      </c>
      <c r="D28" s="95">
        <f>'[1]Sheet2-PASTE HERE!'!F40</f>
        <v>3</v>
      </c>
    </row>
    <row r="29" spans="1:4" x14ac:dyDescent="0.2">
      <c r="A29" s="88" t="str">
        <f>'[1]Sheet2-PASTE HERE!'!A41</f>
        <v>INSPECTION</v>
      </c>
      <c r="B29" s="89" t="str">
        <f>'[1]Sheet2-PASTE HERE!'!I41</f>
        <v>.QC5</v>
      </c>
      <c r="C29" s="90" t="str">
        <f>'[1]Sheet2-PASTE HERE!'!K41</f>
        <v>QC Inspection - Internal</v>
      </c>
      <c r="D29" s="95"/>
    </row>
    <row r="30" spans="1:4" x14ac:dyDescent="0.2">
      <c r="A30" s="88" t="str">
        <f>'[1]Sheet2-PASTE HERE!'!A42</f>
        <v>FIT</v>
      </c>
      <c r="B30" s="89" t="str">
        <f>'[1]Sheet2-PASTE HERE!'!I42</f>
        <v>.640</v>
      </c>
      <c r="C30" s="90" t="str">
        <f>'[1]Sheet2-PASTE HERE!'!K42</f>
        <v>Fit top head to shell - tack</v>
      </c>
      <c r="D30" s="95">
        <f>'[1]Sheet2-PASTE HERE!'!F42</f>
        <v>1</v>
      </c>
    </row>
    <row r="31" spans="1:4" x14ac:dyDescent="0.2">
      <c r="A31" s="88" t="str">
        <f>'[1]Sheet2-PASTE HERE!'!A43</f>
        <v>FIT</v>
      </c>
      <c r="B31" s="89" t="str">
        <f>'[1]Sheet2-PASTE HERE!'!I43</f>
        <v>.645</v>
      </c>
      <c r="C31" s="90" t="str">
        <f>'[1]Sheet2-PASTE HERE!'!K43</f>
        <v>Weld all outside seams</v>
      </c>
      <c r="D31" s="95">
        <f>'[1]Sheet2-PASTE HERE!'!F43</f>
        <v>2</v>
      </c>
    </row>
    <row r="32" spans="1:4" x14ac:dyDescent="0.2">
      <c r="A32" s="88" t="str">
        <f>'[1]Sheet2-PASTE HERE!'!A44</f>
        <v>MOVE TANK</v>
      </c>
      <c r="B32" s="89" t="str">
        <f>'[1]Sheet2-PASTE HERE!'!I44</f>
        <v>.800</v>
      </c>
      <c r="C32" s="90" t="str">
        <f>'[1]Sheet2-PASTE HERE!'!K44</f>
        <v>Move tank to detail rolls</v>
      </c>
      <c r="D32" s="95">
        <f>'[1]Sheet2-PASTE HERE!'!F44</f>
        <v>1</v>
      </c>
    </row>
    <row r="33" spans="1:4" ht="30" x14ac:dyDescent="0.2">
      <c r="A33" s="88" t="str">
        <f>'[1]Sheet2-PASTE HERE!'!A45</f>
        <v>FIT</v>
      </c>
      <c r="B33" s="89" t="str">
        <f>'[1]Sheet2-PASTE HERE!'!I45</f>
        <v>.720</v>
      </c>
      <c r="C33" s="90" t="str">
        <f>'[1]Sheet2-PASTE HERE!'!K45</f>
        <v>Install supports - legs, lugs, anchors, saddles, skirt_x000D_
FIT SKIRT &amp; WELD TO BOTTOM HEAD</v>
      </c>
      <c r="D33" s="95">
        <f>'[1]Sheet2-PASTE HERE!'!F45</f>
        <v>4</v>
      </c>
    </row>
    <row r="34" spans="1:4" x14ac:dyDescent="0.2">
      <c r="A34" s="88" t="str">
        <f>'[1]Sheet2-PASTE HERE!'!A46</f>
        <v>FIT</v>
      </c>
      <c r="B34" s="89" t="str">
        <f>'[1]Sheet2-PASTE HERE!'!I46</f>
        <v>.725</v>
      </c>
      <c r="C34" s="90" t="str">
        <f>'[1]Sheet2-PASTE HERE!'!K46</f>
        <v>Set nozzles in shell - tack</v>
      </c>
      <c r="D34" s="95">
        <f>'[1]Sheet2-PASTE HERE!'!F46</f>
        <v>1</v>
      </c>
    </row>
    <row r="35" spans="1:4" ht="45" x14ac:dyDescent="0.2">
      <c r="A35" s="88" t="str">
        <f>'[1]Sheet2-PASTE HERE!'!A47</f>
        <v>FIT</v>
      </c>
      <c r="B35" s="89" t="str">
        <f>'[1]Sheet2-PASTE HERE!'!I47</f>
        <v>.726</v>
      </c>
      <c r="C35" s="90" t="str">
        <f>'[1]Sheet2-PASTE HERE!'!K47</f>
        <v>Weld shell nozzles, manways, etc._x000D_
SET &amp; WELD NOZZLES BEFORE INSTALLING TOP HEADS</v>
      </c>
      <c r="D35" s="95">
        <f>'[1]Sheet2-PASTE HERE!'!F47</f>
        <v>3</v>
      </c>
    </row>
    <row r="36" spans="1:4" x14ac:dyDescent="0.2">
      <c r="A36" s="88" t="str">
        <f>'[1]Sheet2-PASTE HERE!'!A48</f>
        <v>FINISHING</v>
      </c>
      <c r="B36" s="89" t="str">
        <f>'[1]Sheet2-PASTE HERE!'!I48</f>
        <v>.765</v>
      </c>
      <c r="C36" s="90" t="str">
        <f>'[1]Sheet2-PASTE HERE!'!K48</f>
        <v>Install name tag</v>
      </c>
      <c r="D36" s="91">
        <f>'[1]Sheet2-PASTE HERE!'!F48</f>
        <v>1</v>
      </c>
    </row>
    <row r="37" spans="1:4" x14ac:dyDescent="0.2">
      <c r="A37" s="88" t="str">
        <f>'[1]Sheet2-PASTE HERE!'!A49</f>
        <v>FIT</v>
      </c>
      <c r="B37" s="89" t="str">
        <f>'[1]Sheet2-PASTE HERE!'!I49</f>
        <v>.770</v>
      </c>
      <c r="C37" s="90" t="str">
        <f>'[1]Sheet2-PASTE HERE!'!K49</f>
        <v>Inspect tank, make repairs, get QC inspector</v>
      </c>
      <c r="D37" s="91">
        <f>'[1]Sheet2-PASTE HERE!'!F49</f>
        <v>1</v>
      </c>
    </row>
    <row r="38" spans="1:4" x14ac:dyDescent="0.2">
      <c r="A38" s="88" t="str">
        <f>'[1]Sheet2-PASTE HERE!'!A50</f>
        <v>INSPECTION</v>
      </c>
      <c r="B38" s="89" t="str">
        <f>'[1]Sheet2-PASTE HERE!'!I50</f>
        <v>.QC6</v>
      </c>
      <c r="C38" s="90" t="str">
        <f>'[1]Sheet2-PASTE HERE!'!K50</f>
        <v>QC Inspection - Fabrication</v>
      </c>
      <c r="D38" s="91"/>
    </row>
    <row r="39" spans="1:4" x14ac:dyDescent="0.2">
      <c r="A39" s="88" t="str">
        <f>'[1]Sheet2-PASTE HERE!'!A51</f>
        <v>INSPECTION</v>
      </c>
      <c r="B39" s="89" t="str">
        <f>'[1]Sheet2-PASTE HERE!'!I51</f>
        <v>.OI2</v>
      </c>
      <c r="C39" s="90" t="str">
        <f>'[1]Sheet2-PASTE HERE!'!K51</f>
        <v>ASME Inspection Internal</v>
      </c>
      <c r="D39" s="91"/>
    </row>
    <row r="40" spans="1:4" x14ac:dyDescent="0.2">
      <c r="A40" s="88" t="str">
        <f>'[1]Sheet2-PASTE HERE!'!A52</f>
        <v>MOVE TANK</v>
      </c>
      <c r="B40" s="89" t="str">
        <f>'[1]Sheet2-PASTE HERE!'!I52</f>
        <v>.801</v>
      </c>
      <c r="C40" s="90" t="str">
        <f>'[1]Sheet2-PASTE HERE!'!K52</f>
        <v>Move to shop test area</v>
      </c>
      <c r="D40" s="91">
        <f>'[1]Sheet2-PASTE HERE!'!F52</f>
        <v>1</v>
      </c>
    </row>
    <row r="41" spans="1:4" x14ac:dyDescent="0.2">
      <c r="A41" s="88" t="str">
        <f>'[1]Sheet2-PASTE HERE!'!A53</f>
        <v>FINISHING</v>
      </c>
      <c r="B41" s="89" t="str">
        <f>'[1]Sheet2-PASTE HERE!'!I53</f>
        <v>.910</v>
      </c>
      <c r="C41" s="90" t="str">
        <f>'[1]Sheet2-PASTE HERE!'!K53</f>
        <v>Test tank</v>
      </c>
      <c r="D41" s="91">
        <f>'[1]Sheet2-PASTE HERE!'!F53</f>
        <v>4</v>
      </c>
    </row>
    <row r="42" spans="1:4" x14ac:dyDescent="0.2">
      <c r="A42" s="88" t="str">
        <f>'[1]Sheet2-PASTE HERE!'!A54</f>
        <v>INSPECTION</v>
      </c>
      <c r="B42" s="89" t="str">
        <f>'[1]Sheet2-PASTE HERE!'!I54</f>
        <v>.QC7</v>
      </c>
      <c r="C42" s="90" t="str">
        <f>'[1]Sheet2-PASTE HERE!'!K54</f>
        <v>QC Inspection - Test</v>
      </c>
      <c r="D42" s="91"/>
    </row>
    <row r="43" spans="1:4" x14ac:dyDescent="0.2">
      <c r="A43" s="88" t="str">
        <f>'[1]Sheet2-PASTE HERE!'!A55</f>
        <v>INSPECTION</v>
      </c>
      <c r="B43" s="89" t="str">
        <f>'[1]Sheet2-PASTE HERE!'!I55</f>
        <v>.OI3</v>
      </c>
      <c r="C43" s="90" t="str">
        <f>'[1]Sheet2-PASTE HERE!'!K55</f>
        <v>ASME Inspection Test</v>
      </c>
      <c r="D43" s="91"/>
    </row>
    <row r="44" spans="1:4" ht="30" x14ac:dyDescent="0.2">
      <c r="A44" s="88" t="str">
        <f>'[1]Sheet2-PASTE HERE!'!A56</f>
        <v>FINISHING</v>
      </c>
      <c r="B44" s="89" t="str">
        <f>'[1]Sheet2-PASTE HERE!'!I56</f>
        <v>.920</v>
      </c>
      <c r="C44" s="90" t="str">
        <f>'[1]Sheet2-PASTE HERE!'!K56</f>
        <v>Clean tank complete_x000D_
CLEAN INSIDE BEFORE INSTALLING TOP HEAD</v>
      </c>
      <c r="D44" s="91">
        <f>'[1]Sheet2-PASTE HERE!'!F56</f>
        <v>5</v>
      </c>
    </row>
    <row r="45" spans="1:4" x14ac:dyDescent="0.2">
      <c r="A45" s="88" t="str">
        <f>'[1]Sheet2-PASTE HERE!'!A57</f>
        <v>INSPECTION</v>
      </c>
      <c r="B45" s="89" t="str">
        <f>'[1]Sheet2-PASTE HERE!'!I57</f>
        <v>.QC8</v>
      </c>
      <c r="C45" s="90" t="str">
        <f>'[1]Sheet2-PASTE HERE!'!K57</f>
        <v>QC Inspection - Clean</v>
      </c>
      <c r="D45" s="91"/>
    </row>
    <row r="46" spans="1:4" x14ac:dyDescent="0.2">
      <c r="A46" s="88" t="str">
        <f>'[1]Sheet2-PASTE HERE!'!A58</f>
        <v>FINISHING</v>
      </c>
      <c r="B46" s="89" t="str">
        <f>'[1]Sheet2-PASTE HERE!'!I58</f>
        <v>.940</v>
      </c>
      <c r="C46" s="90" t="str">
        <f>'[1]Sheet2-PASTE HERE!'!K58</f>
        <v>Prepare tank for shipment</v>
      </c>
      <c r="D46" s="91">
        <f>'[1]Sheet2-PASTE HERE!'!F58</f>
        <v>1</v>
      </c>
    </row>
    <row r="47" spans="1:4" x14ac:dyDescent="0.2">
      <c r="A47" s="88" t="str">
        <f>'[1]Sheet2-PASTE HERE!'!A59</f>
        <v>INSPECTION</v>
      </c>
      <c r="B47" s="89" t="str">
        <f>'[1]Sheet2-PASTE HERE!'!I59</f>
        <v>.QC95</v>
      </c>
      <c r="C47" s="90" t="str">
        <f>'[1]Sheet2-PASTE HERE!'!K59</f>
        <v>QC Inspection - Final &amp; Loose Items</v>
      </c>
      <c r="D47" s="91"/>
    </row>
    <row r="48" spans="1:4" x14ac:dyDescent="0.2">
      <c r="A48" s="88" t="str">
        <f>'[1]Sheet2-PASTE HERE!'!A60</f>
        <v>SHIPPING</v>
      </c>
      <c r="B48" s="89" t="str">
        <f>'[1]Sheet2-PASTE HERE!'!I60</f>
        <v>.960</v>
      </c>
      <c r="C48" s="90" t="str">
        <f>'[1]Sheet2-PASTE HERE!'!K60</f>
        <v>Load on truck</v>
      </c>
      <c r="D48" s="91">
        <f>'[1]Sheet2-PASTE HERE!'!F60</f>
        <v>1</v>
      </c>
    </row>
    <row r="49" spans="4:4" x14ac:dyDescent="0.2">
      <c r="D49" s="92">
        <f>SUM(D5:D48)</f>
        <v>74</v>
      </c>
    </row>
  </sheetData>
  <conditionalFormatting sqref="A5:D48">
    <cfRule type="expression" dxfId="8" priority="3" stopIfTrue="1">
      <formula>$J5=1</formula>
    </cfRule>
  </conditionalFormatting>
  <conditionalFormatting sqref="C5:C48">
    <cfRule type="expression" dxfId="7" priority="1" stopIfTrue="1">
      <formula>$K5=1</formula>
    </cfRule>
  </conditionalFormatting>
  <conditionalFormatting sqref="C6:C48">
    <cfRule type="expression" dxfId="6" priority="2" stopIfTrue="1">
      <formula>$K6=1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22C7-99AA-422B-B3A6-E723A3B993AE}">
  <dimension ref="A1:E49"/>
  <sheetViews>
    <sheetView workbookViewId="0">
      <selection activeCell="H37" sqref="H37"/>
    </sheetView>
  </sheetViews>
  <sheetFormatPr defaultRowHeight="15" x14ac:dyDescent="0.2"/>
  <cols>
    <col min="2" max="2" width="11.44140625" bestFit="1" customWidth="1"/>
    <col min="3" max="3" width="42" customWidth="1"/>
    <col min="4" max="5" width="7.21875" bestFit="1" customWidth="1"/>
  </cols>
  <sheetData>
    <row r="1" spans="1:5" ht="18" x14ac:dyDescent="0.2">
      <c r="A1" s="77" t="s">
        <v>273</v>
      </c>
      <c r="B1" s="78" t="s">
        <v>274</v>
      </c>
      <c r="C1" s="79"/>
      <c r="E1" s="80"/>
    </row>
    <row r="2" spans="1:5" ht="15.75" x14ac:dyDescent="0.25">
      <c r="A2" s="81"/>
      <c r="B2" s="82" t="s">
        <v>275</v>
      </c>
      <c r="C2" s="83" t="str">
        <f>'[1]Sheet2-PASTE HERE!'!B1</f>
        <v>BUFFER TANK 1 OF 224</v>
      </c>
      <c r="D2" s="80"/>
      <c r="E2" s="84"/>
    </row>
    <row r="3" spans="1:5" x14ac:dyDescent="0.2">
      <c r="A3" s="80"/>
      <c r="B3" s="80"/>
      <c r="C3" s="85"/>
      <c r="D3" s="80"/>
      <c r="E3" s="80"/>
    </row>
    <row r="4" spans="1:5" x14ac:dyDescent="0.2">
      <c r="A4" s="86" t="s">
        <v>276</v>
      </c>
      <c r="B4" s="87" t="s">
        <v>277</v>
      </c>
      <c r="C4" s="86" t="s">
        <v>278</v>
      </c>
      <c r="D4" s="86" t="s">
        <v>279</v>
      </c>
    </row>
    <row r="5" spans="1:5" x14ac:dyDescent="0.2">
      <c r="A5" s="88" t="str">
        <f>'[1]Sheet2-PASTE HERE!'!A17</f>
        <v>PRE FAB</v>
      </c>
      <c r="B5" s="89" t="str">
        <f>'[1]Sheet2-PASTE HERE!'!I17</f>
        <v>.100</v>
      </c>
      <c r="C5" s="90" t="str">
        <f>'[1]Sheet2-PASTE HERE!'!K17</f>
        <v>Cut nozzle pipe and clean</v>
      </c>
      <c r="D5" s="93">
        <f>'[1]Sheet2-PASTE HERE!'!F17</f>
        <v>2</v>
      </c>
    </row>
    <row r="6" spans="1:5" ht="30" x14ac:dyDescent="0.2">
      <c r="A6" s="88" t="str">
        <f>'[1]Sheet2-PASTE HERE!'!A18</f>
        <v>PRE FAB</v>
      </c>
      <c r="B6" s="89" t="str">
        <f>'[1]Sheet2-PASTE HERE!'!I18</f>
        <v>.105</v>
      </c>
      <c r="C6" s="90" t="str">
        <f>'[1]Sheet2-PASTE HERE!'!K18</f>
        <v>Build nozzles and weld_x000D_
USE COBOT FOR N1 &amp; N2</v>
      </c>
      <c r="D6" s="93">
        <f>'[1]Sheet2-PASTE HERE!'!F18</f>
        <v>4</v>
      </c>
    </row>
    <row r="7" spans="1:5" ht="30" x14ac:dyDescent="0.2">
      <c r="A7" s="88" t="str">
        <f>'[1]Sheet2-PASTE HERE!'!A19</f>
        <v>PRE FAB</v>
      </c>
      <c r="B7" s="89" t="str">
        <f>'[1]Sheet2-PASTE HERE!'!I19</f>
        <v>.155</v>
      </c>
      <c r="C7" s="90" t="str">
        <f>'[1]Sheet2-PASTE HERE!'!K19</f>
        <v>Burn and clean parts:  lugs, supports, repads, base ring, etc. (CHECK!)</v>
      </c>
      <c r="D7" s="93">
        <f>'[1]Sheet2-PASTE HERE!'!F19</f>
        <v>6</v>
      </c>
    </row>
    <row r="8" spans="1:5" x14ac:dyDescent="0.2">
      <c r="A8" s="88" t="str">
        <f>'[1]Sheet2-PASTE HERE!'!A20</f>
        <v>PRE FAB</v>
      </c>
      <c r="B8" s="89" t="str">
        <f>'[1]Sheet2-PASTE HERE!'!I20</f>
        <v>.156</v>
      </c>
      <c r="C8" s="90"/>
      <c r="D8" s="93">
        <f>'[1]Sheet2-PASTE HERE!'!F20</f>
        <v>3</v>
      </c>
    </row>
    <row r="9" spans="1:5" x14ac:dyDescent="0.2">
      <c r="A9" s="88" t="str">
        <f>'[1]Sheet2-PASTE HERE!'!A21</f>
        <v>PRE FAB</v>
      </c>
      <c r="B9" s="89" t="str">
        <f>'[1]Sheet2-PASTE HERE!'!I21</f>
        <v>.200</v>
      </c>
      <c r="C9" s="90" t="str">
        <f>'[1]Sheet2-PASTE HERE!'!K21</f>
        <v>Make lift lugs, ground lugs, etc.</v>
      </c>
      <c r="D9" s="93">
        <f>'[1]Sheet2-PASTE HERE!'!F21</f>
        <v>1</v>
      </c>
    </row>
    <row r="10" spans="1:5" ht="45" x14ac:dyDescent="0.2">
      <c r="A10" s="88" t="str">
        <f>'[1]Sheet2-PASTE HERE!'!A22</f>
        <v>PRE FAB</v>
      </c>
      <c r="B10" s="89" t="str">
        <f>'[1]Sheet2-PASTE HERE!'!I22</f>
        <v>.252</v>
      </c>
      <c r="C10" s="90" t="str">
        <f>'[1]Sheet2-PASTE HERE!'!K22</f>
        <v>Fabricate miscellaneous parts_x000D_
CUT (4) ANCHOR ANGLES &amp; PUNCH BOLT HOLES</v>
      </c>
      <c r="D10" s="93">
        <f>'[1]Sheet2-PASTE HERE!'!F22</f>
        <v>2</v>
      </c>
    </row>
    <row r="11" spans="1:5" ht="45" x14ac:dyDescent="0.2">
      <c r="A11" s="88" t="str">
        <f>'[1]Sheet2-PASTE HERE!'!A23</f>
        <v>PRE FAB</v>
      </c>
      <c r="B11" s="89" t="str">
        <f>'[1]Sheet2-PASTE HERE!'!I23</f>
        <v>.261</v>
      </c>
      <c r="C11" s="90" t="str">
        <f>'[1]Sheet2-PASTE HERE!'!K23</f>
        <v>Miscellaneous Fabrication - Braces, Mounting Plates, Cone Outlet Necks_x000D_
ROLL &amp; WELD BACKING BAR</v>
      </c>
      <c r="D11" s="93">
        <f>'[1]Sheet2-PASTE HERE!'!F23</f>
        <v>2</v>
      </c>
    </row>
    <row r="12" spans="1:5" x14ac:dyDescent="0.2">
      <c r="A12" s="88" t="str">
        <f>'[1]Sheet2-PASTE HERE!'!A24</f>
        <v>PRE FAB</v>
      </c>
      <c r="B12" s="89" t="str">
        <f>'[1]Sheet2-PASTE HERE!'!I24</f>
        <v>.300</v>
      </c>
      <c r="C12" s="90" t="str">
        <f>'[1]Sheet2-PASTE HERE!'!K24</f>
        <v>Wrap top and bottom heads</v>
      </c>
      <c r="D12" s="94">
        <f>'[1]Sheet2-PASTE HERE!'!F24</f>
        <v>1</v>
      </c>
    </row>
    <row r="13" spans="1:5" x14ac:dyDescent="0.2">
      <c r="A13" s="88" t="str">
        <f>'[1]Sheet2-PASTE HERE!'!A25</f>
        <v>INSPECTION</v>
      </c>
      <c r="B13" s="89" t="str">
        <f>'[1]Sheet2-PASTE HERE!'!I25</f>
        <v>.QC3</v>
      </c>
      <c r="C13" s="90" t="str">
        <f>'[1]Sheet2-PASTE HERE!'!K25</f>
        <v>UT Shells</v>
      </c>
      <c r="D13" s="94"/>
    </row>
    <row r="14" spans="1:5" x14ac:dyDescent="0.2">
      <c r="A14" s="88" t="str">
        <f>'[1]Sheet2-PASTE HERE!'!A26</f>
        <v>PRE FAB</v>
      </c>
      <c r="B14" s="89" t="str">
        <f>'[1]Sheet2-PASTE HERE!'!I26</f>
        <v>.305</v>
      </c>
      <c r="C14" s="90" t="str">
        <f>'[1]Sheet2-PASTE HERE!'!K26</f>
        <v>Shells: bring in plate, square, trim and clean</v>
      </c>
      <c r="D14" s="94">
        <f>'[1]Sheet2-PASTE HERE!'!F26</f>
        <v>1</v>
      </c>
    </row>
    <row r="15" spans="1:5" ht="30" x14ac:dyDescent="0.2">
      <c r="A15" s="88" t="str">
        <f>'[1]Sheet2-PASTE HERE!'!A27</f>
        <v>PRE FAB</v>
      </c>
      <c r="B15" s="89" t="str">
        <f>'[1]Sheet2-PASTE HERE!'!I27</f>
        <v>.315</v>
      </c>
      <c r="C15" s="90" t="str">
        <f>'[1]Sheet2-PASTE HERE!'!K27</f>
        <v>Roll shells, tack and weld inside seams_x000D_
INCL WELD LONG SEAM INSIDE &amp; OUTSIDE</v>
      </c>
      <c r="D15" s="94">
        <f>'[1]Sheet2-PASTE HERE!'!F27</f>
        <v>3</v>
      </c>
    </row>
    <row r="16" spans="1:5" x14ac:dyDescent="0.2">
      <c r="A16" s="88" t="str">
        <f>'[1]Sheet2-PASTE HERE!'!A28</f>
        <v>INSPECTION</v>
      </c>
      <c r="B16" s="89" t="str">
        <f>'[1]Sheet2-PASTE HERE!'!I28</f>
        <v>.QC4</v>
      </c>
      <c r="C16" s="90" t="str">
        <f>'[1]Sheet2-PASTE HERE!'!K28</f>
        <v>QC Inspection - Top/Bottom/Cones</v>
      </c>
      <c r="D16" s="94">
        <f>'[1]Sheet2-PASTE HERE!'!F28</f>
        <v>0</v>
      </c>
    </row>
    <row r="17" spans="1:4" x14ac:dyDescent="0.2">
      <c r="A17" s="88" t="str">
        <f>'[1]Sheet2-PASTE HERE!'!A29</f>
        <v>PRE FAB</v>
      </c>
      <c r="B17" s="89" t="str">
        <f>'[1]Sheet2-PASTE HERE!'!I29</f>
        <v>.365</v>
      </c>
      <c r="C17" s="90" t="str">
        <f>'[1]Sheet2-PASTE HERE!'!K29</f>
        <v>Set  nozzles, lift lugs, etc. in top head - tack</v>
      </c>
      <c r="D17" s="94">
        <f>'[1]Sheet2-PASTE HERE!'!F29</f>
        <v>1</v>
      </c>
    </row>
    <row r="18" spans="1:4" ht="30" x14ac:dyDescent="0.2">
      <c r="A18" s="88" t="str">
        <f>'[1]Sheet2-PASTE HERE!'!A30</f>
        <v>PRE FAB</v>
      </c>
      <c r="B18" s="89" t="str">
        <f>'[1]Sheet2-PASTE HERE!'!I30</f>
        <v>.366</v>
      </c>
      <c r="C18" s="90" t="str">
        <f>'[1]Sheet2-PASTE HERE!'!K30</f>
        <v>Weld out top head nozzles, etc. _x000D_
INCL (2) LIFT LUGS</v>
      </c>
      <c r="D18" s="94">
        <f>'[1]Sheet2-PASTE HERE!'!F30</f>
        <v>3</v>
      </c>
    </row>
    <row r="19" spans="1:4" x14ac:dyDescent="0.2">
      <c r="A19" s="88" t="str">
        <f>'[1]Sheet2-PASTE HERE!'!A31</f>
        <v>INSPECTION</v>
      </c>
      <c r="B19" s="89" t="str">
        <f>'[1]Sheet2-PASTE HERE!'!I31</f>
        <v>.QC4</v>
      </c>
      <c r="C19" s="90" t="str">
        <f>'[1]Sheet2-PASTE HERE!'!K31</f>
        <v>QC Inspection - Top/Bottom/Cones</v>
      </c>
      <c r="D19" s="94"/>
    </row>
    <row r="20" spans="1:4" x14ac:dyDescent="0.2">
      <c r="A20" s="88" t="str">
        <f>'[1]Sheet2-PASTE HERE!'!A32</f>
        <v>PRE FAB</v>
      </c>
      <c r="B20" s="89" t="str">
        <f>'[1]Sheet2-PASTE HERE!'!I32</f>
        <v>.465</v>
      </c>
      <c r="C20" s="90" t="str">
        <f>'[1]Sheet2-PASTE HERE!'!K32</f>
        <v>Set  nozzles in bottom head - tack</v>
      </c>
      <c r="D20" s="94">
        <f>'[1]Sheet2-PASTE HERE!'!F32</f>
        <v>1</v>
      </c>
    </row>
    <row r="21" spans="1:4" x14ac:dyDescent="0.2">
      <c r="A21" s="88" t="str">
        <f>'[1]Sheet2-PASTE HERE!'!A33</f>
        <v>PRE FAB</v>
      </c>
      <c r="B21" s="89" t="str">
        <f>'[1]Sheet2-PASTE HERE!'!I33</f>
        <v>.466</v>
      </c>
      <c r="C21" s="90" t="str">
        <f>'[1]Sheet2-PASTE HERE!'!K33</f>
        <v>Weld nozzles in bottom head; weld complete</v>
      </c>
      <c r="D21" s="94">
        <f>'[1]Sheet2-PASTE HERE!'!F33</f>
        <v>1</v>
      </c>
    </row>
    <row r="22" spans="1:4" ht="45" x14ac:dyDescent="0.2">
      <c r="A22" s="88" t="str">
        <f>'[1]Sheet2-PASTE HERE!'!A34</f>
        <v>PRE FAB</v>
      </c>
      <c r="B22" s="89" t="str">
        <f>'[1]Sheet2-PASTE HERE!'!I34</f>
        <v>.500</v>
      </c>
      <c r="C22" s="90" t="str">
        <f>'[1]Sheet2-PASTE HERE!'!K34</f>
        <v>Build skirt - fit and weld shells_x000D_
ROLL SKIRT SHELL &amp; WELD LONG SEAM INSIDE &amp; OUTSIDE</v>
      </c>
      <c r="D22" s="94">
        <f>'[1]Sheet2-PASTE HERE!'!F34</f>
        <v>2</v>
      </c>
    </row>
    <row r="23" spans="1:4" x14ac:dyDescent="0.2">
      <c r="A23" s="88" t="str">
        <f>'[1]Sheet2-PASTE HERE!'!A35</f>
        <v>FIT</v>
      </c>
      <c r="B23" s="89" t="str">
        <f>'[1]Sheet2-PASTE HERE!'!I35</f>
        <v>.530</v>
      </c>
      <c r="C23" s="90" t="str">
        <f>'[1]Sheet2-PASTE HERE!'!K35</f>
        <v>Build skirt - fit anchors / gussets</v>
      </c>
      <c r="D23" s="94">
        <f>'[1]Sheet2-PASTE HERE!'!F35</f>
        <v>1</v>
      </c>
    </row>
    <row r="24" spans="1:4" x14ac:dyDescent="0.2">
      <c r="A24" s="88" t="str">
        <f>'[1]Sheet2-PASTE HERE!'!A36</f>
        <v>FIT</v>
      </c>
      <c r="B24" s="89" t="str">
        <f>'[1]Sheet2-PASTE HERE!'!I36</f>
        <v>.545</v>
      </c>
      <c r="C24" s="90" t="str">
        <f>'[1]Sheet2-PASTE HERE!'!K36</f>
        <v>Weld skirt anchors, gussets, nozzles, manways, etc.</v>
      </c>
      <c r="D24" s="94">
        <f>'[1]Sheet2-PASTE HERE!'!F36</f>
        <v>1</v>
      </c>
    </row>
    <row r="25" spans="1:4" x14ac:dyDescent="0.2">
      <c r="A25" s="88" t="str">
        <f>'[1]Sheet2-PASTE HERE!'!A37</f>
        <v>INSPECTION</v>
      </c>
      <c r="B25" s="89" t="str">
        <f>'[1]Sheet2-PASTE HERE!'!I37</f>
        <v>.OI1</v>
      </c>
      <c r="C25" s="90" t="str">
        <f>'[1]Sheet2-PASTE HERE!'!K37</f>
        <v>ASME Hold Point</v>
      </c>
      <c r="D25" s="94"/>
    </row>
    <row r="26" spans="1:4" ht="30" x14ac:dyDescent="0.2">
      <c r="A26" s="88" t="str">
        <f>'[1]Sheet2-PASTE HERE!'!A38</f>
        <v>FIT</v>
      </c>
      <c r="B26" s="89" t="str">
        <f>'[1]Sheet2-PASTE HERE!'!I38</f>
        <v>.600</v>
      </c>
      <c r="C26" s="90" t="str">
        <f>'[1]Sheet2-PASTE HERE!'!K38</f>
        <v>Fit bottom head to shell_x000D_
AND WELD INSIDE</v>
      </c>
      <c r="D26" s="94">
        <f>'[1]Sheet2-PASTE HERE!'!F38</f>
        <v>4</v>
      </c>
    </row>
    <row r="27" spans="1:4" x14ac:dyDescent="0.2">
      <c r="A27" s="88" t="str">
        <f>'[1]Sheet2-PASTE HERE!'!A39</f>
        <v>FIT</v>
      </c>
      <c r="B27" s="89" t="str">
        <f>'[1]Sheet2-PASTE HERE!'!I39</f>
        <v>.625</v>
      </c>
      <c r="C27" s="90" t="str">
        <f>'[1]Sheet2-PASTE HERE!'!K39</f>
        <v>Install baffles and weld</v>
      </c>
      <c r="D27" s="95">
        <f>'[1]Sheet2-PASTE HERE!'!F39</f>
        <v>6</v>
      </c>
    </row>
    <row r="28" spans="1:4" ht="30" x14ac:dyDescent="0.2">
      <c r="A28" s="88" t="str">
        <f>'[1]Sheet2-PASTE HERE!'!A40</f>
        <v>FIT</v>
      </c>
      <c r="B28" s="89" t="str">
        <f>'[1]Sheet2-PASTE HERE!'!I40</f>
        <v>.630</v>
      </c>
      <c r="C28" s="90" t="str">
        <f>'[1]Sheet2-PASTE HERE!'!K40</f>
        <v>Install internals - wear plates, rings, clips, etc._x000D_
FIT &amp; WELD BACKING BAR TO SHELL</v>
      </c>
      <c r="D28" s="95">
        <f>'[1]Sheet2-PASTE HERE!'!F40</f>
        <v>3</v>
      </c>
    </row>
    <row r="29" spans="1:4" x14ac:dyDescent="0.2">
      <c r="A29" s="88" t="str">
        <f>'[1]Sheet2-PASTE HERE!'!A41</f>
        <v>INSPECTION</v>
      </c>
      <c r="B29" s="89" t="str">
        <f>'[1]Sheet2-PASTE HERE!'!I41</f>
        <v>.QC5</v>
      </c>
      <c r="C29" s="90" t="str">
        <f>'[1]Sheet2-PASTE HERE!'!K41</f>
        <v>QC Inspection - Internal</v>
      </c>
      <c r="D29" s="95"/>
    </row>
    <row r="30" spans="1:4" x14ac:dyDescent="0.2">
      <c r="A30" s="88" t="str">
        <f>'[1]Sheet2-PASTE HERE!'!A42</f>
        <v>FIT</v>
      </c>
      <c r="B30" s="89" t="str">
        <f>'[1]Sheet2-PASTE HERE!'!I42</f>
        <v>.640</v>
      </c>
      <c r="C30" s="90" t="str">
        <f>'[1]Sheet2-PASTE HERE!'!K42</f>
        <v>Fit top head to shell - tack</v>
      </c>
      <c r="D30" s="95">
        <f>'[1]Sheet2-PASTE HERE!'!F42</f>
        <v>1</v>
      </c>
    </row>
    <row r="31" spans="1:4" x14ac:dyDescent="0.2">
      <c r="A31" s="88" t="str">
        <f>'[1]Sheet2-PASTE HERE!'!A43</f>
        <v>FIT</v>
      </c>
      <c r="B31" s="89" t="str">
        <f>'[1]Sheet2-PASTE HERE!'!I43</f>
        <v>.645</v>
      </c>
      <c r="C31" s="90" t="str">
        <f>'[1]Sheet2-PASTE HERE!'!K43</f>
        <v>Weld all outside seams</v>
      </c>
      <c r="D31" s="95">
        <f>'[1]Sheet2-PASTE HERE!'!F43</f>
        <v>2</v>
      </c>
    </row>
    <row r="32" spans="1:4" x14ac:dyDescent="0.2">
      <c r="A32" s="88" t="str">
        <f>'[1]Sheet2-PASTE HERE!'!A44</f>
        <v>MOVE TANK</v>
      </c>
      <c r="B32" s="89" t="str">
        <f>'[1]Sheet2-PASTE HERE!'!I44</f>
        <v>.800</v>
      </c>
      <c r="C32" s="90" t="str">
        <f>'[1]Sheet2-PASTE HERE!'!K44</f>
        <v>Move tank to detail rolls</v>
      </c>
      <c r="D32" s="95">
        <f>'[1]Sheet2-PASTE HERE!'!F44</f>
        <v>1</v>
      </c>
    </row>
    <row r="33" spans="1:4" ht="30" x14ac:dyDescent="0.2">
      <c r="A33" s="88" t="str">
        <f>'[1]Sheet2-PASTE HERE!'!A45</f>
        <v>FIT</v>
      </c>
      <c r="B33" s="89" t="str">
        <f>'[1]Sheet2-PASTE HERE!'!I45</f>
        <v>.720</v>
      </c>
      <c r="C33" s="90" t="str">
        <f>'[1]Sheet2-PASTE HERE!'!K45</f>
        <v>Install supports - legs, lugs, anchors, saddles, skirt_x000D_
FIT SKIRT &amp; WELD TO BOTTOM HEAD</v>
      </c>
      <c r="D33" s="95">
        <f>'[1]Sheet2-PASTE HERE!'!F45</f>
        <v>4</v>
      </c>
    </row>
    <row r="34" spans="1:4" x14ac:dyDescent="0.2">
      <c r="A34" s="88" t="str">
        <f>'[1]Sheet2-PASTE HERE!'!A46</f>
        <v>FIT</v>
      </c>
      <c r="B34" s="89" t="str">
        <f>'[1]Sheet2-PASTE HERE!'!I46</f>
        <v>.725</v>
      </c>
      <c r="C34" s="90" t="str">
        <f>'[1]Sheet2-PASTE HERE!'!K46</f>
        <v>Set nozzles in shell - tack</v>
      </c>
      <c r="D34" s="95">
        <f>'[1]Sheet2-PASTE HERE!'!F46</f>
        <v>1</v>
      </c>
    </row>
    <row r="35" spans="1:4" ht="45" x14ac:dyDescent="0.2">
      <c r="A35" s="88" t="str">
        <f>'[1]Sheet2-PASTE HERE!'!A47</f>
        <v>FIT</v>
      </c>
      <c r="B35" s="89" t="str">
        <f>'[1]Sheet2-PASTE HERE!'!I47</f>
        <v>.726</v>
      </c>
      <c r="C35" s="90" t="str">
        <f>'[1]Sheet2-PASTE HERE!'!K47</f>
        <v>Weld shell nozzles, manways, etc._x000D_
SET &amp; WELD NOZZLES BEFORE INSTALLING TOP HEADS</v>
      </c>
      <c r="D35" s="95">
        <f>'[1]Sheet2-PASTE HERE!'!F47</f>
        <v>3</v>
      </c>
    </row>
    <row r="36" spans="1:4" x14ac:dyDescent="0.2">
      <c r="A36" s="88" t="str">
        <f>'[1]Sheet2-PASTE HERE!'!A48</f>
        <v>FINISHING</v>
      </c>
      <c r="B36" s="89" t="str">
        <f>'[1]Sheet2-PASTE HERE!'!I48</f>
        <v>.765</v>
      </c>
      <c r="C36" s="90" t="str">
        <f>'[1]Sheet2-PASTE HERE!'!K48</f>
        <v>Install name tag</v>
      </c>
      <c r="D36" s="91">
        <f>'[1]Sheet2-PASTE HERE!'!F48</f>
        <v>1</v>
      </c>
    </row>
    <row r="37" spans="1:4" x14ac:dyDescent="0.2">
      <c r="A37" s="88" t="str">
        <f>'[1]Sheet2-PASTE HERE!'!A49</f>
        <v>FIT</v>
      </c>
      <c r="B37" s="89" t="str">
        <f>'[1]Sheet2-PASTE HERE!'!I49</f>
        <v>.770</v>
      </c>
      <c r="C37" s="90" t="str">
        <f>'[1]Sheet2-PASTE HERE!'!K49</f>
        <v>Inspect tank, make repairs, get QC inspector</v>
      </c>
      <c r="D37" s="91">
        <f>'[1]Sheet2-PASTE HERE!'!F49</f>
        <v>1</v>
      </c>
    </row>
    <row r="38" spans="1:4" x14ac:dyDescent="0.2">
      <c r="A38" s="88" t="str">
        <f>'[1]Sheet2-PASTE HERE!'!A50</f>
        <v>INSPECTION</v>
      </c>
      <c r="B38" s="89" t="str">
        <f>'[1]Sheet2-PASTE HERE!'!I50</f>
        <v>.QC6</v>
      </c>
      <c r="C38" s="90" t="str">
        <f>'[1]Sheet2-PASTE HERE!'!K50</f>
        <v>QC Inspection - Fabrication</v>
      </c>
      <c r="D38" s="91"/>
    </row>
    <row r="39" spans="1:4" x14ac:dyDescent="0.2">
      <c r="A39" s="88" t="str">
        <f>'[1]Sheet2-PASTE HERE!'!A51</f>
        <v>INSPECTION</v>
      </c>
      <c r="B39" s="89" t="str">
        <f>'[1]Sheet2-PASTE HERE!'!I51</f>
        <v>.OI2</v>
      </c>
      <c r="C39" s="90" t="str">
        <f>'[1]Sheet2-PASTE HERE!'!K51</f>
        <v>ASME Inspection Internal</v>
      </c>
      <c r="D39" s="91"/>
    </row>
    <row r="40" spans="1:4" x14ac:dyDescent="0.2">
      <c r="A40" s="88" t="str">
        <f>'[1]Sheet2-PASTE HERE!'!A52</f>
        <v>MOVE TANK</v>
      </c>
      <c r="B40" s="89" t="str">
        <f>'[1]Sheet2-PASTE HERE!'!I52</f>
        <v>.801</v>
      </c>
      <c r="C40" s="90" t="str">
        <f>'[1]Sheet2-PASTE HERE!'!K52</f>
        <v>Move to shop test area</v>
      </c>
      <c r="D40" s="91">
        <f>'[1]Sheet2-PASTE HERE!'!F52</f>
        <v>1</v>
      </c>
    </row>
    <row r="41" spans="1:4" x14ac:dyDescent="0.2">
      <c r="A41" s="88" t="str">
        <f>'[1]Sheet2-PASTE HERE!'!A53</f>
        <v>FINISHING</v>
      </c>
      <c r="B41" s="89" t="str">
        <f>'[1]Sheet2-PASTE HERE!'!I53</f>
        <v>.910</v>
      </c>
      <c r="C41" s="90" t="str">
        <f>'[1]Sheet2-PASTE HERE!'!K53</f>
        <v>Test tank</v>
      </c>
      <c r="D41" s="91">
        <f>'[1]Sheet2-PASTE HERE!'!F53</f>
        <v>4</v>
      </c>
    </row>
    <row r="42" spans="1:4" x14ac:dyDescent="0.2">
      <c r="A42" s="88" t="str">
        <f>'[1]Sheet2-PASTE HERE!'!A54</f>
        <v>INSPECTION</v>
      </c>
      <c r="B42" s="89" t="str">
        <f>'[1]Sheet2-PASTE HERE!'!I54</f>
        <v>.QC7</v>
      </c>
      <c r="C42" s="90" t="str">
        <f>'[1]Sheet2-PASTE HERE!'!K54</f>
        <v>QC Inspection - Test</v>
      </c>
      <c r="D42" s="91"/>
    </row>
    <row r="43" spans="1:4" x14ac:dyDescent="0.2">
      <c r="A43" s="88" t="str">
        <f>'[1]Sheet2-PASTE HERE!'!A55</f>
        <v>INSPECTION</v>
      </c>
      <c r="B43" s="89" t="str">
        <f>'[1]Sheet2-PASTE HERE!'!I55</f>
        <v>.OI3</v>
      </c>
      <c r="C43" s="90" t="str">
        <f>'[1]Sheet2-PASTE HERE!'!K55</f>
        <v>ASME Inspection Test</v>
      </c>
      <c r="D43" s="91"/>
    </row>
    <row r="44" spans="1:4" ht="30" x14ac:dyDescent="0.2">
      <c r="A44" s="88" t="str">
        <f>'[1]Sheet2-PASTE HERE!'!A56</f>
        <v>FINISHING</v>
      </c>
      <c r="B44" s="89" t="str">
        <f>'[1]Sheet2-PASTE HERE!'!I56</f>
        <v>.920</v>
      </c>
      <c r="C44" s="90" t="str">
        <f>'[1]Sheet2-PASTE HERE!'!K56</f>
        <v>Clean tank complete_x000D_
CLEAN INSIDE BEFORE INSTALLING TOP HEAD</v>
      </c>
      <c r="D44" s="91">
        <f>'[1]Sheet2-PASTE HERE!'!F56</f>
        <v>5</v>
      </c>
    </row>
    <row r="45" spans="1:4" x14ac:dyDescent="0.2">
      <c r="A45" s="88" t="str">
        <f>'[1]Sheet2-PASTE HERE!'!A57</f>
        <v>INSPECTION</v>
      </c>
      <c r="B45" s="89" t="str">
        <f>'[1]Sheet2-PASTE HERE!'!I57</f>
        <v>.QC8</v>
      </c>
      <c r="C45" s="90" t="str">
        <f>'[1]Sheet2-PASTE HERE!'!K57</f>
        <v>QC Inspection - Clean</v>
      </c>
      <c r="D45" s="91"/>
    </row>
    <row r="46" spans="1:4" x14ac:dyDescent="0.2">
      <c r="A46" s="88" t="str">
        <f>'[1]Sheet2-PASTE HERE!'!A58</f>
        <v>FINISHING</v>
      </c>
      <c r="B46" s="89" t="str">
        <f>'[1]Sheet2-PASTE HERE!'!I58</f>
        <v>.940</v>
      </c>
      <c r="C46" s="90" t="str">
        <f>'[1]Sheet2-PASTE HERE!'!K58</f>
        <v>Prepare tank for shipment</v>
      </c>
      <c r="D46" s="91">
        <f>'[1]Sheet2-PASTE HERE!'!F58</f>
        <v>1</v>
      </c>
    </row>
    <row r="47" spans="1:4" x14ac:dyDescent="0.2">
      <c r="A47" s="88" t="str">
        <f>'[1]Sheet2-PASTE HERE!'!A59</f>
        <v>INSPECTION</v>
      </c>
      <c r="B47" s="89" t="str">
        <f>'[1]Sheet2-PASTE HERE!'!I59</f>
        <v>.QC95</v>
      </c>
      <c r="C47" s="90" t="str">
        <f>'[1]Sheet2-PASTE HERE!'!K59</f>
        <v>QC Inspection - Final &amp; Loose Items</v>
      </c>
      <c r="D47" s="91"/>
    </row>
    <row r="48" spans="1:4" x14ac:dyDescent="0.2">
      <c r="A48" s="88" t="str">
        <f>'[1]Sheet2-PASTE HERE!'!A60</f>
        <v>SHIPPING</v>
      </c>
      <c r="B48" s="89" t="str">
        <f>'[1]Sheet2-PASTE HERE!'!I60</f>
        <v>.960</v>
      </c>
      <c r="C48" s="90" t="str">
        <f>'[1]Sheet2-PASTE HERE!'!K60</f>
        <v>Load on truck</v>
      </c>
      <c r="D48" s="91">
        <f>'[1]Sheet2-PASTE HERE!'!F60</f>
        <v>1</v>
      </c>
    </row>
    <row r="49" spans="4:4" x14ac:dyDescent="0.2">
      <c r="D49" s="92">
        <f>SUM(D5:D48)</f>
        <v>74</v>
      </c>
    </row>
  </sheetData>
  <conditionalFormatting sqref="A5:D48">
    <cfRule type="expression" dxfId="5" priority="3" stopIfTrue="1">
      <formula>$J5=1</formula>
    </cfRule>
  </conditionalFormatting>
  <conditionalFormatting sqref="C5:C48">
    <cfRule type="expression" dxfId="4" priority="1" stopIfTrue="1">
      <formula>$K5=1</formula>
    </cfRule>
  </conditionalFormatting>
  <conditionalFormatting sqref="C6:C48">
    <cfRule type="expression" dxfId="3" priority="2" stopIfTrue="1">
      <formula>$K6=1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64AC-2A8D-4735-9EDE-9BC594C0D461}">
  <dimension ref="A1:E49"/>
  <sheetViews>
    <sheetView tabSelected="1" workbookViewId="0">
      <selection activeCell="K19" sqref="K19"/>
    </sheetView>
  </sheetViews>
  <sheetFormatPr defaultRowHeight="15" x14ac:dyDescent="0.2"/>
  <cols>
    <col min="2" max="2" width="11.44140625" bestFit="1" customWidth="1"/>
    <col min="3" max="3" width="42" customWidth="1"/>
    <col min="4" max="5" width="7.21875" bestFit="1" customWidth="1"/>
  </cols>
  <sheetData>
    <row r="1" spans="1:5" ht="18" x14ac:dyDescent="0.2">
      <c r="A1" s="77" t="s">
        <v>273</v>
      </c>
      <c r="B1" s="78" t="s">
        <v>280</v>
      </c>
      <c r="C1" s="79"/>
      <c r="E1" s="80"/>
    </row>
    <row r="2" spans="1:5" ht="15.75" x14ac:dyDescent="0.25">
      <c r="A2" s="81"/>
      <c r="B2" s="82" t="s">
        <v>275</v>
      </c>
      <c r="C2" s="83" t="str">
        <f>'[1]Sheet2-PASTE HERE!'!B1</f>
        <v>BUFFER TANK 1 OF 224</v>
      </c>
      <c r="D2" s="80"/>
      <c r="E2" s="84"/>
    </row>
    <row r="3" spans="1:5" x14ac:dyDescent="0.2">
      <c r="A3" s="80"/>
      <c r="B3" s="80"/>
      <c r="C3" s="85"/>
      <c r="D3" s="80"/>
      <c r="E3" s="80"/>
    </row>
    <row r="4" spans="1:5" x14ac:dyDescent="0.2">
      <c r="A4" s="86" t="s">
        <v>276</v>
      </c>
      <c r="B4" s="87" t="s">
        <v>277</v>
      </c>
      <c r="C4" s="86" t="s">
        <v>278</v>
      </c>
      <c r="D4" s="86" t="s">
        <v>279</v>
      </c>
    </row>
    <row r="5" spans="1:5" x14ac:dyDescent="0.2">
      <c r="A5" s="88" t="str">
        <f>'[1]Sheet2-PASTE HERE!'!A17</f>
        <v>PRE FAB</v>
      </c>
      <c r="B5" s="89" t="str">
        <f>'[1]Sheet2-PASTE HERE!'!I17</f>
        <v>.100</v>
      </c>
      <c r="C5" s="90" t="str">
        <f>'[1]Sheet2-PASTE HERE!'!K17</f>
        <v>Cut nozzle pipe and clean</v>
      </c>
      <c r="D5" s="93">
        <f>'[1]Sheet2-PASTE HERE!'!F17</f>
        <v>2</v>
      </c>
    </row>
    <row r="6" spans="1:5" ht="30" x14ac:dyDescent="0.2">
      <c r="A6" s="88" t="str">
        <f>'[1]Sheet2-PASTE HERE!'!A18</f>
        <v>PRE FAB</v>
      </c>
      <c r="B6" s="89" t="str">
        <f>'[1]Sheet2-PASTE HERE!'!I18</f>
        <v>.105</v>
      </c>
      <c r="C6" s="90" t="str">
        <f>'[1]Sheet2-PASTE HERE!'!K18</f>
        <v>Build nozzles and weld_x000D_
USE COBOT FOR N1 &amp; N2</v>
      </c>
      <c r="D6" s="93">
        <f>'[1]Sheet2-PASTE HERE!'!F18</f>
        <v>4</v>
      </c>
    </row>
    <row r="7" spans="1:5" ht="30" x14ac:dyDescent="0.2">
      <c r="A7" s="88" t="str">
        <f>'[1]Sheet2-PASTE HERE!'!A19</f>
        <v>PRE FAB</v>
      </c>
      <c r="B7" s="89" t="str">
        <f>'[1]Sheet2-PASTE HERE!'!I19</f>
        <v>.155</v>
      </c>
      <c r="C7" s="90" t="str">
        <f>'[1]Sheet2-PASTE HERE!'!K19</f>
        <v>Burn and clean parts:  lugs, supports, repads, base ring, etc. (CHECK!)</v>
      </c>
      <c r="D7" s="93">
        <f>'[1]Sheet2-PASTE HERE!'!F19</f>
        <v>6</v>
      </c>
    </row>
    <row r="8" spans="1:5" x14ac:dyDescent="0.2">
      <c r="A8" s="88" t="str">
        <f>'[1]Sheet2-PASTE HERE!'!A20</f>
        <v>PRE FAB</v>
      </c>
      <c r="B8" s="89" t="str">
        <f>'[1]Sheet2-PASTE HERE!'!I20</f>
        <v>.156</v>
      </c>
      <c r="C8" s="90"/>
      <c r="D8" s="93">
        <f>'[1]Sheet2-PASTE HERE!'!F20</f>
        <v>3</v>
      </c>
    </row>
    <row r="9" spans="1:5" x14ac:dyDescent="0.2">
      <c r="A9" s="88" t="str">
        <f>'[1]Sheet2-PASTE HERE!'!A21</f>
        <v>PRE FAB</v>
      </c>
      <c r="B9" s="89" t="str">
        <f>'[1]Sheet2-PASTE HERE!'!I21</f>
        <v>.200</v>
      </c>
      <c r="C9" s="90" t="str">
        <f>'[1]Sheet2-PASTE HERE!'!K21</f>
        <v>Make lift lugs, ground lugs, etc.</v>
      </c>
      <c r="D9" s="93">
        <f>'[1]Sheet2-PASTE HERE!'!F21</f>
        <v>1</v>
      </c>
    </row>
    <row r="10" spans="1:5" ht="45" x14ac:dyDescent="0.2">
      <c r="A10" s="88" t="str">
        <f>'[1]Sheet2-PASTE HERE!'!A22</f>
        <v>PRE FAB</v>
      </c>
      <c r="B10" s="89" t="str">
        <f>'[1]Sheet2-PASTE HERE!'!I22</f>
        <v>.252</v>
      </c>
      <c r="C10" s="90" t="str">
        <f>'[1]Sheet2-PASTE HERE!'!K22</f>
        <v>Fabricate miscellaneous parts_x000D_
CUT (4) ANCHOR ANGLES &amp; PUNCH BOLT HOLES</v>
      </c>
      <c r="D10" s="93">
        <f>'[1]Sheet2-PASTE HERE!'!F22</f>
        <v>2</v>
      </c>
    </row>
    <row r="11" spans="1:5" ht="45" x14ac:dyDescent="0.2">
      <c r="A11" s="88" t="str">
        <f>'[1]Sheet2-PASTE HERE!'!A23</f>
        <v>PRE FAB</v>
      </c>
      <c r="B11" s="89" t="str">
        <f>'[1]Sheet2-PASTE HERE!'!I23</f>
        <v>.261</v>
      </c>
      <c r="C11" s="90" t="str">
        <f>'[1]Sheet2-PASTE HERE!'!K23</f>
        <v>Miscellaneous Fabrication - Braces, Mounting Plates, Cone Outlet Necks_x000D_
ROLL &amp; WELD BACKING BAR</v>
      </c>
      <c r="D11" s="93">
        <f>'[1]Sheet2-PASTE HERE!'!F23</f>
        <v>2</v>
      </c>
    </row>
    <row r="12" spans="1:5" x14ac:dyDescent="0.2">
      <c r="A12" s="88" t="str">
        <f>'[1]Sheet2-PASTE HERE!'!A24</f>
        <v>PRE FAB</v>
      </c>
      <c r="B12" s="89" t="str">
        <f>'[1]Sheet2-PASTE HERE!'!I24</f>
        <v>.300</v>
      </c>
      <c r="C12" s="90" t="str">
        <f>'[1]Sheet2-PASTE HERE!'!K24</f>
        <v>Wrap top and bottom heads</v>
      </c>
      <c r="D12" s="94">
        <f>'[1]Sheet2-PASTE HERE!'!F24</f>
        <v>1</v>
      </c>
    </row>
    <row r="13" spans="1:5" x14ac:dyDescent="0.2">
      <c r="A13" s="88" t="str">
        <f>'[1]Sheet2-PASTE HERE!'!A25</f>
        <v>INSPECTION</v>
      </c>
      <c r="B13" s="89" t="str">
        <f>'[1]Sheet2-PASTE HERE!'!I25</f>
        <v>.QC3</v>
      </c>
      <c r="C13" s="90" t="str">
        <f>'[1]Sheet2-PASTE HERE!'!K25</f>
        <v>UT Shells</v>
      </c>
      <c r="D13" s="94"/>
    </row>
    <row r="14" spans="1:5" x14ac:dyDescent="0.2">
      <c r="A14" s="88" t="str">
        <f>'[1]Sheet2-PASTE HERE!'!A26</f>
        <v>PRE FAB</v>
      </c>
      <c r="B14" s="89" t="str">
        <f>'[1]Sheet2-PASTE HERE!'!I26</f>
        <v>.305</v>
      </c>
      <c r="C14" s="90" t="str">
        <f>'[1]Sheet2-PASTE HERE!'!K26</f>
        <v>Shells: bring in plate, square, trim and clean</v>
      </c>
      <c r="D14" s="94">
        <f>'[1]Sheet2-PASTE HERE!'!F26</f>
        <v>1</v>
      </c>
    </row>
    <row r="15" spans="1:5" ht="30" x14ac:dyDescent="0.2">
      <c r="A15" s="88" t="str">
        <f>'[1]Sheet2-PASTE HERE!'!A27</f>
        <v>PRE FAB</v>
      </c>
      <c r="B15" s="89" t="str">
        <f>'[1]Sheet2-PASTE HERE!'!I27</f>
        <v>.315</v>
      </c>
      <c r="C15" s="90" t="str">
        <f>'[1]Sheet2-PASTE HERE!'!K27</f>
        <v>Roll shells, tack and weld inside seams_x000D_
INCL WELD LONG SEAM INSIDE &amp; OUTSIDE</v>
      </c>
      <c r="D15" s="94">
        <f>'[1]Sheet2-PASTE HERE!'!F27</f>
        <v>3</v>
      </c>
    </row>
    <row r="16" spans="1:5" x14ac:dyDescent="0.2">
      <c r="A16" s="88" t="str">
        <f>'[1]Sheet2-PASTE HERE!'!A28</f>
        <v>INSPECTION</v>
      </c>
      <c r="B16" s="89" t="str">
        <f>'[1]Sheet2-PASTE HERE!'!I28</f>
        <v>.QC4</v>
      </c>
      <c r="C16" s="90" t="str">
        <f>'[1]Sheet2-PASTE HERE!'!K28</f>
        <v>QC Inspection - Top/Bottom/Cones</v>
      </c>
      <c r="D16" s="94">
        <f>'[1]Sheet2-PASTE HERE!'!F28</f>
        <v>0</v>
      </c>
    </row>
    <row r="17" spans="1:4" x14ac:dyDescent="0.2">
      <c r="A17" s="88" t="str">
        <f>'[1]Sheet2-PASTE HERE!'!A29</f>
        <v>PRE FAB</v>
      </c>
      <c r="B17" s="89" t="str">
        <f>'[1]Sheet2-PASTE HERE!'!I29</f>
        <v>.365</v>
      </c>
      <c r="C17" s="90" t="str">
        <f>'[1]Sheet2-PASTE HERE!'!K29</f>
        <v>Set  nozzles, lift lugs, etc. in top head - tack</v>
      </c>
      <c r="D17" s="94">
        <f>'[1]Sheet2-PASTE HERE!'!F29</f>
        <v>1</v>
      </c>
    </row>
    <row r="18" spans="1:4" ht="30" x14ac:dyDescent="0.2">
      <c r="A18" s="88" t="str">
        <f>'[1]Sheet2-PASTE HERE!'!A30</f>
        <v>PRE FAB</v>
      </c>
      <c r="B18" s="89" t="str">
        <f>'[1]Sheet2-PASTE HERE!'!I30</f>
        <v>.366</v>
      </c>
      <c r="C18" s="90" t="str">
        <f>'[1]Sheet2-PASTE HERE!'!K30</f>
        <v>Weld out top head nozzles, etc. _x000D_
INCL (2) LIFT LUGS</v>
      </c>
      <c r="D18" s="94">
        <f>'[1]Sheet2-PASTE HERE!'!F30</f>
        <v>3</v>
      </c>
    </row>
    <row r="19" spans="1:4" x14ac:dyDescent="0.2">
      <c r="A19" s="88" t="str">
        <f>'[1]Sheet2-PASTE HERE!'!A31</f>
        <v>INSPECTION</v>
      </c>
      <c r="B19" s="89" t="str">
        <f>'[1]Sheet2-PASTE HERE!'!I31</f>
        <v>.QC4</v>
      </c>
      <c r="C19" s="90" t="str">
        <f>'[1]Sheet2-PASTE HERE!'!K31</f>
        <v>QC Inspection - Top/Bottom/Cones</v>
      </c>
      <c r="D19" s="94"/>
    </row>
    <row r="20" spans="1:4" x14ac:dyDescent="0.2">
      <c r="A20" s="88" t="str">
        <f>'[1]Sheet2-PASTE HERE!'!A32</f>
        <v>PRE FAB</v>
      </c>
      <c r="B20" s="89" t="str">
        <f>'[1]Sheet2-PASTE HERE!'!I32</f>
        <v>.465</v>
      </c>
      <c r="C20" s="90" t="str">
        <f>'[1]Sheet2-PASTE HERE!'!K32</f>
        <v>Set  nozzles in bottom head - tack</v>
      </c>
      <c r="D20" s="94">
        <f>'[1]Sheet2-PASTE HERE!'!F32</f>
        <v>1</v>
      </c>
    </row>
    <row r="21" spans="1:4" x14ac:dyDescent="0.2">
      <c r="A21" s="88" t="str">
        <f>'[1]Sheet2-PASTE HERE!'!A33</f>
        <v>PRE FAB</v>
      </c>
      <c r="B21" s="89" t="str">
        <f>'[1]Sheet2-PASTE HERE!'!I33</f>
        <v>.466</v>
      </c>
      <c r="C21" s="90" t="str">
        <f>'[1]Sheet2-PASTE HERE!'!K33</f>
        <v>Weld nozzles in bottom head; weld complete</v>
      </c>
      <c r="D21" s="94">
        <f>'[1]Sheet2-PASTE HERE!'!F33</f>
        <v>1</v>
      </c>
    </row>
    <row r="22" spans="1:4" ht="45" x14ac:dyDescent="0.2">
      <c r="A22" s="88" t="str">
        <f>'[1]Sheet2-PASTE HERE!'!A34</f>
        <v>PRE FAB</v>
      </c>
      <c r="B22" s="89" t="str">
        <f>'[1]Sheet2-PASTE HERE!'!I34</f>
        <v>.500</v>
      </c>
      <c r="C22" s="90" t="str">
        <f>'[1]Sheet2-PASTE HERE!'!K34</f>
        <v>Build skirt - fit and weld shells_x000D_
ROLL SKIRT SHELL &amp; WELD LONG SEAM INSIDE &amp; OUTSIDE</v>
      </c>
      <c r="D22" s="94">
        <f>'[1]Sheet2-PASTE HERE!'!F34</f>
        <v>2</v>
      </c>
    </row>
    <row r="23" spans="1:4" x14ac:dyDescent="0.2">
      <c r="A23" s="88" t="str">
        <f>'[1]Sheet2-PASTE HERE!'!A35</f>
        <v>FIT</v>
      </c>
      <c r="B23" s="89" t="str">
        <f>'[1]Sheet2-PASTE HERE!'!I35</f>
        <v>.530</v>
      </c>
      <c r="C23" s="90" t="str">
        <f>'[1]Sheet2-PASTE HERE!'!K35</f>
        <v>Build skirt - fit anchors / gussets</v>
      </c>
      <c r="D23" s="94">
        <f>'[1]Sheet2-PASTE HERE!'!F35</f>
        <v>1</v>
      </c>
    </row>
    <row r="24" spans="1:4" x14ac:dyDescent="0.2">
      <c r="A24" s="88" t="str">
        <f>'[1]Sheet2-PASTE HERE!'!A36</f>
        <v>FIT</v>
      </c>
      <c r="B24" s="89" t="str">
        <f>'[1]Sheet2-PASTE HERE!'!I36</f>
        <v>.545</v>
      </c>
      <c r="C24" s="90" t="str">
        <f>'[1]Sheet2-PASTE HERE!'!K36</f>
        <v>Weld skirt anchors, gussets, nozzles, manways, etc.</v>
      </c>
      <c r="D24" s="94">
        <f>'[1]Sheet2-PASTE HERE!'!F36</f>
        <v>1</v>
      </c>
    </row>
    <row r="25" spans="1:4" x14ac:dyDescent="0.2">
      <c r="A25" s="88" t="str">
        <f>'[1]Sheet2-PASTE HERE!'!A37</f>
        <v>INSPECTION</v>
      </c>
      <c r="B25" s="89" t="str">
        <f>'[1]Sheet2-PASTE HERE!'!I37</f>
        <v>.OI1</v>
      </c>
      <c r="C25" s="90" t="str">
        <f>'[1]Sheet2-PASTE HERE!'!K37</f>
        <v>ASME Hold Point</v>
      </c>
      <c r="D25" s="94"/>
    </row>
    <row r="26" spans="1:4" ht="30" x14ac:dyDescent="0.2">
      <c r="A26" s="88" t="str">
        <f>'[1]Sheet2-PASTE HERE!'!A38</f>
        <v>FIT</v>
      </c>
      <c r="B26" s="89" t="str">
        <f>'[1]Sheet2-PASTE HERE!'!I38</f>
        <v>.600</v>
      </c>
      <c r="C26" s="90" t="str">
        <f>'[1]Sheet2-PASTE HERE!'!K38</f>
        <v>Fit bottom head to shell_x000D_
AND WELD INSIDE</v>
      </c>
      <c r="D26" s="94">
        <f>'[1]Sheet2-PASTE HERE!'!F38</f>
        <v>4</v>
      </c>
    </row>
    <row r="27" spans="1:4" x14ac:dyDescent="0.2">
      <c r="A27" s="88" t="str">
        <f>'[1]Sheet2-PASTE HERE!'!A39</f>
        <v>FIT</v>
      </c>
      <c r="B27" s="89" t="str">
        <f>'[1]Sheet2-PASTE HERE!'!I39</f>
        <v>.625</v>
      </c>
      <c r="C27" s="90" t="str">
        <f>'[1]Sheet2-PASTE HERE!'!K39</f>
        <v>Install baffles and weld</v>
      </c>
      <c r="D27" s="95">
        <f>'[1]Sheet2-PASTE HERE!'!F39</f>
        <v>6</v>
      </c>
    </row>
    <row r="28" spans="1:4" ht="30" x14ac:dyDescent="0.2">
      <c r="A28" s="88" t="str">
        <f>'[1]Sheet2-PASTE HERE!'!A40</f>
        <v>FIT</v>
      </c>
      <c r="B28" s="89" t="str">
        <f>'[1]Sheet2-PASTE HERE!'!I40</f>
        <v>.630</v>
      </c>
      <c r="C28" s="90" t="str">
        <f>'[1]Sheet2-PASTE HERE!'!K40</f>
        <v>Install internals - wear plates, rings, clips, etc._x000D_
FIT &amp; WELD BACKING BAR TO SHELL</v>
      </c>
      <c r="D28" s="95">
        <f>'[1]Sheet2-PASTE HERE!'!F40</f>
        <v>3</v>
      </c>
    </row>
    <row r="29" spans="1:4" x14ac:dyDescent="0.2">
      <c r="A29" s="88" t="str">
        <f>'[1]Sheet2-PASTE HERE!'!A41</f>
        <v>INSPECTION</v>
      </c>
      <c r="B29" s="89" t="str">
        <f>'[1]Sheet2-PASTE HERE!'!I41</f>
        <v>.QC5</v>
      </c>
      <c r="C29" s="90" t="str">
        <f>'[1]Sheet2-PASTE HERE!'!K41</f>
        <v>QC Inspection - Internal</v>
      </c>
      <c r="D29" s="95"/>
    </row>
    <row r="30" spans="1:4" x14ac:dyDescent="0.2">
      <c r="A30" s="88" t="str">
        <f>'[1]Sheet2-PASTE HERE!'!A42</f>
        <v>FIT</v>
      </c>
      <c r="B30" s="89" t="str">
        <f>'[1]Sheet2-PASTE HERE!'!I42</f>
        <v>.640</v>
      </c>
      <c r="C30" s="90" t="str">
        <f>'[1]Sheet2-PASTE HERE!'!K42</f>
        <v>Fit top head to shell - tack</v>
      </c>
      <c r="D30" s="95">
        <f>'[1]Sheet2-PASTE HERE!'!F42</f>
        <v>1</v>
      </c>
    </row>
    <row r="31" spans="1:4" x14ac:dyDescent="0.2">
      <c r="A31" s="88" t="str">
        <f>'[1]Sheet2-PASTE HERE!'!A43</f>
        <v>FIT</v>
      </c>
      <c r="B31" s="89" t="str">
        <f>'[1]Sheet2-PASTE HERE!'!I43</f>
        <v>.645</v>
      </c>
      <c r="C31" s="90" t="str">
        <f>'[1]Sheet2-PASTE HERE!'!K43</f>
        <v>Weld all outside seams</v>
      </c>
      <c r="D31" s="95">
        <f>'[1]Sheet2-PASTE HERE!'!F43</f>
        <v>2</v>
      </c>
    </row>
    <row r="32" spans="1:4" x14ac:dyDescent="0.2">
      <c r="A32" s="88" t="str">
        <f>'[1]Sheet2-PASTE HERE!'!A44</f>
        <v>MOVE TANK</v>
      </c>
      <c r="B32" s="89" t="str">
        <f>'[1]Sheet2-PASTE HERE!'!I44</f>
        <v>.800</v>
      </c>
      <c r="C32" s="90" t="str">
        <f>'[1]Sheet2-PASTE HERE!'!K44</f>
        <v>Move tank to detail rolls</v>
      </c>
      <c r="D32" s="95">
        <f>'[1]Sheet2-PASTE HERE!'!F44</f>
        <v>1</v>
      </c>
    </row>
    <row r="33" spans="1:4" ht="30" x14ac:dyDescent="0.2">
      <c r="A33" s="88" t="str">
        <f>'[1]Sheet2-PASTE HERE!'!A45</f>
        <v>FIT</v>
      </c>
      <c r="B33" s="89" t="str">
        <f>'[1]Sheet2-PASTE HERE!'!I45</f>
        <v>.720</v>
      </c>
      <c r="C33" s="90" t="str">
        <f>'[1]Sheet2-PASTE HERE!'!K45</f>
        <v>Install supports - legs, lugs, anchors, saddles, skirt_x000D_
FIT SKIRT &amp; WELD TO BOTTOM HEAD</v>
      </c>
      <c r="D33" s="95">
        <f>'[1]Sheet2-PASTE HERE!'!F45</f>
        <v>4</v>
      </c>
    </row>
    <row r="34" spans="1:4" x14ac:dyDescent="0.2">
      <c r="A34" s="88" t="str">
        <f>'[1]Sheet2-PASTE HERE!'!A46</f>
        <v>FIT</v>
      </c>
      <c r="B34" s="89" t="str">
        <f>'[1]Sheet2-PASTE HERE!'!I46</f>
        <v>.725</v>
      </c>
      <c r="C34" s="90" t="str">
        <f>'[1]Sheet2-PASTE HERE!'!K46</f>
        <v>Set nozzles in shell - tack</v>
      </c>
      <c r="D34" s="95">
        <f>'[1]Sheet2-PASTE HERE!'!F46</f>
        <v>1</v>
      </c>
    </row>
    <row r="35" spans="1:4" ht="45" x14ac:dyDescent="0.2">
      <c r="A35" s="88" t="str">
        <f>'[1]Sheet2-PASTE HERE!'!A47</f>
        <v>FIT</v>
      </c>
      <c r="B35" s="89" t="str">
        <f>'[1]Sheet2-PASTE HERE!'!I47</f>
        <v>.726</v>
      </c>
      <c r="C35" s="90" t="str">
        <f>'[1]Sheet2-PASTE HERE!'!K47</f>
        <v>Weld shell nozzles, manways, etc._x000D_
SET &amp; WELD NOZZLES BEFORE INSTALLING TOP HEADS</v>
      </c>
      <c r="D35" s="95">
        <f>'[1]Sheet2-PASTE HERE!'!F47</f>
        <v>3</v>
      </c>
    </row>
    <row r="36" spans="1:4" x14ac:dyDescent="0.2">
      <c r="A36" s="88" t="str">
        <f>'[1]Sheet2-PASTE HERE!'!A48</f>
        <v>FINISHING</v>
      </c>
      <c r="B36" s="89" t="str">
        <f>'[1]Sheet2-PASTE HERE!'!I48</f>
        <v>.765</v>
      </c>
      <c r="C36" s="90" t="str">
        <f>'[1]Sheet2-PASTE HERE!'!K48</f>
        <v>Install name tag</v>
      </c>
      <c r="D36" s="91">
        <f>'[1]Sheet2-PASTE HERE!'!F48</f>
        <v>1</v>
      </c>
    </row>
    <row r="37" spans="1:4" x14ac:dyDescent="0.2">
      <c r="A37" s="88" t="str">
        <f>'[1]Sheet2-PASTE HERE!'!A49</f>
        <v>FIT</v>
      </c>
      <c r="B37" s="89" t="str">
        <f>'[1]Sheet2-PASTE HERE!'!I49</f>
        <v>.770</v>
      </c>
      <c r="C37" s="90" t="str">
        <f>'[1]Sheet2-PASTE HERE!'!K49</f>
        <v>Inspect tank, make repairs, get QC inspector</v>
      </c>
      <c r="D37" s="91">
        <f>'[1]Sheet2-PASTE HERE!'!F49</f>
        <v>1</v>
      </c>
    </row>
    <row r="38" spans="1:4" x14ac:dyDescent="0.2">
      <c r="A38" s="88" t="str">
        <f>'[1]Sheet2-PASTE HERE!'!A50</f>
        <v>INSPECTION</v>
      </c>
      <c r="B38" s="89" t="str">
        <f>'[1]Sheet2-PASTE HERE!'!I50</f>
        <v>.QC6</v>
      </c>
      <c r="C38" s="90" t="str">
        <f>'[1]Sheet2-PASTE HERE!'!K50</f>
        <v>QC Inspection - Fabrication</v>
      </c>
      <c r="D38" s="91"/>
    </row>
    <row r="39" spans="1:4" x14ac:dyDescent="0.2">
      <c r="A39" s="88" t="str">
        <f>'[1]Sheet2-PASTE HERE!'!A51</f>
        <v>INSPECTION</v>
      </c>
      <c r="B39" s="89" t="str">
        <f>'[1]Sheet2-PASTE HERE!'!I51</f>
        <v>.OI2</v>
      </c>
      <c r="C39" s="90" t="str">
        <f>'[1]Sheet2-PASTE HERE!'!K51</f>
        <v>ASME Inspection Internal</v>
      </c>
      <c r="D39" s="91"/>
    </row>
    <row r="40" spans="1:4" x14ac:dyDescent="0.2">
      <c r="A40" s="88" t="str">
        <f>'[1]Sheet2-PASTE HERE!'!A52</f>
        <v>MOVE TANK</v>
      </c>
      <c r="B40" s="89" t="str">
        <f>'[1]Sheet2-PASTE HERE!'!I52</f>
        <v>.801</v>
      </c>
      <c r="C40" s="90" t="str">
        <f>'[1]Sheet2-PASTE HERE!'!K52</f>
        <v>Move to shop test area</v>
      </c>
      <c r="D40" s="91">
        <f>'[1]Sheet2-PASTE HERE!'!F52</f>
        <v>1</v>
      </c>
    </row>
    <row r="41" spans="1:4" x14ac:dyDescent="0.2">
      <c r="A41" s="88" t="str">
        <f>'[1]Sheet2-PASTE HERE!'!A53</f>
        <v>FINISHING</v>
      </c>
      <c r="B41" s="89" t="str">
        <f>'[1]Sheet2-PASTE HERE!'!I53</f>
        <v>.910</v>
      </c>
      <c r="C41" s="90" t="str">
        <f>'[1]Sheet2-PASTE HERE!'!K53</f>
        <v>Test tank</v>
      </c>
      <c r="D41" s="91">
        <f>'[1]Sheet2-PASTE HERE!'!F53</f>
        <v>4</v>
      </c>
    </row>
    <row r="42" spans="1:4" x14ac:dyDescent="0.2">
      <c r="A42" s="88" t="str">
        <f>'[1]Sheet2-PASTE HERE!'!A54</f>
        <v>INSPECTION</v>
      </c>
      <c r="B42" s="89" t="str">
        <f>'[1]Sheet2-PASTE HERE!'!I54</f>
        <v>.QC7</v>
      </c>
      <c r="C42" s="90" t="str">
        <f>'[1]Sheet2-PASTE HERE!'!K54</f>
        <v>QC Inspection - Test</v>
      </c>
      <c r="D42" s="91"/>
    </row>
    <row r="43" spans="1:4" x14ac:dyDescent="0.2">
      <c r="A43" s="88" t="str">
        <f>'[1]Sheet2-PASTE HERE!'!A55</f>
        <v>INSPECTION</v>
      </c>
      <c r="B43" s="89" t="str">
        <f>'[1]Sheet2-PASTE HERE!'!I55</f>
        <v>.OI3</v>
      </c>
      <c r="C43" s="90" t="str">
        <f>'[1]Sheet2-PASTE HERE!'!K55</f>
        <v>ASME Inspection Test</v>
      </c>
      <c r="D43" s="91"/>
    </row>
    <row r="44" spans="1:4" ht="30" x14ac:dyDescent="0.2">
      <c r="A44" s="88" t="str">
        <f>'[1]Sheet2-PASTE HERE!'!A56</f>
        <v>FINISHING</v>
      </c>
      <c r="B44" s="89" t="str">
        <f>'[1]Sheet2-PASTE HERE!'!I56</f>
        <v>.920</v>
      </c>
      <c r="C44" s="90" t="str">
        <f>'[1]Sheet2-PASTE HERE!'!K56</f>
        <v>Clean tank complete_x000D_
CLEAN INSIDE BEFORE INSTALLING TOP HEAD</v>
      </c>
      <c r="D44" s="91">
        <f>'[1]Sheet2-PASTE HERE!'!F56</f>
        <v>5</v>
      </c>
    </row>
    <row r="45" spans="1:4" x14ac:dyDescent="0.2">
      <c r="A45" s="88" t="str">
        <f>'[1]Sheet2-PASTE HERE!'!A57</f>
        <v>INSPECTION</v>
      </c>
      <c r="B45" s="89" t="str">
        <f>'[1]Sheet2-PASTE HERE!'!I57</f>
        <v>.QC8</v>
      </c>
      <c r="C45" s="90" t="str">
        <f>'[1]Sheet2-PASTE HERE!'!K57</f>
        <v>QC Inspection - Clean</v>
      </c>
      <c r="D45" s="91"/>
    </row>
    <row r="46" spans="1:4" x14ac:dyDescent="0.2">
      <c r="A46" s="88" t="str">
        <f>'[1]Sheet2-PASTE HERE!'!A58</f>
        <v>FINISHING</v>
      </c>
      <c r="B46" s="89" t="str">
        <f>'[1]Sheet2-PASTE HERE!'!I58</f>
        <v>.940</v>
      </c>
      <c r="C46" s="90" t="str">
        <f>'[1]Sheet2-PASTE HERE!'!K58</f>
        <v>Prepare tank for shipment</v>
      </c>
      <c r="D46" s="91">
        <f>'[1]Sheet2-PASTE HERE!'!F58</f>
        <v>1</v>
      </c>
    </row>
    <row r="47" spans="1:4" x14ac:dyDescent="0.2">
      <c r="A47" s="88" t="str">
        <f>'[1]Sheet2-PASTE HERE!'!A59</f>
        <v>INSPECTION</v>
      </c>
      <c r="B47" s="89" t="str">
        <f>'[1]Sheet2-PASTE HERE!'!I59</f>
        <v>.QC95</v>
      </c>
      <c r="C47" s="90" t="str">
        <f>'[1]Sheet2-PASTE HERE!'!K59</f>
        <v>QC Inspection - Final &amp; Loose Items</v>
      </c>
      <c r="D47" s="91"/>
    </row>
    <row r="48" spans="1:4" x14ac:dyDescent="0.2">
      <c r="A48" s="88" t="str">
        <f>'[1]Sheet2-PASTE HERE!'!A60</f>
        <v>SHIPPING</v>
      </c>
      <c r="B48" s="89" t="str">
        <f>'[1]Sheet2-PASTE HERE!'!I60</f>
        <v>.960</v>
      </c>
      <c r="C48" s="90" t="str">
        <f>'[1]Sheet2-PASTE HERE!'!K60</f>
        <v>Load on truck</v>
      </c>
      <c r="D48" s="91">
        <f>'[1]Sheet2-PASTE HERE!'!F60</f>
        <v>1</v>
      </c>
    </row>
    <row r="49" spans="4:4" x14ac:dyDescent="0.2">
      <c r="D49" s="92">
        <f>SUM(D5:D48)</f>
        <v>74</v>
      </c>
    </row>
  </sheetData>
  <conditionalFormatting sqref="A5:D48">
    <cfRule type="expression" dxfId="2" priority="3" stopIfTrue="1">
      <formula>$J5=1</formula>
    </cfRule>
  </conditionalFormatting>
  <conditionalFormatting sqref="C5:C48">
    <cfRule type="expression" dxfId="1" priority="1" stopIfTrue="1">
      <formula>$K5=1</formula>
    </cfRule>
  </conditionalFormatting>
  <conditionalFormatting sqref="C6:C48">
    <cfRule type="expression" dxfId="0" priority="2" stopIfTrue="1">
      <formula>$K6=1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Schedule</vt:lpstr>
      <vt:lpstr>Build Plan 12(4)-25</vt:lpstr>
      <vt:lpstr>Build Plan 12(5)-25</vt:lpstr>
      <vt:lpstr>Build Plan 12(6)-25</vt:lpstr>
      <vt:lpstr>Build Plan 12(7)-25</vt:lpstr>
      <vt:lpstr>Schedule!Print_Area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April Lewis</cp:lastModifiedBy>
  <cp:lastPrinted>2026-02-12T16:22:41Z</cp:lastPrinted>
  <dcterms:created xsi:type="dcterms:W3CDTF">2013-11-08T12:57:55Z</dcterms:created>
  <dcterms:modified xsi:type="dcterms:W3CDTF">2026-02-12T16:41:25Z</dcterms:modified>
</cp:coreProperties>
</file>