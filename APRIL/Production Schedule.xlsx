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F9FB2040-7794-4AFC-BE8B-87C260C8D2B6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Schedule" sheetId="2" r:id="rId1"/>
    <sheet name="Sheet1" sheetId="7" r:id="rId2"/>
  </sheets>
  <definedNames>
    <definedName name="_xlnm._FilterDatabase" localSheetId="0" hidden="1">Schedule!$B$1:$B$3904</definedName>
    <definedName name="_xlnm.Print_Area" localSheetId="0">Schedule!$A$1:$BD$80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72" i="2" l="1"/>
  <c r="BB72" i="2"/>
  <c r="BC72" i="2"/>
  <c r="BD72" i="2"/>
  <c r="I72" i="2"/>
  <c r="J72" i="2"/>
  <c r="F30" i="2"/>
  <c r="I30" i="2" s="1"/>
  <c r="F28" i="2"/>
  <c r="F25" i="2"/>
  <c r="F24" i="2"/>
  <c r="F23" i="2"/>
  <c r="F22" i="2"/>
  <c r="F20" i="2"/>
  <c r="F18" i="2"/>
  <c r="F17" i="2"/>
  <c r="F16" i="2"/>
  <c r="F15" i="2"/>
  <c r="F12" i="2"/>
  <c r="F10" i="2"/>
  <c r="F9" i="2"/>
  <c r="F8" i="2"/>
  <c r="F7" i="2"/>
  <c r="BB27" i="2"/>
  <c r="BB26" i="2"/>
  <c r="F6" i="2"/>
  <c r="BB71" i="2"/>
  <c r="BD71" i="2"/>
  <c r="I71" i="2"/>
  <c r="J71" i="2"/>
  <c r="BB69" i="2"/>
  <c r="BD69" i="2"/>
  <c r="BB70" i="2"/>
  <c r="BD70" i="2"/>
  <c r="I69" i="2"/>
  <c r="J69" i="2" s="1"/>
  <c r="I70" i="2"/>
  <c r="J70" i="2"/>
  <c r="F27" i="2"/>
  <c r="F21" i="2"/>
  <c r="F11" i="2"/>
  <c r="BB30" i="2"/>
  <c r="BD30" i="2"/>
  <c r="F19" i="2"/>
  <c r="F14" i="2"/>
  <c r="I63" i="2"/>
  <c r="I64" i="2"/>
  <c r="I65" i="2"/>
  <c r="J65" i="2" s="1"/>
  <c r="I66" i="2"/>
  <c r="I67" i="2"/>
  <c r="I68" i="2"/>
  <c r="J68" i="2" s="1"/>
  <c r="I60" i="2"/>
  <c r="J60" i="2" s="1"/>
  <c r="I61" i="2"/>
  <c r="J61" i="2" s="1"/>
  <c r="I62" i="2"/>
  <c r="BB63" i="2"/>
  <c r="BD63" i="2"/>
  <c r="BB60" i="2"/>
  <c r="BD60" i="2"/>
  <c r="BB61" i="2"/>
  <c r="BD61" i="2"/>
  <c r="BB62" i="2"/>
  <c r="BD62" i="2"/>
  <c r="BB64" i="2"/>
  <c r="BD64" i="2"/>
  <c r="BB65" i="2"/>
  <c r="BD65" i="2"/>
  <c r="BB66" i="2"/>
  <c r="BD66" i="2"/>
  <c r="BB67" i="2"/>
  <c r="BD67" i="2"/>
  <c r="BB68" i="2"/>
  <c r="BD68" i="2"/>
  <c r="BB57" i="2"/>
  <c r="BD57" i="2"/>
  <c r="BB58" i="2"/>
  <c r="BD58" i="2"/>
  <c r="BB59" i="2"/>
  <c r="BD59" i="2"/>
  <c r="I57" i="2"/>
  <c r="BC57" i="2" s="1"/>
  <c r="I58" i="2"/>
  <c r="I59" i="2"/>
  <c r="J59" i="2" s="1"/>
  <c r="F13" i="2"/>
  <c r="BB54" i="2"/>
  <c r="BD54" i="2"/>
  <c r="BB55" i="2"/>
  <c r="BD55" i="2"/>
  <c r="BB56" i="2"/>
  <c r="BD56" i="2"/>
  <c r="I54" i="2"/>
  <c r="BC54" i="2" s="1"/>
  <c r="I55" i="2"/>
  <c r="BC55" i="2" s="1"/>
  <c r="I56" i="2"/>
  <c r="BC56" i="2" s="1"/>
  <c r="G32" i="2"/>
  <c r="BB53" i="2"/>
  <c r="BD53" i="2"/>
  <c r="I53" i="2"/>
  <c r="J53" i="2" s="1"/>
  <c r="BC71" i="2" l="1"/>
  <c r="BE71" i="2"/>
  <c r="BC69" i="2"/>
  <c r="BE69" i="2"/>
  <c r="BC70" i="2"/>
  <c r="BE70" i="2"/>
  <c r="J63" i="2"/>
  <c r="BC63" i="2"/>
  <c r="BC66" i="2"/>
  <c r="J66" i="2"/>
  <c r="BC67" i="2"/>
  <c r="J67" i="2"/>
  <c r="BC64" i="2"/>
  <c r="J64" i="2"/>
  <c r="BE30" i="2"/>
  <c r="J30" i="2"/>
  <c r="BC30" i="2"/>
  <c r="BC58" i="2"/>
  <c r="J58" i="2"/>
  <c r="BE64" i="2"/>
  <c r="BE66" i="2"/>
  <c r="BE67" i="2"/>
  <c r="BC65" i="2"/>
  <c r="BE65" i="2"/>
  <c r="BC68" i="2"/>
  <c r="BE68" i="2"/>
  <c r="BE63" i="2"/>
  <c r="BC60" i="2"/>
  <c r="BE60" i="2"/>
  <c r="BC61" i="2"/>
  <c r="BE61" i="2"/>
  <c r="BC62" i="2"/>
  <c r="BE62" i="2"/>
  <c r="J62" i="2"/>
  <c r="BE58" i="2"/>
  <c r="J57" i="2"/>
  <c r="BE57" i="2"/>
  <c r="BC59" i="2"/>
  <c r="BE59" i="2"/>
  <c r="J56" i="2"/>
  <c r="J54" i="2"/>
  <c r="BE56" i="2"/>
  <c r="BE54" i="2"/>
  <c r="J55" i="2"/>
  <c r="BE55" i="2"/>
  <c r="BC53" i="2"/>
  <c r="BE53" i="2"/>
  <c r="BB21" i="2"/>
  <c r="BB22" i="2"/>
  <c r="BB31" i="2"/>
  <c r="K32" i="2"/>
  <c r="K77" i="2" s="1"/>
  <c r="L32" i="2"/>
  <c r="L77" i="2" s="1"/>
  <c r="M32" i="2"/>
  <c r="M77" i="2" s="1"/>
  <c r="N32" i="2"/>
  <c r="N77" i="2" s="1"/>
  <c r="O32" i="2"/>
  <c r="O77" i="2" s="1"/>
  <c r="P32" i="2"/>
  <c r="P77" i="2" s="1"/>
  <c r="Q32" i="2"/>
  <c r="Q77" i="2" s="1"/>
  <c r="R32" i="2"/>
  <c r="R77" i="2" s="1"/>
  <c r="S32" i="2"/>
  <c r="S77" i="2" s="1"/>
  <c r="T32" i="2"/>
  <c r="T77" i="2" s="1"/>
  <c r="U32" i="2"/>
  <c r="U77" i="2" s="1"/>
  <c r="V32" i="2"/>
  <c r="V77" i="2" s="1"/>
  <c r="W32" i="2"/>
  <c r="W77" i="2" s="1"/>
  <c r="X32" i="2"/>
  <c r="X77" i="2" s="1"/>
  <c r="Y32" i="2"/>
  <c r="Y77" i="2" s="1"/>
  <c r="Z32" i="2"/>
  <c r="Z77" i="2" s="1"/>
  <c r="AA32" i="2"/>
  <c r="AA77" i="2" s="1"/>
  <c r="AB32" i="2"/>
  <c r="AB77" i="2" s="1"/>
  <c r="AC32" i="2"/>
  <c r="AC77" i="2" s="1"/>
  <c r="AD32" i="2"/>
  <c r="AD77" i="2" s="1"/>
  <c r="AE32" i="2"/>
  <c r="AE77" i="2" s="1"/>
  <c r="AF32" i="2"/>
  <c r="AF77" i="2" s="1"/>
  <c r="AG32" i="2"/>
  <c r="AG77" i="2" s="1"/>
  <c r="AH32" i="2"/>
  <c r="AH77" i="2" s="1"/>
  <c r="AI32" i="2"/>
  <c r="AI77" i="2" s="1"/>
  <c r="AJ32" i="2"/>
  <c r="AJ77" i="2" s="1"/>
  <c r="AK32" i="2"/>
  <c r="AK77" i="2" s="1"/>
  <c r="AL32" i="2"/>
  <c r="AL77" i="2" s="1"/>
  <c r="AM32" i="2"/>
  <c r="AM77" i="2" s="1"/>
  <c r="AN32" i="2"/>
  <c r="AN77" i="2" s="1"/>
  <c r="AO32" i="2"/>
  <c r="AO77" i="2" s="1"/>
  <c r="AP32" i="2"/>
  <c r="AP77" i="2" s="1"/>
  <c r="AQ32" i="2"/>
  <c r="AQ77" i="2" s="1"/>
  <c r="AR32" i="2"/>
  <c r="AR77" i="2" s="1"/>
  <c r="AS32" i="2"/>
  <c r="AS77" i="2" s="1"/>
  <c r="AT32" i="2"/>
  <c r="AT77" i="2" s="1"/>
  <c r="AU32" i="2"/>
  <c r="AU77" i="2" s="1"/>
  <c r="AV32" i="2"/>
  <c r="AV77" i="2" s="1"/>
  <c r="AW32" i="2"/>
  <c r="AW77" i="2" s="1"/>
  <c r="AX32" i="2"/>
  <c r="AX77" i="2" s="1"/>
  <c r="AY32" i="2"/>
  <c r="AY77" i="2" s="1"/>
  <c r="AZ32" i="2"/>
  <c r="AZ77" i="2" s="1"/>
  <c r="BA32" i="2"/>
  <c r="BA77" i="2" s="1"/>
  <c r="BB51" i="2"/>
  <c r="BD51" i="2"/>
  <c r="BB29" i="2"/>
  <c r="BD29" i="2"/>
  <c r="BB52" i="2"/>
  <c r="BD52" i="2"/>
  <c r="I51" i="2"/>
  <c r="BC51" i="2" s="1"/>
  <c r="I29" i="2"/>
  <c r="BC29" i="2" s="1"/>
  <c r="I52" i="2"/>
  <c r="BC52" i="2" s="1"/>
  <c r="J52" i="2" l="1"/>
  <c r="J51" i="2"/>
  <c r="BE29" i="2"/>
  <c r="J29" i="2"/>
  <c r="BE51" i="2"/>
  <c r="BE52" i="2"/>
  <c r="BB46" i="2"/>
  <c r="BD46" i="2"/>
  <c r="BB47" i="2"/>
  <c r="BD47" i="2"/>
  <c r="BB48" i="2"/>
  <c r="BD48" i="2"/>
  <c r="BB49" i="2"/>
  <c r="BD49" i="2"/>
  <c r="BB50" i="2"/>
  <c r="BD50" i="2"/>
  <c r="BB45" i="2"/>
  <c r="I45" i="2"/>
  <c r="BC45" i="2" s="1"/>
  <c r="I46" i="2"/>
  <c r="J46" i="2" s="1"/>
  <c r="I47" i="2"/>
  <c r="BC47" i="2" s="1"/>
  <c r="I48" i="2"/>
  <c r="J48" i="2" s="1"/>
  <c r="I49" i="2"/>
  <c r="BC49" i="2" s="1"/>
  <c r="I50" i="2"/>
  <c r="J50" i="2" s="1"/>
  <c r="BD45" i="2"/>
  <c r="BB28" i="2"/>
  <c r="BD28" i="2"/>
  <c r="BB38" i="2"/>
  <c r="BD38" i="2"/>
  <c r="BB39" i="2"/>
  <c r="BD39" i="2"/>
  <c r="BB40" i="2"/>
  <c r="BD40" i="2"/>
  <c r="BB41" i="2"/>
  <c r="BD41" i="2"/>
  <c r="BB42" i="2"/>
  <c r="BD42" i="2"/>
  <c r="BB43" i="2"/>
  <c r="BD43" i="2"/>
  <c r="BB44" i="2"/>
  <c r="BD44" i="2"/>
  <c r="I28" i="2"/>
  <c r="BC28" i="2" s="1"/>
  <c r="I38" i="2"/>
  <c r="J38" i="2" s="1"/>
  <c r="I39" i="2"/>
  <c r="I40" i="2"/>
  <c r="I41" i="2"/>
  <c r="BC41" i="2" s="1"/>
  <c r="I42" i="2"/>
  <c r="I43" i="2"/>
  <c r="J43" i="2" s="1"/>
  <c r="I44" i="2"/>
  <c r="J47" i="2" l="1"/>
  <c r="J45" i="2"/>
  <c r="J28" i="2"/>
  <c r="BE45" i="2"/>
  <c r="BE47" i="2"/>
  <c r="BE39" i="2"/>
  <c r="J49" i="2"/>
  <c r="BC50" i="2"/>
  <c r="J41" i="2"/>
  <c r="BE50" i="2"/>
  <c r="BC48" i="2"/>
  <c r="BE48" i="2"/>
  <c r="BE49" i="2"/>
  <c r="BC46" i="2"/>
  <c r="BE46" i="2"/>
  <c r="BE44" i="2"/>
  <c r="BE41" i="2"/>
  <c r="BE40" i="2"/>
  <c r="BE28" i="2"/>
  <c r="BC39" i="2"/>
  <c r="BE43" i="2"/>
  <c r="BE42" i="2"/>
  <c r="J39" i="2"/>
  <c r="BC43" i="2"/>
  <c r="BC38" i="2"/>
  <c r="BC40" i="2"/>
  <c r="BC44" i="2"/>
  <c r="BC42" i="2"/>
  <c r="BE38" i="2"/>
  <c r="J44" i="2"/>
  <c r="J42" i="2"/>
  <c r="J40" i="2"/>
  <c r="BB13" i="2"/>
  <c r="BB14" i="2"/>
  <c r="BD27" i="2" l="1"/>
  <c r="I27" i="2"/>
  <c r="J27" i="2" s="1"/>
  <c r="BD26" i="2"/>
  <c r="I26" i="2"/>
  <c r="J26" i="2" s="1"/>
  <c r="BB24" i="2"/>
  <c r="BD24" i="2"/>
  <c r="BB25" i="2"/>
  <c r="BD25" i="2"/>
  <c r="I24" i="2"/>
  <c r="BC24" i="2" s="1"/>
  <c r="I25" i="2"/>
  <c r="J25" i="2" s="1"/>
  <c r="I23" i="2"/>
  <c r="J23" i="2" s="1"/>
  <c r="BB23" i="2"/>
  <c r="BD23" i="2"/>
  <c r="BC27" i="2" l="1"/>
  <c r="BE27" i="2"/>
  <c r="BC26" i="2"/>
  <c r="BE26" i="2"/>
  <c r="BE24" i="2"/>
  <c r="BC25" i="2"/>
  <c r="BE25" i="2"/>
  <c r="J24" i="2"/>
  <c r="BE23" i="2"/>
  <c r="BC23" i="2"/>
  <c r="W33" i="2"/>
  <c r="X34" i="2"/>
  <c r="Y34" i="2"/>
  <c r="Z34" i="2"/>
  <c r="AA33" i="2"/>
  <c r="AC33" i="2"/>
  <c r="AD34" i="2"/>
  <c r="AE33" i="2"/>
  <c r="AG33" i="2"/>
  <c r="AH33" i="2"/>
  <c r="AI33" i="2"/>
  <c r="AK34" i="2"/>
  <c r="AM33" i="2"/>
  <c r="AO33" i="2"/>
  <c r="AQ33" i="2"/>
  <c r="AS34" i="2"/>
  <c r="AT33" i="2"/>
  <c r="AU33" i="2"/>
  <c r="AW33" i="2"/>
  <c r="AY33" i="2"/>
  <c r="BA34" i="2"/>
  <c r="BB74" i="2"/>
  <c r="BE74" i="2" s="1"/>
  <c r="BC74" i="2"/>
  <c r="BD74" i="2"/>
  <c r="R34" i="2"/>
  <c r="S34" i="2"/>
  <c r="U33" i="2"/>
  <c r="V34" i="2"/>
  <c r="BD22" i="2"/>
  <c r="I22" i="2"/>
  <c r="BC22" i="2" s="1"/>
  <c r="Z33" i="2" l="1"/>
  <c r="W34" i="2"/>
  <c r="Y33" i="2"/>
  <c r="AK33" i="2"/>
  <c r="AL34" i="2"/>
  <c r="AD33" i="2"/>
  <c r="AV34" i="2"/>
  <c r="AU34" i="2"/>
  <c r="AA34" i="2"/>
  <c r="AC34" i="2"/>
  <c r="AQ34" i="2"/>
  <c r="AI34" i="2"/>
  <c r="AY34" i="2"/>
  <c r="AN34" i="2"/>
  <c r="AE34" i="2"/>
  <c r="AM34" i="2"/>
  <c r="AB34" i="2"/>
  <c r="AB33" i="2"/>
  <c r="X33" i="2"/>
  <c r="AZ34" i="2"/>
  <c r="AP34" i="2"/>
  <c r="AJ34" i="2"/>
  <c r="AV33" i="2"/>
  <c r="AT34" i="2"/>
  <c r="AP33" i="2"/>
  <c r="AX34" i="2"/>
  <c r="AR34" i="2"/>
  <c r="AG34" i="2"/>
  <c r="AX33" i="2"/>
  <c r="BA33" i="2"/>
  <c r="AS33" i="2"/>
  <c r="AW34" i="2"/>
  <c r="AO34" i="2"/>
  <c r="AN33" i="2"/>
  <c r="AF34" i="2"/>
  <c r="AR33" i="2"/>
  <c r="AL33" i="2"/>
  <c r="AF33" i="2"/>
  <c r="AZ33" i="2"/>
  <c r="AJ33" i="2"/>
  <c r="AH34" i="2"/>
  <c r="T34" i="2"/>
  <c r="U34" i="2"/>
  <c r="T33" i="2"/>
  <c r="S33" i="2"/>
  <c r="V33" i="2"/>
  <c r="R33" i="2"/>
  <c r="BE22" i="2"/>
  <c r="J22" i="2"/>
  <c r="I21" i="2"/>
  <c r="BC21" i="2" s="1"/>
  <c r="BD21" i="2"/>
  <c r="AZ78" i="2" l="1"/>
  <c r="AX78" i="2"/>
  <c r="AR79" i="2"/>
  <c r="AU78" i="2"/>
  <c r="AK79" i="2"/>
  <c r="AW78" i="2"/>
  <c r="AG78" i="2"/>
  <c r="AM78" i="2"/>
  <c r="R79" i="2"/>
  <c r="U79" i="2"/>
  <c r="AS79" i="2"/>
  <c r="AV78" i="2"/>
  <c r="X79" i="2"/>
  <c r="AQ78" i="2"/>
  <c r="Y79" i="2"/>
  <c r="AE78" i="2"/>
  <c r="AF78" i="2"/>
  <c r="BA79" i="2"/>
  <c r="AB79" i="2"/>
  <c r="AC79" i="2"/>
  <c r="AI78" i="2"/>
  <c r="AY78" i="2"/>
  <c r="AO78" i="2"/>
  <c r="T79" i="2"/>
  <c r="AJ78" i="2"/>
  <c r="AN78" i="2"/>
  <c r="AN79" i="2"/>
  <c r="AP78" i="2"/>
  <c r="AP79" i="2"/>
  <c r="AL79" i="2"/>
  <c r="AL78" i="2"/>
  <c r="AU79" i="2"/>
  <c r="AQ79" i="2"/>
  <c r="AC78" i="2"/>
  <c r="AD79" i="2"/>
  <c r="AD78" i="2"/>
  <c r="AH78" i="2"/>
  <c r="AH79" i="2"/>
  <c r="AT79" i="2"/>
  <c r="AT78" i="2"/>
  <c r="R78" i="2"/>
  <c r="U78" i="2"/>
  <c r="Z78" i="2"/>
  <c r="Z79" i="2"/>
  <c r="S78" i="2"/>
  <c r="S79" i="2"/>
  <c r="W78" i="2"/>
  <c r="W79" i="2"/>
  <c r="V78" i="2"/>
  <c r="V79" i="2"/>
  <c r="AA78" i="2"/>
  <c r="AA79" i="2"/>
  <c r="BE21" i="2"/>
  <c r="J21" i="2"/>
  <c r="C133" i="2"/>
  <c r="I37" i="2"/>
  <c r="J37" i="2" s="1"/>
  <c r="I15" i="2"/>
  <c r="BC15" i="2" s="1"/>
  <c r="I16" i="2"/>
  <c r="J16" i="2" s="1"/>
  <c r="I17" i="2"/>
  <c r="J17" i="2" s="1"/>
  <c r="I18" i="2"/>
  <c r="J18" i="2" s="1"/>
  <c r="I19" i="2"/>
  <c r="BC19" i="2" s="1"/>
  <c r="I20" i="2"/>
  <c r="J20" i="2" s="1"/>
  <c r="BB15" i="2"/>
  <c r="BB16" i="2"/>
  <c r="BB17" i="2"/>
  <c r="BB18" i="2"/>
  <c r="BB19" i="2"/>
  <c r="BB20" i="2"/>
  <c r="BD19" i="2"/>
  <c r="BD20" i="2"/>
  <c r="BB37" i="2"/>
  <c r="BD37" i="2"/>
  <c r="BD18" i="2"/>
  <c r="AK78" i="2" l="1"/>
  <c r="BA78" i="2"/>
  <c r="X78" i="2"/>
  <c r="AS78" i="2"/>
  <c r="AO79" i="2"/>
  <c r="AY79" i="2"/>
  <c r="AW79" i="2"/>
  <c r="AR78" i="2"/>
  <c r="AI79" i="2"/>
  <c r="AE79" i="2"/>
  <c r="AB78" i="2"/>
  <c r="Y78" i="2"/>
  <c r="AG79" i="2"/>
  <c r="AV79" i="2"/>
  <c r="AM79" i="2"/>
  <c r="AX79" i="2"/>
  <c r="T78" i="2"/>
  <c r="AF79" i="2"/>
  <c r="AJ79" i="2"/>
  <c r="AZ79" i="2"/>
  <c r="BC17" i="2"/>
  <c r="BE19" i="2"/>
  <c r="BC18" i="2"/>
  <c r="BE15" i="2"/>
  <c r="BC37" i="2"/>
  <c r="BE37" i="2"/>
  <c r="BE16" i="2"/>
  <c r="J19" i="2"/>
  <c r="J15" i="2"/>
  <c r="BC16" i="2"/>
  <c r="BE18" i="2"/>
  <c r="BE20" i="2"/>
  <c r="BC20" i="2"/>
  <c r="BE17" i="2"/>
  <c r="I14" i="2"/>
  <c r="BC14" i="2" s="1"/>
  <c r="BD14" i="2"/>
  <c r="J14" i="2" l="1"/>
  <c r="BE14" i="2"/>
  <c r="M33" i="2"/>
  <c r="N33" i="2"/>
  <c r="P34" i="2"/>
  <c r="Q33" i="2"/>
  <c r="BD15" i="2"/>
  <c r="BD16" i="2"/>
  <c r="BD17" i="2"/>
  <c r="Q34" i="2" l="1"/>
  <c r="N34" i="2"/>
  <c r="M34" i="2"/>
  <c r="L33" i="2"/>
  <c r="L34" i="2"/>
  <c r="P33" i="2"/>
  <c r="O34" i="2"/>
  <c r="K34" i="2"/>
  <c r="O33" i="2"/>
  <c r="K33" i="2"/>
  <c r="K78" i="2" l="1"/>
  <c r="Q79" i="2"/>
  <c r="O78" i="2"/>
  <c r="P79" i="2"/>
  <c r="M79" i="2"/>
  <c r="N78" i="2"/>
  <c r="L79" i="2"/>
  <c r="Q78" i="2"/>
  <c r="M78" i="2"/>
  <c r="N79" i="2" l="1"/>
  <c r="P78" i="2"/>
  <c r="K79" i="2"/>
  <c r="L78" i="2"/>
  <c r="O79" i="2"/>
  <c r="BB6" i="2"/>
  <c r="BB8" i="2" l="1"/>
  <c r="BB9" i="2"/>
  <c r="BB10" i="2"/>
  <c r="BB11" i="2"/>
  <c r="BB12" i="2"/>
  <c r="BB7" i="2"/>
  <c r="I13" i="2" l="1"/>
  <c r="BC13" i="2" s="1"/>
  <c r="BD13" i="2"/>
  <c r="J13" i="2" l="1"/>
  <c r="BE13" i="2"/>
  <c r="I11" i="2"/>
  <c r="J11" i="2" s="1"/>
  <c r="I12" i="2"/>
  <c r="BC12" i="2" s="1"/>
  <c r="BD12" i="2"/>
  <c r="BD11" i="2"/>
  <c r="BD10" i="2"/>
  <c r="BD9" i="2"/>
  <c r="BD8" i="2"/>
  <c r="BD7" i="2"/>
  <c r="BE12" i="2" l="1"/>
  <c r="J12" i="2"/>
  <c r="BE11" i="2"/>
  <c r="BC11" i="2"/>
  <c r="I7" i="2"/>
  <c r="BC7" i="2" s="1"/>
  <c r="I8" i="2"/>
  <c r="J8" i="2" s="1"/>
  <c r="I9" i="2"/>
  <c r="J9" i="2" s="1"/>
  <c r="I10" i="2"/>
  <c r="BC10" i="2" s="1"/>
  <c r="BC8" i="2" l="1"/>
  <c r="BE8" i="2"/>
  <c r="J7" i="2"/>
  <c r="J10" i="2"/>
  <c r="BE9" i="2"/>
  <c r="BE7" i="2"/>
  <c r="BE10" i="2"/>
  <c r="BC9" i="2"/>
  <c r="BD6" i="2" l="1"/>
  <c r="I6" i="2"/>
  <c r="BC6" i="2" s="1"/>
  <c r="C134" i="2"/>
  <c r="J6" i="2" l="1"/>
  <c r="BE6" i="2"/>
  <c r="H32" i="2" l="1"/>
  <c r="C148" i="2" l="1"/>
  <c r="C136" i="2" l="1"/>
  <c r="C150" i="2" s="1"/>
  <c r="I31" i="2" l="1"/>
  <c r="I32" i="2" s="1"/>
  <c r="BD31" i="2" l="1"/>
  <c r="BC31" i="2"/>
  <c r="BB32" i="2"/>
  <c r="BE31" i="2" l="1"/>
  <c r="H2" i="2" l="1"/>
  <c r="G33" i="2"/>
  <c r="H33" i="2" l="1"/>
  <c r="H34" i="2"/>
  <c r="G34" i="2"/>
  <c r="G77" i="2" s="1"/>
  <c r="BB77" i="2"/>
  <c r="B79" i="2" s="1"/>
  <c r="H77" i="2" l="1"/>
  <c r="C79" i="2"/>
</calcChain>
</file>

<file path=xl/sharedStrings.xml><?xml version="1.0" encoding="utf-8"?>
<sst xmlns="http://schemas.openxmlformats.org/spreadsheetml/2006/main" count="226" uniqueCount="182">
  <si>
    <t>DUE</t>
  </si>
  <si>
    <t>JOB #</t>
  </si>
  <si>
    <t>BAL</t>
  </si>
  <si>
    <t>PROJ</t>
  </si>
  <si>
    <t>QTE</t>
  </si>
  <si>
    <t>PRE</t>
  </si>
  <si>
    <t>SUB</t>
  </si>
  <si>
    <t>SUB%</t>
  </si>
  <si>
    <t>TOT</t>
  </si>
  <si>
    <t>WK</t>
  </si>
  <si>
    <t>WK%</t>
  </si>
  <si>
    <t xml:space="preserve">Savannah Tank and Equipment </t>
  </si>
  <si>
    <t>REL</t>
  </si>
  <si>
    <t>PRO</t>
  </si>
  <si>
    <t>BACKLOG</t>
  </si>
  <si>
    <t>48 HRS</t>
  </si>
  <si>
    <t>40 HRS</t>
  </si>
  <si>
    <t>REQ</t>
  </si>
  <si>
    <t>PLAN</t>
  </si>
  <si>
    <t>ACT</t>
  </si>
  <si>
    <t>PCT</t>
  </si>
  <si>
    <t>Supervision / Overhead</t>
  </si>
  <si>
    <t>Total Direct</t>
  </si>
  <si>
    <t>Total Indirect</t>
  </si>
  <si>
    <t>Total Headcount</t>
  </si>
  <si>
    <t>OVERHEAD</t>
  </si>
  <si>
    <t>Pre Fab</t>
  </si>
  <si>
    <t>Sammy</t>
  </si>
  <si>
    <t>Scott</t>
  </si>
  <si>
    <t>Nick</t>
  </si>
  <si>
    <t>Sherri</t>
  </si>
  <si>
    <t>David</t>
  </si>
  <si>
    <t>Work Order</t>
  </si>
  <si>
    <t>Rutang</t>
  </si>
  <si>
    <t>Keith Shuman</t>
  </si>
  <si>
    <t>Total</t>
  </si>
  <si>
    <t>Office</t>
  </si>
  <si>
    <t>John</t>
  </si>
  <si>
    <t>Fabrication</t>
  </si>
  <si>
    <t xml:space="preserve">Clean/ Test </t>
  </si>
  <si>
    <t>Chris</t>
  </si>
  <si>
    <t>Kevin McMoore</t>
  </si>
  <si>
    <t>Cody Moose</t>
  </si>
  <si>
    <t>Shelbi Foltyn</t>
  </si>
  <si>
    <t>Sammy Chavis</t>
  </si>
  <si>
    <t>Scott Shuman</t>
  </si>
  <si>
    <t>Maurice Sellars</t>
  </si>
  <si>
    <t>Arthur Morrison</t>
  </si>
  <si>
    <t>Arthur</t>
  </si>
  <si>
    <t>Jacquelle Leeks</t>
  </si>
  <si>
    <t>Kevin Free</t>
  </si>
  <si>
    <t>Dustin</t>
  </si>
  <si>
    <t>046-24</t>
  </si>
  <si>
    <t>SYMS (Lansing)</t>
  </si>
  <si>
    <t>Cory Shuman</t>
  </si>
  <si>
    <t>010-25</t>
  </si>
  <si>
    <t>012-25</t>
  </si>
  <si>
    <t>013-25</t>
  </si>
  <si>
    <t>016-25</t>
  </si>
  <si>
    <t>018-25</t>
  </si>
  <si>
    <t>019-25</t>
  </si>
  <si>
    <t>Kimberly Clark 220-TK-22112</t>
  </si>
  <si>
    <t>Kimberly Clark 330-TK-33001</t>
  </si>
  <si>
    <t>Kimberly Clark 340-TK-34001</t>
  </si>
  <si>
    <t>Kimberly Clark 370-TK-37001</t>
  </si>
  <si>
    <t>Kimberly Clark 420-BT-42001</t>
  </si>
  <si>
    <t>Kimberly Clark 520-TK-52001</t>
  </si>
  <si>
    <t>Andritz</t>
  </si>
  <si>
    <t>Nak Kiln</t>
  </si>
  <si>
    <t>040-25</t>
  </si>
  <si>
    <t>Robert Moore</t>
  </si>
  <si>
    <t>Atlas</t>
  </si>
  <si>
    <t>Epic</t>
  </si>
  <si>
    <t>053-25</t>
  </si>
  <si>
    <t>Valmet</t>
  </si>
  <si>
    <t>Nudyne Tank 11</t>
  </si>
  <si>
    <t>Nudyne Tank 12</t>
  </si>
  <si>
    <t>Nudyne Tank 13</t>
  </si>
  <si>
    <t>Nudyne Tank 14</t>
  </si>
  <si>
    <t>Air Gas</t>
  </si>
  <si>
    <t>055-25</t>
  </si>
  <si>
    <t>Nudyne Tank 15</t>
  </si>
  <si>
    <t>Nudyne Tank 16</t>
  </si>
  <si>
    <t>066-25</t>
  </si>
  <si>
    <t>067-25</t>
  </si>
  <si>
    <t>068-25</t>
  </si>
  <si>
    <t>069-25</t>
  </si>
  <si>
    <t>070-25</t>
  </si>
  <si>
    <t>071-25</t>
  </si>
  <si>
    <t>Randall Shuman</t>
  </si>
  <si>
    <t xml:space="preserve">Chris Allen </t>
  </si>
  <si>
    <t>Jason Batchelor</t>
  </si>
  <si>
    <t>Steven Lewis</t>
  </si>
  <si>
    <t>083-25</t>
  </si>
  <si>
    <t>Synthomer</t>
  </si>
  <si>
    <t>084-25</t>
  </si>
  <si>
    <t>IMI</t>
  </si>
  <si>
    <t>089-25</t>
  </si>
  <si>
    <t>Wes Benoit</t>
  </si>
  <si>
    <t>.</t>
  </si>
  <si>
    <t>Albert</t>
  </si>
  <si>
    <t>Brittany Mock "Cobot Operator"</t>
  </si>
  <si>
    <t>Symrise</t>
  </si>
  <si>
    <t>092-25</t>
  </si>
  <si>
    <t>093-25</t>
  </si>
  <si>
    <t>Kimberly Clark</t>
  </si>
  <si>
    <t>PO</t>
  </si>
  <si>
    <t>Chris Lapp "CNC Operator #2"</t>
  </si>
  <si>
    <t>Supervisor Finishing Department</t>
  </si>
  <si>
    <t>Coastal Tech.</t>
  </si>
  <si>
    <t>098-25</t>
  </si>
  <si>
    <t>Polynt</t>
  </si>
  <si>
    <t>099-25</t>
  </si>
  <si>
    <t>Burke</t>
  </si>
  <si>
    <t>101-25</t>
  </si>
  <si>
    <t>Harper Love</t>
  </si>
  <si>
    <t>102-25</t>
  </si>
  <si>
    <t>103-25</t>
  </si>
  <si>
    <t>104-25</t>
  </si>
  <si>
    <t>105-25</t>
  </si>
  <si>
    <t>106-25</t>
  </si>
  <si>
    <t>107-25</t>
  </si>
  <si>
    <t>108-25</t>
  </si>
  <si>
    <t>109-25</t>
  </si>
  <si>
    <t>110-25</t>
  </si>
  <si>
    <t>111-25</t>
  </si>
  <si>
    <t>112-25</t>
  </si>
  <si>
    <t>113-25</t>
  </si>
  <si>
    <t>115-25</t>
  </si>
  <si>
    <t>Merrick</t>
  </si>
  <si>
    <t>Andritz - Dis Tank</t>
  </si>
  <si>
    <t>116-25</t>
  </si>
  <si>
    <t>117-25</t>
  </si>
  <si>
    <t>118-25</t>
  </si>
  <si>
    <t>d1</t>
  </si>
  <si>
    <t>d2</t>
  </si>
  <si>
    <t>d3</t>
  </si>
  <si>
    <t>d4</t>
  </si>
  <si>
    <t>r1</t>
  </si>
  <si>
    <t>r2</t>
  </si>
  <si>
    <t>120-25</t>
  </si>
  <si>
    <t>121-25</t>
  </si>
  <si>
    <t>122-25</t>
  </si>
  <si>
    <t>123-25</t>
  </si>
  <si>
    <t>US Sugar</t>
  </si>
  <si>
    <t>SNF</t>
  </si>
  <si>
    <t>356-25</t>
  </si>
  <si>
    <t>357-25</t>
  </si>
  <si>
    <t>358-25</t>
  </si>
  <si>
    <t>Sylvamo</t>
  </si>
  <si>
    <t>SNF R1</t>
  </si>
  <si>
    <t>SNF R2</t>
  </si>
  <si>
    <t>SNF R3</t>
  </si>
  <si>
    <t>SNF CS1 EPI</t>
  </si>
  <si>
    <t>SNF CS2 EPI</t>
  </si>
  <si>
    <t>002-26</t>
  </si>
  <si>
    <t>003-26</t>
  </si>
  <si>
    <t>004-26</t>
  </si>
  <si>
    <t>005-26</t>
  </si>
  <si>
    <t>Joseph Fahey</t>
  </si>
  <si>
    <t>2nd Maintenance Tech</t>
  </si>
  <si>
    <t>2nd QC Inspector</t>
  </si>
  <si>
    <t>014-26</t>
  </si>
  <si>
    <t>015-26</t>
  </si>
  <si>
    <t>016-26</t>
  </si>
  <si>
    <t>017-26</t>
  </si>
  <si>
    <t>018-26</t>
  </si>
  <si>
    <t>Julian Adkins - Supervisor</t>
  </si>
  <si>
    <t>Blake - Receiving &amp; Inventory Clerk</t>
  </si>
  <si>
    <t>Vertiv Tanks</t>
  </si>
  <si>
    <t>Ashley Boyles</t>
  </si>
  <si>
    <t>Keith Wheeler</t>
  </si>
  <si>
    <t>Carl Wolfe</t>
  </si>
  <si>
    <t>Justin McAmis</t>
  </si>
  <si>
    <t>020-26</t>
  </si>
  <si>
    <t>021-26</t>
  </si>
  <si>
    <t>Launie Lacero</t>
  </si>
  <si>
    <t>April Lewis</t>
  </si>
  <si>
    <t>022-26</t>
  </si>
  <si>
    <t>Danzel Daniels</t>
  </si>
  <si>
    <t>Jerry Hodge</t>
  </si>
  <si>
    <t>024-26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</si>
</sst>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/d;@"/>
    <numFmt numFmtId="165" formatCode="m/d/yy;@"/>
    <numFmt numFmtId="166" formatCode="0_);[Red]\(0\)"/>
    <numFmt numFmtId="167" formatCode="0.00_)"/>
    <numFmt numFmtId="168" formatCode="0.0"/>
  </numFmts>
  <fonts count="10" x14ac:knownFonts="1">
    <font>
      <sz val="12"/>
      <name val="Arial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7"/>
      <color rgb="FFFF000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left" vertical="center"/>
      <protection locked="0"/>
    </xf>
    <xf numFmtId="1" fontId="2" fillId="0" borderId="1" xfId="0" applyNumberFormat="1" applyFont="1" applyBorder="1" applyAlignment="1" applyProtection="1">
      <alignment horizontal="right" vertical="center"/>
      <protection locked="0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0" borderId="9" xfId="0" applyNumberFormat="1" applyFont="1" applyBorder="1" applyAlignment="1">
      <alignment horizontal="left" vertic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left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5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left" vertical="center"/>
    </xf>
    <xf numFmtId="1" fontId="2" fillId="0" borderId="3" xfId="0" applyNumberFormat="1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9" fontId="2" fillId="0" borderId="0" xfId="0" applyNumberFormat="1" applyFon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2" xfId="2" xr:uid="{4AAFE4B5-7A9B-43AC-ABB6-0DE0DB79C16E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5</xdr:row>
      <xdr:rowOff>23813</xdr:rowOff>
    </xdr:from>
    <xdr:to>
      <xdr:col>3</xdr:col>
      <xdr:colOff>547687</xdr:colOff>
      <xdr:row>5</xdr:row>
      <xdr:rowOff>103188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3A49BE-BBC9-F689-BDDA-48FD245D2A3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</xdr:row>
      <xdr:rowOff>23813</xdr:rowOff>
    </xdr:from>
    <xdr:to>
      <xdr:col>3</xdr:col>
      <xdr:colOff>547687</xdr:colOff>
      <xdr:row>6</xdr:row>
      <xdr:rowOff>103188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D3F23AE-5A60-4BD9-8C2D-440069B82B51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7</xdr:row>
      <xdr:rowOff>23813</xdr:rowOff>
    </xdr:from>
    <xdr:to>
      <xdr:col>3</xdr:col>
      <xdr:colOff>547687</xdr:colOff>
      <xdr:row>7</xdr:row>
      <xdr:rowOff>103188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3FB37D1-F912-47B1-8786-0C170354B9AC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8</xdr:row>
      <xdr:rowOff>23813</xdr:rowOff>
    </xdr:from>
    <xdr:to>
      <xdr:col>3</xdr:col>
      <xdr:colOff>547687</xdr:colOff>
      <xdr:row>8</xdr:row>
      <xdr:rowOff>103188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00EB1C7-588E-4830-953E-81804BF0F6B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9</xdr:row>
      <xdr:rowOff>23813</xdr:rowOff>
    </xdr:from>
    <xdr:to>
      <xdr:col>3</xdr:col>
      <xdr:colOff>547687</xdr:colOff>
      <xdr:row>9</xdr:row>
      <xdr:rowOff>103188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692E14E-D922-418A-98EC-4BE545F3EAD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10</xdr:row>
      <xdr:rowOff>23813</xdr:rowOff>
    </xdr:from>
    <xdr:to>
      <xdr:col>3</xdr:col>
      <xdr:colOff>547687</xdr:colOff>
      <xdr:row>10</xdr:row>
      <xdr:rowOff>103188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6D79413-4221-412A-BDC8-90B49D5DE35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11</xdr:row>
      <xdr:rowOff>23813</xdr:rowOff>
    </xdr:from>
    <xdr:to>
      <xdr:col>3</xdr:col>
      <xdr:colOff>547687</xdr:colOff>
      <xdr:row>11</xdr:row>
      <xdr:rowOff>103188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B303CE2-317F-4102-A711-13B73B77CE7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12</xdr:row>
      <xdr:rowOff>23813</xdr:rowOff>
    </xdr:from>
    <xdr:to>
      <xdr:col>3</xdr:col>
      <xdr:colOff>547687</xdr:colOff>
      <xdr:row>12</xdr:row>
      <xdr:rowOff>103188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8442CBE-2F32-4291-A6D4-8D61EBFCE41C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13</xdr:row>
      <xdr:rowOff>23813</xdr:rowOff>
    </xdr:from>
    <xdr:to>
      <xdr:col>3</xdr:col>
      <xdr:colOff>547687</xdr:colOff>
      <xdr:row>13</xdr:row>
      <xdr:rowOff>103188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F412153-FBCA-4474-A4AC-456429E831C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14</xdr:row>
      <xdr:rowOff>23813</xdr:rowOff>
    </xdr:from>
    <xdr:to>
      <xdr:col>3</xdr:col>
      <xdr:colOff>547687</xdr:colOff>
      <xdr:row>14</xdr:row>
      <xdr:rowOff>103188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60DF0D4-C564-48B2-8102-CB5DB8FB2BE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15</xdr:row>
      <xdr:rowOff>23813</xdr:rowOff>
    </xdr:from>
    <xdr:to>
      <xdr:col>3</xdr:col>
      <xdr:colOff>547687</xdr:colOff>
      <xdr:row>15</xdr:row>
      <xdr:rowOff>103188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52BF51D-7C9C-467A-BA17-7682C463B34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20</xdr:row>
      <xdr:rowOff>23813</xdr:rowOff>
    </xdr:from>
    <xdr:to>
      <xdr:col>3</xdr:col>
      <xdr:colOff>547687</xdr:colOff>
      <xdr:row>20</xdr:row>
      <xdr:rowOff>103188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510C785-026E-4F58-99B6-1AB72834112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21</xdr:row>
      <xdr:rowOff>23813</xdr:rowOff>
    </xdr:from>
    <xdr:to>
      <xdr:col>3</xdr:col>
      <xdr:colOff>547687</xdr:colOff>
      <xdr:row>21</xdr:row>
      <xdr:rowOff>103188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1CF470B-580C-4FA4-A52D-0B240D0C90F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22</xdr:row>
      <xdr:rowOff>23813</xdr:rowOff>
    </xdr:from>
    <xdr:to>
      <xdr:col>3</xdr:col>
      <xdr:colOff>547687</xdr:colOff>
      <xdr:row>22</xdr:row>
      <xdr:rowOff>103188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C5B414C-AD46-4664-888D-E764478463DE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23</xdr:row>
      <xdr:rowOff>23813</xdr:rowOff>
    </xdr:from>
    <xdr:to>
      <xdr:col>3</xdr:col>
      <xdr:colOff>547687</xdr:colOff>
      <xdr:row>23</xdr:row>
      <xdr:rowOff>103188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205AED8-089E-40BD-AB34-FB415D6487C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24</xdr:row>
      <xdr:rowOff>23813</xdr:rowOff>
    </xdr:from>
    <xdr:to>
      <xdr:col>3</xdr:col>
      <xdr:colOff>547687</xdr:colOff>
      <xdr:row>24</xdr:row>
      <xdr:rowOff>103188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9E95FA1-CD27-486A-8F79-6C167AB6138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25</xdr:row>
      <xdr:rowOff>23813</xdr:rowOff>
    </xdr:from>
    <xdr:to>
      <xdr:col>3</xdr:col>
      <xdr:colOff>547687</xdr:colOff>
      <xdr:row>25</xdr:row>
      <xdr:rowOff>103188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F804B10-6ADF-4424-A911-79123578D9A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26</xdr:row>
      <xdr:rowOff>23813</xdr:rowOff>
    </xdr:from>
    <xdr:to>
      <xdr:col>3</xdr:col>
      <xdr:colOff>547687</xdr:colOff>
      <xdr:row>26</xdr:row>
      <xdr:rowOff>103188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B3C1843-3C2E-452E-B13A-95439418CD5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27</xdr:row>
      <xdr:rowOff>23813</xdr:rowOff>
    </xdr:from>
    <xdr:to>
      <xdr:col>3</xdr:col>
      <xdr:colOff>547687</xdr:colOff>
      <xdr:row>27</xdr:row>
      <xdr:rowOff>103188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7871AF5-A22B-454A-B719-58EFC9698B8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36</xdr:row>
      <xdr:rowOff>23813</xdr:rowOff>
    </xdr:from>
    <xdr:to>
      <xdr:col>3</xdr:col>
      <xdr:colOff>547687</xdr:colOff>
      <xdr:row>36</xdr:row>
      <xdr:rowOff>103188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A6C628A-ECEC-486A-9A1E-E490AA891B4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16</xdr:row>
      <xdr:rowOff>23813</xdr:rowOff>
    </xdr:from>
    <xdr:to>
      <xdr:col>3</xdr:col>
      <xdr:colOff>547687</xdr:colOff>
      <xdr:row>16</xdr:row>
      <xdr:rowOff>103188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F160F14-E2DB-4197-8EB6-A9E1A808F8A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17</xdr:row>
      <xdr:rowOff>23813</xdr:rowOff>
    </xdr:from>
    <xdr:to>
      <xdr:col>3</xdr:col>
      <xdr:colOff>547687</xdr:colOff>
      <xdr:row>17</xdr:row>
      <xdr:rowOff>103188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846AEC5-CBF6-4846-987C-2581C774CCB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18</xdr:row>
      <xdr:rowOff>23813</xdr:rowOff>
    </xdr:from>
    <xdr:to>
      <xdr:col>3</xdr:col>
      <xdr:colOff>547687</xdr:colOff>
      <xdr:row>18</xdr:row>
      <xdr:rowOff>103188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9A88D6A-C0A3-473B-87AE-38804CCC583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19</xdr:row>
      <xdr:rowOff>23813</xdr:rowOff>
    </xdr:from>
    <xdr:to>
      <xdr:col>3</xdr:col>
      <xdr:colOff>547687</xdr:colOff>
      <xdr:row>19</xdr:row>
      <xdr:rowOff>103188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A9644E3-0A4E-42DE-9BC0-8D6C53BA73E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37</xdr:row>
      <xdr:rowOff>23813</xdr:rowOff>
    </xdr:from>
    <xdr:to>
      <xdr:col>3</xdr:col>
      <xdr:colOff>547687</xdr:colOff>
      <xdr:row>37</xdr:row>
      <xdr:rowOff>103188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FF68485-CC4D-4F38-9AE1-0B3B2972EC9E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38</xdr:row>
      <xdr:rowOff>23813</xdr:rowOff>
    </xdr:from>
    <xdr:to>
      <xdr:col>3</xdr:col>
      <xdr:colOff>547687</xdr:colOff>
      <xdr:row>38</xdr:row>
      <xdr:rowOff>103188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B9C837A-8C57-4847-A983-A080F27AB28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39</xdr:row>
      <xdr:rowOff>23813</xdr:rowOff>
    </xdr:from>
    <xdr:to>
      <xdr:col>3</xdr:col>
      <xdr:colOff>547687</xdr:colOff>
      <xdr:row>39</xdr:row>
      <xdr:rowOff>103188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500A036-ADBB-4D2F-99F7-0F7B42EF553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40</xdr:row>
      <xdr:rowOff>23813</xdr:rowOff>
    </xdr:from>
    <xdr:to>
      <xdr:col>3</xdr:col>
      <xdr:colOff>547687</xdr:colOff>
      <xdr:row>40</xdr:row>
      <xdr:rowOff>103188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AFAF5BB-9BD4-421A-B4FB-B2ACCF41F79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41</xdr:row>
      <xdr:rowOff>23813</xdr:rowOff>
    </xdr:from>
    <xdr:to>
      <xdr:col>3</xdr:col>
      <xdr:colOff>547687</xdr:colOff>
      <xdr:row>41</xdr:row>
      <xdr:rowOff>103188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05F66B-3364-4692-86C3-3B92A7F0345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42</xdr:row>
      <xdr:rowOff>23813</xdr:rowOff>
    </xdr:from>
    <xdr:to>
      <xdr:col>3</xdr:col>
      <xdr:colOff>547687</xdr:colOff>
      <xdr:row>42</xdr:row>
      <xdr:rowOff>103188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244ABE0-821F-4308-B660-1073DFF79EC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43</xdr:row>
      <xdr:rowOff>23813</xdr:rowOff>
    </xdr:from>
    <xdr:to>
      <xdr:col>3</xdr:col>
      <xdr:colOff>547687</xdr:colOff>
      <xdr:row>43</xdr:row>
      <xdr:rowOff>103188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5D896F1-BB30-4ECE-A33F-171144DE72F1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44</xdr:row>
      <xdr:rowOff>23813</xdr:rowOff>
    </xdr:from>
    <xdr:to>
      <xdr:col>3</xdr:col>
      <xdr:colOff>547687</xdr:colOff>
      <xdr:row>44</xdr:row>
      <xdr:rowOff>103188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B232EF6-65D9-4B9F-8A91-01E27C77A1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45</xdr:row>
      <xdr:rowOff>23813</xdr:rowOff>
    </xdr:from>
    <xdr:to>
      <xdr:col>3</xdr:col>
      <xdr:colOff>547687</xdr:colOff>
      <xdr:row>45</xdr:row>
      <xdr:rowOff>103188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51DCB64-E1A8-4734-9849-7E9E1689AF4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46</xdr:row>
      <xdr:rowOff>23813</xdr:rowOff>
    </xdr:from>
    <xdr:to>
      <xdr:col>3</xdr:col>
      <xdr:colOff>547687</xdr:colOff>
      <xdr:row>46</xdr:row>
      <xdr:rowOff>103188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9257BBF-93D3-4A97-96C4-653EE0772FB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47</xdr:row>
      <xdr:rowOff>23813</xdr:rowOff>
    </xdr:from>
    <xdr:to>
      <xdr:col>3</xdr:col>
      <xdr:colOff>547687</xdr:colOff>
      <xdr:row>47</xdr:row>
      <xdr:rowOff>103188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3240E34-085F-4643-BC38-C1C7F605127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48</xdr:row>
      <xdr:rowOff>23813</xdr:rowOff>
    </xdr:from>
    <xdr:to>
      <xdr:col>3</xdr:col>
      <xdr:colOff>547687</xdr:colOff>
      <xdr:row>48</xdr:row>
      <xdr:rowOff>103188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AF85058D-0DD3-4CDA-8049-B2F6BEA97BC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49</xdr:row>
      <xdr:rowOff>23813</xdr:rowOff>
    </xdr:from>
    <xdr:to>
      <xdr:col>3</xdr:col>
      <xdr:colOff>547687</xdr:colOff>
      <xdr:row>49</xdr:row>
      <xdr:rowOff>103188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CD27DB2D-D65A-4932-B7F9-37022014351A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50</xdr:row>
      <xdr:rowOff>23813</xdr:rowOff>
    </xdr:from>
    <xdr:to>
      <xdr:col>3</xdr:col>
      <xdr:colOff>547687</xdr:colOff>
      <xdr:row>50</xdr:row>
      <xdr:rowOff>103188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7F5598E0-68E7-43F5-AFFE-D8BC27E89B9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28</xdr:row>
      <xdr:rowOff>23813</xdr:rowOff>
    </xdr:from>
    <xdr:to>
      <xdr:col>3</xdr:col>
      <xdr:colOff>547687</xdr:colOff>
      <xdr:row>28</xdr:row>
      <xdr:rowOff>103188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BDE74C8D-0309-4429-BCF1-22423146C38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51</xdr:row>
      <xdr:rowOff>23813</xdr:rowOff>
    </xdr:from>
    <xdr:to>
      <xdr:col>3</xdr:col>
      <xdr:colOff>547687</xdr:colOff>
      <xdr:row>51</xdr:row>
      <xdr:rowOff>103188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7F38045-B3DD-4A49-9BAA-123ABA18B1B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52</xdr:row>
      <xdr:rowOff>23813</xdr:rowOff>
    </xdr:from>
    <xdr:to>
      <xdr:col>3</xdr:col>
      <xdr:colOff>547687</xdr:colOff>
      <xdr:row>52</xdr:row>
      <xdr:rowOff>103188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5A5C97B5-72A9-48AD-931F-B5C124530954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53</xdr:row>
      <xdr:rowOff>23813</xdr:rowOff>
    </xdr:from>
    <xdr:to>
      <xdr:col>3</xdr:col>
      <xdr:colOff>547687</xdr:colOff>
      <xdr:row>53</xdr:row>
      <xdr:rowOff>103188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7DD0984-E66F-4C1B-8D0C-50D0B6B86E67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54</xdr:row>
      <xdr:rowOff>23813</xdr:rowOff>
    </xdr:from>
    <xdr:to>
      <xdr:col>3</xdr:col>
      <xdr:colOff>547687</xdr:colOff>
      <xdr:row>54</xdr:row>
      <xdr:rowOff>103188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B9A9EEC4-1BEB-4201-BB8F-17080494A85B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55</xdr:row>
      <xdr:rowOff>23813</xdr:rowOff>
    </xdr:from>
    <xdr:to>
      <xdr:col>3</xdr:col>
      <xdr:colOff>547687</xdr:colOff>
      <xdr:row>55</xdr:row>
      <xdr:rowOff>103188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A52449A7-A8AE-4F99-B5D5-1C1154CD5C40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56</xdr:row>
      <xdr:rowOff>23813</xdr:rowOff>
    </xdr:from>
    <xdr:to>
      <xdr:col>3</xdr:col>
      <xdr:colOff>547687</xdr:colOff>
      <xdr:row>56</xdr:row>
      <xdr:rowOff>103188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35DA60B3-93DB-4B09-924D-EE53EF832932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57</xdr:row>
      <xdr:rowOff>23813</xdr:rowOff>
    </xdr:from>
    <xdr:to>
      <xdr:col>3</xdr:col>
      <xdr:colOff>547687</xdr:colOff>
      <xdr:row>57</xdr:row>
      <xdr:rowOff>103188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D8E1171-8A77-48EC-97E6-D5DA9F2A57EF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58</xdr:row>
      <xdr:rowOff>23813</xdr:rowOff>
    </xdr:from>
    <xdr:to>
      <xdr:col>3</xdr:col>
      <xdr:colOff>547687</xdr:colOff>
      <xdr:row>58</xdr:row>
      <xdr:rowOff>103188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C3E4D99B-A359-414E-B9AA-F493310D01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59</xdr:row>
      <xdr:rowOff>23813</xdr:rowOff>
    </xdr:from>
    <xdr:to>
      <xdr:col>3</xdr:col>
      <xdr:colOff>547687</xdr:colOff>
      <xdr:row>59</xdr:row>
      <xdr:rowOff>103188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86FC52F1-E7C7-4D2B-9B7A-52849A8B207D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60</xdr:row>
      <xdr:rowOff>23813</xdr:rowOff>
    </xdr:from>
    <xdr:to>
      <xdr:col>3</xdr:col>
      <xdr:colOff>547687</xdr:colOff>
      <xdr:row>60</xdr:row>
      <xdr:rowOff>103188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12151D7C-43BB-403C-8E53-39C8E391E56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61</xdr:row>
      <xdr:rowOff>23813</xdr:rowOff>
    </xdr:from>
    <xdr:to>
      <xdr:col>3</xdr:col>
      <xdr:colOff>547687</xdr:colOff>
      <xdr:row>61</xdr:row>
      <xdr:rowOff>103188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F168BF07-346C-4C62-9757-89AC0D061DB1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62</xdr:row>
      <xdr:rowOff>23813</xdr:rowOff>
    </xdr:from>
    <xdr:to>
      <xdr:col>3</xdr:col>
      <xdr:colOff>547687</xdr:colOff>
      <xdr:row>62</xdr:row>
      <xdr:rowOff>103188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45F2EE88-5A2E-4859-A4F6-B9E2E6980076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63</xdr:row>
      <xdr:rowOff>23813</xdr:rowOff>
    </xdr:from>
    <xdr:to>
      <xdr:col>3</xdr:col>
      <xdr:colOff>547687</xdr:colOff>
      <xdr:row>63</xdr:row>
      <xdr:rowOff>103188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684FAEB-1ADB-42C7-9879-960749D84EB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64</xdr:row>
      <xdr:rowOff>23813</xdr:rowOff>
    </xdr:from>
    <xdr:to>
      <xdr:col>3</xdr:col>
      <xdr:colOff>547687</xdr:colOff>
      <xdr:row>64</xdr:row>
      <xdr:rowOff>103188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104972FD-A7FD-4A35-AA06-B1EF1D3C5218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65</xdr:row>
      <xdr:rowOff>23813</xdr:rowOff>
    </xdr:from>
    <xdr:to>
      <xdr:col>3</xdr:col>
      <xdr:colOff>547687</xdr:colOff>
      <xdr:row>65</xdr:row>
      <xdr:rowOff>103188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B631A97-4D8B-4C3B-A143-BC3FB3E49E43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66</xdr:row>
      <xdr:rowOff>23813</xdr:rowOff>
    </xdr:from>
    <xdr:to>
      <xdr:col>3</xdr:col>
      <xdr:colOff>547687</xdr:colOff>
      <xdr:row>66</xdr:row>
      <xdr:rowOff>103188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17EBC81-5D63-4978-A19F-1E0692B69275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67</xdr:row>
      <xdr:rowOff>23813</xdr:rowOff>
    </xdr:from>
    <xdr:to>
      <xdr:col>3</xdr:col>
      <xdr:colOff>547687</xdr:colOff>
      <xdr:row>67</xdr:row>
      <xdr:rowOff>103188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9C782FB8-D9A9-48EB-98B9-EB65720B563C}"/>
            </a:ext>
          </a:extLst>
        </xdr:cNvPr>
        <xdr:cNvSpPr/>
      </xdr:nvSpPr>
      <xdr:spPr bwMode="auto">
        <a:xfrm>
          <a:off x="2627313" y="8294688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29</xdr:row>
      <xdr:rowOff>23813</xdr:rowOff>
    </xdr:from>
    <xdr:to>
      <xdr:col>3</xdr:col>
      <xdr:colOff>547687</xdr:colOff>
      <xdr:row>29</xdr:row>
      <xdr:rowOff>103188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6498212-924F-4666-B451-BF2B94F52520}"/>
            </a:ext>
          </a:extLst>
        </xdr:cNvPr>
        <xdr:cNvSpPr/>
      </xdr:nvSpPr>
      <xdr:spPr bwMode="auto">
        <a:xfrm>
          <a:off x="2627313" y="627063"/>
          <a:ext cx="484187" cy="79375"/>
        </a:xfrm>
        <a:prstGeom prst="ellipse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55562</xdr:colOff>
      <xdr:row>68</xdr:row>
      <xdr:rowOff>15875</xdr:rowOff>
    </xdr:from>
    <xdr:to>
      <xdr:col>3</xdr:col>
      <xdr:colOff>539749</xdr:colOff>
      <xdr:row>68</xdr:row>
      <xdr:rowOff>95250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A78F5CA-BC58-42FD-B5D4-B5E8F9164100}"/>
            </a:ext>
          </a:extLst>
        </xdr:cNvPr>
        <xdr:cNvSpPr/>
      </xdr:nvSpPr>
      <xdr:spPr bwMode="auto">
        <a:xfrm>
          <a:off x="2619375" y="8509000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69</xdr:row>
      <xdr:rowOff>23812</xdr:rowOff>
    </xdr:from>
    <xdr:to>
      <xdr:col>3</xdr:col>
      <xdr:colOff>547687</xdr:colOff>
      <xdr:row>69</xdr:row>
      <xdr:rowOff>103187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E5BED6D-FE00-405E-A16C-FF46327CB696}"/>
            </a:ext>
          </a:extLst>
        </xdr:cNvPr>
        <xdr:cNvSpPr/>
      </xdr:nvSpPr>
      <xdr:spPr bwMode="auto">
        <a:xfrm>
          <a:off x="2627313" y="8628062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70</xdr:row>
      <xdr:rowOff>15875</xdr:rowOff>
    </xdr:from>
    <xdr:to>
      <xdr:col>3</xdr:col>
      <xdr:colOff>547687</xdr:colOff>
      <xdr:row>70</xdr:row>
      <xdr:rowOff>95250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28E1231-0637-427B-9E6F-86EC1DA46FB1}"/>
            </a:ext>
          </a:extLst>
        </xdr:cNvPr>
        <xdr:cNvSpPr/>
      </xdr:nvSpPr>
      <xdr:spPr bwMode="auto">
        <a:xfrm>
          <a:off x="2627313" y="8397875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63500</xdr:colOff>
      <xdr:row>71</xdr:row>
      <xdr:rowOff>15875</xdr:rowOff>
    </xdr:from>
    <xdr:to>
      <xdr:col>3</xdr:col>
      <xdr:colOff>547687</xdr:colOff>
      <xdr:row>71</xdr:row>
      <xdr:rowOff>95250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5B6BFD8-57BE-4BD6-A486-54BDB6368AD6}"/>
            </a:ext>
          </a:extLst>
        </xdr:cNvPr>
        <xdr:cNvSpPr/>
      </xdr:nvSpPr>
      <xdr:spPr bwMode="auto">
        <a:xfrm>
          <a:off x="2627313" y="7842250"/>
          <a:ext cx="484187" cy="79375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150"/>
  <sheetViews>
    <sheetView tabSelected="1" zoomScale="120" zoomScaleNormal="120" zoomScaleSheetLayoutView="140" workbookViewId="0">
      <pane xSplit="10" ySplit="5" topLeftCell="K6" activePane="bottomRight" state="frozenSplit"/>
      <selection pane="topRight" activeCell="O1" sqref="O1"/>
      <selection pane="bottomLeft" activeCell="A2" sqref="A2"/>
      <selection pane="bottomRight" activeCell="C24" sqref="C24"/>
    </sheetView>
  </sheetViews>
  <sheetFormatPr defaultColWidth="5.6640625" defaultRowHeight="9" customHeight="1" x14ac:dyDescent="0.2"/>
  <cols>
    <col min="1" max="1" width="16.21875" style="16" bestFit="1" customWidth="1"/>
    <col min="2" max="2" width="6.6640625" style="2" customWidth="1"/>
    <col min="3" max="3" width="7" style="2" bestFit="1" customWidth="1"/>
    <col min="4" max="4" width="7" style="2" customWidth="1"/>
    <col min="5" max="5" width="4.44140625" style="2" customWidth="1"/>
    <col min="6" max="6" width="4.5546875" style="2" customWidth="1"/>
    <col min="7" max="7" width="4.44140625" style="2" customWidth="1"/>
    <col min="8" max="8" width="4.44140625" style="30" customWidth="1"/>
    <col min="9" max="9" width="5.109375" style="2" bestFit="1" customWidth="1"/>
    <col min="10" max="33" width="4.44140625" style="2" customWidth="1"/>
    <col min="34" max="53" width="4.44140625" style="2" hidden="1" customWidth="1"/>
    <col min="54" max="55" width="4.44140625" style="2" customWidth="1"/>
    <col min="56" max="56" width="6.44140625" style="2" bestFit="1" customWidth="1"/>
    <col min="57" max="57" width="4.44140625" style="4" customWidth="1"/>
    <col min="58" max="58" width="7.5546875" style="2" bestFit="1" customWidth="1"/>
    <col min="59" max="16384" width="5.6640625" style="2"/>
  </cols>
  <sheetData>
    <row r="1" spans="1:57" s="1" customFormat="1" ht="12.75" x14ac:dyDescent="0.2">
      <c r="A1" s="80" t="s">
        <v>11</v>
      </c>
      <c r="B1" s="80"/>
      <c r="C1" s="80"/>
      <c r="D1" s="76"/>
      <c r="E1" s="34"/>
      <c r="F1" s="34"/>
      <c r="G1" s="24" t="s">
        <v>18</v>
      </c>
      <c r="H1" s="31" t="s">
        <v>19</v>
      </c>
      <c r="I1" s="34"/>
      <c r="J1" s="34"/>
      <c r="K1" s="64">
        <v>10</v>
      </c>
      <c r="L1" s="64">
        <v>11</v>
      </c>
      <c r="M1" s="64">
        <v>12</v>
      </c>
      <c r="N1" s="64">
        <v>13</v>
      </c>
      <c r="O1" s="64">
        <v>14</v>
      </c>
      <c r="P1" s="64">
        <v>15</v>
      </c>
      <c r="Q1" s="64">
        <v>16</v>
      </c>
      <c r="R1" s="64">
        <v>17</v>
      </c>
      <c r="S1" s="64">
        <v>18</v>
      </c>
      <c r="T1" s="64">
        <v>19</v>
      </c>
      <c r="U1" s="64">
        <v>20</v>
      </c>
      <c r="V1" s="64">
        <v>21</v>
      </c>
      <c r="W1" s="64">
        <v>22</v>
      </c>
      <c r="X1" s="64">
        <v>23</v>
      </c>
      <c r="Y1" s="64">
        <v>24</v>
      </c>
      <c r="Z1" s="64">
        <v>25</v>
      </c>
      <c r="AA1" s="64">
        <v>26</v>
      </c>
      <c r="AB1" s="64">
        <v>27</v>
      </c>
      <c r="AC1" s="64">
        <v>28</v>
      </c>
      <c r="AD1" s="64">
        <v>29</v>
      </c>
      <c r="AE1" s="64">
        <v>30</v>
      </c>
      <c r="AF1" s="64">
        <v>31</v>
      </c>
      <c r="AG1" s="64">
        <v>32</v>
      </c>
      <c r="AH1" s="64">
        <v>33</v>
      </c>
      <c r="AI1" s="64">
        <v>34</v>
      </c>
      <c r="AJ1" s="64">
        <v>35</v>
      </c>
      <c r="AK1" s="64">
        <v>36</v>
      </c>
      <c r="AL1" s="64">
        <v>37</v>
      </c>
      <c r="AM1" s="64">
        <v>38</v>
      </c>
      <c r="AN1" s="64">
        <v>39</v>
      </c>
      <c r="AO1" s="64">
        <v>40</v>
      </c>
      <c r="AP1" s="64">
        <v>41</v>
      </c>
      <c r="AQ1" s="64">
        <v>42</v>
      </c>
      <c r="AR1" s="64">
        <v>43</v>
      </c>
      <c r="AS1" s="64">
        <v>44</v>
      </c>
      <c r="AT1" s="64">
        <v>45</v>
      </c>
      <c r="AU1" s="64">
        <v>46</v>
      </c>
      <c r="AV1" s="64">
        <v>47</v>
      </c>
      <c r="AW1" s="64">
        <v>48</v>
      </c>
      <c r="AX1" s="64">
        <v>49</v>
      </c>
      <c r="AY1" s="64">
        <v>50</v>
      </c>
      <c r="AZ1" s="64">
        <v>51</v>
      </c>
      <c r="BA1" s="64">
        <v>52</v>
      </c>
      <c r="BB1" s="23"/>
      <c r="BC1" s="23"/>
      <c r="BD1" s="23"/>
      <c r="BE1" s="23"/>
    </row>
    <row r="2" spans="1:57" s="5" customFormat="1" x14ac:dyDescent="0.2">
      <c r="A2" s="34"/>
      <c r="B2" s="34"/>
      <c r="C2" s="34"/>
      <c r="D2" s="34"/>
      <c r="E2" s="34"/>
      <c r="F2" s="34"/>
      <c r="G2" s="25">
        <v>46076</v>
      </c>
      <c r="H2" s="32">
        <f>G2</f>
        <v>46076</v>
      </c>
      <c r="I2" s="34"/>
      <c r="J2" s="34"/>
      <c r="K2" s="5">
        <v>46083</v>
      </c>
      <c r="L2" s="5">
        <v>46090</v>
      </c>
      <c r="M2" s="5">
        <v>46097</v>
      </c>
      <c r="N2" s="5">
        <v>46104</v>
      </c>
      <c r="O2" s="5">
        <v>46111</v>
      </c>
      <c r="P2" s="5">
        <v>46118</v>
      </c>
      <c r="Q2" s="5">
        <v>46125</v>
      </c>
      <c r="R2" s="5">
        <v>46132</v>
      </c>
      <c r="S2" s="5">
        <v>46139</v>
      </c>
      <c r="T2" s="5">
        <v>46146</v>
      </c>
      <c r="U2" s="5">
        <v>46153</v>
      </c>
      <c r="V2" s="5">
        <v>46160</v>
      </c>
      <c r="W2" s="5">
        <v>46167</v>
      </c>
      <c r="X2" s="5">
        <v>46174</v>
      </c>
      <c r="Y2" s="5">
        <v>46181</v>
      </c>
      <c r="Z2" s="5">
        <v>46188</v>
      </c>
      <c r="AA2" s="5">
        <v>46195</v>
      </c>
      <c r="AB2" s="5">
        <v>46202</v>
      </c>
      <c r="AC2" s="5">
        <v>46209</v>
      </c>
      <c r="AD2" s="5">
        <v>46216</v>
      </c>
      <c r="AE2" s="5">
        <v>46223</v>
      </c>
      <c r="AF2" s="5">
        <v>46230</v>
      </c>
      <c r="AG2" s="5">
        <v>46237</v>
      </c>
      <c r="AH2" s="5">
        <v>46244</v>
      </c>
      <c r="AI2" s="5">
        <v>46251</v>
      </c>
      <c r="AJ2" s="5">
        <v>46258</v>
      </c>
      <c r="AK2" s="5">
        <v>46265</v>
      </c>
      <c r="AL2" s="5">
        <v>46272</v>
      </c>
      <c r="AM2" s="5">
        <v>46279</v>
      </c>
      <c r="AN2" s="5">
        <v>46286</v>
      </c>
      <c r="AO2" s="5">
        <v>46293</v>
      </c>
      <c r="AP2" s="5">
        <v>46300</v>
      </c>
      <c r="AQ2" s="5">
        <v>46307</v>
      </c>
      <c r="AR2" s="5">
        <v>46314</v>
      </c>
      <c r="AS2" s="5">
        <v>46321</v>
      </c>
      <c r="AT2" s="5">
        <v>46328</v>
      </c>
      <c r="AU2" s="5">
        <v>46335</v>
      </c>
      <c r="AV2" s="5">
        <v>46342</v>
      </c>
      <c r="AW2" s="5">
        <v>46349</v>
      </c>
      <c r="AX2" s="5">
        <v>46356</v>
      </c>
      <c r="AY2" s="5">
        <v>46363</v>
      </c>
      <c r="AZ2" s="5">
        <v>46370</v>
      </c>
      <c r="BA2" s="5">
        <v>46377</v>
      </c>
      <c r="BB2" s="23"/>
      <c r="BC2" s="23"/>
      <c r="BD2" s="23"/>
      <c r="BE2" s="23"/>
    </row>
    <row r="3" spans="1:57" s="1" customFormat="1" x14ac:dyDescent="0.2">
      <c r="A3" s="35"/>
      <c r="B3" s="35"/>
      <c r="C3" s="35"/>
      <c r="D3" s="35"/>
      <c r="E3" s="35"/>
      <c r="F3" s="35"/>
      <c r="G3" s="27">
        <v>22</v>
      </c>
      <c r="H3" s="33">
        <v>22</v>
      </c>
      <c r="I3" s="35"/>
      <c r="J3" s="35"/>
      <c r="K3" s="10">
        <v>22</v>
      </c>
      <c r="L3" s="10">
        <v>22</v>
      </c>
      <c r="M3" s="10">
        <v>22</v>
      </c>
      <c r="N3" s="10">
        <v>22</v>
      </c>
      <c r="O3" s="10">
        <v>22</v>
      </c>
      <c r="P3" s="10">
        <v>22</v>
      </c>
      <c r="Q3" s="10">
        <v>22</v>
      </c>
      <c r="R3" s="10">
        <v>22</v>
      </c>
      <c r="S3" s="10">
        <v>22</v>
      </c>
      <c r="T3" s="10">
        <v>22</v>
      </c>
      <c r="U3" s="10">
        <v>22</v>
      </c>
      <c r="V3" s="10">
        <v>22</v>
      </c>
      <c r="W3" s="10">
        <v>22</v>
      </c>
      <c r="X3" s="10">
        <v>22</v>
      </c>
      <c r="Y3" s="10">
        <v>22</v>
      </c>
      <c r="Z3" s="10">
        <v>22</v>
      </c>
      <c r="AA3" s="10">
        <v>22</v>
      </c>
      <c r="AB3" s="10">
        <v>22</v>
      </c>
      <c r="AC3" s="10">
        <v>22</v>
      </c>
      <c r="AD3" s="10">
        <v>22</v>
      </c>
      <c r="AE3" s="10">
        <v>22</v>
      </c>
      <c r="AF3" s="10">
        <v>22</v>
      </c>
      <c r="AG3" s="10">
        <v>22</v>
      </c>
      <c r="AH3" s="10">
        <v>22</v>
      </c>
      <c r="AI3" s="10">
        <v>22</v>
      </c>
      <c r="AJ3" s="10">
        <v>22</v>
      </c>
      <c r="AK3" s="10">
        <v>22</v>
      </c>
      <c r="AL3" s="10">
        <v>22</v>
      </c>
      <c r="AM3" s="10">
        <v>22</v>
      </c>
      <c r="AN3" s="10">
        <v>22</v>
      </c>
      <c r="AO3" s="10">
        <v>22</v>
      </c>
      <c r="AP3" s="10">
        <v>22</v>
      </c>
      <c r="AQ3" s="10">
        <v>22</v>
      </c>
      <c r="AR3" s="10">
        <v>22</v>
      </c>
      <c r="AS3" s="10">
        <v>22</v>
      </c>
      <c r="AT3" s="10">
        <v>22</v>
      </c>
      <c r="AU3" s="10">
        <v>22</v>
      </c>
      <c r="AV3" s="10">
        <v>22</v>
      </c>
      <c r="AW3" s="10">
        <v>22</v>
      </c>
      <c r="AX3" s="10">
        <v>22</v>
      </c>
      <c r="AY3" s="10">
        <v>22</v>
      </c>
      <c r="AZ3" s="10">
        <v>22</v>
      </c>
      <c r="BA3" s="10">
        <v>22</v>
      </c>
      <c r="BB3" s="23"/>
      <c r="BC3" s="23"/>
      <c r="BD3" s="23"/>
      <c r="BE3" s="23"/>
    </row>
    <row r="4" spans="1:57" s="1" customFormat="1" x14ac:dyDescent="0.2">
      <c r="A4" s="15" t="s">
        <v>25</v>
      </c>
      <c r="B4" s="13">
        <v>431</v>
      </c>
      <c r="C4" s="1" t="s">
        <v>12</v>
      </c>
      <c r="D4" s="77"/>
      <c r="E4" s="34"/>
      <c r="F4" s="34"/>
      <c r="G4" s="52">
        <v>55</v>
      </c>
      <c r="H4" s="52">
        <v>55</v>
      </c>
      <c r="I4" s="34"/>
      <c r="J4" s="34"/>
      <c r="K4" s="52">
        <v>55</v>
      </c>
      <c r="L4" s="52">
        <v>55</v>
      </c>
      <c r="M4" s="52">
        <v>55</v>
      </c>
      <c r="N4" s="52">
        <v>55</v>
      </c>
      <c r="O4" s="52">
        <v>55</v>
      </c>
      <c r="P4" s="52">
        <v>55</v>
      </c>
      <c r="Q4" s="52">
        <v>55</v>
      </c>
      <c r="R4" s="52">
        <v>55</v>
      </c>
      <c r="S4" s="52">
        <v>55</v>
      </c>
      <c r="T4" s="52">
        <v>55</v>
      </c>
      <c r="U4" s="52">
        <v>55</v>
      </c>
      <c r="V4" s="52">
        <v>55</v>
      </c>
      <c r="W4" s="65">
        <v>40</v>
      </c>
      <c r="X4" s="52">
        <v>55</v>
      </c>
      <c r="Y4" s="52">
        <v>55</v>
      </c>
      <c r="Z4" s="52">
        <v>55</v>
      </c>
      <c r="AA4" s="52">
        <v>55</v>
      </c>
      <c r="AB4" s="52">
        <v>55</v>
      </c>
      <c r="AC4" s="65">
        <v>40</v>
      </c>
      <c r="AD4" s="52">
        <v>55</v>
      </c>
      <c r="AE4" s="52">
        <v>55</v>
      </c>
      <c r="AF4" s="52">
        <v>55</v>
      </c>
      <c r="AG4" s="52">
        <v>55</v>
      </c>
      <c r="AH4" s="52">
        <v>55</v>
      </c>
      <c r="AI4" s="52">
        <v>55</v>
      </c>
      <c r="AJ4" s="52">
        <v>55</v>
      </c>
      <c r="AK4" s="52">
        <v>55</v>
      </c>
      <c r="AL4" s="65">
        <v>40</v>
      </c>
      <c r="AM4" s="52">
        <v>55</v>
      </c>
      <c r="AN4" s="52">
        <v>55</v>
      </c>
      <c r="AO4" s="52">
        <v>55</v>
      </c>
      <c r="AP4" s="52">
        <v>55</v>
      </c>
      <c r="AQ4" s="52">
        <v>55</v>
      </c>
      <c r="AR4" s="52">
        <v>55</v>
      </c>
      <c r="AS4" s="52">
        <v>55</v>
      </c>
      <c r="AT4" s="52">
        <v>55</v>
      </c>
      <c r="AU4" s="52">
        <v>55</v>
      </c>
      <c r="AV4" s="52">
        <v>55</v>
      </c>
      <c r="AW4" s="65">
        <v>40</v>
      </c>
      <c r="AX4" s="52">
        <v>55</v>
      </c>
      <c r="AY4" s="52">
        <v>55</v>
      </c>
      <c r="AZ4" s="52">
        <v>55</v>
      </c>
      <c r="BA4" s="65">
        <v>40</v>
      </c>
      <c r="BB4" s="23"/>
      <c r="BC4" s="23"/>
      <c r="BD4" s="23"/>
      <c r="BE4" s="23"/>
    </row>
    <row r="5" spans="1:57" s="1" customFormat="1" x14ac:dyDescent="0.2">
      <c r="A5" s="14"/>
      <c r="B5" s="5" t="s">
        <v>0</v>
      </c>
      <c r="C5" s="1" t="s">
        <v>1</v>
      </c>
      <c r="E5" s="1" t="s">
        <v>4</v>
      </c>
      <c r="F5" s="26" t="s">
        <v>5</v>
      </c>
      <c r="G5" s="14"/>
      <c r="H5" s="14"/>
      <c r="I5" s="1" t="s">
        <v>9</v>
      </c>
      <c r="J5" s="1" t="s">
        <v>10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1" t="s">
        <v>17</v>
      </c>
      <c r="BC5" s="1" t="s">
        <v>2</v>
      </c>
      <c r="BD5" s="1" t="s">
        <v>1</v>
      </c>
      <c r="BE5" s="20"/>
    </row>
    <row r="6" spans="1:57" s="16" customFormat="1" x14ac:dyDescent="0.2">
      <c r="A6" s="28" t="s">
        <v>53</v>
      </c>
      <c r="B6" s="21"/>
      <c r="C6" s="54" t="s">
        <v>52</v>
      </c>
      <c r="D6" s="54"/>
      <c r="E6" s="29">
        <v>705</v>
      </c>
      <c r="F6" s="7">
        <f>24+58+3+21+85+17+3+29+13</f>
        <v>253</v>
      </c>
      <c r="G6" s="2"/>
      <c r="H6" s="7"/>
      <c r="I6" s="2">
        <f t="shared" ref="I6:I12" si="0">F6+H6</f>
        <v>253</v>
      </c>
      <c r="J6" s="3">
        <f t="shared" ref="J6:J12" si="1">I6/E6</f>
        <v>0.35886524822695037</v>
      </c>
      <c r="M6" s="2">
        <v>150</v>
      </c>
      <c r="N6" s="2">
        <v>130</v>
      </c>
      <c r="O6" s="2">
        <v>100</v>
      </c>
      <c r="P6" s="2">
        <v>72</v>
      </c>
      <c r="Q6" s="7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1">
        <f>SUM(M6:BA6)</f>
        <v>452</v>
      </c>
      <c r="BC6" s="1">
        <f t="shared" ref="BC6:BC31" si="2">E6-I6</f>
        <v>452</v>
      </c>
      <c r="BD6" s="1" t="str">
        <f t="shared" ref="BD6:BD30" si="3">C6</f>
        <v>046-24</v>
      </c>
      <c r="BE6" s="4">
        <f t="shared" ref="BE6:BE31" si="4">E6-I6-BB6</f>
        <v>0</v>
      </c>
    </row>
    <row r="7" spans="1:57" s="16" customFormat="1" x14ac:dyDescent="0.2">
      <c r="A7" s="28" t="s">
        <v>61</v>
      </c>
      <c r="B7" s="21">
        <v>46027</v>
      </c>
      <c r="C7" s="54" t="s">
        <v>55</v>
      </c>
      <c r="D7" s="54"/>
      <c r="E7" s="29">
        <v>174</v>
      </c>
      <c r="F7" s="7">
        <f>6+10+12+19+19+15+7</f>
        <v>88</v>
      </c>
      <c r="G7" s="2"/>
      <c r="H7" s="7">
        <v>3</v>
      </c>
      <c r="I7" s="2">
        <f>F7+H7</f>
        <v>91</v>
      </c>
      <c r="J7" s="3">
        <f>I7/E7</f>
        <v>0.52298850574712641</v>
      </c>
      <c r="BB7" s="1">
        <f t="shared" ref="BB7:BB12" si="5">SUM(K7:BA7)</f>
        <v>0</v>
      </c>
      <c r="BC7" s="1">
        <f t="shared" si="2"/>
        <v>83</v>
      </c>
      <c r="BD7" s="1" t="str">
        <f t="shared" si="3"/>
        <v>010-25</v>
      </c>
      <c r="BE7" s="62">
        <f t="shared" si="4"/>
        <v>83</v>
      </c>
    </row>
    <row r="8" spans="1:57" s="16" customFormat="1" x14ac:dyDescent="0.2">
      <c r="A8" s="28" t="s">
        <v>62</v>
      </c>
      <c r="B8" s="21">
        <v>46027</v>
      </c>
      <c r="C8" s="54" t="s">
        <v>56</v>
      </c>
      <c r="D8" s="54"/>
      <c r="E8" s="29">
        <v>314</v>
      </c>
      <c r="F8" s="7">
        <f>14+21+21+22+38+46+61</f>
        <v>223</v>
      </c>
      <c r="G8" s="2"/>
      <c r="H8" s="7">
        <v>75</v>
      </c>
      <c r="I8" s="2">
        <f t="shared" si="0"/>
        <v>298</v>
      </c>
      <c r="J8" s="3">
        <f t="shared" si="1"/>
        <v>0.94904458598726116</v>
      </c>
      <c r="BB8" s="1">
        <f t="shared" si="5"/>
        <v>0</v>
      </c>
      <c r="BC8" s="1">
        <f t="shared" si="2"/>
        <v>16</v>
      </c>
      <c r="BD8" s="1" t="str">
        <f t="shared" si="3"/>
        <v>012-25</v>
      </c>
      <c r="BE8" s="62">
        <f t="shared" si="4"/>
        <v>16</v>
      </c>
    </row>
    <row r="9" spans="1:57" s="16" customFormat="1" x14ac:dyDescent="0.2">
      <c r="A9" s="28" t="s">
        <v>63</v>
      </c>
      <c r="B9" s="21">
        <v>46027</v>
      </c>
      <c r="C9" s="54" t="s">
        <v>57</v>
      </c>
      <c r="D9" s="54"/>
      <c r="E9" s="29">
        <v>513</v>
      </c>
      <c r="F9" s="7">
        <f>40+9+29+3+3+17+12</f>
        <v>113</v>
      </c>
      <c r="G9" s="2">
        <v>80</v>
      </c>
      <c r="H9" s="7">
        <v>34</v>
      </c>
      <c r="I9" s="2">
        <f t="shared" si="0"/>
        <v>147</v>
      </c>
      <c r="J9" s="3">
        <f t="shared" si="1"/>
        <v>0.28654970760233917</v>
      </c>
      <c r="K9" s="74"/>
      <c r="BB9" s="1">
        <f t="shared" si="5"/>
        <v>0</v>
      </c>
      <c r="BC9" s="1">
        <f t="shared" si="2"/>
        <v>366</v>
      </c>
      <c r="BD9" s="1" t="str">
        <f t="shared" si="3"/>
        <v>013-25</v>
      </c>
      <c r="BE9" s="62">
        <f t="shared" si="4"/>
        <v>366</v>
      </c>
    </row>
    <row r="10" spans="1:57" s="16" customFormat="1" x14ac:dyDescent="0.2">
      <c r="A10" s="28" t="s">
        <v>64</v>
      </c>
      <c r="B10" s="21">
        <v>46027</v>
      </c>
      <c r="C10" s="54" t="s">
        <v>58</v>
      </c>
      <c r="D10" s="54"/>
      <c r="E10" s="29">
        <v>316</v>
      </c>
      <c r="F10" s="7">
        <f>8+22+1+4+22+27+33+57+18</f>
        <v>192</v>
      </c>
      <c r="G10" s="2"/>
      <c r="H10" s="7">
        <v>3</v>
      </c>
      <c r="I10" s="2">
        <f t="shared" si="0"/>
        <v>195</v>
      </c>
      <c r="J10" s="3">
        <f t="shared" si="1"/>
        <v>0.61708860759493667</v>
      </c>
      <c r="BB10" s="1">
        <f t="shared" si="5"/>
        <v>0</v>
      </c>
      <c r="BC10" s="1">
        <f t="shared" si="2"/>
        <v>121</v>
      </c>
      <c r="BD10" s="1" t="str">
        <f t="shared" si="3"/>
        <v>016-25</v>
      </c>
      <c r="BE10" s="62">
        <f t="shared" si="4"/>
        <v>121</v>
      </c>
    </row>
    <row r="11" spans="1:57" s="16" customFormat="1" x14ac:dyDescent="0.2">
      <c r="A11" s="28" t="s">
        <v>65</v>
      </c>
      <c r="B11" s="21">
        <v>45992</v>
      </c>
      <c r="C11" s="54" t="s">
        <v>59</v>
      </c>
      <c r="D11" s="54"/>
      <c r="E11" s="29">
        <v>518</v>
      </c>
      <c r="F11" s="7">
        <f>6+53+24+45+50+60+56+68+6+2+11+27+25</f>
        <v>433</v>
      </c>
      <c r="G11" s="2"/>
      <c r="H11" s="7"/>
      <c r="I11" s="2">
        <f t="shared" si="0"/>
        <v>433</v>
      </c>
      <c r="J11" s="3">
        <f t="shared" si="1"/>
        <v>0.8359073359073359</v>
      </c>
      <c r="BB11" s="1">
        <f t="shared" si="5"/>
        <v>0</v>
      </c>
      <c r="BC11" s="1">
        <f t="shared" si="2"/>
        <v>85</v>
      </c>
      <c r="BD11" s="1" t="str">
        <f t="shared" si="3"/>
        <v>018-25</v>
      </c>
      <c r="BE11" s="62">
        <f t="shared" si="4"/>
        <v>85</v>
      </c>
    </row>
    <row r="12" spans="1:57" s="16" customFormat="1" x14ac:dyDescent="0.2">
      <c r="A12" s="28" t="s">
        <v>66</v>
      </c>
      <c r="B12" s="21">
        <v>46027</v>
      </c>
      <c r="C12" s="54" t="s">
        <v>60</v>
      </c>
      <c r="D12" s="54"/>
      <c r="E12" s="29">
        <v>287</v>
      </c>
      <c r="F12" s="7">
        <f>4+22+6+3+2+5+31+3+30+49</f>
        <v>155</v>
      </c>
      <c r="G12" s="2"/>
      <c r="H12" s="7">
        <v>5</v>
      </c>
      <c r="I12" s="2">
        <f t="shared" si="0"/>
        <v>160</v>
      </c>
      <c r="J12" s="3">
        <f t="shared" si="1"/>
        <v>0.55749128919860624</v>
      </c>
      <c r="BB12" s="1">
        <f t="shared" si="5"/>
        <v>0</v>
      </c>
      <c r="BC12" s="1">
        <f t="shared" si="2"/>
        <v>127</v>
      </c>
      <c r="BD12" s="1" t="str">
        <f t="shared" si="3"/>
        <v>019-25</v>
      </c>
      <c r="BE12" s="62">
        <f t="shared" si="4"/>
        <v>127</v>
      </c>
    </row>
    <row r="13" spans="1:57" s="16" customFormat="1" x14ac:dyDescent="0.2">
      <c r="A13" s="28" t="s">
        <v>68</v>
      </c>
      <c r="B13" s="21">
        <v>45903</v>
      </c>
      <c r="C13" s="54" t="s">
        <v>69</v>
      </c>
      <c r="D13" s="54"/>
      <c r="E13" s="29">
        <v>190</v>
      </c>
      <c r="F13" s="7">
        <f>1+61+2+3+3+47+31+5+93+12</f>
        <v>258</v>
      </c>
      <c r="G13" s="2"/>
      <c r="H13" s="7">
        <v>1</v>
      </c>
      <c r="I13" s="2">
        <f t="shared" ref="I13" si="6">F13+H13</f>
        <v>259</v>
      </c>
      <c r="J13" s="3">
        <f t="shared" ref="J13" si="7">I13/E13</f>
        <v>1.3631578947368421</v>
      </c>
      <c r="L13" s="2">
        <v>50</v>
      </c>
      <c r="M13" s="2">
        <v>40</v>
      </c>
      <c r="N13" s="2">
        <v>40</v>
      </c>
      <c r="O13" s="74"/>
      <c r="BB13" s="1">
        <f>SUM(L13:BA13)</f>
        <v>130</v>
      </c>
      <c r="BC13" s="1">
        <f t="shared" si="2"/>
        <v>-69</v>
      </c>
      <c r="BD13" s="1" t="str">
        <f t="shared" si="3"/>
        <v>040-25</v>
      </c>
      <c r="BE13" s="69">
        <f t="shared" si="4"/>
        <v>-199</v>
      </c>
    </row>
    <row r="14" spans="1:57" s="16" customFormat="1" x14ac:dyDescent="0.2">
      <c r="A14" s="28" t="s">
        <v>67</v>
      </c>
      <c r="B14" s="21">
        <v>45884</v>
      </c>
      <c r="C14" s="54" t="s">
        <v>73</v>
      </c>
      <c r="D14" s="54"/>
      <c r="E14" s="29">
        <v>244</v>
      </c>
      <c r="F14" s="7">
        <f>52+50+33+35+1</f>
        <v>171</v>
      </c>
      <c r="G14" s="2"/>
      <c r="H14" s="7"/>
      <c r="I14" s="2">
        <f>F14+H14</f>
        <v>171</v>
      </c>
      <c r="J14" s="3">
        <f>I14/E14</f>
        <v>0.70081967213114749</v>
      </c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50</v>
      </c>
      <c r="W14" s="2">
        <v>23</v>
      </c>
      <c r="X14" s="75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">
        <f t="shared" ref="BB14:BB20" si="8">SUM(K14:BA14)</f>
        <v>73</v>
      </c>
      <c r="BC14" s="1">
        <f t="shared" si="2"/>
        <v>73</v>
      </c>
      <c r="BD14" s="1" t="str">
        <f t="shared" si="3"/>
        <v>053-25</v>
      </c>
      <c r="BE14" s="4">
        <f t="shared" si="4"/>
        <v>0</v>
      </c>
    </row>
    <row r="15" spans="1:57" s="16" customFormat="1" x14ac:dyDescent="0.2">
      <c r="A15" s="28" t="s">
        <v>75</v>
      </c>
      <c r="B15" s="21">
        <v>46090</v>
      </c>
      <c r="C15" s="54" t="s">
        <v>83</v>
      </c>
      <c r="D15" s="54"/>
      <c r="E15" s="29">
        <v>520</v>
      </c>
      <c r="F15" s="7">
        <f>2+3+5+2+3+5+12+12+5+5+9+3+23+7+25+26+10+51+10+51+83+42</f>
        <v>394</v>
      </c>
      <c r="G15" s="2">
        <v>12</v>
      </c>
      <c r="H15" s="7">
        <v>43</v>
      </c>
      <c r="I15" s="2">
        <f t="shared" ref="I15:I16" si="9">F15+H15</f>
        <v>437</v>
      </c>
      <c r="J15" s="3">
        <f t="shared" ref="J15:J16" si="10">I15/E15</f>
        <v>0.8403846153846154</v>
      </c>
      <c r="K15" s="2"/>
      <c r="L15" s="7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">
        <f t="shared" si="8"/>
        <v>0</v>
      </c>
      <c r="BC15" s="1">
        <f t="shared" si="2"/>
        <v>83</v>
      </c>
      <c r="BD15" s="1" t="str">
        <f t="shared" si="3"/>
        <v>066-25</v>
      </c>
      <c r="BE15" s="62">
        <f t="shared" si="4"/>
        <v>83</v>
      </c>
    </row>
    <row r="16" spans="1:57" s="16" customFormat="1" x14ac:dyDescent="0.2">
      <c r="A16" s="28" t="s">
        <v>76</v>
      </c>
      <c r="B16" s="21">
        <v>46090</v>
      </c>
      <c r="C16" s="54" t="s">
        <v>84</v>
      </c>
      <c r="D16" s="54"/>
      <c r="E16" s="29">
        <v>520</v>
      </c>
      <c r="F16" s="7">
        <f>2+3+5+3+3+2+15+10+7+5+6+3+27+7+27+17+22+15+42+77</f>
        <v>298</v>
      </c>
      <c r="G16" s="2">
        <v>45</v>
      </c>
      <c r="H16" s="7">
        <v>72</v>
      </c>
      <c r="I16" s="2">
        <f t="shared" si="9"/>
        <v>370</v>
      </c>
      <c r="J16" s="3">
        <f t="shared" si="10"/>
        <v>0.71153846153846156</v>
      </c>
      <c r="K16" s="2"/>
      <c r="L16" s="7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">
        <f t="shared" si="8"/>
        <v>0</v>
      </c>
      <c r="BC16" s="1">
        <f t="shared" si="2"/>
        <v>150</v>
      </c>
      <c r="BD16" s="1" t="str">
        <f t="shared" si="3"/>
        <v>067-25</v>
      </c>
      <c r="BE16" s="62">
        <f t="shared" si="4"/>
        <v>150</v>
      </c>
    </row>
    <row r="17" spans="1:57" s="16" customFormat="1" x14ac:dyDescent="0.2">
      <c r="A17" s="28" t="s">
        <v>77</v>
      </c>
      <c r="B17" s="21">
        <v>46118</v>
      </c>
      <c r="C17" s="54" t="s">
        <v>85</v>
      </c>
      <c r="D17" s="54"/>
      <c r="E17" s="29">
        <v>520</v>
      </c>
      <c r="F17" s="7">
        <f>2+4+5+3+1+2+5+14+2+12+2+2+9+15+6+9+9+24+20+38+12</f>
        <v>196</v>
      </c>
      <c r="G17" s="2">
        <v>50</v>
      </c>
      <c r="H17" s="7">
        <v>16</v>
      </c>
      <c r="I17" s="2">
        <f>F17+H17</f>
        <v>212</v>
      </c>
      <c r="J17" s="3">
        <f>I17/E17</f>
        <v>0.40769230769230769</v>
      </c>
      <c r="K17" s="2">
        <v>50</v>
      </c>
      <c r="L17" s="2">
        <v>50</v>
      </c>
      <c r="M17" s="2">
        <v>50</v>
      </c>
      <c r="N17" s="2">
        <v>10</v>
      </c>
      <c r="O17" s="2"/>
      <c r="P17" s="75"/>
      <c r="BB17" s="1">
        <f t="shared" si="8"/>
        <v>160</v>
      </c>
      <c r="BC17" s="1">
        <f t="shared" si="2"/>
        <v>308</v>
      </c>
      <c r="BD17" s="1" t="str">
        <f t="shared" si="3"/>
        <v>068-25</v>
      </c>
      <c r="BE17" s="62">
        <f t="shared" si="4"/>
        <v>148</v>
      </c>
    </row>
    <row r="18" spans="1:57" s="16" customFormat="1" x14ac:dyDescent="0.2">
      <c r="A18" s="28" t="s">
        <v>78</v>
      </c>
      <c r="B18" s="21">
        <v>46118</v>
      </c>
      <c r="C18" s="54" t="s">
        <v>86</v>
      </c>
      <c r="D18" s="54"/>
      <c r="E18" s="29">
        <v>520</v>
      </c>
      <c r="F18" s="7">
        <f>2+4+5+3+1+2+5+13+5+5+2+6+11+2+10+4+15+46+12</f>
        <v>153</v>
      </c>
      <c r="G18" s="2">
        <v>75</v>
      </c>
      <c r="H18" s="7"/>
      <c r="I18" s="2">
        <f>F18+H18</f>
        <v>153</v>
      </c>
      <c r="J18" s="3">
        <f>I18/E18</f>
        <v>0.29423076923076924</v>
      </c>
      <c r="K18" s="2">
        <v>75</v>
      </c>
      <c r="L18" s="2">
        <v>50</v>
      </c>
      <c r="M18" s="2">
        <v>40</v>
      </c>
      <c r="N18" s="2">
        <v>15</v>
      </c>
      <c r="O18" s="2"/>
      <c r="P18" s="75"/>
      <c r="BB18" s="1">
        <f t="shared" si="8"/>
        <v>180</v>
      </c>
      <c r="BC18" s="1">
        <f t="shared" si="2"/>
        <v>367</v>
      </c>
      <c r="BD18" s="1" t="str">
        <f t="shared" si="3"/>
        <v>069-25</v>
      </c>
      <c r="BE18" s="62">
        <f t="shared" si="4"/>
        <v>187</v>
      </c>
    </row>
    <row r="19" spans="1:57" s="16" customFormat="1" x14ac:dyDescent="0.2">
      <c r="A19" s="28" t="s">
        <v>81</v>
      </c>
      <c r="B19" s="21">
        <v>46132</v>
      </c>
      <c r="C19" s="54" t="s">
        <v>87</v>
      </c>
      <c r="D19" s="54"/>
      <c r="E19" s="29">
        <v>520</v>
      </c>
      <c r="F19" s="7">
        <f>2+4+4+4+1+5+13+8+7+4+7+14+2+18</f>
        <v>93</v>
      </c>
      <c r="G19" s="2"/>
      <c r="H19" s="7">
        <v>1</v>
      </c>
      <c r="I19" s="2">
        <f>F19+H19</f>
        <v>94</v>
      </c>
      <c r="J19" s="3">
        <f>I19/E19</f>
        <v>0.18076923076923077</v>
      </c>
      <c r="L19" s="2">
        <v>50</v>
      </c>
      <c r="M19" s="2">
        <v>50</v>
      </c>
      <c r="N19" s="2">
        <v>50</v>
      </c>
      <c r="O19" s="2">
        <v>50</v>
      </c>
      <c r="P19" s="2">
        <v>50</v>
      </c>
      <c r="Q19" s="2">
        <v>42</v>
      </c>
      <c r="R19" s="2"/>
      <c r="S19" s="7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>
        <f t="shared" si="8"/>
        <v>292</v>
      </c>
      <c r="BC19" s="1">
        <f t="shared" si="2"/>
        <v>426</v>
      </c>
      <c r="BD19" s="1" t="str">
        <f t="shared" si="3"/>
        <v>070-25</v>
      </c>
      <c r="BE19" s="62">
        <f t="shared" si="4"/>
        <v>134</v>
      </c>
    </row>
    <row r="20" spans="1:57" s="16" customFormat="1" x14ac:dyDescent="0.2">
      <c r="A20" s="28" t="s">
        <v>82</v>
      </c>
      <c r="B20" s="21">
        <v>46132</v>
      </c>
      <c r="C20" s="54" t="s">
        <v>88</v>
      </c>
      <c r="D20" s="54"/>
      <c r="E20" s="29">
        <v>520</v>
      </c>
      <c r="F20" s="7">
        <f>2+4+4+3+1+5+12+11+6+6+5+2+3+10+10+11</f>
        <v>95</v>
      </c>
      <c r="G20" s="2"/>
      <c r="H20" s="7">
        <v>13</v>
      </c>
      <c r="I20" s="2">
        <f>F20+H20</f>
        <v>108</v>
      </c>
      <c r="J20" s="3">
        <f>I20/E20</f>
        <v>0.2076923076923077</v>
      </c>
      <c r="L20" s="2">
        <v>50</v>
      </c>
      <c r="M20" s="2">
        <v>50</v>
      </c>
      <c r="N20" s="2">
        <v>50</v>
      </c>
      <c r="O20" s="2">
        <v>50</v>
      </c>
      <c r="P20" s="2">
        <v>50</v>
      </c>
      <c r="Q20" s="2">
        <v>51</v>
      </c>
      <c r="R20" s="2"/>
      <c r="S20" s="75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>
        <f t="shared" si="8"/>
        <v>301</v>
      </c>
      <c r="BC20" s="1">
        <f t="shared" si="2"/>
        <v>412</v>
      </c>
      <c r="BD20" s="1" t="str">
        <f t="shared" si="3"/>
        <v>071-25</v>
      </c>
      <c r="BE20" s="62">
        <f t="shared" si="4"/>
        <v>111</v>
      </c>
    </row>
    <row r="21" spans="1:57" s="16" customFormat="1" x14ac:dyDescent="0.2">
      <c r="A21" s="28" t="s">
        <v>94</v>
      </c>
      <c r="B21" s="21">
        <v>46071</v>
      </c>
      <c r="C21" s="54" t="s">
        <v>93</v>
      </c>
      <c r="D21" s="54"/>
      <c r="E21" s="29">
        <v>597</v>
      </c>
      <c r="F21" s="7">
        <f>11+57+12+3+64+22+6+2</f>
        <v>177</v>
      </c>
      <c r="G21" s="2"/>
      <c r="H21" s="7"/>
      <c r="I21" s="2">
        <f t="shared" ref="I21" si="11">F21+H21</f>
        <v>177</v>
      </c>
      <c r="J21" s="3">
        <f t="shared" ref="J21" si="12">I21/E21</f>
        <v>0.29648241206030151</v>
      </c>
      <c r="L21" s="2">
        <v>80</v>
      </c>
      <c r="M21" s="8">
        <v>80</v>
      </c>
      <c r="N21" s="2">
        <v>80</v>
      </c>
      <c r="O21" s="2">
        <v>80</v>
      </c>
      <c r="P21" s="74"/>
      <c r="BB21" s="1">
        <f>SUM(L21:BA21)</f>
        <v>320</v>
      </c>
      <c r="BC21" s="1">
        <f t="shared" si="2"/>
        <v>420</v>
      </c>
      <c r="BD21" s="1" t="str">
        <f t="shared" si="3"/>
        <v>083-25</v>
      </c>
      <c r="BE21" s="62">
        <f t="shared" si="4"/>
        <v>100</v>
      </c>
    </row>
    <row r="22" spans="1:57" s="16" customFormat="1" x14ac:dyDescent="0.2">
      <c r="A22" s="28" t="s">
        <v>71</v>
      </c>
      <c r="B22" s="21">
        <v>45988</v>
      </c>
      <c r="C22" s="54" t="s">
        <v>95</v>
      </c>
      <c r="D22" s="54"/>
      <c r="E22" s="29">
        <v>392</v>
      </c>
      <c r="F22" s="7">
        <f>43+97+52+18+49+108+61+35+21+28+2</f>
        <v>514</v>
      </c>
      <c r="G22" s="2"/>
      <c r="H22" s="7"/>
      <c r="I22" s="2">
        <f>F22+H22</f>
        <v>514</v>
      </c>
      <c r="J22" s="3">
        <f>I22/E22</f>
        <v>1.3112244897959184</v>
      </c>
      <c r="K22" s="2"/>
      <c r="L22" s="2"/>
      <c r="M22" s="2"/>
      <c r="N22" s="2"/>
      <c r="O22" s="2"/>
      <c r="BB22" s="1">
        <f t="shared" ref="BB22:BB31" si="13">SUM(K22:BA22)</f>
        <v>0</v>
      </c>
      <c r="BC22" s="1">
        <f t="shared" si="2"/>
        <v>-122</v>
      </c>
      <c r="BD22" s="1" t="str">
        <f t="shared" si="3"/>
        <v>084-25</v>
      </c>
      <c r="BE22" s="69">
        <f t="shared" si="4"/>
        <v>-122</v>
      </c>
    </row>
    <row r="23" spans="1:57" s="16" customFormat="1" x14ac:dyDescent="0.2">
      <c r="A23" s="28" t="s">
        <v>74</v>
      </c>
      <c r="B23" s="21">
        <v>45711</v>
      </c>
      <c r="C23" s="54" t="s">
        <v>97</v>
      </c>
      <c r="D23" s="54"/>
      <c r="E23" s="29">
        <v>1975</v>
      </c>
      <c r="F23" s="7">
        <f>47+6+108+140+106+133+138+139+215+349</f>
        <v>1381</v>
      </c>
      <c r="G23" s="2">
        <v>200</v>
      </c>
      <c r="H23" s="7">
        <v>252</v>
      </c>
      <c r="I23" s="2">
        <f t="shared" ref="I23" si="14">F23+H23</f>
        <v>1633</v>
      </c>
      <c r="J23" s="3">
        <f t="shared" ref="J23" si="15">I23/E23</f>
        <v>0.82683544303797474</v>
      </c>
      <c r="K23" s="2">
        <v>280</v>
      </c>
      <c r="L23" s="75"/>
      <c r="M23" s="2"/>
      <c r="N23" s="2"/>
      <c r="O23" s="2"/>
      <c r="BB23" s="1">
        <f t="shared" si="13"/>
        <v>280</v>
      </c>
      <c r="BC23" s="1">
        <f t="shared" si="2"/>
        <v>342</v>
      </c>
      <c r="BD23" s="1" t="str">
        <f t="shared" si="3"/>
        <v>089-25</v>
      </c>
      <c r="BE23" s="62">
        <f t="shared" si="4"/>
        <v>62</v>
      </c>
    </row>
    <row r="24" spans="1:57" s="16" customFormat="1" x14ac:dyDescent="0.2">
      <c r="A24" s="28" t="s">
        <v>102</v>
      </c>
      <c r="B24" s="21">
        <v>46069</v>
      </c>
      <c r="C24" s="54" t="s">
        <v>103</v>
      </c>
      <c r="D24" s="54"/>
      <c r="E24" s="29">
        <v>373</v>
      </c>
      <c r="F24" s="7">
        <f>27+26+1+9+10+1</f>
        <v>74</v>
      </c>
      <c r="G24" s="2"/>
      <c r="H24" s="7"/>
      <c r="I24" s="2">
        <f t="shared" ref="I24:I25" si="16">F24+H24</f>
        <v>74</v>
      </c>
      <c r="J24" s="3">
        <f t="shared" ref="J24:J25" si="17">I24/E24</f>
        <v>0.19839142091152814</v>
      </c>
      <c r="K24" s="2"/>
      <c r="L24" s="2"/>
      <c r="M24" s="8">
        <v>80</v>
      </c>
      <c r="N24" s="8">
        <v>84</v>
      </c>
      <c r="O24" s="75"/>
      <c r="P24" s="2"/>
      <c r="BB24" s="1">
        <f t="shared" si="13"/>
        <v>164</v>
      </c>
      <c r="BC24" s="1">
        <f t="shared" si="2"/>
        <v>299</v>
      </c>
      <c r="BD24" s="1" t="str">
        <f t="shared" si="3"/>
        <v>092-25</v>
      </c>
      <c r="BE24" s="62">
        <f t="shared" si="4"/>
        <v>135</v>
      </c>
    </row>
    <row r="25" spans="1:57" s="16" customFormat="1" x14ac:dyDescent="0.2">
      <c r="A25" s="28" t="s">
        <v>102</v>
      </c>
      <c r="B25" s="21">
        <v>46069</v>
      </c>
      <c r="C25" s="54" t="s">
        <v>104</v>
      </c>
      <c r="D25" s="54"/>
      <c r="E25" s="29">
        <v>373</v>
      </c>
      <c r="F25" s="7">
        <f>24+31+1+16+8+1</f>
        <v>81</v>
      </c>
      <c r="G25" s="2"/>
      <c r="H25" s="7"/>
      <c r="I25" s="2">
        <f t="shared" si="16"/>
        <v>81</v>
      </c>
      <c r="J25" s="3">
        <f t="shared" si="17"/>
        <v>0.21715817694369974</v>
      </c>
      <c r="K25" s="2"/>
      <c r="L25" s="2"/>
      <c r="M25" s="8">
        <v>80</v>
      </c>
      <c r="N25" s="8">
        <v>82</v>
      </c>
      <c r="O25" s="75"/>
      <c r="P25" s="2"/>
      <c r="BB25" s="1">
        <f t="shared" si="13"/>
        <v>162</v>
      </c>
      <c r="BC25" s="1">
        <f t="shared" si="2"/>
        <v>292</v>
      </c>
      <c r="BD25" s="1" t="str">
        <f t="shared" si="3"/>
        <v>093-25</v>
      </c>
      <c r="BE25" s="62">
        <f t="shared" si="4"/>
        <v>130</v>
      </c>
    </row>
    <row r="26" spans="1:57" s="16" customFormat="1" x14ac:dyDescent="0.2">
      <c r="A26" s="28" t="s">
        <v>109</v>
      </c>
      <c r="B26" s="21">
        <v>46038</v>
      </c>
      <c r="C26" s="54" t="s">
        <v>110</v>
      </c>
      <c r="D26" s="54"/>
      <c r="E26" s="29">
        <v>198</v>
      </c>
      <c r="F26" s="7"/>
      <c r="G26" s="2">
        <v>60</v>
      </c>
      <c r="H26" s="7"/>
      <c r="I26" s="2">
        <f t="shared" ref="I26" si="18">F26+H26</f>
        <v>0</v>
      </c>
      <c r="J26" s="3">
        <f t="shared" ref="J26" si="19">I26/E26</f>
        <v>0</v>
      </c>
      <c r="K26" s="8">
        <v>90</v>
      </c>
      <c r="L26" s="8">
        <v>108</v>
      </c>
      <c r="M26" s="75"/>
      <c r="N26" s="2"/>
      <c r="O26" s="2"/>
      <c r="P26" s="2"/>
      <c r="BB26" s="1">
        <f t="shared" si="13"/>
        <v>198</v>
      </c>
      <c r="BC26" s="1">
        <f t="shared" si="2"/>
        <v>198</v>
      </c>
      <c r="BD26" s="1" t="str">
        <f t="shared" si="3"/>
        <v>098-25</v>
      </c>
      <c r="BE26" s="4">
        <f t="shared" si="4"/>
        <v>0</v>
      </c>
    </row>
    <row r="27" spans="1:57" s="16" customFormat="1" x14ac:dyDescent="0.2">
      <c r="A27" s="28" t="s">
        <v>113</v>
      </c>
      <c r="B27" s="21">
        <v>46069</v>
      </c>
      <c r="C27" s="54" t="s">
        <v>112</v>
      </c>
      <c r="D27" s="54"/>
      <c r="E27" s="29">
        <v>162</v>
      </c>
      <c r="F27" s="7">
        <f>7</f>
        <v>7</v>
      </c>
      <c r="G27" s="2">
        <v>50</v>
      </c>
      <c r="H27" s="7"/>
      <c r="I27" s="2">
        <f t="shared" ref="I27" si="20">F27+H27</f>
        <v>7</v>
      </c>
      <c r="J27" s="3">
        <f t="shared" ref="J27" si="21">I27/E27</f>
        <v>4.3209876543209874E-2</v>
      </c>
      <c r="K27" s="8">
        <v>75</v>
      </c>
      <c r="L27" s="2">
        <v>80</v>
      </c>
      <c r="M27" s="75"/>
      <c r="N27" s="2"/>
      <c r="O27" s="2"/>
      <c r="BB27" s="1">
        <f t="shared" si="13"/>
        <v>155</v>
      </c>
      <c r="BC27" s="1">
        <f t="shared" si="2"/>
        <v>155</v>
      </c>
      <c r="BD27" s="1" t="str">
        <f t="shared" si="3"/>
        <v>099-25</v>
      </c>
      <c r="BE27" s="4">
        <f t="shared" si="4"/>
        <v>0</v>
      </c>
    </row>
    <row r="28" spans="1:57" s="16" customFormat="1" x14ac:dyDescent="0.2">
      <c r="A28" s="28" t="s">
        <v>115</v>
      </c>
      <c r="B28" s="21">
        <v>46121</v>
      </c>
      <c r="C28" s="54" t="s">
        <v>114</v>
      </c>
      <c r="D28" s="54"/>
      <c r="E28" s="29">
        <v>781</v>
      </c>
      <c r="F28" s="7">
        <f>6+22+6+15+12</f>
        <v>61</v>
      </c>
      <c r="G28" s="2"/>
      <c r="H28" s="7">
        <v>8</v>
      </c>
      <c r="I28" s="2">
        <f>F28+H28</f>
        <v>69</v>
      </c>
      <c r="J28" s="3">
        <f>I28/E28</f>
        <v>8.8348271446862997E-2</v>
      </c>
      <c r="N28" s="2">
        <v>40</v>
      </c>
      <c r="O28" s="2">
        <v>100</v>
      </c>
      <c r="P28" s="2">
        <v>120</v>
      </c>
      <c r="Q28" s="2">
        <v>120</v>
      </c>
      <c r="R28" s="2">
        <v>120</v>
      </c>
      <c r="S28" s="2">
        <v>100</v>
      </c>
      <c r="T28" s="2">
        <v>80</v>
      </c>
      <c r="U28" s="74"/>
      <c r="BB28" s="1">
        <f t="shared" si="13"/>
        <v>680</v>
      </c>
      <c r="BC28" s="1">
        <f t="shared" si="2"/>
        <v>712</v>
      </c>
      <c r="BD28" s="1" t="str">
        <f t="shared" si="3"/>
        <v>101-25</v>
      </c>
      <c r="BE28" s="62">
        <f t="shared" si="4"/>
        <v>32</v>
      </c>
    </row>
    <row r="29" spans="1:57" s="16" customFormat="1" x14ac:dyDescent="0.2">
      <c r="A29" s="28" t="s">
        <v>129</v>
      </c>
      <c r="B29" s="21">
        <v>46149</v>
      </c>
      <c r="C29" s="54" t="s">
        <v>132</v>
      </c>
      <c r="D29" s="54"/>
      <c r="E29" s="29">
        <v>526</v>
      </c>
      <c r="F29" s="7"/>
      <c r="G29" s="2">
        <v>30</v>
      </c>
      <c r="H29" s="7"/>
      <c r="I29" s="2">
        <f>F29+H29</f>
        <v>0</v>
      </c>
      <c r="J29" s="3">
        <f>I29/E29</f>
        <v>0</v>
      </c>
      <c r="K29" s="2">
        <v>70</v>
      </c>
      <c r="L29" s="2">
        <v>70</v>
      </c>
      <c r="M29" s="2">
        <v>100</v>
      </c>
      <c r="N29" s="2">
        <v>100</v>
      </c>
      <c r="O29" s="2">
        <v>100</v>
      </c>
      <c r="P29" s="2">
        <v>86</v>
      </c>
      <c r="Q29" s="75"/>
      <c r="BB29" s="1">
        <f t="shared" si="13"/>
        <v>526</v>
      </c>
      <c r="BC29" s="1">
        <f t="shared" si="2"/>
        <v>526</v>
      </c>
      <c r="BD29" s="1" t="str">
        <f t="shared" si="3"/>
        <v>117-25</v>
      </c>
      <c r="BE29" s="4">
        <f t="shared" si="4"/>
        <v>0</v>
      </c>
    </row>
    <row r="30" spans="1:57" s="16" customFormat="1" x14ac:dyDescent="0.2">
      <c r="A30" s="68" t="s">
        <v>169</v>
      </c>
      <c r="B30" s="70"/>
      <c r="C30" s="71"/>
      <c r="D30" s="54"/>
      <c r="E30" s="72">
        <v>2240</v>
      </c>
      <c r="F30" s="7">
        <f>60+137+292</f>
        <v>489</v>
      </c>
      <c r="G30" s="8">
        <v>50</v>
      </c>
      <c r="H30" s="7">
        <v>492</v>
      </c>
      <c r="I30" s="2">
        <f t="shared" ref="I30" si="22">F30+H30</f>
        <v>981</v>
      </c>
      <c r="J30" s="3">
        <f t="shared" ref="J30" si="23">I30/E30</f>
        <v>0.43794642857142857</v>
      </c>
      <c r="K30" s="8">
        <v>50</v>
      </c>
      <c r="L30" s="8">
        <v>50</v>
      </c>
      <c r="M30" s="8">
        <v>50</v>
      </c>
      <c r="N30" s="8">
        <v>50</v>
      </c>
      <c r="O30" s="8">
        <v>50</v>
      </c>
      <c r="P30" s="8">
        <v>50</v>
      </c>
      <c r="Q30" s="8">
        <v>50</v>
      </c>
      <c r="R30" s="8">
        <v>50</v>
      </c>
      <c r="S30" s="8">
        <v>50</v>
      </c>
      <c r="T30" s="8">
        <v>50</v>
      </c>
      <c r="U30" s="8">
        <v>50</v>
      </c>
      <c r="V30" s="8">
        <v>50</v>
      </c>
      <c r="W30" s="8">
        <v>50</v>
      </c>
      <c r="X30" s="8">
        <v>50</v>
      </c>
      <c r="Y30" s="8">
        <v>50</v>
      </c>
      <c r="Z30" s="8">
        <v>50</v>
      </c>
      <c r="AA30" s="8">
        <v>50</v>
      </c>
      <c r="AB30" s="8">
        <v>50</v>
      </c>
      <c r="AC30" s="8">
        <v>50</v>
      </c>
      <c r="AD30" s="8">
        <v>50</v>
      </c>
      <c r="AE30" s="8">
        <v>50</v>
      </c>
      <c r="AF30" s="8">
        <v>50</v>
      </c>
      <c r="AG30" s="8">
        <v>50</v>
      </c>
      <c r="AH30" s="8">
        <v>50</v>
      </c>
      <c r="AI30" s="8">
        <v>50</v>
      </c>
      <c r="AJ30" s="8">
        <v>9</v>
      </c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1">
        <f t="shared" si="13"/>
        <v>1259</v>
      </c>
      <c r="BC30" s="1">
        <f t="shared" si="2"/>
        <v>1259</v>
      </c>
      <c r="BD30" s="1">
        <f t="shared" si="3"/>
        <v>0</v>
      </c>
      <c r="BE30" s="4">
        <f t="shared" si="4"/>
        <v>0</v>
      </c>
    </row>
    <row r="31" spans="1:57" ht="9" customHeight="1" x14ac:dyDescent="0.2">
      <c r="A31" s="16" t="s">
        <v>32</v>
      </c>
      <c r="B31" s="21"/>
      <c r="C31" s="29"/>
      <c r="D31" s="29"/>
      <c r="E31" s="8"/>
      <c r="F31" s="53"/>
      <c r="H31" s="53"/>
      <c r="I31" s="2">
        <f t="shared" ref="I31" si="24">F31+H31</f>
        <v>0</v>
      </c>
      <c r="J31" s="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1">
        <f t="shared" si="13"/>
        <v>0</v>
      </c>
      <c r="BC31" s="6">
        <f t="shared" si="2"/>
        <v>0</v>
      </c>
      <c r="BD31" s="6">
        <f>E31-I31</f>
        <v>0</v>
      </c>
      <c r="BE31" s="4">
        <f t="shared" si="4"/>
        <v>0</v>
      </c>
    </row>
    <row r="32" spans="1:57" x14ac:dyDescent="0.2">
      <c r="A32" s="36"/>
      <c r="B32" s="37"/>
      <c r="C32" s="38"/>
      <c r="D32" s="38"/>
      <c r="E32" s="38"/>
      <c r="F32" s="2" t="s">
        <v>8</v>
      </c>
      <c r="G32" s="11">
        <f>SUM(G6:G31)</f>
        <v>652</v>
      </c>
      <c r="H32" s="11">
        <f>SUM(H8:H31)</f>
        <v>1015</v>
      </c>
      <c r="I32" s="2">
        <f>SUM(I8:I31)</f>
        <v>6573</v>
      </c>
      <c r="J32" s="2" t="s">
        <v>13</v>
      </c>
      <c r="K32" s="11">
        <f t="shared" ref="K32:BA32" si="25">SUM(K6:K31)</f>
        <v>690</v>
      </c>
      <c r="L32" s="11">
        <f t="shared" si="25"/>
        <v>638</v>
      </c>
      <c r="M32" s="11">
        <f t="shared" si="25"/>
        <v>770</v>
      </c>
      <c r="N32" s="11">
        <f t="shared" si="25"/>
        <v>731</v>
      </c>
      <c r="O32" s="11">
        <f t="shared" si="25"/>
        <v>530</v>
      </c>
      <c r="P32" s="11">
        <f t="shared" si="25"/>
        <v>428</v>
      </c>
      <c r="Q32" s="11">
        <f t="shared" si="25"/>
        <v>263</v>
      </c>
      <c r="R32" s="11">
        <f t="shared" si="25"/>
        <v>170</v>
      </c>
      <c r="S32" s="11">
        <f t="shared" si="25"/>
        <v>150</v>
      </c>
      <c r="T32" s="11">
        <f t="shared" si="25"/>
        <v>130</v>
      </c>
      <c r="U32" s="11">
        <f t="shared" si="25"/>
        <v>50</v>
      </c>
      <c r="V32" s="11">
        <f t="shared" si="25"/>
        <v>100</v>
      </c>
      <c r="W32" s="11">
        <f t="shared" si="25"/>
        <v>73</v>
      </c>
      <c r="X32" s="11">
        <f t="shared" si="25"/>
        <v>50</v>
      </c>
      <c r="Y32" s="11">
        <f t="shared" si="25"/>
        <v>50</v>
      </c>
      <c r="Z32" s="11">
        <f t="shared" si="25"/>
        <v>50</v>
      </c>
      <c r="AA32" s="11">
        <f t="shared" si="25"/>
        <v>50</v>
      </c>
      <c r="AB32" s="11">
        <f t="shared" si="25"/>
        <v>50</v>
      </c>
      <c r="AC32" s="11">
        <f t="shared" si="25"/>
        <v>50</v>
      </c>
      <c r="AD32" s="11">
        <f t="shared" si="25"/>
        <v>50</v>
      </c>
      <c r="AE32" s="11">
        <f t="shared" si="25"/>
        <v>50</v>
      </c>
      <c r="AF32" s="11">
        <f t="shared" si="25"/>
        <v>50</v>
      </c>
      <c r="AG32" s="11">
        <f t="shared" si="25"/>
        <v>50</v>
      </c>
      <c r="AH32" s="11">
        <f t="shared" si="25"/>
        <v>50</v>
      </c>
      <c r="AI32" s="11">
        <f t="shared" si="25"/>
        <v>50</v>
      </c>
      <c r="AJ32" s="11">
        <f t="shared" si="25"/>
        <v>9</v>
      </c>
      <c r="AK32" s="11">
        <f t="shared" si="25"/>
        <v>0</v>
      </c>
      <c r="AL32" s="11">
        <f t="shared" si="25"/>
        <v>0</v>
      </c>
      <c r="AM32" s="11">
        <f t="shared" si="25"/>
        <v>0</v>
      </c>
      <c r="AN32" s="11">
        <f t="shared" si="25"/>
        <v>0</v>
      </c>
      <c r="AO32" s="11">
        <f t="shared" si="25"/>
        <v>0</v>
      </c>
      <c r="AP32" s="11">
        <f t="shared" si="25"/>
        <v>0</v>
      </c>
      <c r="AQ32" s="11">
        <f t="shared" si="25"/>
        <v>0</v>
      </c>
      <c r="AR32" s="11">
        <f t="shared" si="25"/>
        <v>0</v>
      </c>
      <c r="AS32" s="11">
        <f t="shared" si="25"/>
        <v>0</v>
      </c>
      <c r="AT32" s="11">
        <f t="shared" si="25"/>
        <v>0</v>
      </c>
      <c r="AU32" s="11">
        <f t="shared" si="25"/>
        <v>0</v>
      </c>
      <c r="AV32" s="11">
        <f t="shared" si="25"/>
        <v>0</v>
      </c>
      <c r="AW32" s="11">
        <f t="shared" si="25"/>
        <v>0</v>
      </c>
      <c r="AX32" s="11">
        <f t="shared" si="25"/>
        <v>0</v>
      </c>
      <c r="AY32" s="11">
        <f t="shared" si="25"/>
        <v>0</v>
      </c>
      <c r="AZ32" s="11">
        <f t="shared" si="25"/>
        <v>0</v>
      </c>
      <c r="BA32" s="11">
        <f t="shared" si="25"/>
        <v>0</v>
      </c>
      <c r="BB32" s="11">
        <f>SUM(BB8:BB31)</f>
        <v>4880</v>
      </c>
      <c r="BC32" s="6"/>
      <c r="BD32" s="6"/>
    </row>
    <row r="33" spans="1:58" s="9" customFormat="1" x14ac:dyDescent="0.2">
      <c r="A33" s="36"/>
      <c r="B33" s="37"/>
      <c r="C33" s="38"/>
      <c r="D33" s="38"/>
      <c r="E33" s="38"/>
      <c r="F33" s="9" t="s">
        <v>20</v>
      </c>
      <c r="G33" s="12">
        <f>((G32)/(G4*G3))</f>
        <v>0.53884297520661162</v>
      </c>
      <c r="H33" s="12">
        <f>((H32)/(H4*H3))</f>
        <v>0.83884297520661155</v>
      </c>
      <c r="J33" s="9" t="s">
        <v>20</v>
      </c>
      <c r="K33" s="12">
        <f t="shared" ref="K33:BA33" si="26">((K32)/(K4*K3))</f>
        <v>0.57024793388429751</v>
      </c>
      <c r="L33" s="12">
        <f t="shared" si="26"/>
        <v>0.52727272727272723</v>
      </c>
      <c r="M33" s="12">
        <f t="shared" si="26"/>
        <v>0.63636363636363635</v>
      </c>
      <c r="N33" s="12">
        <f t="shared" si="26"/>
        <v>0.60413223140495864</v>
      </c>
      <c r="O33" s="12">
        <f t="shared" si="26"/>
        <v>0.43801652892561982</v>
      </c>
      <c r="P33" s="12">
        <f t="shared" si="26"/>
        <v>0.35371900826446279</v>
      </c>
      <c r="Q33" s="12">
        <f t="shared" si="26"/>
        <v>0.21735537190082643</v>
      </c>
      <c r="R33" s="12">
        <f t="shared" si="26"/>
        <v>0.14049586776859505</v>
      </c>
      <c r="S33" s="12">
        <f t="shared" si="26"/>
        <v>0.12396694214876033</v>
      </c>
      <c r="T33" s="12">
        <f t="shared" si="26"/>
        <v>0.10743801652892562</v>
      </c>
      <c r="U33" s="12">
        <f t="shared" si="26"/>
        <v>4.1322314049586778E-2</v>
      </c>
      <c r="V33" s="12">
        <f t="shared" si="26"/>
        <v>8.2644628099173556E-2</v>
      </c>
      <c r="W33" s="12">
        <f t="shared" si="26"/>
        <v>8.2954545454545461E-2</v>
      </c>
      <c r="X33" s="12">
        <f t="shared" si="26"/>
        <v>4.1322314049586778E-2</v>
      </c>
      <c r="Y33" s="12">
        <f t="shared" si="26"/>
        <v>4.1322314049586778E-2</v>
      </c>
      <c r="Z33" s="12">
        <f t="shared" si="26"/>
        <v>4.1322314049586778E-2</v>
      </c>
      <c r="AA33" s="12">
        <f t="shared" si="26"/>
        <v>4.1322314049586778E-2</v>
      </c>
      <c r="AB33" s="12">
        <f t="shared" si="26"/>
        <v>4.1322314049586778E-2</v>
      </c>
      <c r="AC33" s="12">
        <f t="shared" si="26"/>
        <v>5.6818181818181816E-2</v>
      </c>
      <c r="AD33" s="12">
        <f t="shared" si="26"/>
        <v>4.1322314049586778E-2</v>
      </c>
      <c r="AE33" s="12">
        <f t="shared" si="26"/>
        <v>4.1322314049586778E-2</v>
      </c>
      <c r="AF33" s="12">
        <f t="shared" si="26"/>
        <v>4.1322314049586778E-2</v>
      </c>
      <c r="AG33" s="12">
        <f t="shared" si="26"/>
        <v>4.1322314049586778E-2</v>
      </c>
      <c r="AH33" s="12">
        <f t="shared" si="26"/>
        <v>4.1322314049586778E-2</v>
      </c>
      <c r="AI33" s="12">
        <f t="shared" si="26"/>
        <v>4.1322314049586778E-2</v>
      </c>
      <c r="AJ33" s="12">
        <f t="shared" si="26"/>
        <v>7.4380165289256199E-3</v>
      </c>
      <c r="AK33" s="12">
        <f t="shared" si="26"/>
        <v>0</v>
      </c>
      <c r="AL33" s="12">
        <f t="shared" si="26"/>
        <v>0</v>
      </c>
      <c r="AM33" s="12">
        <f t="shared" si="26"/>
        <v>0</v>
      </c>
      <c r="AN33" s="12">
        <f t="shared" si="26"/>
        <v>0</v>
      </c>
      <c r="AO33" s="12">
        <f t="shared" si="26"/>
        <v>0</v>
      </c>
      <c r="AP33" s="12">
        <f t="shared" si="26"/>
        <v>0</v>
      </c>
      <c r="AQ33" s="12">
        <f t="shared" si="26"/>
        <v>0</v>
      </c>
      <c r="AR33" s="12">
        <f t="shared" si="26"/>
        <v>0</v>
      </c>
      <c r="AS33" s="12">
        <f t="shared" si="26"/>
        <v>0</v>
      </c>
      <c r="AT33" s="12">
        <f t="shared" si="26"/>
        <v>0</v>
      </c>
      <c r="AU33" s="12">
        <f t="shared" si="26"/>
        <v>0</v>
      </c>
      <c r="AV33" s="12">
        <f t="shared" si="26"/>
        <v>0</v>
      </c>
      <c r="AW33" s="12">
        <f t="shared" si="26"/>
        <v>0</v>
      </c>
      <c r="AX33" s="12">
        <f t="shared" si="26"/>
        <v>0</v>
      </c>
      <c r="AY33" s="12">
        <f t="shared" si="26"/>
        <v>0</v>
      </c>
      <c r="AZ33" s="12">
        <f t="shared" si="26"/>
        <v>0</v>
      </c>
      <c r="BA33" s="12">
        <f t="shared" si="26"/>
        <v>0</v>
      </c>
      <c r="BB33" s="6"/>
      <c r="BC33" s="6"/>
      <c r="BD33" s="6"/>
      <c r="BE33" s="4"/>
    </row>
    <row r="34" spans="1:58" x14ac:dyDescent="0.2">
      <c r="A34" s="36"/>
      <c r="B34" s="37"/>
      <c r="C34" s="38"/>
      <c r="D34" s="38"/>
      <c r="E34" s="38"/>
      <c r="F34" s="2" t="s">
        <v>2</v>
      </c>
      <c r="G34" s="22">
        <f>(G3*G4)-(G32)</f>
        <v>558</v>
      </c>
      <c r="H34" s="22">
        <f>(H3*H4)-(H32)</f>
        <v>195</v>
      </c>
      <c r="J34" s="2" t="s">
        <v>2</v>
      </c>
      <c r="K34" s="22">
        <f t="shared" ref="K34:BA34" si="27">(K3*K4)-(K32)</f>
        <v>520</v>
      </c>
      <c r="L34" s="22">
        <f t="shared" si="27"/>
        <v>572</v>
      </c>
      <c r="M34" s="22">
        <f t="shared" si="27"/>
        <v>440</v>
      </c>
      <c r="N34" s="22">
        <f t="shared" si="27"/>
        <v>479</v>
      </c>
      <c r="O34" s="22">
        <f t="shared" si="27"/>
        <v>680</v>
      </c>
      <c r="P34" s="22">
        <f t="shared" si="27"/>
        <v>782</v>
      </c>
      <c r="Q34" s="22">
        <f t="shared" si="27"/>
        <v>947</v>
      </c>
      <c r="R34" s="22">
        <f t="shared" si="27"/>
        <v>1040</v>
      </c>
      <c r="S34" s="22">
        <f t="shared" si="27"/>
        <v>1060</v>
      </c>
      <c r="T34" s="22">
        <f t="shared" si="27"/>
        <v>1080</v>
      </c>
      <c r="U34" s="22">
        <f t="shared" si="27"/>
        <v>1160</v>
      </c>
      <c r="V34" s="22">
        <f t="shared" si="27"/>
        <v>1110</v>
      </c>
      <c r="W34" s="22">
        <f t="shared" si="27"/>
        <v>807</v>
      </c>
      <c r="X34" s="22">
        <f t="shared" si="27"/>
        <v>1160</v>
      </c>
      <c r="Y34" s="22">
        <f t="shared" si="27"/>
        <v>1160</v>
      </c>
      <c r="Z34" s="22">
        <f t="shared" si="27"/>
        <v>1160</v>
      </c>
      <c r="AA34" s="22">
        <f t="shared" si="27"/>
        <v>1160</v>
      </c>
      <c r="AB34" s="22">
        <f t="shared" si="27"/>
        <v>1160</v>
      </c>
      <c r="AC34" s="22">
        <f t="shared" si="27"/>
        <v>830</v>
      </c>
      <c r="AD34" s="22">
        <f t="shared" si="27"/>
        <v>1160</v>
      </c>
      <c r="AE34" s="22">
        <f t="shared" si="27"/>
        <v>1160</v>
      </c>
      <c r="AF34" s="22">
        <f t="shared" si="27"/>
        <v>1160</v>
      </c>
      <c r="AG34" s="22">
        <f t="shared" si="27"/>
        <v>1160</v>
      </c>
      <c r="AH34" s="22">
        <f t="shared" si="27"/>
        <v>1160</v>
      </c>
      <c r="AI34" s="22">
        <f t="shared" si="27"/>
        <v>1160</v>
      </c>
      <c r="AJ34" s="22">
        <f t="shared" si="27"/>
        <v>1201</v>
      </c>
      <c r="AK34" s="22">
        <f t="shared" si="27"/>
        <v>1210</v>
      </c>
      <c r="AL34" s="22">
        <f t="shared" si="27"/>
        <v>880</v>
      </c>
      <c r="AM34" s="22">
        <f t="shared" si="27"/>
        <v>1210</v>
      </c>
      <c r="AN34" s="22">
        <f t="shared" si="27"/>
        <v>1210</v>
      </c>
      <c r="AO34" s="22">
        <f t="shared" si="27"/>
        <v>1210</v>
      </c>
      <c r="AP34" s="22">
        <f t="shared" si="27"/>
        <v>1210</v>
      </c>
      <c r="AQ34" s="22">
        <f t="shared" si="27"/>
        <v>1210</v>
      </c>
      <c r="AR34" s="22">
        <f t="shared" si="27"/>
        <v>1210</v>
      </c>
      <c r="AS34" s="22">
        <f t="shared" si="27"/>
        <v>1210</v>
      </c>
      <c r="AT34" s="22">
        <f t="shared" si="27"/>
        <v>1210</v>
      </c>
      <c r="AU34" s="22">
        <f t="shared" si="27"/>
        <v>1210</v>
      </c>
      <c r="AV34" s="22">
        <f t="shared" si="27"/>
        <v>1210</v>
      </c>
      <c r="AW34" s="22">
        <f t="shared" si="27"/>
        <v>880</v>
      </c>
      <c r="AX34" s="22">
        <f t="shared" si="27"/>
        <v>1210</v>
      </c>
      <c r="AY34" s="22">
        <f t="shared" si="27"/>
        <v>1210</v>
      </c>
      <c r="AZ34" s="22">
        <f t="shared" si="27"/>
        <v>1210</v>
      </c>
      <c r="BA34" s="22">
        <f t="shared" si="27"/>
        <v>880</v>
      </c>
      <c r="BB34" s="6"/>
      <c r="BC34" s="6"/>
      <c r="BD34" s="6"/>
    </row>
    <row r="35" spans="1:58" s="11" customFormat="1" x14ac:dyDescent="0.2">
      <c r="A35" s="36"/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9"/>
    </row>
    <row r="36" spans="1:58" s="19" customFormat="1" ht="9" customHeight="1" x14ac:dyDescent="0.2">
      <c r="A36" s="16"/>
      <c r="B36" s="5" t="s">
        <v>0</v>
      </c>
      <c r="C36" s="5" t="s">
        <v>1</v>
      </c>
      <c r="D36" s="5"/>
      <c r="E36" s="5" t="s">
        <v>4</v>
      </c>
      <c r="F36" s="29" t="s">
        <v>5</v>
      </c>
      <c r="G36" s="29" t="s">
        <v>18</v>
      </c>
      <c r="H36" s="29" t="s">
        <v>19</v>
      </c>
      <c r="I36" s="19" t="s">
        <v>6</v>
      </c>
      <c r="J36" s="19" t="s">
        <v>7</v>
      </c>
      <c r="K36" s="5">
        <v>46083</v>
      </c>
      <c r="L36" s="5">
        <v>46090</v>
      </c>
      <c r="M36" s="5">
        <v>46097</v>
      </c>
      <c r="N36" s="5">
        <v>46104</v>
      </c>
      <c r="O36" s="5">
        <v>46111</v>
      </c>
      <c r="P36" s="5">
        <v>46118</v>
      </c>
      <c r="Q36" s="5">
        <v>46125</v>
      </c>
      <c r="R36" s="5">
        <v>46132</v>
      </c>
      <c r="S36" s="5">
        <v>46139</v>
      </c>
      <c r="T36" s="5">
        <v>46146</v>
      </c>
      <c r="U36" s="5">
        <v>46153</v>
      </c>
      <c r="V36" s="5">
        <v>46160</v>
      </c>
      <c r="W36" s="5">
        <v>46167</v>
      </c>
      <c r="X36" s="5">
        <v>46174</v>
      </c>
      <c r="Y36" s="5">
        <v>46181</v>
      </c>
      <c r="Z36" s="5">
        <v>46188</v>
      </c>
      <c r="AA36" s="5">
        <v>46195</v>
      </c>
      <c r="AB36" s="5">
        <v>46202</v>
      </c>
      <c r="AC36" s="5">
        <v>46209</v>
      </c>
      <c r="AD36" s="5">
        <v>46216</v>
      </c>
      <c r="AE36" s="5">
        <v>46223</v>
      </c>
      <c r="AF36" s="5">
        <v>46230</v>
      </c>
      <c r="AG36" s="5">
        <v>46237</v>
      </c>
      <c r="AH36" s="5">
        <v>46244</v>
      </c>
      <c r="AI36" s="5">
        <v>46251</v>
      </c>
      <c r="AJ36" s="5">
        <v>46258</v>
      </c>
      <c r="AK36" s="5">
        <v>46265</v>
      </c>
      <c r="AL36" s="5">
        <v>46272</v>
      </c>
      <c r="AM36" s="5">
        <v>46279</v>
      </c>
      <c r="AN36" s="5">
        <v>46286</v>
      </c>
      <c r="AO36" s="5">
        <v>46293</v>
      </c>
      <c r="AP36" s="5">
        <v>46300</v>
      </c>
      <c r="AQ36" s="5">
        <v>46307</v>
      </c>
      <c r="AR36" s="5">
        <v>46314</v>
      </c>
      <c r="AS36" s="5">
        <v>46321</v>
      </c>
      <c r="AT36" s="5">
        <v>46328</v>
      </c>
      <c r="AU36" s="5">
        <v>46335</v>
      </c>
      <c r="AV36" s="5">
        <v>46342</v>
      </c>
      <c r="AW36" s="5">
        <v>46349</v>
      </c>
      <c r="AX36" s="5">
        <v>46356</v>
      </c>
      <c r="AY36" s="5">
        <v>46363</v>
      </c>
      <c r="AZ36" s="5">
        <v>46370</v>
      </c>
      <c r="BA36" s="5">
        <v>46377</v>
      </c>
      <c r="BB36" s="5" t="s">
        <v>17</v>
      </c>
      <c r="BC36" s="5" t="s">
        <v>2</v>
      </c>
      <c r="BD36" s="5" t="s">
        <v>1</v>
      </c>
      <c r="BE36" s="4"/>
    </row>
    <row r="37" spans="1:58" s="16" customFormat="1" x14ac:dyDescent="0.2">
      <c r="A37" s="28" t="s">
        <v>79</v>
      </c>
      <c r="B37" s="21">
        <v>45977</v>
      </c>
      <c r="C37" s="54" t="s">
        <v>80</v>
      </c>
      <c r="D37" s="54"/>
      <c r="E37" s="29">
        <v>665</v>
      </c>
      <c r="F37" s="7"/>
      <c r="G37" s="2"/>
      <c r="H37" s="7"/>
      <c r="I37" s="2">
        <f t="shared" ref="I37" si="28">F37+H37</f>
        <v>0</v>
      </c>
      <c r="J37" s="3">
        <f t="shared" ref="J37" si="29">I37/E37</f>
        <v>0</v>
      </c>
      <c r="N37" s="2">
        <v>50</v>
      </c>
      <c r="O37" s="2">
        <v>80</v>
      </c>
      <c r="P37" s="2">
        <v>80</v>
      </c>
      <c r="Q37" s="2">
        <v>70</v>
      </c>
      <c r="R37" s="2">
        <v>70</v>
      </c>
      <c r="S37" s="2">
        <v>60</v>
      </c>
      <c r="T37" s="2">
        <v>60</v>
      </c>
      <c r="U37" s="2">
        <v>50</v>
      </c>
      <c r="V37" s="2">
        <v>45</v>
      </c>
      <c r="W37" s="75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>
        <f t="shared" ref="BB37:BB72" si="30">SUM(K37:BA37)</f>
        <v>565</v>
      </c>
      <c r="BC37" s="1">
        <f t="shared" ref="BC37:BC71" si="31">E37-I37</f>
        <v>665</v>
      </c>
      <c r="BD37" s="1" t="str">
        <f t="shared" ref="BD37:BD71" si="32">C37</f>
        <v>055-25</v>
      </c>
      <c r="BE37" s="4">
        <f t="shared" ref="BE37:BE72" si="33">E37-I37-BB37</f>
        <v>100</v>
      </c>
    </row>
    <row r="38" spans="1:58" s="16" customFormat="1" x14ac:dyDescent="0.2">
      <c r="A38" s="28" t="s">
        <v>72</v>
      </c>
      <c r="B38" s="21">
        <v>46132</v>
      </c>
      <c r="C38" s="54" t="s">
        <v>116</v>
      </c>
      <c r="D38" s="54"/>
      <c r="E38" s="29">
        <v>290</v>
      </c>
      <c r="F38" s="7"/>
      <c r="G38" s="2"/>
      <c r="H38" s="7"/>
      <c r="I38" s="2">
        <f t="shared" ref="I38:I44" si="34">F38+H38</f>
        <v>0</v>
      </c>
      <c r="J38" s="3">
        <f t="shared" ref="J38:J44" si="35">I38/E38</f>
        <v>0</v>
      </c>
      <c r="N38" s="2">
        <v>50</v>
      </c>
      <c r="O38" s="2">
        <v>50</v>
      </c>
      <c r="P38" s="2">
        <v>50</v>
      </c>
      <c r="Q38" s="2">
        <v>50</v>
      </c>
      <c r="R38" s="2">
        <v>46</v>
      </c>
      <c r="S38" s="74"/>
      <c r="BB38" s="1">
        <f t="shared" si="30"/>
        <v>246</v>
      </c>
      <c r="BC38" s="1">
        <f t="shared" si="31"/>
        <v>290</v>
      </c>
      <c r="BD38" s="1" t="str">
        <f t="shared" si="32"/>
        <v>102-25</v>
      </c>
      <c r="BE38" s="4">
        <f t="shared" si="33"/>
        <v>44</v>
      </c>
    </row>
    <row r="39" spans="1:58" s="16" customFormat="1" x14ac:dyDescent="0.2">
      <c r="A39" s="28" t="s">
        <v>72</v>
      </c>
      <c r="B39" s="21">
        <v>46132</v>
      </c>
      <c r="C39" s="54" t="s">
        <v>117</v>
      </c>
      <c r="D39" s="54"/>
      <c r="E39" s="29">
        <v>322</v>
      </c>
      <c r="F39" s="7"/>
      <c r="G39" s="2"/>
      <c r="H39" s="7"/>
      <c r="I39" s="2">
        <f t="shared" si="34"/>
        <v>0</v>
      </c>
      <c r="J39" s="3">
        <f t="shared" si="35"/>
        <v>0</v>
      </c>
      <c r="N39" s="2">
        <v>50</v>
      </c>
      <c r="O39" s="2">
        <v>50</v>
      </c>
      <c r="P39" s="2">
        <v>50</v>
      </c>
      <c r="Q39" s="2">
        <v>50</v>
      </c>
      <c r="R39" s="2">
        <v>74</v>
      </c>
      <c r="S39" s="74"/>
      <c r="BB39" s="1">
        <f t="shared" si="30"/>
        <v>274</v>
      </c>
      <c r="BC39" s="1">
        <f t="shared" si="31"/>
        <v>322</v>
      </c>
      <c r="BD39" s="1" t="str">
        <f t="shared" si="32"/>
        <v>103-25</v>
      </c>
      <c r="BE39" s="4">
        <f t="shared" si="33"/>
        <v>48</v>
      </c>
    </row>
    <row r="40" spans="1:58" s="16" customFormat="1" x14ac:dyDescent="0.2">
      <c r="A40" s="28" t="s">
        <v>72</v>
      </c>
      <c r="B40" s="21">
        <v>46132</v>
      </c>
      <c r="C40" s="54" t="s">
        <v>118</v>
      </c>
      <c r="D40" s="54"/>
      <c r="E40" s="29">
        <v>316</v>
      </c>
      <c r="F40" s="7"/>
      <c r="G40" s="2"/>
      <c r="H40" s="7"/>
      <c r="I40" s="2">
        <f t="shared" si="34"/>
        <v>0</v>
      </c>
      <c r="J40" s="3">
        <f t="shared" si="35"/>
        <v>0</v>
      </c>
      <c r="N40" s="2">
        <v>50</v>
      </c>
      <c r="O40" s="2">
        <v>50</v>
      </c>
      <c r="P40" s="2">
        <v>50</v>
      </c>
      <c r="Q40" s="2">
        <v>50</v>
      </c>
      <c r="R40" s="2">
        <v>69</v>
      </c>
      <c r="S40" s="74"/>
      <c r="BB40" s="1">
        <f t="shared" si="30"/>
        <v>269</v>
      </c>
      <c r="BC40" s="1">
        <f t="shared" si="31"/>
        <v>316</v>
      </c>
      <c r="BD40" s="1" t="str">
        <f t="shared" si="32"/>
        <v>104-25</v>
      </c>
      <c r="BE40" s="4">
        <f t="shared" si="33"/>
        <v>47</v>
      </c>
    </row>
    <row r="41" spans="1:58" s="16" customFormat="1" x14ac:dyDescent="0.2">
      <c r="A41" s="28" t="s">
        <v>72</v>
      </c>
      <c r="B41" s="21">
        <v>46132</v>
      </c>
      <c r="C41" s="54" t="s">
        <v>119</v>
      </c>
      <c r="D41" s="54"/>
      <c r="E41" s="29">
        <v>303</v>
      </c>
      <c r="F41" s="7"/>
      <c r="G41" s="2"/>
      <c r="H41" s="7"/>
      <c r="I41" s="2">
        <f t="shared" si="34"/>
        <v>0</v>
      </c>
      <c r="J41" s="3">
        <f t="shared" si="35"/>
        <v>0</v>
      </c>
      <c r="K41" s="2"/>
      <c r="Q41" s="2"/>
      <c r="S41" s="2">
        <v>50</v>
      </c>
      <c r="T41" s="2">
        <v>50</v>
      </c>
      <c r="U41" s="2">
        <v>50</v>
      </c>
      <c r="V41" s="2">
        <v>50</v>
      </c>
      <c r="W41" s="2">
        <v>58</v>
      </c>
      <c r="X41" s="74"/>
      <c r="BB41" s="1">
        <f t="shared" si="30"/>
        <v>258</v>
      </c>
      <c r="BC41" s="1">
        <f t="shared" si="31"/>
        <v>303</v>
      </c>
      <c r="BD41" s="1" t="str">
        <f t="shared" si="32"/>
        <v>105-25</v>
      </c>
      <c r="BE41" s="4">
        <f t="shared" si="33"/>
        <v>45</v>
      </c>
    </row>
    <row r="42" spans="1:58" s="16" customFormat="1" x14ac:dyDescent="0.2">
      <c r="A42" s="28" t="s">
        <v>72</v>
      </c>
      <c r="B42" s="21">
        <v>46132</v>
      </c>
      <c r="C42" s="54" t="s">
        <v>120</v>
      </c>
      <c r="D42" s="54"/>
      <c r="E42" s="29">
        <v>215</v>
      </c>
      <c r="F42" s="7"/>
      <c r="G42" s="2"/>
      <c r="H42" s="7"/>
      <c r="I42" s="2">
        <f t="shared" si="34"/>
        <v>0</v>
      </c>
      <c r="J42" s="3">
        <f t="shared" si="35"/>
        <v>0</v>
      </c>
      <c r="K42" s="2"/>
      <c r="Q42" s="2"/>
      <c r="T42" s="2">
        <v>50</v>
      </c>
      <c r="U42" s="2">
        <v>50</v>
      </c>
      <c r="V42" s="2">
        <v>50</v>
      </c>
      <c r="W42" s="2">
        <v>33</v>
      </c>
      <c r="X42" s="74"/>
      <c r="BB42" s="1">
        <f t="shared" si="30"/>
        <v>183</v>
      </c>
      <c r="BC42" s="1">
        <f t="shared" si="31"/>
        <v>215</v>
      </c>
      <c r="BD42" s="1" t="str">
        <f t="shared" si="32"/>
        <v>106-25</v>
      </c>
      <c r="BE42" s="4">
        <f t="shared" si="33"/>
        <v>32</v>
      </c>
    </row>
    <row r="43" spans="1:58" s="16" customFormat="1" x14ac:dyDescent="0.2">
      <c r="A43" s="28" t="s">
        <v>72</v>
      </c>
      <c r="B43" s="21">
        <v>46132</v>
      </c>
      <c r="C43" s="79" t="s">
        <v>121</v>
      </c>
      <c r="D43" s="54"/>
      <c r="E43" s="29">
        <v>114</v>
      </c>
      <c r="F43" s="7"/>
      <c r="G43" s="2"/>
      <c r="H43" s="7"/>
      <c r="I43" s="2">
        <f t="shared" si="34"/>
        <v>0</v>
      </c>
      <c r="J43" s="3">
        <f t="shared" si="35"/>
        <v>0</v>
      </c>
      <c r="M43" s="2"/>
      <c r="N43" s="2"/>
      <c r="O43" s="2"/>
      <c r="U43" s="2">
        <v>40</v>
      </c>
      <c r="V43" s="2">
        <v>40</v>
      </c>
      <c r="W43" s="2">
        <v>17</v>
      </c>
      <c r="X43" s="74"/>
      <c r="BB43" s="1">
        <f t="shared" si="30"/>
        <v>97</v>
      </c>
      <c r="BC43" s="1">
        <f t="shared" si="31"/>
        <v>114</v>
      </c>
      <c r="BD43" s="1" t="str">
        <f t="shared" si="32"/>
        <v>107-25</v>
      </c>
      <c r="BE43" s="4">
        <f t="shared" si="33"/>
        <v>17</v>
      </c>
    </row>
    <row r="44" spans="1:58" s="16" customFormat="1" x14ac:dyDescent="0.2">
      <c r="A44" s="28" t="s">
        <v>72</v>
      </c>
      <c r="B44" s="21">
        <v>46132</v>
      </c>
      <c r="C44" s="79" t="s">
        <v>122</v>
      </c>
      <c r="D44" s="54"/>
      <c r="E44" s="29">
        <v>86</v>
      </c>
      <c r="F44" s="7"/>
      <c r="G44" s="2"/>
      <c r="H44" s="7"/>
      <c r="I44" s="2">
        <f t="shared" si="34"/>
        <v>0</v>
      </c>
      <c r="J44" s="3">
        <f t="shared" si="35"/>
        <v>0</v>
      </c>
      <c r="M44" s="2"/>
      <c r="N44" s="2"/>
      <c r="O44" s="2"/>
      <c r="V44" s="2">
        <v>40</v>
      </c>
      <c r="W44" s="2">
        <v>33</v>
      </c>
      <c r="X44" s="74"/>
      <c r="BB44" s="1">
        <f t="shared" si="30"/>
        <v>73</v>
      </c>
      <c r="BC44" s="1">
        <f t="shared" si="31"/>
        <v>86</v>
      </c>
      <c r="BD44" s="1" t="str">
        <f t="shared" si="32"/>
        <v>108-25</v>
      </c>
      <c r="BE44" s="4">
        <f t="shared" si="33"/>
        <v>13</v>
      </c>
    </row>
    <row r="45" spans="1:58" s="16" customFormat="1" x14ac:dyDescent="0.2">
      <c r="A45" s="28" t="s">
        <v>72</v>
      </c>
      <c r="B45" s="21">
        <v>46132</v>
      </c>
      <c r="C45" s="54" t="s">
        <v>123</v>
      </c>
      <c r="D45" s="54"/>
      <c r="E45" s="29">
        <v>99</v>
      </c>
      <c r="F45" s="7"/>
      <c r="G45" s="2"/>
      <c r="H45" s="7"/>
      <c r="I45" s="2">
        <f t="shared" ref="I45:I50" si="36">F45+H45</f>
        <v>0</v>
      </c>
      <c r="J45" s="3">
        <f t="shared" ref="J45:J50" si="37">I45/E45</f>
        <v>0</v>
      </c>
      <c r="O45" s="2">
        <v>20</v>
      </c>
      <c r="P45" s="2">
        <v>40</v>
      </c>
      <c r="Q45" s="2">
        <v>24</v>
      </c>
      <c r="S45" s="74"/>
      <c r="BB45" s="1">
        <f t="shared" si="30"/>
        <v>84</v>
      </c>
      <c r="BC45" s="1">
        <f t="shared" si="31"/>
        <v>99</v>
      </c>
      <c r="BD45" s="1" t="str">
        <f t="shared" si="32"/>
        <v>109-25</v>
      </c>
      <c r="BE45" s="4">
        <f t="shared" si="33"/>
        <v>15</v>
      </c>
    </row>
    <row r="46" spans="1:58" s="16" customFormat="1" x14ac:dyDescent="0.2">
      <c r="A46" s="28" t="s">
        <v>72</v>
      </c>
      <c r="B46" s="21">
        <v>46132</v>
      </c>
      <c r="C46" s="79" t="s">
        <v>124</v>
      </c>
      <c r="D46" s="54"/>
      <c r="E46" s="29">
        <v>184</v>
      </c>
      <c r="F46" s="7"/>
      <c r="G46" s="2"/>
      <c r="H46" s="7"/>
      <c r="I46" s="2">
        <f t="shared" si="36"/>
        <v>0</v>
      </c>
      <c r="J46" s="3">
        <f t="shared" si="37"/>
        <v>0</v>
      </c>
      <c r="O46" s="2">
        <v>50</v>
      </c>
      <c r="P46" s="2">
        <v>50</v>
      </c>
      <c r="Q46" s="2">
        <v>50</v>
      </c>
      <c r="R46" s="2">
        <v>6</v>
      </c>
      <c r="S46" s="74"/>
      <c r="BB46" s="1">
        <f t="shared" si="30"/>
        <v>156</v>
      </c>
      <c r="BC46" s="1">
        <f t="shared" si="31"/>
        <v>184</v>
      </c>
      <c r="BD46" s="1" t="str">
        <f t="shared" si="32"/>
        <v>110-25</v>
      </c>
      <c r="BE46" s="4">
        <f t="shared" si="33"/>
        <v>28</v>
      </c>
    </row>
    <row r="47" spans="1:58" s="16" customFormat="1" x14ac:dyDescent="0.2">
      <c r="A47" s="28" t="s">
        <v>72</v>
      </c>
      <c r="B47" s="21">
        <v>46132</v>
      </c>
      <c r="C47" s="79" t="s">
        <v>125</v>
      </c>
      <c r="D47" s="54"/>
      <c r="E47" s="29">
        <v>180</v>
      </c>
      <c r="F47" s="7"/>
      <c r="G47" s="2"/>
      <c r="H47" s="7"/>
      <c r="I47" s="2">
        <f t="shared" si="36"/>
        <v>0</v>
      </c>
      <c r="J47" s="3">
        <f t="shared" si="37"/>
        <v>0</v>
      </c>
      <c r="O47" s="2">
        <v>50</v>
      </c>
      <c r="P47" s="2">
        <v>50</v>
      </c>
      <c r="Q47" s="2">
        <v>50</v>
      </c>
      <c r="R47" s="2">
        <v>3</v>
      </c>
      <c r="S47" s="74"/>
      <c r="BB47" s="1">
        <f t="shared" si="30"/>
        <v>153</v>
      </c>
      <c r="BC47" s="1">
        <f t="shared" si="31"/>
        <v>180</v>
      </c>
      <c r="BD47" s="1" t="str">
        <f t="shared" si="32"/>
        <v>111-25</v>
      </c>
      <c r="BE47" s="4">
        <f t="shared" si="33"/>
        <v>27</v>
      </c>
    </row>
    <row r="48" spans="1:58" s="16" customFormat="1" x14ac:dyDescent="0.2">
      <c r="A48" s="28" t="s">
        <v>72</v>
      </c>
      <c r="B48" s="21">
        <v>46132</v>
      </c>
      <c r="C48" s="79" t="s">
        <v>126</v>
      </c>
      <c r="D48" s="54"/>
      <c r="E48" s="29">
        <v>180</v>
      </c>
      <c r="F48" s="7"/>
      <c r="G48" s="2"/>
      <c r="H48" s="7"/>
      <c r="I48" s="2">
        <f t="shared" si="36"/>
        <v>0</v>
      </c>
      <c r="J48" s="3">
        <f t="shared" si="37"/>
        <v>0</v>
      </c>
      <c r="O48" s="2">
        <v>50</v>
      </c>
      <c r="P48" s="2">
        <v>50</v>
      </c>
      <c r="Q48" s="2">
        <v>50</v>
      </c>
      <c r="R48" s="2">
        <v>3</v>
      </c>
      <c r="S48" s="74"/>
      <c r="BB48" s="1">
        <f t="shared" si="30"/>
        <v>153</v>
      </c>
      <c r="BC48" s="1">
        <f t="shared" si="31"/>
        <v>180</v>
      </c>
      <c r="BD48" s="1" t="str">
        <f t="shared" si="32"/>
        <v>112-25</v>
      </c>
      <c r="BE48" s="4">
        <f t="shared" si="33"/>
        <v>27</v>
      </c>
    </row>
    <row r="49" spans="1:57" s="16" customFormat="1" x14ac:dyDescent="0.2">
      <c r="A49" s="28" t="s">
        <v>72</v>
      </c>
      <c r="B49" s="21">
        <v>46132</v>
      </c>
      <c r="C49" s="54" t="s">
        <v>127</v>
      </c>
      <c r="D49" s="54"/>
      <c r="E49" s="29">
        <v>189</v>
      </c>
      <c r="F49" s="7"/>
      <c r="G49" s="2"/>
      <c r="H49" s="7"/>
      <c r="I49" s="2">
        <f t="shared" si="36"/>
        <v>0</v>
      </c>
      <c r="J49" s="3">
        <f t="shared" si="37"/>
        <v>0</v>
      </c>
      <c r="Q49" s="2">
        <v>50</v>
      </c>
      <c r="R49" s="2">
        <v>50</v>
      </c>
      <c r="S49" s="2">
        <v>50</v>
      </c>
      <c r="T49" s="2">
        <v>11</v>
      </c>
      <c r="U49" s="74"/>
      <c r="BB49" s="1">
        <f t="shared" si="30"/>
        <v>161</v>
      </c>
      <c r="BC49" s="1">
        <f t="shared" si="31"/>
        <v>189</v>
      </c>
      <c r="BD49" s="1" t="str">
        <f t="shared" si="32"/>
        <v>113-25</v>
      </c>
      <c r="BE49" s="4">
        <f t="shared" si="33"/>
        <v>28</v>
      </c>
    </row>
    <row r="50" spans="1:57" s="16" customFormat="1" x14ac:dyDescent="0.2">
      <c r="A50" s="28" t="s">
        <v>72</v>
      </c>
      <c r="B50" s="21">
        <v>46132</v>
      </c>
      <c r="C50" s="54" t="s">
        <v>128</v>
      </c>
      <c r="D50" s="54"/>
      <c r="E50" s="29">
        <v>86</v>
      </c>
      <c r="F50" s="7"/>
      <c r="G50" s="2"/>
      <c r="H50" s="7"/>
      <c r="I50" s="2">
        <f t="shared" si="36"/>
        <v>0</v>
      </c>
      <c r="J50" s="3">
        <f t="shared" si="37"/>
        <v>0</v>
      </c>
      <c r="S50" s="2">
        <v>50</v>
      </c>
      <c r="T50" s="2">
        <v>23</v>
      </c>
      <c r="U50" s="74"/>
      <c r="BB50" s="1">
        <f t="shared" si="30"/>
        <v>73</v>
      </c>
      <c r="BC50" s="1">
        <f t="shared" si="31"/>
        <v>86</v>
      </c>
      <c r="BD50" s="1" t="str">
        <f t="shared" si="32"/>
        <v>115-25</v>
      </c>
      <c r="BE50" s="4">
        <f t="shared" si="33"/>
        <v>13</v>
      </c>
    </row>
    <row r="51" spans="1:57" s="16" customFormat="1" x14ac:dyDescent="0.2">
      <c r="A51" s="28" t="s">
        <v>111</v>
      </c>
      <c r="B51" s="21">
        <v>46142</v>
      </c>
      <c r="C51" s="54" t="s">
        <v>131</v>
      </c>
      <c r="D51" s="54"/>
      <c r="E51" s="29">
        <v>522</v>
      </c>
      <c r="F51" s="7"/>
      <c r="G51" s="2"/>
      <c r="H51" s="7"/>
      <c r="I51" s="2">
        <f t="shared" ref="I51:I52" si="38">F51+H51</f>
        <v>0</v>
      </c>
      <c r="J51" s="3">
        <f t="shared" ref="J51:J52" si="39">I51/E51</f>
        <v>0</v>
      </c>
      <c r="K51" s="2"/>
      <c r="L51" s="2"/>
      <c r="M51" s="2"/>
      <c r="N51" s="2"/>
      <c r="O51" s="2"/>
      <c r="P51" s="2"/>
      <c r="Q51" s="2"/>
      <c r="R51" s="2">
        <v>25</v>
      </c>
      <c r="S51" s="2">
        <v>75</v>
      </c>
      <c r="T51" s="2">
        <v>75</v>
      </c>
      <c r="U51" s="2">
        <v>75</v>
      </c>
      <c r="V51" s="2">
        <v>75</v>
      </c>
      <c r="W51" s="2">
        <v>75</v>
      </c>
      <c r="X51" s="2">
        <v>44</v>
      </c>
      <c r="Y51" s="74"/>
      <c r="BB51" s="1">
        <f t="shared" si="30"/>
        <v>444</v>
      </c>
      <c r="BC51" s="1">
        <f t="shared" si="31"/>
        <v>522</v>
      </c>
      <c r="BD51" s="1" t="str">
        <f t="shared" si="32"/>
        <v>116-25</v>
      </c>
      <c r="BE51" s="4">
        <f t="shared" si="33"/>
        <v>78</v>
      </c>
    </row>
    <row r="52" spans="1:57" s="16" customFormat="1" x14ac:dyDescent="0.2">
      <c r="A52" s="28" t="s">
        <v>129</v>
      </c>
      <c r="B52" s="21">
        <v>46149</v>
      </c>
      <c r="C52" s="54" t="s">
        <v>133</v>
      </c>
      <c r="D52" s="54"/>
      <c r="E52" s="29">
        <v>526</v>
      </c>
      <c r="F52" s="7"/>
      <c r="G52" s="2"/>
      <c r="H52" s="7"/>
      <c r="I52" s="2">
        <f t="shared" si="38"/>
        <v>0</v>
      </c>
      <c r="J52" s="3">
        <f t="shared" si="39"/>
        <v>0</v>
      </c>
      <c r="N52" s="2">
        <v>30</v>
      </c>
      <c r="O52" s="2">
        <v>70</v>
      </c>
      <c r="P52" s="2">
        <v>70</v>
      </c>
      <c r="Q52" s="2">
        <v>100</v>
      </c>
      <c r="R52" s="2">
        <v>70</v>
      </c>
      <c r="S52" s="2">
        <v>60</v>
      </c>
      <c r="T52" s="2">
        <v>47</v>
      </c>
      <c r="U52" s="74"/>
      <c r="BB52" s="1">
        <f t="shared" si="30"/>
        <v>447</v>
      </c>
      <c r="BC52" s="1">
        <f t="shared" si="31"/>
        <v>526</v>
      </c>
      <c r="BD52" s="1" t="str">
        <f t="shared" si="32"/>
        <v>118-25</v>
      </c>
      <c r="BE52" s="4">
        <f t="shared" si="33"/>
        <v>79</v>
      </c>
    </row>
    <row r="53" spans="1:57" s="16" customFormat="1" x14ac:dyDescent="0.2">
      <c r="A53" s="28" t="s">
        <v>130</v>
      </c>
      <c r="B53" s="21">
        <v>46174</v>
      </c>
      <c r="C53" s="54" t="s">
        <v>140</v>
      </c>
      <c r="D53" s="54"/>
      <c r="E53" s="29">
        <v>1842</v>
      </c>
      <c r="F53" s="7"/>
      <c r="G53" s="2"/>
      <c r="H53" s="7"/>
      <c r="I53" s="2">
        <f t="shared" ref="I53" si="40">F53+H53</f>
        <v>0</v>
      </c>
      <c r="J53" s="3">
        <f t="shared" ref="J53" si="41">I53/E53</f>
        <v>0</v>
      </c>
      <c r="S53" s="8">
        <v>150</v>
      </c>
      <c r="T53" s="8">
        <v>180</v>
      </c>
      <c r="U53" s="8">
        <v>180</v>
      </c>
      <c r="V53" s="8">
        <v>180</v>
      </c>
      <c r="W53" s="8">
        <v>56</v>
      </c>
      <c r="X53" s="8">
        <v>180</v>
      </c>
      <c r="Y53" s="8">
        <v>180</v>
      </c>
      <c r="Z53" s="8">
        <v>180</v>
      </c>
      <c r="AA53" s="8">
        <v>180</v>
      </c>
      <c r="AB53" s="2">
        <v>100</v>
      </c>
      <c r="AC53" s="74"/>
      <c r="BB53" s="1">
        <f t="shared" si="30"/>
        <v>1566</v>
      </c>
      <c r="BC53" s="1">
        <f t="shared" si="31"/>
        <v>1842</v>
      </c>
      <c r="BD53" s="1" t="str">
        <f t="shared" si="32"/>
        <v>120-25</v>
      </c>
      <c r="BE53" s="4">
        <f t="shared" si="33"/>
        <v>276</v>
      </c>
    </row>
    <row r="54" spans="1:57" s="16" customFormat="1" x14ac:dyDescent="0.2">
      <c r="A54" s="68" t="s">
        <v>105</v>
      </c>
      <c r="B54" s="21">
        <v>46161</v>
      </c>
      <c r="C54" s="54" t="s">
        <v>141</v>
      </c>
      <c r="D54" s="54"/>
      <c r="E54" s="29">
        <v>528</v>
      </c>
      <c r="F54" s="7"/>
      <c r="G54" s="2"/>
      <c r="H54" s="7"/>
      <c r="I54" s="2">
        <f t="shared" ref="I54:I56" si="42">F54+H54</f>
        <v>0</v>
      </c>
      <c r="J54" s="3">
        <f t="shared" ref="J54:J56" si="43">I54/E54</f>
        <v>0</v>
      </c>
      <c r="N54" s="2"/>
      <c r="O54" s="8">
        <v>50</v>
      </c>
      <c r="P54" s="8">
        <v>50</v>
      </c>
      <c r="Q54" s="8">
        <v>75</v>
      </c>
      <c r="R54" s="8">
        <v>75</v>
      </c>
      <c r="S54" s="8">
        <v>75</v>
      </c>
      <c r="T54" s="8">
        <v>75</v>
      </c>
      <c r="U54" s="8">
        <v>49</v>
      </c>
      <c r="V54" s="8"/>
      <c r="W54" s="8"/>
      <c r="BB54" s="1">
        <f t="shared" si="30"/>
        <v>449</v>
      </c>
      <c r="BC54" s="1">
        <f t="shared" si="31"/>
        <v>528</v>
      </c>
      <c r="BD54" s="1" t="str">
        <f t="shared" si="32"/>
        <v>121-25</v>
      </c>
      <c r="BE54" s="4">
        <f t="shared" si="33"/>
        <v>79</v>
      </c>
    </row>
    <row r="55" spans="1:57" s="16" customFormat="1" x14ac:dyDescent="0.2">
      <c r="A55" s="68" t="s">
        <v>105</v>
      </c>
      <c r="B55" s="21">
        <v>46161</v>
      </c>
      <c r="C55" s="54" t="s">
        <v>142</v>
      </c>
      <c r="D55" s="54"/>
      <c r="E55" s="29">
        <v>466</v>
      </c>
      <c r="F55" s="7"/>
      <c r="G55" s="2"/>
      <c r="H55" s="7"/>
      <c r="I55" s="2">
        <f t="shared" si="42"/>
        <v>0</v>
      </c>
      <c r="J55" s="3">
        <f t="shared" si="43"/>
        <v>0</v>
      </c>
      <c r="N55" s="2"/>
      <c r="O55" s="8">
        <v>30</v>
      </c>
      <c r="P55" s="8">
        <v>75</v>
      </c>
      <c r="Q55" s="8">
        <v>75</v>
      </c>
      <c r="R55" s="8">
        <v>75</v>
      </c>
      <c r="S55" s="8">
        <v>75</v>
      </c>
      <c r="T55" s="8">
        <v>40</v>
      </c>
      <c r="U55" s="8">
        <v>26</v>
      </c>
      <c r="V55" s="8"/>
      <c r="W55" s="8"/>
      <c r="BB55" s="1">
        <f t="shared" si="30"/>
        <v>396</v>
      </c>
      <c r="BC55" s="1">
        <f t="shared" si="31"/>
        <v>466</v>
      </c>
      <c r="BD55" s="1" t="str">
        <f t="shared" si="32"/>
        <v>122-25</v>
      </c>
      <c r="BE55" s="4">
        <f t="shared" si="33"/>
        <v>70</v>
      </c>
    </row>
    <row r="56" spans="1:57" s="16" customFormat="1" x14ac:dyDescent="0.2">
      <c r="A56" s="68" t="s">
        <v>105</v>
      </c>
      <c r="B56" s="21">
        <v>46161</v>
      </c>
      <c r="C56" s="54" t="s">
        <v>143</v>
      </c>
      <c r="D56" s="54"/>
      <c r="E56" s="29">
        <v>413</v>
      </c>
      <c r="F56" s="7"/>
      <c r="G56" s="2"/>
      <c r="H56" s="7"/>
      <c r="I56" s="2">
        <f t="shared" si="42"/>
        <v>0</v>
      </c>
      <c r="J56" s="3">
        <f t="shared" si="43"/>
        <v>0</v>
      </c>
      <c r="O56" s="8"/>
      <c r="P56" s="8"/>
      <c r="Q56" s="8">
        <v>75</v>
      </c>
      <c r="R56" s="8">
        <v>75</v>
      </c>
      <c r="S56" s="8">
        <v>75</v>
      </c>
      <c r="T56" s="8">
        <v>75</v>
      </c>
      <c r="U56" s="8">
        <v>51</v>
      </c>
      <c r="V56" s="8"/>
      <c r="W56" s="8"/>
      <c r="BB56" s="1">
        <f t="shared" si="30"/>
        <v>351</v>
      </c>
      <c r="BC56" s="1">
        <f t="shared" si="31"/>
        <v>413</v>
      </c>
      <c r="BD56" s="1" t="str">
        <f t="shared" si="32"/>
        <v>123-25</v>
      </c>
      <c r="BE56" s="4">
        <f t="shared" si="33"/>
        <v>62</v>
      </c>
    </row>
    <row r="57" spans="1:57" s="16" customFormat="1" x14ac:dyDescent="0.2">
      <c r="A57" s="68" t="s">
        <v>94</v>
      </c>
      <c r="B57" s="21">
        <v>46188</v>
      </c>
      <c r="C57" s="54" t="s">
        <v>146</v>
      </c>
      <c r="D57" s="54"/>
      <c r="E57" s="29">
        <v>461</v>
      </c>
      <c r="F57" s="7"/>
      <c r="G57" s="2"/>
      <c r="H57" s="7"/>
      <c r="I57" s="2">
        <f t="shared" ref="I57:I59" si="44">F57+H57</f>
        <v>0</v>
      </c>
      <c r="J57" s="3">
        <f t="shared" ref="J57:J59" si="45">I57/E57</f>
        <v>0</v>
      </c>
      <c r="O57" s="8"/>
      <c r="P57" s="8"/>
      <c r="Q57" s="8"/>
      <c r="R57" s="8"/>
      <c r="S57" s="8">
        <v>75</v>
      </c>
      <c r="T57" s="8">
        <v>75</v>
      </c>
      <c r="U57" s="8">
        <v>75</v>
      </c>
      <c r="V57" s="8">
        <v>75</v>
      </c>
      <c r="W57" s="8">
        <v>25</v>
      </c>
      <c r="X57" s="2">
        <v>40</v>
      </c>
      <c r="Y57" s="2">
        <v>27</v>
      </c>
      <c r="BB57" s="1">
        <f t="shared" si="30"/>
        <v>392</v>
      </c>
      <c r="BC57" s="1">
        <f t="shared" si="31"/>
        <v>461</v>
      </c>
      <c r="BD57" s="1" t="str">
        <f t="shared" si="32"/>
        <v>356-25</v>
      </c>
      <c r="BE57" s="4">
        <f t="shared" si="33"/>
        <v>69</v>
      </c>
    </row>
    <row r="58" spans="1:57" s="16" customFormat="1" x14ac:dyDescent="0.2">
      <c r="A58" s="68" t="s">
        <v>149</v>
      </c>
      <c r="B58" s="21">
        <v>46175</v>
      </c>
      <c r="C58" s="54" t="s">
        <v>147</v>
      </c>
      <c r="D58" s="54"/>
      <c r="E58" s="29">
        <v>214</v>
      </c>
      <c r="F58" s="7"/>
      <c r="G58" s="2"/>
      <c r="H58" s="7"/>
      <c r="I58" s="2">
        <f t="shared" si="44"/>
        <v>0</v>
      </c>
      <c r="J58" s="3">
        <f t="shared" si="45"/>
        <v>0</v>
      </c>
      <c r="O58" s="8"/>
      <c r="P58" s="8"/>
      <c r="Q58" s="8"/>
      <c r="R58" s="8"/>
      <c r="S58" s="8">
        <v>50</v>
      </c>
      <c r="T58" s="8">
        <v>50</v>
      </c>
      <c r="U58" s="8">
        <v>50</v>
      </c>
      <c r="V58" s="8">
        <v>32</v>
      </c>
      <c r="W58" s="8"/>
      <c r="BB58" s="1">
        <f t="shared" si="30"/>
        <v>182</v>
      </c>
      <c r="BC58" s="1">
        <f t="shared" si="31"/>
        <v>214</v>
      </c>
      <c r="BD58" s="1" t="str">
        <f t="shared" si="32"/>
        <v>357-25</v>
      </c>
      <c r="BE58" s="4">
        <f t="shared" si="33"/>
        <v>32</v>
      </c>
    </row>
    <row r="59" spans="1:57" s="16" customFormat="1" x14ac:dyDescent="0.2">
      <c r="A59" s="68" t="s">
        <v>149</v>
      </c>
      <c r="B59" s="21">
        <v>46175</v>
      </c>
      <c r="C59" s="54" t="s">
        <v>148</v>
      </c>
      <c r="D59" s="54"/>
      <c r="E59" s="29">
        <v>262</v>
      </c>
      <c r="F59" s="7"/>
      <c r="G59" s="2"/>
      <c r="H59" s="7"/>
      <c r="I59" s="2">
        <f t="shared" si="44"/>
        <v>0</v>
      </c>
      <c r="J59" s="3">
        <f t="shared" si="45"/>
        <v>0</v>
      </c>
      <c r="O59" s="8"/>
      <c r="P59" s="8"/>
      <c r="Q59" s="8"/>
      <c r="R59" s="8">
        <v>50</v>
      </c>
      <c r="S59" s="8">
        <v>50</v>
      </c>
      <c r="T59" s="8">
        <v>50</v>
      </c>
      <c r="U59" s="8">
        <v>50</v>
      </c>
      <c r="V59" s="8">
        <v>23</v>
      </c>
      <c r="W59" s="8"/>
      <c r="BB59" s="1">
        <f t="shared" si="30"/>
        <v>223</v>
      </c>
      <c r="BC59" s="1">
        <f t="shared" si="31"/>
        <v>262</v>
      </c>
      <c r="BD59" s="1" t="str">
        <f t="shared" si="32"/>
        <v>358-25</v>
      </c>
      <c r="BE59" s="4">
        <f t="shared" si="33"/>
        <v>39</v>
      </c>
    </row>
    <row r="60" spans="1:57" s="16" customFormat="1" x14ac:dyDescent="0.2">
      <c r="A60" s="68" t="s">
        <v>145</v>
      </c>
      <c r="B60" s="70">
        <v>46202</v>
      </c>
      <c r="C60" s="71" t="s">
        <v>155</v>
      </c>
      <c r="D60" s="54"/>
      <c r="E60" s="72">
        <v>436</v>
      </c>
      <c r="F60" s="7"/>
      <c r="G60" s="8"/>
      <c r="H60" s="7"/>
      <c r="I60" s="2">
        <f t="shared" ref="I60:I62" si="46">F60+H60</f>
        <v>0</v>
      </c>
      <c r="J60" s="3">
        <f t="shared" ref="J60:J62" si="47">I60/E60</f>
        <v>0</v>
      </c>
      <c r="K60" s="73"/>
      <c r="L60" s="73"/>
      <c r="M60" s="73"/>
      <c r="N60" s="73"/>
      <c r="O60" s="73"/>
      <c r="P60" s="73"/>
      <c r="Q60" s="73"/>
      <c r="R60" s="73"/>
      <c r="S60" s="73"/>
      <c r="T60" s="8"/>
      <c r="U60" s="8"/>
      <c r="V60" s="8">
        <v>50</v>
      </c>
      <c r="W60" s="8">
        <v>75</v>
      </c>
      <c r="X60" s="8">
        <v>75</v>
      </c>
      <c r="Y60" s="8">
        <v>75</v>
      </c>
      <c r="Z60" s="8">
        <v>75</v>
      </c>
      <c r="AA60" s="8">
        <v>21</v>
      </c>
      <c r="AB60" s="75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1">
        <f t="shared" si="30"/>
        <v>371</v>
      </c>
      <c r="BC60" s="1">
        <f t="shared" si="31"/>
        <v>436</v>
      </c>
      <c r="BD60" s="1" t="str">
        <f t="shared" si="32"/>
        <v>002-26</v>
      </c>
      <c r="BE60" s="4">
        <f t="shared" si="33"/>
        <v>65</v>
      </c>
    </row>
    <row r="61" spans="1:57" s="16" customFormat="1" x14ac:dyDescent="0.2">
      <c r="A61" s="68" t="s">
        <v>145</v>
      </c>
      <c r="B61" s="70">
        <v>46202</v>
      </c>
      <c r="C61" s="71" t="s">
        <v>156</v>
      </c>
      <c r="D61" s="54"/>
      <c r="E61" s="72">
        <v>436</v>
      </c>
      <c r="F61" s="7"/>
      <c r="G61" s="8"/>
      <c r="H61" s="7"/>
      <c r="I61" s="2">
        <f t="shared" si="46"/>
        <v>0</v>
      </c>
      <c r="J61" s="3">
        <f t="shared" si="47"/>
        <v>0</v>
      </c>
      <c r="K61" s="73"/>
      <c r="L61" s="73"/>
      <c r="M61" s="73"/>
      <c r="N61" s="73"/>
      <c r="O61" s="73"/>
      <c r="P61" s="73"/>
      <c r="Q61" s="73"/>
      <c r="R61" s="73"/>
      <c r="S61" s="73"/>
      <c r="T61" s="8"/>
      <c r="U61" s="8"/>
      <c r="V61" s="8">
        <v>50</v>
      </c>
      <c r="W61" s="8">
        <v>75</v>
      </c>
      <c r="X61" s="8">
        <v>75</v>
      </c>
      <c r="Y61" s="8">
        <v>75</v>
      </c>
      <c r="Z61" s="8">
        <v>75</v>
      </c>
      <c r="AA61" s="8">
        <v>21</v>
      </c>
      <c r="AB61" s="75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1">
        <f t="shared" si="30"/>
        <v>371</v>
      </c>
      <c r="BC61" s="1">
        <f t="shared" si="31"/>
        <v>436</v>
      </c>
      <c r="BD61" s="1" t="str">
        <f t="shared" si="32"/>
        <v>003-26</v>
      </c>
      <c r="BE61" s="4">
        <f t="shared" si="33"/>
        <v>65</v>
      </c>
    </row>
    <row r="62" spans="1:57" s="16" customFormat="1" x14ac:dyDescent="0.2">
      <c r="A62" s="68" t="s">
        <v>145</v>
      </c>
      <c r="B62" s="70">
        <v>46202</v>
      </c>
      <c r="C62" s="71" t="s">
        <v>157</v>
      </c>
      <c r="D62" s="54"/>
      <c r="E62" s="72">
        <v>436</v>
      </c>
      <c r="F62" s="7"/>
      <c r="G62" s="8"/>
      <c r="H62" s="7"/>
      <c r="I62" s="2">
        <f t="shared" si="46"/>
        <v>0</v>
      </c>
      <c r="J62" s="3">
        <f t="shared" si="47"/>
        <v>0</v>
      </c>
      <c r="K62" s="73"/>
      <c r="L62" s="73"/>
      <c r="M62" s="73"/>
      <c r="N62" s="73"/>
      <c r="O62" s="73"/>
      <c r="P62" s="73"/>
      <c r="Q62" s="73"/>
      <c r="R62" s="73"/>
      <c r="S62" s="73"/>
      <c r="T62" s="8"/>
      <c r="U62" s="8"/>
      <c r="V62" s="8">
        <v>50</v>
      </c>
      <c r="W62" s="8">
        <v>75</v>
      </c>
      <c r="X62" s="8">
        <v>75</v>
      </c>
      <c r="Y62" s="8">
        <v>75</v>
      </c>
      <c r="Z62" s="8">
        <v>75</v>
      </c>
      <c r="AA62" s="8">
        <v>21</v>
      </c>
      <c r="AB62" s="75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1">
        <f t="shared" si="30"/>
        <v>371</v>
      </c>
      <c r="BC62" s="1">
        <f t="shared" si="31"/>
        <v>436</v>
      </c>
      <c r="BD62" s="1" t="str">
        <f t="shared" si="32"/>
        <v>004-26</v>
      </c>
      <c r="BE62" s="4">
        <f t="shared" si="33"/>
        <v>65</v>
      </c>
    </row>
    <row r="63" spans="1:57" s="16" customFormat="1" x14ac:dyDescent="0.2">
      <c r="A63" s="68" t="s">
        <v>144</v>
      </c>
      <c r="B63" s="70">
        <v>46181</v>
      </c>
      <c r="C63" s="71" t="s">
        <v>158</v>
      </c>
      <c r="D63" s="54"/>
      <c r="E63" s="72">
        <v>203</v>
      </c>
      <c r="F63" s="7"/>
      <c r="G63" s="8"/>
      <c r="H63" s="7"/>
      <c r="I63" s="2">
        <f t="shared" ref="I63:I68" si="48">F63+H63</f>
        <v>0</v>
      </c>
      <c r="J63" s="3">
        <f t="shared" ref="J63:J68" si="49">I63/E63</f>
        <v>0</v>
      </c>
      <c r="K63" s="8"/>
      <c r="L63" s="73"/>
      <c r="M63" s="73"/>
      <c r="N63" s="73"/>
      <c r="O63" s="73"/>
      <c r="P63" s="73"/>
      <c r="Q63" s="73"/>
      <c r="R63" s="73"/>
      <c r="S63" s="73"/>
      <c r="T63" s="8">
        <v>50</v>
      </c>
      <c r="U63" s="8">
        <v>50</v>
      </c>
      <c r="V63" s="8">
        <v>50</v>
      </c>
      <c r="W63" s="8">
        <v>23</v>
      </c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1">
        <f t="shared" si="30"/>
        <v>173</v>
      </c>
      <c r="BC63" s="1">
        <f t="shared" si="31"/>
        <v>203</v>
      </c>
      <c r="BD63" s="1" t="str">
        <f t="shared" si="32"/>
        <v>005-26</v>
      </c>
      <c r="BE63" s="4">
        <f t="shared" si="33"/>
        <v>30</v>
      </c>
    </row>
    <row r="64" spans="1:57" s="16" customFormat="1" x14ac:dyDescent="0.2">
      <c r="A64" s="68" t="s">
        <v>150</v>
      </c>
      <c r="B64" s="70">
        <v>46174</v>
      </c>
      <c r="C64" s="71" t="s">
        <v>162</v>
      </c>
      <c r="D64" s="54"/>
      <c r="E64" s="72">
        <v>429</v>
      </c>
      <c r="F64" s="7"/>
      <c r="G64" s="8"/>
      <c r="H64" s="7"/>
      <c r="I64" s="2">
        <f t="shared" si="48"/>
        <v>0</v>
      </c>
      <c r="J64" s="3">
        <f t="shared" si="49"/>
        <v>0</v>
      </c>
      <c r="K64" s="73"/>
      <c r="N64" s="73"/>
      <c r="O64" s="73"/>
      <c r="P64" s="8"/>
      <c r="Q64" s="8">
        <v>50</v>
      </c>
      <c r="R64" s="8">
        <v>75</v>
      </c>
      <c r="S64" s="8">
        <v>75</v>
      </c>
      <c r="T64" s="8">
        <v>75</v>
      </c>
      <c r="U64" s="8">
        <v>75</v>
      </c>
      <c r="V64" s="8">
        <v>15</v>
      </c>
      <c r="W64" s="8"/>
      <c r="X64" s="75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1">
        <f t="shared" si="30"/>
        <v>365</v>
      </c>
      <c r="BC64" s="1">
        <f t="shared" si="31"/>
        <v>429</v>
      </c>
      <c r="BD64" s="1" t="str">
        <f t="shared" si="32"/>
        <v>014-26</v>
      </c>
      <c r="BE64" s="4">
        <f t="shared" si="33"/>
        <v>64</v>
      </c>
    </row>
    <row r="65" spans="1:57" s="16" customFormat="1" x14ac:dyDescent="0.2">
      <c r="A65" s="68" t="s">
        <v>151</v>
      </c>
      <c r="B65" s="70">
        <v>46174</v>
      </c>
      <c r="C65" s="71" t="s">
        <v>163</v>
      </c>
      <c r="D65" s="54"/>
      <c r="E65" s="72">
        <v>393</v>
      </c>
      <c r="F65" s="7"/>
      <c r="G65" s="8"/>
      <c r="H65" s="7"/>
      <c r="I65" s="2">
        <f t="shared" si="48"/>
        <v>0</v>
      </c>
      <c r="J65" s="3">
        <f t="shared" si="49"/>
        <v>0</v>
      </c>
      <c r="K65" s="73"/>
      <c r="S65" s="73"/>
      <c r="T65" s="73"/>
      <c r="U65" s="73"/>
      <c r="V65" s="8"/>
      <c r="W65" s="8">
        <v>50</v>
      </c>
      <c r="X65" s="8">
        <v>75</v>
      </c>
      <c r="Y65" s="8">
        <v>75</v>
      </c>
      <c r="Z65" s="8">
        <v>70</v>
      </c>
      <c r="AA65" s="8">
        <v>64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1">
        <f t="shared" si="30"/>
        <v>334</v>
      </c>
      <c r="BC65" s="1">
        <f t="shared" si="31"/>
        <v>393</v>
      </c>
      <c r="BD65" s="1" t="str">
        <f t="shared" si="32"/>
        <v>015-26</v>
      </c>
      <c r="BE65" s="4">
        <f t="shared" si="33"/>
        <v>59</v>
      </c>
    </row>
    <row r="66" spans="1:57" s="16" customFormat="1" x14ac:dyDescent="0.2">
      <c r="A66" s="68" t="s">
        <v>152</v>
      </c>
      <c r="B66" s="70">
        <v>46174</v>
      </c>
      <c r="C66" s="71" t="s">
        <v>164</v>
      </c>
      <c r="D66" s="54"/>
      <c r="E66" s="72">
        <v>574</v>
      </c>
      <c r="F66" s="7"/>
      <c r="G66" s="8"/>
      <c r="H66" s="7"/>
      <c r="I66" s="2">
        <f t="shared" si="48"/>
        <v>0</v>
      </c>
      <c r="J66" s="3">
        <f t="shared" si="49"/>
        <v>0</v>
      </c>
      <c r="K66" s="73"/>
      <c r="S66" s="8"/>
      <c r="T66" s="8"/>
      <c r="U66" s="8">
        <v>50</v>
      </c>
      <c r="V66" s="8">
        <v>75</v>
      </c>
      <c r="W66" s="8">
        <v>60</v>
      </c>
      <c r="X66" s="8">
        <v>75</v>
      </c>
      <c r="Y66" s="8">
        <v>75</v>
      </c>
      <c r="Z66" s="8">
        <v>75</v>
      </c>
      <c r="AA66" s="8">
        <v>78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1">
        <f t="shared" si="30"/>
        <v>488</v>
      </c>
      <c r="BC66" s="1">
        <f t="shared" si="31"/>
        <v>574</v>
      </c>
      <c r="BD66" s="1" t="str">
        <f t="shared" si="32"/>
        <v>016-26</v>
      </c>
      <c r="BE66" s="4">
        <f t="shared" si="33"/>
        <v>86</v>
      </c>
    </row>
    <row r="67" spans="1:57" s="16" customFormat="1" x14ac:dyDescent="0.2">
      <c r="A67" s="68" t="s">
        <v>153</v>
      </c>
      <c r="B67" s="70">
        <v>46204</v>
      </c>
      <c r="C67" s="71" t="s">
        <v>165</v>
      </c>
      <c r="D67" s="54"/>
      <c r="E67" s="72">
        <v>553</v>
      </c>
      <c r="F67" s="7"/>
      <c r="G67" s="8"/>
      <c r="H67" s="7"/>
      <c r="I67" s="2">
        <f t="shared" si="48"/>
        <v>0</v>
      </c>
      <c r="J67" s="3">
        <f t="shared" si="49"/>
        <v>0</v>
      </c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8"/>
      <c r="V67" s="8">
        <v>70</v>
      </c>
      <c r="W67" s="8">
        <v>50</v>
      </c>
      <c r="X67" s="8">
        <v>75</v>
      </c>
      <c r="Y67" s="8">
        <v>75</v>
      </c>
      <c r="Z67" s="8">
        <v>75</v>
      </c>
      <c r="AA67" s="8">
        <v>75</v>
      </c>
      <c r="AB67" s="8">
        <v>50</v>
      </c>
      <c r="AC67" s="75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1">
        <f t="shared" si="30"/>
        <v>470</v>
      </c>
      <c r="BC67" s="1">
        <f t="shared" si="31"/>
        <v>553</v>
      </c>
      <c r="BD67" s="1" t="str">
        <f t="shared" si="32"/>
        <v>017-26</v>
      </c>
      <c r="BE67" s="4">
        <f t="shared" si="33"/>
        <v>83</v>
      </c>
    </row>
    <row r="68" spans="1:57" s="16" customFormat="1" x14ac:dyDescent="0.2">
      <c r="A68" s="68" t="s">
        <v>154</v>
      </c>
      <c r="B68" s="70">
        <v>46204</v>
      </c>
      <c r="C68" s="71" t="s">
        <v>166</v>
      </c>
      <c r="D68" s="54"/>
      <c r="E68" s="72">
        <v>553</v>
      </c>
      <c r="F68" s="7"/>
      <c r="G68" s="8"/>
      <c r="H68" s="7"/>
      <c r="I68" s="2">
        <f t="shared" si="48"/>
        <v>0</v>
      </c>
      <c r="J68" s="3">
        <f t="shared" si="49"/>
        <v>0</v>
      </c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8"/>
      <c r="V68" s="8">
        <v>70</v>
      </c>
      <c r="W68" s="8">
        <v>50</v>
      </c>
      <c r="X68" s="8">
        <v>75</v>
      </c>
      <c r="Y68" s="8">
        <v>75</v>
      </c>
      <c r="Z68" s="8">
        <v>75</v>
      </c>
      <c r="AA68" s="8">
        <v>75</v>
      </c>
      <c r="AB68" s="8">
        <v>50</v>
      </c>
      <c r="AC68" s="75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1">
        <f t="shared" si="30"/>
        <v>470</v>
      </c>
      <c r="BC68" s="1">
        <f t="shared" si="31"/>
        <v>553</v>
      </c>
      <c r="BD68" s="1" t="str">
        <f t="shared" si="32"/>
        <v>018-26</v>
      </c>
      <c r="BE68" s="4">
        <f t="shared" si="33"/>
        <v>83</v>
      </c>
    </row>
    <row r="69" spans="1:57" s="16" customFormat="1" x14ac:dyDescent="0.2">
      <c r="A69" s="68" t="s">
        <v>144</v>
      </c>
      <c r="B69" s="70">
        <v>46223</v>
      </c>
      <c r="C69" s="71" t="s">
        <v>174</v>
      </c>
      <c r="D69" s="54"/>
      <c r="E69" s="72">
        <v>247</v>
      </c>
      <c r="F69" s="7"/>
      <c r="G69" s="8"/>
      <c r="H69" s="7"/>
      <c r="I69" s="2">
        <f t="shared" ref="I69:I70" si="50">F69+H69</f>
        <v>0</v>
      </c>
      <c r="J69" s="3">
        <f t="shared" ref="J69:J70" si="51">I69/E69</f>
        <v>0</v>
      </c>
      <c r="K69" s="2"/>
      <c r="L69" s="2"/>
      <c r="M69" s="2"/>
      <c r="N69" s="2"/>
      <c r="O69" s="73"/>
      <c r="P69" s="73"/>
      <c r="Q69" s="73"/>
      <c r="R69" s="73"/>
      <c r="S69" s="73"/>
      <c r="T69" s="73"/>
      <c r="U69" s="8"/>
      <c r="V69" s="8"/>
      <c r="W69" s="8"/>
      <c r="X69" s="8"/>
      <c r="Y69" s="8"/>
      <c r="Z69" s="8">
        <v>50</v>
      </c>
      <c r="AA69" s="8">
        <v>50</v>
      </c>
      <c r="AB69" s="8">
        <v>50</v>
      </c>
      <c r="AC69" s="2">
        <v>50</v>
      </c>
      <c r="AD69" s="8">
        <v>10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1">
        <f t="shared" si="30"/>
        <v>210</v>
      </c>
      <c r="BC69" s="1">
        <f t="shared" si="31"/>
        <v>247</v>
      </c>
      <c r="BD69" s="1" t="str">
        <f t="shared" si="32"/>
        <v>020-26</v>
      </c>
      <c r="BE69" s="4">
        <f t="shared" si="33"/>
        <v>37</v>
      </c>
    </row>
    <row r="70" spans="1:57" s="16" customFormat="1" x14ac:dyDescent="0.2">
      <c r="A70" s="68" t="s">
        <v>144</v>
      </c>
      <c r="B70" s="70">
        <v>46223</v>
      </c>
      <c r="C70" s="71" t="s">
        <v>175</v>
      </c>
      <c r="D70" s="54"/>
      <c r="E70" s="72">
        <v>268</v>
      </c>
      <c r="F70" s="7"/>
      <c r="G70" s="8"/>
      <c r="H70" s="7"/>
      <c r="I70" s="2">
        <f t="shared" si="50"/>
        <v>0</v>
      </c>
      <c r="J70" s="3">
        <f t="shared" si="51"/>
        <v>0</v>
      </c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8"/>
      <c r="V70" s="8"/>
      <c r="W70" s="8"/>
      <c r="X70" s="8"/>
      <c r="Y70" s="8"/>
      <c r="Z70" s="8">
        <v>50</v>
      </c>
      <c r="AA70" s="8">
        <v>50</v>
      </c>
      <c r="AB70" s="8">
        <v>50</v>
      </c>
      <c r="AC70" s="2">
        <v>50</v>
      </c>
      <c r="AD70" s="8">
        <v>28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1">
        <f t="shared" si="30"/>
        <v>228</v>
      </c>
      <c r="BC70" s="1">
        <f t="shared" si="31"/>
        <v>268</v>
      </c>
      <c r="BD70" s="1" t="str">
        <f t="shared" si="32"/>
        <v>021-26</v>
      </c>
      <c r="BE70" s="4">
        <f t="shared" si="33"/>
        <v>40</v>
      </c>
    </row>
    <row r="71" spans="1:57" s="16" customFormat="1" x14ac:dyDescent="0.2">
      <c r="A71" s="68" t="s">
        <v>67</v>
      </c>
      <c r="B71" s="70">
        <v>46181</v>
      </c>
      <c r="C71" s="71" t="s">
        <v>178</v>
      </c>
      <c r="D71" s="54"/>
      <c r="E71" s="72">
        <v>260</v>
      </c>
      <c r="F71" s="7"/>
      <c r="G71" s="8"/>
      <c r="H71" s="7"/>
      <c r="I71" s="2">
        <f t="shared" ref="I71" si="52">F71+H71</f>
        <v>0</v>
      </c>
      <c r="J71" s="3">
        <f t="shared" ref="J71" si="53">I71/E71</f>
        <v>0</v>
      </c>
      <c r="K71" s="73"/>
      <c r="L71" s="73"/>
      <c r="M71" s="73"/>
      <c r="N71" s="73"/>
      <c r="O71" s="73"/>
      <c r="P71" s="73"/>
      <c r="Q71" s="73"/>
      <c r="R71" s="73"/>
      <c r="S71" s="73"/>
      <c r="T71" s="8">
        <v>50</v>
      </c>
      <c r="U71" s="8">
        <v>50</v>
      </c>
      <c r="V71" s="8">
        <v>50</v>
      </c>
      <c r="W71" s="8">
        <v>50</v>
      </c>
      <c r="X71" s="8">
        <v>21</v>
      </c>
      <c r="Y71" s="8"/>
      <c r="Z71" s="8"/>
      <c r="AA71" s="8"/>
      <c r="AB71" s="8"/>
      <c r="AC71" s="2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1">
        <f t="shared" si="30"/>
        <v>221</v>
      </c>
      <c r="BC71" s="1">
        <f t="shared" si="31"/>
        <v>260</v>
      </c>
      <c r="BD71" s="1" t="str">
        <f t="shared" si="32"/>
        <v>022-26</v>
      </c>
      <c r="BE71" s="4">
        <f t="shared" si="33"/>
        <v>39</v>
      </c>
    </row>
    <row r="72" spans="1:57" s="16" customFormat="1" x14ac:dyDescent="0.2">
      <c r="A72" s="68" t="s">
        <v>111</v>
      </c>
      <c r="B72" s="70">
        <v>46231</v>
      </c>
      <c r="C72" s="71" t="s">
        <v>181</v>
      </c>
      <c r="D72" s="54"/>
      <c r="E72" s="72">
        <v>89</v>
      </c>
      <c r="F72" s="7"/>
      <c r="G72" s="8"/>
      <c r="H72" s="7"/>
      <c r="I72" s="2">
        <f t="shared" ref="I72" si="54">F72+H72</f>
        <v>0</v>
      </c>
      <c r="J72" s="3">
        <f t="shared" ref="J72" si="55">I72/E72</f>
        <v>0</v>
      </c>
      <c r="K72" s="73"/>
      <c r="L72" s="73"/>
      <c r="M72" s="73"/>
      <c r="N72" s="73"/>
      <c r="O72" s="73"/>
      <c r="P72" s="73"/>
      <c r="Q72" s="73"/>
      <c r="R72" s="73"/>
      <c r="S72" s="73"/>
      <c r="T72" s="8"/>
      <c r="U72" s="8"/>
      <c r="V72" s="8"/>
      <c r="W72" s="8"/>
      <c r="X72" s="8"/>
      <c r="Y72" s="8"/>
      <c r="Z72" s="8"/>
      <c r="AA72" s="8"/>
      <c r="AB72" s="8"/>
      <c r="AC72" s="2"/>
      <c r="AD72" s="8">
        <v>40</v>
      </c>
      <c r="AE72" s="8">
        <v>36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1">
        <f t="shared" si="30"/>
        <v>76</v>
      </c>
      <c r="BC72" s="1">
        <f t="shared" ref="BC72" si="56">E72-I72</f>
        <v>89</v>
      </c>
      <c r="BD72" s="1" t="str">
        <f t="shared" ref="BD72" si="57">C72</f>
        <v>024-26</v>
      </c>
      <c r="BE72" s="4">
        <f t="shared" si="33"/>
        <v>13</v>
      </c>
    </row>
    <row r="73" spans="1:57" s="16" customFormat="1" x14ac:dyDescent="0.2">
      <c r="A73" s="28"/>
      <c r="B73" s="21"/>
      <c r="C73" s="54"/>
      <c r="D73" s="54"/>
      <c r="E73" s="29"/>
      <c r="F73" s="7"/>
      <c r="G73" s="2"/>
      <c r="H73" s="7"/>
      <c r="I73" s="2"/>
      <c r="J73" s="3"/>
      <c r="K73" s="2"/>
      <c r="L73" s="2"/>
      <c r="M73" s="2"/>
      <c r="N73" s="2"/>
      <c r="O73" s="2"/>
      <c r="BB73" s="1"/>
      <c r="BC73" s="1"/>
      <c r="BD73" s="1"/>
      <c r="BE73" s="4"/>
    </row>
    <row r="74" spans="1:57" s="16" customFormat="1" x14ac:dyDescent="0.2">
      <c r="A74" s="66" t="s">
        <v>96</v>
      </c>
      <c r="B74" s="56"/>
      <c r="C74" s="57"/>
      <c r="D74" s="57"/>
      <c r="E74" s="58">
        <v>603</v>
      </c>
      <c r="F74" s="59"/>
      <c r="G74" s="60"/>
      <c r="H74" s="59"/>
      <c r="I74" s="60"/>
      <c r="J74" s="61"/>
      <c r="K74" s="63"/>
      <c r="L74" s="63"/>
      <c r="M74" s="63"/>
      <c r="N74" s="63"/>
      <c r="O74" s="63"/>
      <c r="P74" s="60" t="s">
        <v>106</v>
      </c>
      <c r="Q74" s="60" t="s">
        <v>134</v>
      </c>
      <c r="R74" s="60" t="s">
        <v>135</v>
      </c>
      <c r="S74" s="60" t="s">
        <v>136</v>
      </c>
      <c r="T74" s="60" t="s">
        <v>137</v>
      </c>
      <c r="U74" s="60" t="s">
        <v>138</v>
      </c>
      <c r="V74" s="60" t="s">
        <v>139</v>
      </c>
      <c r="W74" s="63"/>
      <c r="X74" s="63"/>
      <c r="Y74" s="60">
        <v>50</v>
      </c>
      <c r="Z74" s="60">
        <v>50</v>
      </c>
      <c r="AA74" s="60">
        <v>50</v>
      </c>
      <c r="AB74" s="60">
        <v>50</v>
      </c>
      <c r="AC74" s="60">
        <v>50</v>
      </c>
      <c r="AD74" s="60">
        <v>50</v>
      </c>
      <c r="AE74" s="60">
        <v>50</v>
      </c>
      <c r="AF74" s="60">
        <v>50</v>
      </c>
      <c r="AG74" s="60">
        <v>50</v>
      </c>
      <c r="AH74" s="60">
        <v>50</v>
      </c>
      <c r="AI74" s="60">
        <v>13</v>
      </c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1">
        <f>SUM(K74:BA74)</f>
        <v>513</v>
      </c>
      <c r="BC74" s="1">
        <f>E74-I74</f>
        <v>603</v>
      </c>
      <c r="BD74" s="1">
        <f>C74</f>
        <v>0</v>
      </c>
      <c r="BE74" s="4">
        <f>E74-I74-BB74</f>
        <v>90</v>
      </c>
    </row>
    <row r="75" spans="1:57" s="16" customFormat="1" x14ac:dyDescent="0.2">
      <c r="A75" s="67"/>
      <c r="B75" s="56"/>
      <c r="C75" s="57"/>
      <c r="D75" s="57"/>
      <c r="E75" s="58"/>
      <c r="F75" s="59"/>
      <c r="G75" s="60"/>
      <c r="H75" s="59"/>
      <c r="I75" s="60"/>
      <c r="J75" s="61"/>
      <c r="K75" s="60"/>
      <c r="L75" s="60"/>
      <c r="M75" s="63"/>
      <c r="N75" s="63"/>
      <c r="O75" s="63"/>
      <c r="P75" s="63"/>
      <c r="Q75" s="63"/>
      <c r="R75" s="63"/>
      <c r="S75" s="63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1"/>
      <c r="BC75" s="1"/>
      <c r="BD75" s="1"/>
      <c r="BE75" s="4"/>
    </row>
    <row r="76" spans="1:57" ht="9" customHeight="1" x14ac:dyDescent="0.2">
      <c r="A76" s="28"/>
      <c r="B76" s="21"/>
      <c r="E76" s="8"/>
      <c r="F76" s="7"/>
      <c r="H76" s="7"/>
      <c r="J76" s="8"/>
      <c r="BB76" s="6"/>
      <c r="BC76" s="6"/>
      <c r="BD76" s="6"/>
    </row>
    <row r="77" spans="1:57" x14ac:dyDescent="0.2">
      <c r="A77" s="36"/>
      <c r="B77" s="36"/>
      <c r="C77" s="36"/>
      <c r="D77" s="36"/>
      <c r="E77" s="36"/>
      <c r="F77" s="2" t="s">
        <v>8</v>
      </c>
      <c r="G77" s="2">
        <f>SUM(G6:G76)+G32</f>
        <v>2514.5388429752065</v>
      </c>
      <c r="H77" s="2">
        <f>SUM(H6:H76)+H32</f>
        <v>3243.8388429752067</v>
      </c>
      <c r="I77" s="16"/>
      <c r="J77" s="2" t="s">
        <v>3</v>
      </c>
      <c r="K77" s="2">
        <f t="shared" ref="K77:BA77" si="58">K32+SUM(K37:K76)</f>
        <v>690</v>
      </c>
      <c r="L77" s="2">
        <f t="shared" si="58"/>
        <v>638</v>
      </c>
      <c r="M77" s="2">
        <f t="shared" si="58"/>
        <v>770</v>
      </c>
      <c r="N77" s="2">
        <f t="shared" si="58"/>
        <v>961</v>
      </c>
      <c r="O77" s="2">
        <f t="shared" si="58"/>
        <v>1080</v>
      </c>
      <c r="P77" s="2">
        <f t="shared" si="58"/>
        <v>1043</v>
      </c>
      <c r="Q77" s="2">
        <f t="shared" si="58"/>
        <v>1082</v>
      </c>
      <c r="R77" s="2">
        <f t="shared" si="58"/>
        <v>936</v>
      </c>
      <c r="S77" s="2">
        <f t="shared" si="58"/>
        <v>1120</v>
      </c>
      <c r="T77" s="2">
        <f t="shared" si="58"/>
        <v>1166</v>
      </c>
      <c r="U77" s="2">
        <f t="shared" si="58"/>
        <v>1021</v>
      </c>
      <c r="V77" s="2">
        <f t="shared" si="58"/>
        <v>1190</v>
      </c>
      <c r="W77" s="2">
        <f t="shared" si="58"/>
        <v>878</v>
      </c>
      <c r="X77" s="2">
        <f t="shared" si="58"/>
        <v>860</v>
      </c>
      <c r="Y77" s="2">
        <f t="shared" si="58"/>
        <v>832</v>
      </c>
      <c r="Z77" s="2">
        <f t="shared" si="58"/>
        <v>900</v>
      </c>
      <c r="AA77" s="2">
        <f t="shared" si="58"/>
        <v>735</v>
      </c>
      <c r="AB77" s="2">
        <f t="shared" si="58"/>
        <v>400</v>
      </c>
      <c r="AC77" s="2">
        <f t="shared" si="58"/>
        <v>200</v>
      </c>
      <c r="AD77" s="2">
        <f t="shared" si="58"/>
        <v>178</v>
      </c>
      <c r="AE77" s="2">
        <f t="shared" si="58"/>
        <v>136</v>
      </c>
      <c r="AF77" s="2">
        <f t="shared" si="58"/>
        <v>100</v>
      </c>
      <c r="AG77" s="2">
        <f t="shared" si="58"/>
        <v>100</v>
      </c>
      <c r="AH77" s="2">
        <f t="shared" si="58"/>
        <v>100</v>
      </c>
      <c r="AI77" s="2">
        <f t="shared" si="58"/>
        <v>63</v>
      </c>
      <c r="AJ77" s="2">
        <f t="shared" si="58"/>
        <v>9</v>
      </c>
      <c r="AK77" s="2">
        <f t="shared" si="58"/>
        <v>0</v>
      </c>
      <c r="AL77" s="2">
        <f t="shared" si="58"/>
        <v>0</v>
      </c>
      <c r="AM77" s="2">
        <f t="shared" si="58"/>
        <v>0</v>
      </c>
      <c r="AN77" s="2">
        <f t="shared" si="58"/>
        <v>0</v>
      </c>
      <c r="AO77" s="2">
        <f t="shared" si="58"/>
        <v>0</v>
      </c>
      <c r="AP77" s="2">
        <f t="shared" si="58"/>
        <v>0</v>
      </c>
      <c r="AQ77" s="2">
        <f t="shared" si="58"/>
        <v>0</v>
      </c>
      <c r="AR77" s="2">
        <f t="shared" si="58"/>
        <v>0</v>
      </c>
      <c r="AS77" s="2">
        <f t="shared" si="58"/>
        <v>0</v>
      </c>
      <c r="AT77" s="2">
        <f t="shared" si="58"/>
        <v>0</v>
      </c>
      <c r="AU77" s="2">
        <f t="shared" si="58"/>
        <v>0</v>
      </c>
      <c r="AV77" s="2">
        <f t="shared" si="58"/>
        <v>0</v>
      </c>
      <c r="AW77" s="2">
        <f t="shared" si="58"/>
        <v>0</v>
      </c>
      <c r="AX77" s="2">
        <f t="shared" si="58"/>
        <v>0</v>
      </c>
      <c r="AY77" s="2">
        <f t="shared" si="58"/>
        <v>0</v>
      </c>
      <c r="AZ77" s="2">
        <f t="shared" si="58"/>
        <v>0</v>
      </c>
      <c r="BA77" s="2">
        <f t="shared" si="58"/>
        <v>0</v>
      </c>
      <c r="BB77" s="6">
        <f>SUM(K77:BA77)</f>
        <v>17188</v>
      </c>
      <c r="BC77" s="16"/>
      <c r="BD77" s="16"/>
    </row>
    <row r="78" spans="1:57" x14ac:dyDescent="0.2">
      <c r="A78" s="41"/>
      <c r="B78" s="42" t="s">
        <v>15</v>
      </c>
      <c r="C78" s="43" t="s">
        <v>16</v>
      </c>
      <c r="D78" s="78"/>
      <c r="E78" s="36"/>
      <c r="F78" s="9" t="s">
        <v>20</v>
      </c>
      <c r="G78" s="16"/>
      <c r="H78" s="16"/>
      <c r="I78" s="16"/>
      <c r="J78" s="9" t="s">
        <v>20</v>
      </c>
      <c r="K78" s="3">
        <f t="shared" ref="K78:BA78" si="59">((K77)/(K3*K4))</f>
        <v>0.57024793388429751</v>
      </c>
      <c r="L78" s="3">
        <f t="shared" si="59"/>
        <v>0.52727272727272723</v>
      </c>
      <c r="M78" s="3">
        <f t="shared" si="59"/>
        <v>0.63636363636363635</v>
      </c>
      <c r="N78" s="3">
        <f t="shared" si="59"/>
        <v>0.79421487603305785</v>
      </c>
      <c r="O78" s="3">
        <f t="shared" si="59"/>
        <v>0.8925619834710744</v>
      </c>
      <c r="P78" s="3">
        <f t="shared" si="59"/>
        <v>0.86198347107438011</v>
      </c>
      <c r="Q78" s="3">
        <f t="shared" si="59"/>
        <v>0.89421487603305783</v>
      </c>
      <c r="R78" s="3">
        <f t="shared" si="59"/>
        <v>0.77355371900826442</v>
      </c>
      <c r="S78" s="3">
        <f t="shared" si="59"/>
        <v>0.92561983471074383</v>
      </c>
      <c r="T78" s="3">
        <f t="shared" si="59"/>
        <v>0.96363636363636362</v>
      </c>
      <c r="U78" s="3">
        <f t="shared" si="59"/>
        <v>0.84380165289256204</v>
      </c>
      <c r="V78" s="3">
        <f t="shared" si="59"/>
        <v>0.98347107438016534</v>
      </c>
      <c r="W78" s="3">
        <f t="shared" si="59"/>
        <v>0.99772727272727268</v>
      </c>
      <c r="X78" s="3">
        <f t="shared" si="59"/>
        <v>0.71074380165289253</v>
      </c>
      <c r="Y78" s="3">
        <f t="shared" si="59"/>
        <v>0.68760330578512396</v>
      </c>
      <c r="Z78" s="3">
        <f t="shared" si="59"/>
        <v>0.74380165289256195</v>
      </c>
      <c r="AA78" s="3">
        <f t="shared" si="59"/>
        <v>0.6074380165289256</v>
      </c>
      <c r="AB78" s="3">
        <f t="shared" si="59"/>
        <v>0.33057851239669422</v>
      </c>
      <c r="AC78" s="3">
        <f t="shared" si="59"/>
        <v>0.22727272727272727</v>
      </c>
      <c r="AD78" s="3">
        <f t="shared" si="59"/>
        <v>0.14710743801652892</v>
      </c>
      <c r="AE78" s="3">
        <f t="shared" si="59"/>
        <v>0.11239669421487604</v>
      </c>
      <c r="AF78" s="3">
        <f t="shared" si="59"/>
        <v>8.2644628099173556E-2</v>
      </c>
      <c r="AG78" s="3">
        <f t="shared" si="59"/>
        <v>8.2644628099173556E-2</v>
      </c>
      <c r="AH78" s="3">
        <f t="shared" si="59"/>
        <v>8.2644628099173556E-2</v>
      </c>
      <c r="AI78" s="3">
        <f t="shared" si="59"/>
        <v>5.2066115702479342E-2</v>
      </c>
      <c r="AJ78" s="3">
        <f t="shared" si="59"/>
        <v>7.4380165289256199E-3</v>
      </c>
      <c r="AK78" s="3">
        <f t="shared" si="59"/>
        <v>0</v>
      </c>
      <c r="AL78" s="3">
        <f t="shared" si="59"/>
        <v>0</v>
      </c>
      <c r="AM78" s="3">
        <f t="shared" si="59"/>
        <v>0</v>
      </c>
      <c r="AN78" s="3">
        <f t="shared" si="59"/>
        <v>0</v>
      </c>
      <c r="AO78" s="3">
        <f t="shared" si="59"/>
        <v>0</v>
      </c>
      <c r="AP78" s="3">
        <f t="shared" si="59"/>
        <v>0</v>
      </c>
      <c r="AQ78" s="3">
        <f t="shared" si="59"/>
        <v>0</v>
      </c>
      <c r="AR78" s="3">
        <f t="shared" si="59"/>
        <v>0</v>
      </c>
      <c r="AS78" s="3">
        <f t="shared" si="59"/>
        <v>0</v>
      </c>
      <c r="AT78" s="3">
        <f t="shared" si="59"/>
        <v>0</v>
      </c>
      <c r="AU78" s="3">
        <f t="shared" si="59"/>
        <v>0</v>
      </c>
      <c r="AV78" s="3">
        <f t="shared" si="59"/>
        <v>0</v>
      </c>
      <c r="AW78" s="3">
        <f t="shared" si="59"/>
        <v>0</v>
      </c>
      <c r="AX78" s="3">
        <f t="shared" si="59"/>
        <v>0</v>
      </c>
      <c r="AY78" s="3">
        <f t="shared" si="59"/>
        <v>0</v>
      </c>
      <c r="AZ78" s="3">
        <f t="shared" si="59"/>
        <v>0</v>
      </c>
      <c r="BA78" s="3">
        <f t="shared" si="59"/>
        <v>0</v>
      </c>
      <c r="BB78" s="16"/>
      <c r="BC78" s="16"/>
      <c r="BD78" s="16"/>
    </row>
    <row r="79" spans="1:57" s="3" customFormat="1" x14ac:dyDescent="0.2">
      <c r="A79" s="44" t="s">
        <v>14</v>
      </c>
      <c r="B79" s="40">
        <f>BB77/(C133*48)</f>
        <v>14.042483660130719</v>
      </c>
      <c r="C79" s="45">
        <f>BB77/((C133)*40)</f>
        <v>16.850980392156863</v>
      </c>
      <c r="D79" s="40"/>
      <c r="E79" s="36"/>
      <c r="F79" s="2" t="s">
        <v>2</v>
      </c>
      <c r="G79" s="16"/>
      <c r="H79" s="16"/>
      <c r="I79" s="16"/>
      <c r="J79" s="2" t="s">
        <v>2</v>
      </c>
      <c r="K79" s="4">
        <f t="shared" ref="K79:BA79" si="60">(K3*K4)-K77</f>
        <v>520</v>
      </c>
      <c r="L79" s="4">
        <f t="shared" si="60"/>
        <v>572</v>
      </c>
      <c r="M79" s="4">
        <f t="shared" si="60"/>
        <v>440</v>
      </c>
      <c r="N79" s="4">
        <f t="shared" si="60"/>
        <v>249</v>
      </c>
      <c r="O79" s="4">
        <f t="shared" si="60"/>
        <v>130</v>
      </c>
      <c r="P79" s="4">
        <f t="shared" si="60"/>
        <v>167</v>
      </c>
      <c r="Q79" s="4">
        <f t="shared" si="60"/>
        <v>128</v>
      </c>
      <c r="R79" s="4">
        <f t="shared" si="60"/>
        <v>274</v>
      </c>
      <c r="S79" s="4">
        <f t="shared" si="60"/>
        <v>90</v>
      </c>
      <c r="T79" s="4">
        <f t="shared" si="60"/>
        <v>44</v>
      </c>
      <c r="U79" s="4">
        <f t="shared" si="60"/>
        <v>189</v>
      </c>
      <c r="V79" s="4">
        <f t="shared" si="60"/>
        <v>20</v>
      </c>
      <c r="W79" s="4">
        <f t="shared" si="60"/>
        <v>2</v>
      </c>
      <c r="X79" s="4">
        <f t="shared" si="60"/>
        <v>350</v>
      </c>
      <c r="Y79" s="4">
        <f t="shared" si="60"/>
        <v>378</v>
      </c>
      <c r="Z79" s="4">
        <f t="shared" si="60"/>
        <v>310</v>
      </c>
      <c r="AA79" s="4">
        <f t="shared" si="60"/>
        <v>475</v>
      </c>
      <c r="AB79" s="4">
        <f t="shared" si="60"/>
        <v>810</v>
      </c>
      <c r="AC79" s="4">
        <f t="shared" si="60"/>
        <v>680</v>
      </c>
      <c r="AD79" s="4">
        <f t="shared" si="60"/>
        <v>1032</v>
      </c>
      <c r="AE79" s="4">
        <f t="shared" si="60"/>
        <v>1074</v>
      </c>
      <c r="AF79" s="4">
        <f t="shared" si="60"/>
        <v>1110</v>
      </c>
      <c r="AG79" s="4">
        <f t="shared" si="60"/>
        <v>1110</v>
      </c>
      <c r="AH79" s="4">
        <f t="shared" si="60"/>
        <v>1110</v>
      </c>
      <c r="AI79" s="4">
        <f t="shared" si="60"/>
        <v>1147</v>
      </c>
      <c r="AJ79" s="4">
        <f t="shared" si="60"/>
        <v>1201</v>
      </c>
      <c r="AK79" s="4">
        <f t="shared" si="60"/>
        <v>1210</v>
      </c>
      <c r="AL79" s="4">
        <f t="shared" si="60"/>
        <v>880</v>
      </c>
      <c r="AM79" s="4">
        <f t="shared" si="60"/>
        <v>1210</v>
      </c>
      <c r="AN79" s="4">
        <f t="shared" si="60"/>
        <v>1210</v>
      </c>
      <c r="AO79" s="4">
        <f t="shared" si="60"/>
        <v>1210</v>
      </c>
      <c r="AP79" s="4">
        <f t="shared" si="60"/>
        <v>1210</v>
      </c>
      <c r="AQ79" s="4">
        <f t="shared" si="60"/>
        <v>1210</v>
      </c>
      <c r="AR79" s="4">
        <f t="shared" si="60"/>
        <v>1210</v>
      </c>
      <c r="AS79" s="4">
        <f t="shared" si="60"/>
        <v>1210</v>
      </c>
      <c r="AT79" s="4">
        <f t="shared" si="60"/>
        <v>1210</v>
      </c>
      <c r="AU79" s="4">
        <f t="shared" si="60"/>
        <v>1210</v>
      </c>
      <c r="AV79" s="4">
        <f t="shared" si="60"/>
        <v>1210</v>
      </c>
      <c r="AW79" s="4">
        <f t="shared" si="60"/>
        <v>880</v>
      </c>
      <c r="AX79" s="4">
        <f t="shared" si="60"/>
        <v>1210</v>
      </c>
      <c r="AY79" s="4">
        <f t="shared" si="60"/>
        <v>1210</v>
      </c>
      <c r="AZ79" s="4">
        <f t="shared" si="60"/>
        <v>1210</v>
      </c>
      <c r="BA79" s="4">
        <f t="shared" si="60"/>
        <v>880</v>
      </c>
      <c r="BB79" s="16"/>
      <c r="BC79" s="16"/>
      <c r="BD79" s="16"/>
      <c r="BE79" s="4"/>
    </row>
    <row r="80" spans="1:57" x14ac:dyDescent="0.2">
      <c r="A80" s="46"/>
      <c r="B80" s="47"/>
      <c r="C80" s="48"/>
      <c r="D80" s="36"/>
      <c r="E80" s="3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</row>
    <row r="81" spans="1:57" ht="9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</row>
    <row r="82" spans="1:57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36"/>
      <c r="BC82" s="36"/>
      <c r="BD82" s="36"/>
      <c r="BE82" s="36"/>
    </row>
    <row r="83" spans="1:57" ht="9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36"/>
      <c r="BC83" s="36"/>
      <c r="BD83" s="36"/>
      <c r="BE83" s="36"/>
    </row>
    <row r="84" spans="1:57" ht="9" customHeight="1" x14ac:dyDescent="0.2">
      <c r="A84" s="36"/>
      <c r="B84" s="36"/>
      <c r="C84" s="36"/>
      <c r="D84" s="36"/>
      <c r="E84" s="36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</row>
    <row r="85" spans="1:57" ht="9" customHeight="1" x14ac:dyDescent="0.2">
      <c r="A85" s="36"/>
      <c r="B85" s="36"/>
      <c r="C85" s="36"/>
      <c r="D85" s="36"/>
      <c r="E85" s="36"/>
      <c r="F85" s="49"/>
      <c r="G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</row>
    <row r="86" spans="1:57" ht="9" customHeight="1" x14ac:dyDescent="0.2">
      <c r="BB86" s="18"/>
    </row>
    <row r="87" spans="1:57" x14ac:dyDescent="0.2">
      <c r="A87" s="50" t="s">
        <v>26</v>
      </c>
      <c r="B87" s="51"/>
      <c r="C87" s="51"/>
      <c r="D87" s="51"/>
    </row>
    <row r="88" spans="1:57" x14ac:dyDescent="0.2">
      <c r="A88" s="16" t="s">
        <v>45</v>
      </c>
      <c r="C88" s="55">
        <v>0.5</v>
      </c>
      <c r="D88" s="55"/>
    </row>
    <row r="89" spans="1:57" x14ac:dyDescent="0.2">
      <c r="A89" s="16" t="s">
        <v>47</v>
      </c>
      <c r="C89" s="55">
        <v>0.5</v>
      </c>
      <c r="D89" s="55"/>
    </row>
    <row r="90" spans="1:57" x14ac:dyDescent="0.2">
      <c r="A90" s="16" t="s">
        <v>50</v>
      </c>
      <c r="C90" s="2">
        <v>1</v>
      </c>
    </row>
    <row r="91" spans="1:57" x14ac:dyDescent="0.2">
      <c r="A91" s="16" t="s">
        <v>107</v>
      </c>
      <c r="C91" s="2">
        <v>1</v>
      </c>
    </row>
    <row r="92" spans="1:57" x14ac:dyDescent="0.2">
      <c r="A92" s="16" t="s">
        <v>46</v>
      </c>
      <c r="C92" s="2">
        <v>1</v>
      </c>
    </row>
    <row r="93" spans="1:57" x14ac:dyDescent="0.2">
      <c r="A93" s="16" t="s">
        <v>42</v>
      </c>
      <c r="C93" s="2">
        <v>1</v>
      </c>
    </row>
    <row r="94" spans="1:57" x14ac:dyDescent="0.2">
      <c r="A94" s="16" t="s">
        <v>54</v>
      </c>
      <c r="C94" s="2">
        <v>1</v>
      </c>
    </row>
    <row r="95" spans="1:57" x14ac:dyDescent="0.2">
      <c r="A95" s="16" t="s">
        <v>101</v>
      </c>
      <c r="C95" s="2">
        <v>1</v>
      </c>
    </row>
    <row r="96" spans="1:57" x14ac:dyDescent="0.2">
      <c r="A96" s="16" t="s">
        <v>170</v>
      </c>
      <c r="C96" s="2">
        <v>1</v>
      </c>
    </row>
    <row r="97" spans="1:4" x14ac:dyDescent="0.2">
      <c r="A97" s="16" t="s">
        <v>159</v>
      </c>
      <c r="C97" s="2">
        <v>1</v>
      </c>
    </row>
    <row r="98" spans="1:4" x14ac:dyDescent="0.2">
      <c r="A98" s="16" t="s">
        <v>179</v>
      </c>
      <c r="C98" s="2">
        <v>1</v>
      </c>
    </row>
    <row r="99" spans="1:4" x14ac:dyDescent="0.2"/>
    <row r="100" spans="1:4" s="17" customFormat="1" x14ac:dyDescent="0.2">
      <c r="A100" s="50" t="s">
        <v>38</v>
      </c>
      <c r="B100" s="51"/>
      <c r="C100" s="51"/>
      <c r="D100" s="51"/>
    </row>
    <row r="101" spans="1:4" x14ac:dyDescent="0.2">
      <c r="A101" s="16" t="s">
        <v>44</v>
      </c>
      <c r="C101" s="55">
        <v>0</v>
      </c>
      <c r="D101" s="55"/>
    </row>
    <row r="102" spans="1:4" x14ac:dyDescent="0.2">
      <c r="A102" s="16" t="s">
        <v>43</v>
      </c>
      <c r="C102" s="2">
        <v>1</v>
      </c>
    </row>
    <row r="103" spans="1:4" x14ac:dyDescent="0.2">
      <c r="A103" s="16" t="s">
        <v>41</v>
      </c>
      <c r="C103" s="2">
        <v>1</v>
      </c>
    </row>
    <row r="104" spans="1:4" x14ac:dyDescent="0.2">
      <c r="A104" s="16" t="s">
        <v>89</v>
      </c>
      <c r="C104" s="2">
        <v>1</v>
      </c>
    </row>
    <row r="105" spans="1:4" x14ac:dyDescent="0.2">
      <c r="A105" s="16" t="s">
        <v>90</v>
      </c>
      <c r="C105" s="2">
        <v>1</v>
      </c>
    </row>
    <row r="106" spans="1:4" x14ac:dyDescent="0.2">
      <c r="A106" s="16" t="s">
        <v>91</v>
      </c>
      <c r="C106" s="2">
        <v>1</v>
      </c>
    </row>
    <row r="107" spans="1:4" x14ac:dyDescent="0.2">
      <c r="A107" s="16" t="s">
        <v>92</v>
      </c>
      <c r="C107" s="2">
        <v>1</v>
      </c>
    </row>
    <row r="108" spans="1:4" x14ac:dyDescent="0.2">
      <c r="A108" s="16" t="s">
        <v>98</v>
      </c>
      <c r="C108" s="2">
        <v>1</v>
      </c>
    </row>
    <row r="109" spans="1:4" x14ac:dyDescent="0.2">
      <c r="A109" s="16" t="s">
        <v>172</v>
      </c>
      <c r="C109" s="2">
        <v>1</v>
      </c>
    </row>
    <row r="110" spans="1:4" x14ac:dyDescent="0.2">
      <c r="A110" s="16" t="s">
        <v>173</v>
      </c>
      <c r="C110" s="2">
        <v>1</v>
      </c>
    </row>
    <row r="111" spans="1:4" x14ac:dyDescent="0.2">
      <c r="A111" s="16" t="s">
        <v>176</v>
      </c>
      <c r="C111" s="2">
        <v>1</v>
      </c>
    </row>
    <row r="112" spans="1:4" x14ac:dyDescent="0.2"/>
    <row r="113" spans="1:4" x14ac:dyDescent="0.2">
      <c r="A113" s="50" t="s">
        <v>39</v>
      </c>
      <c r="B113" s="51"/>
      <c r="C113" s="51"/>
      <c r="D113" s="51"/>
    </row>
    <row r="114" spans="1:4" x14ac:dyDescent="0.2">
      <c r="A114" s="16" t="s">
        <v>167</v>
      </c>
      <c r="C114" s="55">
        <v>0.5</v>
      </c>
      <c r="D114" s="55"/>
    </row>
    <row r="115" spans="1:4" x14ac:dyDescent="0.2">
      <c r="A115" s="16" t="s">
        <v>49</v>
      </c>
      <c r="C115" s="2">
        <v>1</v>
      </c>
    </row>
    <row r="116" spans="1:4" x14ac:dyDescent="0.2">
      <c r="A116" s="16" t="s">
        <v>70</v>
      </c>
      <c r="C116" s="2">
        <v>1</v>
      </c>
    </row>
    <row r="117" spans="1:4" x14ac:dyDescent="0.2">
      <c r="A117" s="16" t="s">
        <v>171</v>
      </c>
      <c r="C117" s="2">
        <v>1</v>
      </c>
    </row>
    <row r="118" spans="1:4" x14ac:dyDescent="0.2">
      <c r="A118" s="16" t="s">
        <v>180</v>
      </c>
      <c r="C118" s="2">
        <v>1</v>
      </c>
    </row>
    <row r="119" spans="1:4" x14ac:dyDescent="0.2">
      <c r="A119" s="16" t="s">
        <v>37</v>
      </c>
      <c r="C119" s="2">
        <v>1</v>
      </c>
    </row>
    <row r="120" spans="1:4" ht="9" customHeight="1" x14ac:dyDescent="0.2">
      <c r="A120" s="16" t="s">
        <v>99</v>
      </c>
    </row>
    <row r="121" spans="1:4" x14ac:dyDescent="0.2">
      <c r="A121" s="50" t="s">
        <v>21</v>
      </c>
      <c r="B121" s="51"/>
      <c r="C121" s="51"/>
      <c r="D121" s="51"/>
    </row>
    <row r="122" spans="1:4" x14ac:dyDescent="0.2">
      <c r="A122" s="16" t="s">
        <v>28</v>
      </c>
      <c r="C122" s="55">
        <v>0.5</v>
      </c>
      <c r="D122" s="55"/>
    </row>
    <row r="123" spans="1:4" x14ac:dyDescent="0.2">
      <c r="A123" s="16" t="s">
        <v>108</v>
      </c>
      <c r="C123" s="55">
        <v>0.5</v>
      </c>
      <c r="D123" s="55"/>
    </row>
    <row r="124" spans="1:4" x14ac:dyDescent="0.2">
      <c r="A124" s="16" t="s">
        <v>27</v>
      </c>
      <c r="C124" s="55">
        <v>1</v>
      </c>
      <c r="D124" s="55"/>
    </row>
    <row r="125" spans="1:4" x14ac:dyDescent="0.2">
      <c r="A125" s="16" t="s">
        <v>34</v>
      </c>
      <c r="C125" s="2">
        <v>1</v>
      </c>
    </row>
    <row r="126" spans="1:4" x14ac:dyDescent="0.2">
      <c r="A126" s="16" t="s">
        <v>160</v>
      </c>
      <c r="C126" s="2">
        <v>0</v>
      </c>
    </row>
    <row r="127" spans="1:4" x14ac:dyDescent="0.2">
      <c r="A127" s="16" t="s">
        <v>168</v>
      </c>
      <c r="C127" s="2">
        <v>1</v>
      </c>
    </row>
    <row r="128" spans="1:4" x14ac:dyDescent="0.2">
      <c r="A128" s="16" t="s">
        <v>48</v>
      </c>
      <c r="C128" s="55">
        <v>0.5</v>
      </c>
      <c r="D128" s="55"/>
    </row>
    <row r="129" spans="1:4" x14ac:dyDescent="0.2">
      <c r="A129" s="16" t="s">
        <v>100</v>
      </c>
      <c r="C129" s="55">
        <v>1</v>
      </c>
      <c r="D129" s="55"/>
    </row>
    <row r="130" spans="1:4" x14ac:dyDescent="0.2">
      <c r="A130" s="16" t="s">
        <v>161</v>
      </c>
      <c r="C130" s="55">
        <v>0</v>
      </c>
      <c r="D130" s="55"/>
    </row>
    <row r="131" spans="1:4" x14ac:dyDescent="0.2"/>
    <row r="132" spans="1:4" x14ac:dyDescent="0.2"/>
    <row r="133" spans="1:4" x14ac:dyDescent="0.2">
      <c r="A133" s="16" t="s">
        <v>22</v>
      </c>
      <c r="C133" s="55">
        <f>SUM(C88:C120)</f>
        <v>25.5</v>
      </c>
      <c r="D133" s="55"/>
    </row>
    <row r="134" spans="1:4" x14ac:dyDescent="0.2">
      <c r="A134" s="16" t="s">
        <v>23</v>
      </c>
      <c r="C134" s="55">
        <f>SUM(C122:C131)</f>
        <v>5.5</v>
      </c>
      <c r="D134" s="55"/>
    </row>
    <row r="135" spans="1:4" x14ac:dyDescent="0.2"/>
    <row r="136" spans="1:4" x14ac:dyDescent="0.2">
      <c r="A136" s="16" t="s">
        <v>35</v>
      </c>
      <c r="C136" s="2">
        <f>SUM(C133:C134)</f>
        <v>31</v>
      </c>
    </row>
    <row r="137" spans="1:4" x14ac:dyDescent="0.2"/>
    <row r="138" spans="1:4" x14ac:dyDescent="0.2">
      <c r="A138" s="50" t="s">
        <v>36</v>
      </c>
      <c r="B138" s="51"/>
      <c r="C138" s="51"/>
      <c r="D138" s="51"/>
    </row>
    <row r="139" spans="1:4" x14ac:dyDescent="0.2">
      <c r="A139" s="16" t="s">
        <v>29</v>
      </c>
      <c r="C139" s="2">
        <v>1</v>
      </c>
    </row>
    <row r="140" spans="1:4" x14ac:dyDescent="0.2">
      <c r="A140" s="16" t="s">
        <v>33</v>
      </c>
      <c r="C140" s="2">
        <v>1</v>
      </c>
    </row>
    <row r="141" spans="1:4" ht="9" customHeight="1" x14ac:dyDescent="0.2">
      <c r="A141" s="16" t="s">
        <v>30</v>
      </c>
      <c r="C141" s="2">
        <v>1</v>
      </c>
    </row>
    <row r="142" spans="1:4" ht="9" customHeight="1" x14ac:dyDescent="0.2">
      <c r="A142" s="16" t="s">
        <v>40</v>
      </c>
      <c r="C142" s="2">
        <v>1</v>
      </c>
    </row>
    <row r="143" spans="1:4" ht="9" customHeight="1" x14ac:dyDescent="0.2">
      <c r="A143" s="16" t="s">
        <v>177</v>
      </c>
      <c r="C143" s="2">
        <v>1</v>
      </c>
    </row>
    <row r="144" spans="1:4" ht="9" customHeight="1" x14ac:dyDescent="0.2">
      <c r="A144" s="16" t="s">
        <v>37</v>
      </c>
      <c r="C144" s="2">
        <v>1</v>
      </c>
    </row>
    <row r="145" spans="1:3" ht="9" customHeight="1" x14ac:dyDescent="0.2">
      <c r="A145" s="16" t="s">
        <v>51</v>
      </c>
      <c r="C145" s="2">
        <v>1</v>
      </c>
    </row>
    <row r="146" spans="1:3" ht="9" customHeight="1" x14ac:dyDescent="0.2">
      <c r="A146" s="16" t="s">
        <v>31</v>
      </c>
      <c r="C146" s="2">
        <v>1</v>
      </c>
    </row>
    <row r="148" spans="1:3" ht="9" customHeight="1" x14ac:dyDescent="0.2">
      <c r="A148" s="16" t="s">
        <v>36</v>
      </c>
      <c r="C148" s="2">
        <f>SUM(C138:C147)</f>
        <v>8</v>
      </c>
    </row>
    <row r="150" spans="1:3" ht="9" customHeight="1" x14ac:dyDescent="0.2">
      <c r="A150" s="16" t="s">
        <v>24</v>
      </c>
      <c r="C150" s="2">
        <f>C136+C148</f>
        <v>39</v>
      </c>
    </row>
  </sheetData>
  <sheetProtection selectLockedCells="1"/>
  <mergeCells count="1">
    <mergeCell ref="A1:C1"/>
  </mergeCells>
  <phoneticPr fontId="9" type="noConversion"/>
  <pageMargins left="0.25" right="0.25" top="0.75" bottom="0.75" header="0.3" footer="0.3"/>
  <pageSetup paperSize="3" scale="77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36" sqref="E36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Sheet1</vt:lpstr>
      <vt:lpstr>Schedule!Print_Area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2026-01-08T13:05:07Z</cp:lastPrinted>
  <dcterms:created xsi:type="dcterms:W3CDTF">2013-11-08T12:57:55Z</dcterms:created>
  <dcterms:modified xsi:type="dcterms:W3CDTF">2026-03-05T21:33:56Z</dcterms:modified>
</cp:coreProperties>
</file>