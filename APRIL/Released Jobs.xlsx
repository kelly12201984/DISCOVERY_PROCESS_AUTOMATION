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P:\April\"/>
    </mc:Choice>
  </mc:AlternateContent>
  <xr:revisionPtr revIDLastSave="0" documentId="13_ncr:1_{42834F31-C356-4C1B-A0A4-732454CA687B}" xr6:coauthVersionLast="47" xr6:coauthVersionMax="47" xr10:uidLastSave="{00000000-0000-0000-0000-000000000000}"/>
  <bookViews>
    <workbookView xWindow="28680" yWindow="-120" windowWidth="29040" windowHeight="15840" xr2:uid="{A7629DD2-6A89-425E-9214-51397FDC0E4C}"/>
  </bookViews>
  <sheets>
    <sheet name="By Tank" sheetId="1" r:id="rId1"/>
  </sheets>
  <definedNames>
    <definedName name="_xlnm.Print_Titles" localSheetId="0">'By Tank'!$B:$H,'By Tank'!$1:$1</definedName>
    <definedName name="Project_Start" localSheetId="0">'By Tank'!#REF!</definedName>
    <definedName name="Project_Start">#REF!</definedName>
    <definedName name="Scrolling_Increment" localSheetId="0">'By Tank'!#REF!</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3" i="1"/>
  <c r="G2" i="1"/>
  <c r="G4" i="1"/>
  <c r="G5" i="1"/>
  <c r="G6" i="1"/>
  <c r="G7" i="1"/>
  <c r="G8" i="1"/>
  <c r="G9" i="1"/>
  <c r="G10" i="1"/>
  <c r="G11" i="1"/>
  <c r="G14" i="1"/>
  <c r="G15" i="1"/>
  <c r="G13" i="1"/>
  <c r="G26" i="1" l="1"/>
  <c r="G25" i="1"/>
  <c r="G24" i="1"/>
  <c r="G23" i="1"/>
  <c r="G22" i="1"/>
  <c r="G21" i="1"/>
  <c r="G20" i="1"/>
  <c r="G19" i="1"/>
  <c r="G18" i="1"/>
  <c r="G17" i="1"/>
  <c r="G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April Lewis</author>
  </authors>
  <commentList>
    <comment ref="AH8" authorId="0" shapeId="0" xr:uid="{69BDC312-8E5F-420E-8208-33C1387FBA27}">
      <text>
        <r>
          <rPr>
            <b/>
            <sz val="9"/>
            <color indexed="81"/>
            <rFont val="Tahoma"/>
            <family val="2"/>
          </rPr>
          <t>April Lewis:</t>
        </r>
        <r>
          <rPr>
            <sz val="9"/>
            <color indexed="81"/>
            <rFont val="Tahoma"/>
            <family val="2"/>
          </rPr>
          <t xml:space="preserve">
Xray 3/17
</t>
        </r>
      </text>
    </comment>
    <comment ref="AH9" authorId="0" shapeId="0" xr:uid="{76176C11-8287-4736-B11D-2C96A07D6356}">
      <text>
        <r>
          <rPr>
            <b/>
            <sz val="9"/>
            <color indexed="81"/>
            <rFont val="Tahoma"/>
            <family val="2"/>
          </rPr>
          <t>April Lewis:</t>
        </r>
        <r>
          <rPr>
            <sz val="9"/>
            <color indexed="81"/>
            <rFont val="Tahoma"/>
            <family val="2"/>
          </rPr>
          <t xml:space="preserve">
Xray 3/17
</t>
        </r>
      </text>
    </comment>
  </commentList>
</comments>
</file>

<file path=xl/sharedStrings.xml><?xml version="1.0" encoding="utf-8"?>
<sst xmlns="http://schemas.openxmlformats.org/spreadsheetml/2006/main" count="101" uniqueCount="72">
  <si>
    <t>Legend:</t>
  </si>
  <si>
    <t>Complete</t>
  </si>
  <si>
    <t>In Process</t>
  </si>
  <si>
    <t>@ Risk</t>
  </si>
  <si>
    <t>Late</t>
  </si>
  <si>
    <t>To Start</t>
  </si>
  <si>
    <t>Category</t>
  </si>
  <si>
    <t>Ship Date</t>
  </si>
  <si>
    <t>Progress</t>
  </si>
  <si>
    <t>Skirt Rolled</t>
  </si>
  <si>
    <t>Install Nozzles</t>
  </si>
  <si>
    <t>Test</t>
  </si>
  <si>
    <t>Arrange Truck</t>
  </si>
  <si>
    <t>On Track</t>
  </si>
  <si>
    <t>Jobs Released</t>
  </si>
  <si>
    <t>Customer</t>
  </si>
  <si>
    <t>25-099</t>
  </si>
  <si>
    <t>Job #</t>
  </si>
  <si>
    <t>Burke</t>
  </si>
  <si>
    <t>25-098</t>
  </si>
  <si>
    <t>25-092</t>
  </si>
  <si>
    <t>Symrise</t>
  </si>
  <si>
    <t>25-093</t>
  </si>
  <si>
    <t>25-040</t>
  </si>
  <si>
    <t>Nak Kiln</t>
  </si>
  <si>
    <t>25-068</t>
  </si>
  <si>
    <t>Reco/Nudyne</t>
  </si>
  <si>
    <t>25-069</t>
  </si>
  <si>
    <t>25-070</t>
  </si>
  <si>
    <t>25-071</t>
  </si>
  <si>
    <t>25-117</t>
  </si>
  <si>
    <t>Merrick</t>
  </si>
  <si>
    <t>25-118</t>
  </si>
  <si>
    <t>24-046</t>
  </si>
  <si>
    <t>Syms</t>
  </si>
  <si>
    <t>N/A</t>
  </si>
  <si>
    <t>Materials Inspected</t>
  </si>
  <si>
    <t>Cut Parts on Plasma</t>
  </si>
  <si>
    <t>Build Supports</t>
  </si>
  <si>
    <t>Roll Repads</t>
  </si>
  <si>
    <t>Form Internal Coil</t>
  </si>
  <si>
    <t>Make Ladders/ Handrail/ Platform</t>
  </si>
  <si>
    <t>Fit Ladders/ Handrail/ Platform</t>
  </si>
  <si>
    <t>QA Inspect Ladders/ Handrail/ Platform</t>
  </si>
  <si>
    <t>Ship to Galv Ladders/ Handrail/ Platform</t>
  </si>
  <si>
    <t>Recv from Galv Ladders/ Handrail/ Platform</t>
  </si>
  <si>
    <t>Clean &amp; Prep</t>
  </si>
  <si>
    <t>Take parts to Machine Shop</t>
  </si>
  <si>
    <t>Recv Parts from Machine Shop</t>
  </si>
  <si>
    <t>On Hold</t>
  </si>
  <si>
    <t>Coastal Tech</t>
  </si>
  <si>
    <t>Recv Plate</t>
  </si>
  <si>
    <t>25-013</t>
  </si>
  <si>
    <t>Kimberly-Clark</t>
  </si>
  <si>
    <t>Shop Location</t>
  </si>
  <si>
    <t>Head(s) Rcvd</t>
  </si>
  <si>
    <t>Pipe &amp; Flange Rcvd</t>
  </si>
  <si>
    <t>Receive Special Item(s)</t>
  </si>
  <si>
    <t>Nozzle(s) Made</t>
  </si>
  <si>
    <t>Shell(s) Rolled</t>
  </si>
  <si>
    <t>Build Manway</t>
  </si>
  <si>
    <t>Weld Cone(s)</t>
  </si>
  <si>
    <t>Weld Shell Seams</t>
  </si>
  <si>
    <t>Weld Top To Shell</t>
  </si>
  <si>
    <t>Weld Bottom To Shell</t>
  </si>
  <si>
    <t>Weld Tank Support(s)</t>
  </si>
  <si>
    <t>Install Special Internal Part(s)</t>
  </si>
  <si>
    <t>Install Special External Part(s)</t>
  </si>
  <si>
    <t>Sandblast / Paint</t>
  </si>
  <si>
    <t>Build Top and/or Bottom</t>
  </si>
  <si>
    <t>24-083</t>
  </si>
  <si>
    <t>Synthomer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</si>
</sst>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4"/>
      <name val="Calibri"/>
      <family val="2"/>
      <scheme val="minor"/>
    </font>
    <font>
      <sz val="11"/>
      <name val="Calibri"/>
      <family val="2"/>
      <scheme val="minor"/>
    </font>
    <font>
      <sz val="11"/>
      <color theme="6"/>
      <name val="Calibri"/>
      <family val="2"/>
      <scheme val="minor"/>
    </font>
    <font>
      <b/>
      <sz val="14"/>
      <color theme="0"/>
      <name val="Calibri"/>
      <family val="2"/>
      <scheme val="minor"/>
    </font>
    <font>
      <b/>
      <sz val="14"/>
      <name val="Calibri"/>
      <family val="2"/>
      <scheme val="minor"/>
    </font>
    <font>
      <b/>
      <sz val="11"/>
      <name val="Calibri"/>
      <family val="2"/>
      <scheme val="minor"/>
    </font>
    <font>
      <b/>
      <sz val="14"/>
      <color theme="6"/>
      <name val="Calibri"/>
      <family val="2"/>
      <scheme val="minor"/>
    </font>
    <font>
      <sz val="18"/>
      <name val="Calibri"/>
      <family val="2"/>
      <scheme val="minor"/>
    </font>
    <font>
      <sz val="18"/>
      <color theme="1"/>
      <name val="Calibri"/>
      <family val="2"/>
      <scheme val="minor"/>
    </font>
    <font>
      <sz val="20"/>
      <name val="Calibri"/>
      <family val="2"/>
      <scheme val="minor"/>
    </font>
    <font>
      <sz val="20"/>
      <color theme="1"/>
      <name val="Calibri"/>
      <family val="2"/>
      <scheme val="minor"/>
    </font>
    <font>
      <b/>
      <sz val="14"/>
      <color theme="1"/>
      <name val="Calibri"/>
      <family val="2"/>
      <scheme val="minor"/>
    </font>
    <font>
      <sz val="9"/>
      <color indexed="81"/>
      <name val="Tahoma"/>
      <family val="2"/>
    </font>
    <font>
      <b/>
      <sz val="9"/>
      <color indexed="81"/>
      <name val="Tahoma"/>
      <family val="2"/>
    </font>
    <font>
      <b/>
      <sz val="28"/>
      <color theme="1"/>
      <name val="Aparajita"/>
      <family val="1"/>
    </font>
    <font>
      <b/>
      <sz val="16"/>
      <name val="Calibri"/>
      <family val="2"/>
      <scheme val="minor"/>
    </font>
    <font>
      <b/>
      <sz val="16"/>
      <color theme="0"/>
      <name val="Calibri"/>
      <family val="2"/>
      <scheme val="minor"/>
    </font>
  </fonts>
  <fills count="13">
    <fill>
      <patternFill patternType="none"/>
    </fill>
    <fill>
      <patternFill patternType="gray125"/>
    </fill>
    <fill>
      <patternFill patternType="solid">
        <fgColor rgb="FFA5A5A5"/>
      </patternFill>
    </fill>
    <fill>
      <patternFill patternType="solid">
        <fgColor theme="6"/>
      </patternFill>
    </fill>
    <fill>
      <patternFill patternType="solid">
        <fgColor theme="6" tint="0.39997558519241921"/>
        <bgColor indexed="65"/>
      </patternFill>
    </fill>
    <fill>
      <patternFill patternType="solid">
        <fgColor theme="9" tint="0.39997558519241921"/>
        <bgColor indexed="65"/>
      </patternFill>
    </fill>
    <fill>
      <patternFill patternType="solid">
        <fgColor theme="6"/>
        <bgColor indexed="64"/>
      </patternFill>
    </fill>
    <fill>
      <patternFill patternType="solid">
        <fgColor theme="5"/>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9" tint="-0.499984740745262"/>
        <bgColor indexed="64"/>
      </patternFill>
    </fill>
    <fill>
      <patternFill patternType="solid">
        <fgColor theme="2" tint="-4.9989318521683403E-2"/>
        <bgColor indexed="64"/>
      </patternFill>
    </fill>
    <fill>
      <patternFill patternType="solid">
        <fgColor theme="0"/>
        <bgColor indexed="64"/>
      </patternFill>
    </fill>
  </fills>
  <borders count="2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right/>
      <top style="thin">
        <color theme="0" tint="-0.34998626667073579"/>
      </top>
      <bottom style="thin">
        <color theme="0" tint="-0.34998626667073579"/>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tint="-0.34998626667073579"/>
      </bottom>
      <diagonal/>
    </border>
    <border>
      <left style="thin">
        <color indexed="64"/>
      </left>
      <right style="mediumDashed">
        <color indexed="64"/>
      </right>
      <top style="thin">
        <color indexed="64"/>
      </top>
      <bottom style="thin">
        <color indexed="64"/>
      </bottom>
      <diagonal/>
    </border>
    <border>
      <left style="double">
        <color rgb="FF3F3F3F"/>
      </left>
      <right style="mediumDashed">
        <color indexed="64"/>
      </right>
      <top style="double">
        <color rgb="FF3F3F3F"/>
      </top>
      <bottom style="double">
        <color rgb="FF3F3F3F"/>
      </bottom>
      <diagonal/>
    </border>
    <border>
      <left/>
      <right style="mediumDashed">
        <color indexed="64"/>
      </right>
      <top style="thin">
        <color theme="0" tint="-0.34998626667073579"/>
      </top>
      <bottom style="thin">
        <color theme="0" tint="-0.34998626667073579"/>
      </bottom>
      <diagonal/>
    </border>
    <border>
      <left style="mediumDashed">
        <color indexed="64"/>
      </left>
      <right style="thin">
        <color indexed="64"/>
      </right>
      <top style="thin">
        <color indexed="64"/>
      </top>
      <bottom style="thin">
        <color indexed="64"/>
      </bottom>
      <diagonal/>
    </border>
    <border>
      <left style="mediumDashed">
        <color indexed="64"/>
      </left>
      <right style="double">
        <color rgb="FF3F3F3F"/>
      </right>
      <top style="double">
        <color rgb="FF3F3F3F"/>
      </top>
      <bottom style="double">
        <color rgb="FF3F3F3F"/>
      </bottom>
      <diagonal/>
    </border>
    <border>
      <left style="mediumDashed">
        <color indexed="64"/>
      </left>
      <right/>
      <top style="thin">
        <color theme="0" tint="-0.34998626667073579"/>
      </top>
      <bottom style="thin">
        <color theme="0" tint="-0.34998626667073579"/>
      </bottom>
      <diagonal/>
    </border>
    <border>
      <left style="mediumDashed">
        <color indexed="64"/>
      </left>
      <right/>
      <top style="thin">
        <color theme="0" tint="-0.34998626667073579"/>
      </top>
      <bottom style="double">
        <color rgb="FF3F3F3F"/>
      </bottom>
      <diagonal/>
    </border>
    <border>
      <left style="double">
        <color rgb="FF3F3F3F"/>
      </left>
      <right style="thin">
        <color indexed="64"/>
      </right>
      <top style="double">
        <color rgb="FF3F3F3F"/>
      </top>
      <bottom style="double">
        <color rgb="FF3F3F3F"/>
      </bottom>
      <diagonal/>
    </border>
    <border>
      <left/>
      <right style="thin">
        <color indexed="64"/>
      </right>
      <top style="thin">
        <color theme="0" tint="-0.34998626667073579"/>
      </top>
      <bottom style="thin">
        <color theme="0" tint="-0.34998626667073579"/>
      </bottom>
      <diagonal/>
    </border>
    <border>
      <left style="mediumDashed">
        <color indexed="64"/>
      </left>
      <right/>
      <top style="thin">
        <color indexed="64"/>
      </top>
      <bottom style="thin">
        <color theme="0" tint="-0.34998626667073579"/>
      </bottom>
      <diagonal/>
    </border>
    <border>
      <left/>
      <right/>
      <top style="thin">
        <color indexed="64"/>
      </top>
      <bottom style="thin">
        <color theme="0" tint="-0.34998626667073579"/>
      </bottom>
      <diagonal/>
    </border>
    <border>
      <left style="mediumDashed">
        <color indexed="64"/>
      </left>
      <right/>
      <top style="thin">
        <color theme="0" tint="-0.34998626667073579"/>
      </top>
      <bottom style="thin">
        <color indexed="64"/>
      </bottom>
      <diagonal/>
    </border>
    <border>
      <left/>
      <right/>
      <top style="thin">
        <color theme="0" tint="-0.34998626667073579"/>
      </top>
      <bottom style="thin">
        <color indexed="64"/>
      </bottom>
      <diagonal/>
    </border>
    <border>
      <left style="double">
        <color rgb="FF3F3F3F"/>
      </left>
      <right style="mediumDashed">
        <color rgb="FF3F3F3F"/>
      </right>
      <top style="thin">
        <color theme="0" tint="-0.34998626667073579"/>
      </top>
      <bottom style="thin">
        <color theme="0" tint="-0.34998626667073579"/>
      </bottom>
      <diagonal/>
    </border>
  </borders>
  <cellStyleXfs count="7">
    <xf numFmtId="0" fontId="0" fillId="0" borderId="0"/>
    <xf numFmtId="9" fontId="1" fillId="0" borderId="0" applyFont="0" applyFill="0" applyBorder="0" applyProtection="0">
      <alignment horizontal="center" vertical="center"/>
    </xf>
    <xf numFmtId="0" fontId="2" fillId="2" borderId="1" applyNumberFormat="0" applyAlignment="0" applyProtection="0"/>
    <xf numFmtId="0" fontId="6"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3" fillId="0" borderId="0"/>
  </cellStyleXfs>
  <cellXfs count="58">
    <xf numFmtId="0" fontId="0" fillId="0" borderId="0" xfId="0"/>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14" fontId="0" fillId="0" borderId="3" xfId="0" applyNumberFormat="1" applyBorder="1" applyAlignment="1">
      <alignment vertical="center"/>
    </xf>
    <xf numFmtId="9" fontId="9" fillId="0" borderId="3" xfId="1" applyFont="1" applyFill="1" applyBorder="1">
      <alignment horizontal="center" vertical="center"/>
    </xf>
    <xf numFmtId="0" fontId="10" fillId="6" borderId="3" xfId="3" applyFont="1" applyFill="1" applyBorder="1" applyAlignment="1">
      <alignment horizontal="center" vertical="center"/>
    </xf>
    <xf numFmtId="0" fontId="0" fillId="0" borderId="0" xfId="0" applyAlignment="1">
      <alignment vertical="center"/>
    </xf>
    <xf numFmtId="0" fontId="6" fillId="3" borderId="3" xfId="3" applyBorder="1" applyAlignment="1">
      <alignment horizontal="center" vertical="center"/>
    </xf>
    <xf numFmtId="0" fontId="11" fillId="0" borderId="3" xfId="0" applyFont="1" applyBorder="1" applyAlignment="1">
      <alignment horizontal="left" vertical="center" wrapText="1" indent="2"/>
    </xf>
    <xf numFmtId="0" fontId="12" fillId="0" borderId="0" xfId="0" applyFont="1"/>
    <xf numFmtId="0" fontId="13" fillId="0" borderId="3" xfId="0" applyFont="1" applyBorder="1" applyAlignment="1">
      <alignment horizontal="left" vertical="center" wrapText="1" indent="2"/>
    </xf>
    <xf numFmtId="0" fontId="14" fillId="0" borderId="0" xfId="0" applyFont="1"/>
    <xf numFmtId="0" fontId="0" fillId="0" borderId="3" xfId="0" applyBorder="1" applyAlignment="1">
      <alignment horizontal="center" vertical="center"/>
    </xf>
    <xf numFmtId="0" fontId="10" fillId="0" borderId="3" xfId="3" applyFont="1" applyFill="1" applyBorder="1" applyAlignment="1">
      <alignment horizontal="center" vertical="center"/>
    </xf>
    <xf numFmtId="0" fontId="7" fillId="0" borderId="3" xfId="0" applyFont="1" applyBorder="1" applyAlignment="1">
      <alignment horizontal="center" vertical="center"/>
    </xf>
    <xf numFmtId="0" fontId="2" fillId="2" borderId="1" xfId="2" applyAlignment="1">
      <alignment horizontal="center" vertical="center"/>
    </xf>
    <xf numFmtId="0" fontId="5" fillId="0" borderId="0" xfId="0" applyFont="1" applyAlignment="1">
      <alignment horizontal="center" vertical="center" wrapText="1"/>
    </xf>
    <xf numFmtId="1" fontId="2" fillId="2" borderId="1" xfId="2" applyNumberFormat="1" applyAlignment="1">
      <alignment horizontal="center" vertical="center"/>
    </xf>
    <xf numFmtId="0" fontId="10" fillId="11" borderId="3" xfId="3" applyFont="1" applyFill="1" applyBorder="1" applyAlignment="1">
      <alignment horizontal="center" vertical="center"/>
    </xf>
    <xf numFmtId="0" fontId="1" fillId="5" borderId="3" xfId="5" applyBorder="1" applyAlignment="1">
      <alignment horizontal="center" vertical="center"/>
    </xf>
    <xf numFmtId="1" fontId="1" fillId="0" borderId="3" xfId="4" applyNumberFormat="1" applyFill="1" applyBorder="1" applyAlignment="1">
      <alignment horizontal="center" vertical="center"/>
    </xf>
    <xf numFmtId="0" fontId="7" fillId="10" borderId="0" xfId="0" applyFont="1" applyFill="1" applyAlignment="1">
      <alignment horizontal="center" vertical="center" textRotation="180" wrapText="1"/>
    </xf>
    <xf numFmtId="0" fontId="7" fillId="10" borderId="0" xfId="0" applyFont="1" applyFill="1" applyAlignment="1">
      <alignment horizontal="center" vertical="center" wrapText="1"/>
    </xf>
    <xf numFmtId="0" fontId="7" fillId="10" borderId="0" xfId="0" applyFont="1" applyFill="1" applyAlignment="1">
      <alignment horizontal="left" vertical="center" indent="1"/>
    </xf>
    <xf numFmtId="0" fontId="4" fillId="0" borderId="3" xfId="0" applyFont="1" applyBorder="1" applyAlignment="1">
      <alignment horizontal="left" vertical="center" wrapText="1" indent="2"/>
    </xf>
    <xf numFmtId="0" fontId="5" fillId="0" borderId="3" xfId="0" quotePrefix="1" applyFont="1" applyBorder="1" applyAlignment="1">
      <alignment horizontal="center" vertical="center"/>
    </xf>
    <xf numFmtId="0" fontId="7" fillId="10" borderId="0" xfId="0" applyFont="1" applyFill="1" applyAlignment="1">
      <alignment horizontal="left" vertical="center" wrapText="1" indent="1"/>
    </xf>
    <xf numFmtId="0" fontId="5" fillId="12" borderId="3" xfId="3" applyFont="1" applyFill="1" applyBorder="1" applyAlignment="1">
      <alignment horizontal="center" vertical="center" wrapText="1"/>
    </xf>
    <xf numFmtId="0" fontId="5" fillId="0" borderId="7" xfId="0" applyFont="1" applyBorder="1" applyAlignment="1">
      <alignment horizontal="center" vertical="center" wrapText="1"/>
    </xf>
    <xf numFmtId="1" fontId="2" fillId="2" borderId="4" xfId="2" applyNumberFormat="1" applyBorder="1" applyAlignment="1">
      <alignment horizontal="center" vertical="center"/>
    </xf>
    <xf numFmtId="0" fontId="5" fillId="0" borderId="8" xfId="0" applyFont="1" applyBorder="1" applyAlignment="1">
      <alignment horizontal="center" vertical="center" wrapText="1"/>
    </xf>
    <xf numFmtId="0" fontId="0" fillId="0" borderId="9" xfId="0" applyBorder="1" applyAlignment="1">
      <alignment horizontal="center" vertical="center"/>
    </xf>
    <xf numFmtId="1" fontId="2" fillId="2" borderId="5" xfId="2" applyNumberFormat="1" applyBorder="1" applyAlignment="1">
      <alignment horizontal="center" vertical="center"/>
    </xf>
    <xf numFmtId="0" fontId="5" fillId="0" borderId="10" xfId="0" applyFont="1" applyBorder="1" applyAlignment="1">
      <alignment horizontal="center" vertical="center" wrapText="1"/>
    </xf>
    <xf numFmtId="1" fontId="2" fillId="2" borderId="11" xfId="2" applyNumberFormat="1" applyBorder="1" applyAlignment="1">
      <alignment horizontal="center" vertical="center"/>
    </xf>
    <xf numFmtId="0" fontId="10" fillId="11" borderId="12" xfId="3" applyFont="1" applyFill="1" applyBorder="1" applyAlignment="1">
      <alignment horizontal="center" vertical="center"/>
    </xf>
    <xf numFmtId="0" fontId="5" fillId="0" borderId="13" xfId="0" applyFont="1" applyBorder="1" applyAlignment="1">
      <alignment horizontal="center" vertical="center" wrapText="1"/>
    </xf>
    <xf numFmtId="1" fontId="2" fillId="2" borderId="14" xfId="2" applyNumberFormat="1" applyBorder="1" applyAlignment="1">
      <alignment horizontal="center" vertical="center"/>
    </xf>
    <xf numFmtId="0" fontId="10" fillId="6" borderId="15" xfId="3" applyFont="1" applyFill="1" applyBorder="1" applyAlignment="1">
      <alignment horizontal="center" vertical="center"/>
    </xf>
    <xf numFmtId="0" fontId="10" fillId="11" borderId="15" xfId="3" applyFont="1" applyFill="1" applyBorder="1" applyAlignment="1">
      <alignment horizontal="center" vertical="center"/>
    </xf>
    <xf numFmtId="0" fontId="10" fillId="11" borderId="16" xfId="3" applyFont="1" applyFill="1" applyBorder="1" applyAlignment="1">
      <alignment horizontal="center" vertical="center"/>
    </xf>
    <xf numFmtId="1" fontId="2" fillId="2" borderId="17" xfId="2" applyNumberFormat="1" applyBorder="1" applyAlignment="1">
      <alignment horizontal="center" vertical="center"/>
    </xf>
    <xf numFmtId="0" fontId="10" fillId="11" borderId="18" xfId="3" applyFont="1" applyFill="1" applyBorder="1" applyAlignment="1">
      <alignment horizontal="center" vertical="center"/>
    </xf>
    <xf numFmtId="0" fontId="6" fillId="3" borderId="18" xfId="3" applyBorder="1" applyAlignment="1">
      <alignment horizontal="center" vertical="center"/>
    </xf>
    <xf numFmtId="0" fontId="7" fillId="6" borderId="0" xfId="3" applyFont="1" applyFill="1" applyAlignment="1">
      <alignment horizontal="center" vertical="center"/>
    </xf>
    <xf numFmtId="0" fontId="15" fillId="5" borderId="0" xfId="5" applyFont="1" applyAlignment="1">
      <alignment horizontal="center" vertical="center"/>
    </xf>
    <xf numFmtId="0" fontId="8" fillId="9" borderId="0" xfId="0" applyFont="1" applyFill="1" applyAlignment="1">
      <alignment horizontal="center" vertical="center"/>
    </xf>
    <xf numFmtId="0" fontId="7" fillId="7" borderId="6" xfId="0" quotePrefix="1" applyFont="1" applyFill="1" applyBorder="1" applyAlignment="1">
      <alignment horizontal="center" vertical="center"/>
    </xf>
    <xf numFmtId="0" fontId="7" fillId="8" borderId="6" xfId="0" applyFont="1" applyFill="1" applyBorder="1" applyAlignment="1">
      <alignment horizontal="center" vertical="center"/>
    </xf>
    <xf numFmtId="0" fontId="10" fillId="11" borderId="19" xfId="3" applyFont="1" applyFill="1" applyBorder="1" applyAlignment="1">
      <alignment horizontal="center" vertical="center"/>
    </xf>
    <xf numFmtId="0" fontId="10" fillId="11" borderId="20" xfId="3" applyFont="1" applyFill="1" applyBorder="1" applyAlignment="1">
      <alignment horizontal="center" vertical="center"/>
    </xf>
    <xf numFmtId="0" fontId="10" fillId="11" borderId="21" xfId="3" applyFont="1" applyFill="1" applyBorder="1" applyAlignment="1">
      <alignment horizontal="center" vertical="center"/>
    </xf>
    <xf numFmtId="0" fontId="10" fillId="11" borderId="22" xfId="3" applyFont="1" applyFill="1" applyBorder="1" applyAlignment="1">
      <alignment horizontal="center" vertical="center"/>
    </xf>
    <xf numFmtId="0" fontId="10" fillId="11" borderId="23" xfId="3" applyFont="1" applyFill="1" applyBorder="1" applyAlignment="1">
      <alignment horizontal="center" vertical="center"/>
    </xf>
    <xf numFmtId="0" fontId="19" fillId="0" borderId="0" xfId="0" applyFont="1" applyAlignment="1">
      <alignment horizontal="right" vertical="center"/>
    </xf>
    <xf numFmtId="1" fontId="20" fillId="2" borderId="1" xfId="2" applyNumberFormat="1" applyFont="1" applyAlignment="1">
      <alignment horizontal="center" vertical="center"/>
    </xf>
    <xf numFmtId="0" fontId="18" fillId="0" borderId="0" xfId="0" applyFont="1" applyAlignment="1">
      <alignment horizontal="left" vertical="center" textRotation="90"/>
    </xf>
    <xf numFmtId="0" fontId="1" fillId="5" borderId="18" xfId="5" applyBorder="1" applyAlignment="1">
      <alignment horizontal="center" vertical="center"/>
    </xf>
  </cellXfs>
  <cellStyles count="7">
    <cellStyle name="60% - Accent3" xfId="4" builtinId="40"/>
    <cellStyle name="60% - Accent6" xfId="5" builtinId="52"/>
    <cellStyle name="Accent3" xfId="3" builtinId="37"/>
    <cellStyle name="Check Cell" xfId="2" builtinId="23"/>
    <cellStyle name="Normal" xfId="0" builtinId="0"/>
    <cellStyle name="Percent" xfId="1" builtinId="5"/>
    <cellStyle name="zHiddenText" xfId="6" xr:uid="{781239A2-59E0-466B-9025-F4FA8AF2B5B5}"/>
  </cellStyles>
  <dxfs count="51">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9"/>
        </patternFill>
      </fill>
      <border>
        <left/>
        <right/>
        <top/>
        <bottom/>
      </border>
    </dxf>
    <dxf>
      <fill>
        <patternFill>
          <bgColor theme="6"/>
        </patternFill>
      </fill>
      <border>
        <left/>
        <right/>
        <top/>
        <bottom/>
      </border>
    </dxf>
    <dxf>
      <fill>
        <patternFill>
          <bgColor theme="7" tint="-0.24994659260841701"/>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rgb="FF9C0006"/>
      </font>
      <fill>
        <patternFill>
          <bgColor rgb="FFFFC7CE"/>
        </patternFill>
      </fill>
    </dxf>
    <dxf>
      <font>
        <color theme="0"/>
      </font>
      <fill>
        <patternFill>
          <bgColor theme="5"/>
        </patternFill>
      </fill>
    </dxf>
    <dxf>
      <font>
        <color auto="1"/>
      </font>
      <fill>
        <patternFill>
          <bgColor theme="9" tint="0.39994506668294322"/>
        </patternFill>
      </fill>
    </dxf>
    <dxf>
      <font>
        <color auto="1"/>
      </font>
      <fill>
        <patternFill>
          <bgColor theme="0" tint="-0.14996795556505021"/>
        </patternFill>
      </fill>
    </dxf>
    <dxf>
      <font>
        <b/>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0" tint="-0.34998626667073579"/>
        </top>
        <bottom style="thin">
          <color theme="0" tint="-0.34998626667073579"/>
        </bottom>
        <vertical/>
        <horizontal/>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border diagonalUp="0" diagonalDown="0">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20"/>
        <color auto="1"/>
        <name val="Calibri"/>
        <family val="2"/>
        <scheme val="minor"/>
      </font>
      <alignment horizontal="left" vertical="center" textRotation="0" wrapText="1" indent="2" justifyLastLine="0" shrinkToFit="0" readingOrder="0"/>
      <border diagonalUp="0" diagonalDown="0">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20"/>
        <color auto="1"/>
        <name val="Calibri"/>
        <family val="2"/>
        <scheme val="minor"/>
      </font>
      <alignment horizontal="left" vertical="center" textRotation="0" wrapText="1" indent="2" justifyLastLine="0" shrinkToFit="0" readingOrder="0"/>
      <border diagonalUp="0" diagonalDown="0" outline="0">
        <left/>
        <right/>
        <top style="thin">
          <color theme="0" tint="-0.34998626667073579"/>
        </top>
        <bottom style="thin">
          <color theme="0" tint="-0.34998626667073579"/>
        </bottom>
      </border>
    </dxf>
    <dxf>
      <font>
        <strike val="0"/>
        <outline val="0"/>
        <shadow val="0"/>
        <u val="none"/>
        <vertAlign val="baseline"/>
        <sz val="18"/>
        <name val="Calibri"/>
        <family val="2"/>
        <scheme val="minor"/>
      </font>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s>
  <tableStyles count="1" defaultTableStyle="TableStyleMedium2" defaultPivotStyle="PivotStyleLight16">
    <tableStyle name="ToDoList" pivot="0" count="9" xr9:uid="{61943B92-681A-4C83-B4AE-48B19227E3E1}">
      <tableStyleElement type="wholeTable" dxfId="50"/>
      <tableStyleElement type="headerRow" dxfId="49"/>
      <tableStyleElement type="totalRow" dxfId="48"/>
      <tableStyleElement type="firstColumn" dxfId="47"/>
      <tableStyleElement type="lastColumn" dxfId="46"/>
      <tableStyleElement type="firstRowStripe" dxfId="45"/>
      <tableStyleElement type="secondRowStripe" dxfId="44"/>
      <tableStyleElement type="firstColumnStripe" dxfId="43"/>
      <tableStyleElement type="secondColumnStrip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A37C7A-BFB5-4DE4-A6F2-AF6C439907D8}" name="Milestones43524" displayName="Milestones43524" ref="B1:I26" totalsRowShown="0" headerRowDxfId="41">
  <autoFilter ref="B1:I26" xr:uid="{68A37C7A-BFB5-4DE4-A6F2-AF6C439907D8}"/>
  <tableColumns count="8">
    <tableColumn id="1" xr3:uid="{BC201C0E-F39B-49FB-A01B-1BE0B34EB024}" name="Job #" dataDxfId="40"/>
    <tableColumn id="5" xr3:uid="{3078F8B6-9C68-4532-BAEA-B370939924E4}" name="Customer" dataDxfId="39"/>
    <tableColumn id="8" xr3:uid="{5A1AAD85-F93A-4516-9C4A-897C4269C433}" name="Shop Location" dataDxfId="38"/>
    <tableColumn id="2" xr3:uid="{727D45BF-FDDB-4F76-8231-BB67EDCBBF82}" name="Category" dataDxfId="37"/>
    <tableColumn id="3" xr3:uid="{6E8F48EC-11F4-4F21-9C03-0875F2CD7326}" name="Ship Date" dataDxfId="36"/>
    <tableColumn id="4" xr3:uid="{29960B7D-2A1C-424B-ADE3-2A21764E77A3}" name="Progress"/>
    <tableColumn id="7" xr3:uid="{D34A9806-8CC2-4673-B240-2E0C48400D1D}" name="Complete" dataDxfId="35" dataCellStyle="Percent"/>
    <tableColumn id="6" xr3:uid="{1C7C95BB-D861-4FE3-9797-E0169D7C4F1D}" name="Recv Plate" dataDxfId="34" dataCellStyle="Percent"/>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5346-ED9F-4661-A67B-A708E0B75A80}">
  <sheetPr>
    <pageSetUpPr fitToPage="1"/>
  </sheetPr>
  <dimension ref="A1:AO32"/>
  <sheetViews>
    <sheetView showGridLines="0" tabSelected="1" showRuler="0" zoomScale="70" zoomScaleNormal="70" zoomScalePageLayoutView="70" workbookViewId="0">
      <pane xSplit="8" ySplit="1" topLeftCell="I2" activePane="bottomRight" state="frozen"/>
      <selection pane="topRight" activeCell="G1" sqref="G1"/>
      <selection pane="bottomLeft" activeCell="A4" sqref="A4"/>
      <selection pane="bottomRight" activeCell="V3" sqref="V3"/>
    </sheetView>
  </sheetViews>
  <sheetFormatPr defaultColWidth="8.85546875" defaultRowHeight="30" customHeight="1" x14ac:dyDescent="0.4"/>
  <cols>
    <col min="1" max="1" width="6.42578125" customWidth="1"/>
    <col min="2" max="2" width="16.85546875" style="9" customWidth="1"/>
    <col min="3" max="3" width="24.140625" style="11" customWidth="1"/>
    <col min="4" max="4" width="16.28515625" style="11" customWidth="1"/>
    <col min="5" max="5" width="13.28515625" bestFit="1" customWidth="1"/>
    <col min="6" max="6" width="11.42578125" customWidth="1"/>
    <col min="7" max="7" width="12" customWidth="1"/>
    <col min="8" max="8" width="7.7109375" customWidth="1"/>
    <col min="9" max="9" width="8.28515625" customWidth="1"/>
    <col min="10" max="10" width="11.28515625" customWidth="1"/>
    <col min="11" max="12" width="10.7109375" customWidth="1"/>
    <col min="13" max="13" width="13.7109375" customWidth="1"/>
    <col min="14" max="36" width="11.28515625" customWidth="1"/>
    <col min="37" max="37" width="14" customWidth="1"/>
    <col min="38" max="38" width="13.7109375" customWidth="1"/>
    <col min="39" max="39" width="11.28515625" customWidth="1"/>
    <col min="40" max="40" width="11" customWidth="1"/>
    <col min="41" max="41" width="11.28515625" customWidth="1"/>
  </cols>
  <sheetData>
    <row r="1" spans="1:41" ht="93" customHeight="1" thickBot="1" x14ac:dyDescent="0.3">
      <c r="B1" s="23" t="s">
        <v>17</v>
      </c>
      <c r="C1" s="23" t="s">
        <v>15</v>
      </c>
      <c r="D1" s="26" t="s">
        <v>54</v>
      </c>
      <c r="E1" s="22" t="s">
        <v>6</v>
      </c>
      <c r="F1" s="22" t="s">
        <v>7</v>
      </c>
      <c r="G1" s="22" t="s">
        <v>8</v>
      </c>
      <c r="H1" s="21" t="s">
        <v>1</v>
      </c>
      <c r="I1" s="27" t="s">
        <v>51</v>
      </c>
      <c r="J1" s="1" t="s">
        <v>55</v>
      </c>
      <c r="K1" s="1" t="s">
        <v>56</v>
      </c>
      <c r="L1" s="1" t="s">
        <v>57</v>
      </c>
      <c r="M1" s="16" t="s">
        <v>36</v>
      </c>
      <c r="N1" s="36" t="s">
        <v>37</v>
      </c>
      <c r="O1" s="1" t="s">
        <v>40</v>
      </c>
      <c r="P1" s="1" t="s">
        <v>59</v>
      </c>
      <c r="Q1" s="1" t="s">
        <v>9</v>
      </c>
      <c r="R1" s="1" t="s">
        <v>39</v>
      </c>
      <c r="S1" s="1" t="s">
        <v>38</v>
      </c>
      <c r="T1" s="1" t="s">
        <v>58</v>
      </c>
      <c r="U1" s="1" t="s">
        <v>69</v>
      </c>
      <c r="V1" s="1" t="s">
        <v>60</v>
      </c>
      <c r="W1" s="30" t="s">
        <v>41</v>
      </c>
      <c r="X1" s="33" t="s">
        <v>61</v>
      </c>
      <c r="Y1" s="30" t="s">
        <v>42</v>
      </c>
      <c r="Z1" s="1" t="s">
        <v>43</v>
      </c>
      <c r="AA1" s="1" t="s">
        <v>62</v>
      </c>
      <c r="AB1" s="1" t="s">
        <v>63</v>
      </c>
      <c r="AC1" s="1" t="s">
        <v>64</v>
      </c>
      <c r="AD1" s="1" t="s">
        <v>65</v>
      </c>
      <c r="AE1" s="1" t="s">
        <v>10</v>
      </c>
      <c r="AF1" s="1" t="s">
        <v>67</v>
      </c>
      <c r="AG1" s="28" t="s">
        <v>66</v>
      </c>
      <c r="AH1" s="36" t="s">
        <v>11</v>
      </c>
      <c r="AI1" s="30" t="s">
        <v>46</v>
      </c>
      <c r="AJ1" s="1" t="s">
        <v>68</v>
      </c>
      <c r="AK1" s="1" t="s">
        <v>44</v>
      </c>
      <c r="AL1" s="1" t="s">
        <v>45</v>
      </c>
      <c r="AM1" s="1" t="s">
        <v>47</v>
      </c>
      <c r="AN1" s="1" t="s">
        <v>48</v>
      </c>
      <c r="AO1" s="1" t="s">
        <v>12</v>
      </c>
    </row>
    <row r="2" spans="1:41" s="6" customFormat="1" ht="40.15" customHeight="1" thickTop="1" thickBot="1" x14ac:dyDescent="0.3">
      <c r="B2" s="24" t="s">
        <v>16</v>
      </c>
      <c r="C2" s="24" t="s">
        <v>18</v>
      </c>
      <c r="D2" s="24"/>
      <c r="E2" s="2" t="s">
        <v>13</v>
      </c>
      <c r="F2" s="3">
        <v>46100</v>
      </c>
      <c r="G2" s="4">
        <f t="shared" ref="G2:G15" si="0">H2/SUM(I2:AO2)</f>
        <v>0.5</v>
      </c>
      <c r="H2" s="20">
        <v>8</v>
      </c>
      <c r="I2" s="5">
        <v>1</v>
      </c>
      <c r="J2" s="17"/>
      <c r="K2" s="5">
        <v>2</v>
      </c>
      <c r="L2" s="17"/>
      <c r="M2" s="5">
        <v>1</v>
      </c>
      <c r="N2" s="37"/>
      <c r="O2" s="7">
        <v>1</v>
      </c>
      <c r="P2" s="17"/>
      <c r="Q2" s="17"/>
      <c r="R2" s="17"/>
      <c r="S2" s="17"/>
      <c r="T2" s="18">
        <v>1</v>
      </c>
      <c r="U2" s="17"/>
      <c r="V2" s="41"/>
      <c r="W2" s="32"/>
      <c r="X2" s="35">
        <v>2</v>
      </c>
      <c r="Y2" s="32"/>
      <c r="Z2" s="17"/>
      <c r="AA2" s="7">
        <v>2</v>
      </c>
      <c r="AB2" s="17"/>
      <c r="AC2" s="17"/>
      <c r="AD2" s="17"/>
      <c r="AE2" s="18">
        <v>2</v>
      </c>
      <c r="AF2" s="17"/>
      <c r="AG2" s="18">
        <v>1</v>
      </c>
      <c r="AH2" s="49">
        <v>1</v>
      </c>
      <c r="AI2" s="50">
        <v>1</v>
      </c>
      <c r="AJ2" s="15"/>
      <c r="AK2" s="17"/>
      <c r="AL2" s="17"/>
      <c r="AM2" s="17"/>
      <c r="AN2" s="17"/>
      <c r="AO2" s="7">
        <v>1</v>
      </c>
    </row>
    <row r="3" spans="1:41" s="6" customFormat="1" ht="40.15" customHeight="1" thickTop="1" thickBot="1" x14ac:dyDescent="0.3">
      <c r="B3" s="24" t="s">
        <v>52</v>
      </c>
      <c r="C3" s="24" t="s">
        <v>53</v>
      </c>
      <c r="D3" s="24"/>
      <c r="E3" s="25" t="s">
        <v>3</v>
      </c>
      <c r="F3" s="3">
        <v>46100</v>
      </c>
      <c r="G3" s="4">
        <f t="shared" si="0"/>
        <v>0.78260869565217395</v>
      </c>
      <c r="H3" s="20">
        <v>36</v>
      </c>
      <c r="I3" s="5">
        <v>1</v>
      </c>
      <c r="J3" s="17"/>
      <c r="K3" s="5">
        <v>8</v>
      </c>
      <c r="L3" s="17"/>
      <c r="M3" s="5">
        <v>1</v>
      </c>
      <c r="N3" s="38">
        <v>1</v>
      </c>
      <c r="O3" s="17"/>
      <c r="P3" s="5">
        <v>4</v>
      </c>
      <c r="Q3" s="17"/>
      <c r="R3" s="5">
        <v>1</v>
      </c>
      <c r="S3" s="5">
        <v>1</v>
      </c>
      <c r="T3" s="5">
        <v>8</v>
      </c>
      <c r="U3" s="5">
        <v>2</v>
      </c>
      <c r="V3" s="57">
        <v>3</v>
      </c>
      <c r="W3" s="32"/>
      <c r="X3" s="34"/>
      <c r="Y3" s="32"/>
      <c r="Z3" s="17"/>
      <c r="AA3" s="7">
        <v>2</v>
      </c>
      <c r="AB3" s="18">
        <v>1</v>
      </c>
      <c r="AC3" s="5">
        <v>1</v>
      </c>
      <c r="AD3" s="18">
        <v>1</v>
      </c>
      <c r="AE3" s="19">
        <v>6</v>
      </c>
      <c r="AF3" s="17"/>
      <c r="AG3" s="7">
        <v>2</v>
      </c>
      <c r="AH3" s="39">
        <v>1</v>
      </c>
      <c r="AI3" s="18">
        <v>1</v>
      </c>
      <c r="AJ3" s="15"/>
      <c r="AK3" s="17"/>
      <c r="AL3" s="17"/>
      <c r="AM3" s="17"/>
      <c r="AN3" s="17"/>
      <c r="AO3" s="7">
        <v>1</v>
      </c>
    </row>
    <row r="4" spans="1:41" s="6" customFormat="1" ht="40.15" customHeight="1" thickTop="1" thickBot="1" x14ac:dyDescent="0.3">
      <c r="B4" s="24" t="s">
        <v>19</v>
      </c>
      <c r="C4" s="24" t="s">
        <v>50</v>
      </c>
      <c r="D4" s="24"/>
      <c r="E4" s="2" t="s">
        <v>49</v>
      </c>
      <c r="F4" s="3">
        <v>46111</v>
      </c>
      <c r="G4" s="4">
        <f t="shared" si="0"/>
        <v>0.19230769230769232</v>
      </c>
      <c r="H4" s="20">
        <v>10</v>
      </c>
      <c r="I4" s="5">
        <v>1</v>
      </c>
      <c r="J4" s="17"/>
      <c r="K4" s="5">
        <v>8</v>
      </c>
      <c r="L4" s="17"/>
      <c r="M4" s="5">
        <v>1</v>
      </c>
      <c r="N4" s="39">
        <v>3</v>
      </c>
      <c r="O4" s="17"/>
      <c r="P4" s="18">
        <v>1</v>
      </c>
      <c r="Q4" s="17"/>
      <c r="R4" s="17"/>
      <c r="S4" s="18">
        <v>2</v>
      </c>
      <c r="T4" s="18">
        <v>7</v>
      </c>
      <c r="U4" s="18">
        <v>1</v>
      </c>
      <c r="V4" s="41"/>
      <c r="W4" s="32"/>
      <c r="X4" s="35">
        <v>2</v>
      </c>
      <c r="Y4" s="32"/>
      <c r="Z4" s="17"/>
      <c r="AA4" s="17"/>
      <c r="AB4" s="18">
        <v>8</v>
      </c>
      <c r="AC4" s="18">
        <v>4</v>
      </c>
      <c r="AD4" s="18">
        <v>2</v>
      </c>
      <c r="AE4" s="18">
        <v>7</v>
      </c>
      <c r="AF4" s="17"/>
      <c r="AG4" s="18">
        <v>2</v>
      </c>
      <c r="AH4" s="39">
        <v>1</v>
      </c>
      <c r="AI4" s="18">
        <v>1</v>
      </c>
      <c r="AJ4" s="15"/>
      <c r="AK4" s="17"/>
      <c r="AL4" s="17"/>
      <c r="AM4" s="17"/>
      <c r="AN4" s="17"/>
      <c r="AO4" s="18">
        <v>1</v>
      </c>
    </row>
    <row r="5" spans="1:41" s="6" customFormat="1" ht="40.15" customHeight="1" thickTop="1" thickBot="1" x14ac:dyDescent="0.3">
      <c r="B5" s="24" t="s">
        <v>20</v>
      </c>
      <c r="C5" s="24" t="s">
        <v>21</v>
      </c>
      <c r="D5" s="24"/>
      <c r="E5" s="2" t="s">
        <v>13</v>
      </c>
      <c r="F5" s="3">
        <v>46114</v>
      </c>
      <c r="G5" s="4">
        <f t="shared" si="0"/>
        <v>0.35714285714285715</v>
      </c>
      <c r="H5" s="20">
        <v>25</v>
      </c>
      <c r="I5" s="5">
        <v>1</v>
      </c>
      <c r="J5" s="7">
        <v>1</v>
      </c>
      <c r="K5" s="7">
        <v>13</v>
      </c>
      <c r="L5" s="17"/>
      <c r="M5" s="18">
        <v>1</v>
      </c>
      <c r="N5" s="39">
        <v>2</v>
      </c>
      <c r="O5" s="17"/>
      <c r="P5" s="18">
        <v>4</v>
      </c>
      <c r="Q5" s="18">
        <v>1</v>
      </c>
      <c r="R5" s="18">
        <v>1</v>
      </c>
      <c r="S5" s="17"/>
      <c r="T5" s="19">
        <v>17</v>
      </c>
      <c r="U5" s="17"/>
      <c r="V5" s="42">
        <v>1</v>
      </c>
      <c r="W5" s="32"/>
      <c r="X5" s="34"/>
      <c r="Y5" s="32"/>
      <c r="Z5" s="17"/>
      <c r="AA5" s="18">
        <v>7</v>
      </c>
      <c r="AB5" s="18">
        <v>1</v>
      </c>
      <c r="AC5" s="18">
        <v>1</v>
      </c>
      <c r="AD5" s="18">
        <v>1</v>
      </c>
      <c r="AE5" s="19">
        <v>12</v>
      </c>
      <c r="AF5" s="17"/>
      <c r="AG5" s="18">
        <v>2</v>
      </c>
      <c r="AH5" s="39">
        <v>1</v>
      </c>
      <c r="AI5" s="18">
        <v>1</v>
      </c>
      <c r="AJ5" s="18">
        <v>1</v>
      </c>
      <c r="AK5" s="17"/>
      <c r="AL5" s="17"/>
      <c r="AM5" s="17"/>
      <c r="AN5" s="17"/>
      <c r="AO5" s="18">
        <v>1</v>
      </c>
    </row>
    <row r="6" spans="1:41" s="6" customFormat="1" ht="40.15" customHeight="1" thickTop="1" thickBot="1" x14ac:dyDescent="0.3">
      <c r="B6" s="24" t="s">
        <v>22</v>
      </c>
      <c r="C6" s="24" t="s">
        <v>21</v>
      </c>
      <c r="D6" s="24"/>
      <c r="E6" s="2" t="s">
        <v>13</v>
      </c>
      <c r="F6" s="3">
        <v>46114</v>
      </c>
      <c r="G6" s="4">
        <f t="shared" si="0"/>
        <v>0.35714285714285715</v>
      </c>
      <c r="H6" s="20">
        <v>25</v>
      </c>
      <c r="I6" s="5">
        <v>1</v>
      </c>
      <c r="J6" s="7">
        <v>1</v>
      </c>
      <c r="K6" s="7">
        <v>13</v>
      </c>
      <c r="L6" s="17"/>
      <c r="M6" s="18">
        <v>1</v>
      </c>
      <c r="N6" s="39">
        <v>2</v>
      </c>
      <c r="O6" s="17"/>
      <c r="P6" s="18">
        <v>4</v>
      </c>
      <c r="Q6" s="18">
        <v>1</v>
      </c>
      <c r="R6" s="18">
        <v>1</v>
      </c>
      <c r="S6" s="17"/>
      <c r="T6" s="19">
        <v>17</v>
      </c>
      <c r="U6" s="17"/>
      <c r="V6" s="42">
        <v>1</v>
      </c>
      <c r="W6" s="32"/>
      <c r="X6" s="34"/>
      <c r="Y6" s="32"/>
      <c r="Z6" s="17"/>
      <c r="AA6" s="18">
        <v>7</v>
      </c>
      <c r="AB6" s="18">
        <v>1</v>
      </c>
      <c r="AC6" s="18">
        <v>1</v>
      </c>
      <c r="AD6" s="18">
        <v>1</v>
      </c>
      <c r="AE6" s="19">
        <v>12</v>
      </c>
      <c r="AF6" s="17"/>
      <c r="AG6" s="18">
        <v>2</v>
      </c>
      <c r="AH6" s="39">
        <v>1</v>
      </c>
      <c r="AI6" s="18">
        <v>1</v>
      </c>
      <c r="AJ6" s="18">
        <v>1</v>
      </c>
      <c r="AK6" s="17"/>
      <c r="AL6" s="17"/>
      <c r="AM6" s="17"/>
      <c r="AN6" s="17"/>
      <c r="AO6" s="18">
        <v>1</v>
      </c>
    </row>
    <row r="7" spans="1:41" s="6" customFormat="1" ht="40.15" customHeight="1" thickTop="1" thickBot="1" x14ac:dyDescent="0.3">
      <c r="A7" s="56" t="s">
        <v>14</v>
      </c>
      <c r="B7" s="24" t="s">
        <v>23</v>
      </c>
      <c r="C7" s="24" t="s">
        <v>24</v>
      </c>
      <c r="D7" s="24"/>
      <c r="E7" s="2" t="s">
        <v>13</v>
      </c>
      <c r="F7" s="3">
        <v>46115</v>
      </c>
      <c r="G7" s="4">
        <f t="shared" si="0"/>
        <v>3.125E-2</v>
      </c>
      <c r="H7" s="20">
        <v>2</v>
      </c>
      <c r="I7" s="5">
        <v>1</v>
      </c>
      <c r="J7" s="17"/>
      <c r="K7" s="17"/>
      <c r="L7" s="7">
        <v>1</v>
      </c>
      <c r="M7" s="18">
        <v>1</v>
      </c>
      <c r="N7" s="37"/>
      <c r="O7" s="17"/>
      <c r="P7" s="18">
        <v>3</v>
      </c>
      <c r="Q7" s="17"/>
      <c r="R7" s="17"/>
      <c r="S7" s="17"/>
      <c r="T7" s="17"/>
      <c r="U7" s="17"/>
      <c r="V7" s="41"/>
      <c r="W7" s="32"/>
      <c r="X7" s="34"/>
      <c r="Y7" s="32"/>
      <c r="Z7" s="17"/>
      <c r="AA7" s="18">
        <v>27</v>
      </c>
      <c r="AB7" s="17"/>
      <c r="AC7" s="17"/>
      <c r="AD7" s="17"/>
      <c r="AE7" s="17"/>
      <c r="AF7" s="17"/>
      <c r="AG7" s="18">
        <v>28</v>
      </c>
      <c r="AH7" s="39">
        <v>1</v>
      </c>
      <c r="AI7" s="18">
        <v>1</v>
      </c>
      <c r="AJ7" s="15"/>
      <c r="AK7" s="17"/>
      <c r="AL7" s="17"/>
      <c r="AM7" s="17"/>
      <c r="AN7" s="17"/>
      <c r="AO7" s="18">
        <v>1</v>
      </c>
    </row>
    <row r="8" spans="1:41" s="6" customFormat="1" ht="40.15" customHeight="1" thickTop="1" thickBot="1" x14ac:dyDescent="0.3">
      <c r="A8" s="56"/>
      <c r="B8" s="24" t="s">
        <v>25</v>
      </c>
      <c r="C8" s="24" t="s">
        <v>26</v>
      </c>
      <c r="D8" s="24"/>
      <c r="E8" s="2" t="s">
        <v>13</v>
      </c>
      <c r="F8" s="3">
        <v>46118</v>
      </c>
      <c r="G8" s="4">
        <f t="shared" si="0"/>
        <v>0.95081967213114749</v>
      </c>
      <c r="H8" s="20">
        <v>58</v>
      </c>
      <c r="I8" s="5">
        <v>1</v>
      </c>
      <c r="J8" s="5">
        <v>1</v>
      </c>
      <c r="K8" s="5">
        <v>7</v>
      </c>
      <c r="L8" s="17"/>
      <c r="M8" s="5">
        <v>1</v>
      </c>
      <c r="N8" s="38">
        <v>1</v>
      </c>
      <c r="O8" s="17"/>
      <c r="P8" s="7">
        <v>3</v>
      </c>
      <c r="Q8" s="5">
        <v>1</v>
      </c>
      <c r="R8" s="7">
        <v>1</v>
      </c>
      <c r="S8" s="17"/>
      <c r="T8" s="5">
        <v>6</v>
      </c>
      <c r="U8" s="17"/>
      <c r="V8" s="43">
        <v>1</v>
      </c>
      <c r="W8" s="32"/>
      <c r="X8" s="34"/>
      <c r="Y8" s="32"/>
      <c r="Z8" s="17"/>
      <c r="AA8" s="5">
        <v>15</v>
      </c>
      <c r="AB8" s="5">
        <v>2</v>
      </c>
      <c r="AC8" s="7">
        <v>2</v>
      </c>
      <c r="AD8" s="5">
        <v>2</v>
      </c>
      <c r="AE8" s="7">
        <v>6</v>
      </c>
      <c r="AF8" s="17"/>
      <c r="AG8" s="5">
        <v>7</v>
      </c>
      <c r="AH8" s="39">
        <v>1</v>
      </c>
      <c r="AI8" s="7">
        <v>1</v>
      </c>
      <c r="AJ8" s="18">
        <v>1</v>
      </c>
      <c r="AK8" s="17"/>
      <c r="AL8" s="17"/>
      <c r="AM8" s="17"/>
      <c r="AN8" s="17"/>
      <c r="AO8" s="18">
        <v>1</v>
      </c>
    </row>
    <row r="9" spans="1:41" s="6" customFormat="1" ht="40.15" customHeight="1" thickTop="1" thickBot="1" x14ac:dyDescent="0.3">
      <c r="A9" s="56"/>
      <c r="B9" s="24" t="s">
        <v>27</v>
      </c>
      <c r="C9" s="24" t="s">
        <v>26</v>
      </c>
      <c r="D9" s="24"/>
      <c r="E9" s="2" t="s">
        <v>13</v>
      </c>
      <c r="F9" s="3">
        <v>46118</v>
      </c>
      <c r="G9" s="4">
        <f t="shared" si="0"/>
        <v>0.55932203389830504</v>
      </c>
      <c r="H9" s="20">
        <v>33</v>
      </c>
      <c r="I9" s="5">
        <v>1</v>
      </c>
      <c r="J9" s="5">
        <v>1</v>
      </c>
      <c r="K9" s="5">
        <v>7</v>
      </c>
      <c r="L9" s="17"/>
      <c r="M9" s="5">
        <v>1</v>
      </c>
      <c r="N9" s="39">
        <v>1</v>
      </c>
      <c r="O9" s="17"/>
      <c r="P9" s="7">
        <v>3</v>
      </c>
      <c r="Q9" s="5">
        <v>1</v>
      </c>
      <c r="R9" s="7">
        <v>1</v>
      </c>
      <c r="S9" s="17"/>
      <c r="T9" s="18">
        <v>6</v>
      </c>
      <c r="U9" s="17"/>
      <c r="V9" s="42">
        <v>1</v>
      </c>
      <c r="W9" s="32"/>
      <c r="X9" s="34"/>
      <c r="Y9" s="32"/>
      <c r="Z9" s="17"/>
      <c r="AA9" s="5">
        <v>15</v>
      </c>
      <c r="AB9" s="18">
        <v>1</v>
      </c>
      <c r="AC9" s="7">
        <v>1</v>
      </c>
      <c r="AD9" s="5">
        <v>2</v>
      </c>
      <c r="AE9" s="18">
        <v>6</v>
      </c>
      <c r="AF9" s="17"/>
      <c r="AG9" s="18">
        <v>7</v>
      </c>
      <c r="AH9" s="39">
        <v>1</v>
      </c>
      <c r="AI9" s="18">
        <v>1</v>
      </c>
      <c r="AJ9" s="18">
        <v>1</v>
      </c>
      <c r="AK9" s="17"/>
      <c r="AL9" s="17"/>
      <c r="AM9" s="17"/>
      <c r="AN9" s="17"/>
      <c r="AO9" s="18">
        <v>1</v>
      </c>
    </row>
    <row r="10" spans="1:41" s="6" customFormat="1" ht="40.15" customHeight="1" thickTop="1" thickBot="1" x14ac:dyDescent="0.3">
      <c r="A10" s="56"/>
      <c r="B10" s="24" t="s">
        <v>28</v>
      </c>
      <c r="C10" s="24" t="s">
        <v>26</v>
      </c>
      <c r="D10" s="24"/>
      <c r="E10" s="2" t="s">
        <v>13</v>
      </c>
      <c r="F10" s="3">
        <v>46139</v>
      </c>
      <c r="G10" s="4">
        <f t="shared" si="0"/>
        <v>0.28813559322033899</v>
      </c>
      <c r="H10" s="20">
        <v>17</v>
      </c>
      <c r="I10" s="5">
        <v>1</v>
      </c>
      <c r="J10" s="5">
        <v>1</v>
      </c>
      <c r="K10" s="5">
        <v>7</v>
      </c>
      <c r="L10" s="17"/>
      <c r="M10" s="5">
        <v>1</v>
      </c>
      <c r="N10" s="39">
        <v>1</v>
      </c>
      <c r="O10" s="17"/>
      <c r="P10" s="7">
        <v>3</v>
      </c>
      <c r="Q10" s="5">
        <v>1</v>
      </c>
      <c r="R10" s="18">
        <v>1</v>
      </c>
      <c r="S10" s="17"/>
      <c r="T10" s="18">
        <v>6</v>
      </c>
      <c r="U10" s="17"/>
      <c r="V10" s="42">
        <v>1</v>
      </c>
      <c r="W10" s="32"/>
      <c r="X10" s="34"/>
      <c r="Y10" s="32"/>
      <c r="Z10" s="17"/>
      <c r="AA10" s="19">
        <v>15</v>
      </c>
      <c r="AB10" s="18">
        <v>1</v>
      </c>
      <c r="AC10" s="18">
        <v>1</v>
      </c>
      <c r="AD10" s="18">
        <v>2</v>
      </c>
      <c r="AE10" s="18">
        <v>6</v>
      </c>
      <c r="AF10" s="17"/>
      <c r="AG10" s="18">
        <v>7</v>
      </c>
      <c r="AH10" s="39">
        <v>1</v>
      </c>
      <c r="AI10" s="18">
        <v>1</v>
      </c>
      <c r="AJ10" s="18">
        <v>1</v>
      </c>
      <c r="AK10" s="17"/>
      <c r="AL10" s="17"/>
      <c r="AM10" s="17"/>
      <c r="AN10" s="17"/>
      <c r="AO10" s="18">
        <v>1</v>
      </c>
    </row>
    <row r="11" spans="1:41" s="6" customFormat="1" ht="40.15" customHeight="1" thickTop="1" thickBot="1" x14ac:dyDescent="0.3">
      <c r="B11" s="24" t="s">
        <v>29</v>
      </c>
      <c r="C11" s="24" t="s">
        <v>26</v>
      </c>
      <c r="D11" s="24"/>
      <c r="E11" s="2" t="s">
        <v>13</v>
      </c>
      <c r="F11" s="3">
        <v>46139</v>
      </c>
      <c r="G11" s="4">
        <f t="shared" si="0"/>
        <v>0.28813559322033899</v>
      </c>
      <c r="H11" s="20">
        <v>17</v>
      </c>
      <c r="I11" s="5">
        <v>1</v>
      </c>
      <c r="J11" s="7">
        <v>1</v>
      </c>
      <c r="K11" s="7">
        <v>7</v>
      </c>
      <c r="L11" s="17"/>
      <c r="M11" s="7">
        <v>1</v>
      </c>
      <c r="N11" s="39">
        <v>1</v>
      </c>
      <c r="O11" s="17"/>
      <c r="P11" s="7">
        <v>3</v>
      </c>
      <c r="Q11" s="5">
        <v>1</v>
      </c>
      <c r="R11" s="18">
        <v>1</v>
      </c>
      <c r="S11" s="17"/>
      <c r="T11" s="18">
        <v>6</v>
      </c>
      <c r="U11" s="17"/>
      <c r="V11" s="42">
        <v>1</v>
      </c>
      <c r="W11" s="32"/>
      <c r="X11" s="34"/>
      <c r="Y11" s="32"/>
      <c r="Z11" s="17"/>
      <c r="AA11" s="18">
        <v>15</v>
      </c>
      <c r="AB11" s="18">
        <v>1</v>
      </c>
      <c r="AC11" s="18">
        <v>1</v>
      </c>
      <c r="AD11" s="18">
        <v>2</v>
      </c>
      <c r="AE11" s="18">
        <v>6</v>
      </c>
      <c r="AF11" s="17"/>
      <c r="AG11" s="18">
        <v>7</v>
      </c>
      <c r="AH11" s="39">
        <v>1</v>
      </c>
      <c r="AI11" s="18">
        <v>1</v>
      </c>
      <c r="AJ11" s="18">
        <v>1</v>
      </c>
      <c r="AK11" s="17"/>
      <c r="AL11" s="17"/>
      <c r="AM11" s="17"/>
      <c r="AN11" s="17"/>
      <c r="AO11" s="18">
        <v>1</v>
      </c>
    </row>
    <row r="12" spans="1:41" s="6" customFormat="1" ht="40.15" customHeight="1" thickTop="1" thickBot="1" x14ac:dyDescent="0.3">
      <c r="B12" s="24" t="s">
        <v>70</v>
      </c>
      <c r="C12" s="24" t="s">
        <v>71</v>
      </c>
      <c r="D12" s="24"/>
      <c r="E12" s="2" t="s">
        <v>13</v>
      </c>
      <c r="F12" s="3">
        <v>46121</v>
      </c>
      <c r="G12" s="4">
        <f t="shared" ref="G12" si="1">H12/SUM(I12:AO12)</f>
        <v>0.63829787234042556</v>
      </c>
      <c r="H12" s="20">
        <v>60</v>
      </c>
      <c r="I12" s="5">
        <v>1</v>
      </c>
      <c r="J12" s="7">
        <v>2</v>
      </c>
      <c r="K12" s="7">
        <v>22</v>
      </c>
      <c r="L12" s="7">
        <v>1</v>
      </c>
      <c r="M12" s="7">
        <v>1</v>
      </c>
      <c r="N12" s="39">
        <v>1</v>
      </c>
      <c r="O12" s="17"/>
      <c r="P12" s="7">
        <v>2</v>
      </c>
      <c r="Q12" s="17"/>
      <c r="R12" s="18">
        <v>1</v>
      </c>
      <c r="S12" s="18">
        <v>4</v>
      </c>
      <c r="T12" s="7">
        <v>22</v>
      </c>
      <c r="U12" s="17"/>
      <c r="V12" s="18">
        <v>1</v>
      </c>
      <c r="W12" s="32"/>
      <c r="X12" s="34"/>
      <c r="Y12" s="32"/>
      <c r="Z12" s="17"/>
      <c r="AA12" s="7">
        <v>3</v>
      </c>
      <c r="AB12" s="7">
        <v>1</v>
      </c>
      <c r="AC12" s="18">
        <v>1</v>
      </c>
      <c r="AD12" s="18">
        <v>4</v>
      </c>
      <c r="AE12" s="19">
        <v>22</v>
      </c>
      <c r="AF12" s="7">
        <v>1</v>
      </c>
      <c r="AG12" s="7">
        <v>1</v>
      </c>
      <c r="AH12" s="39">
        <v>1</v>
      </c>
      <c r="AI12" s="18">
        <v>1</v>
      </c>
      <c r="AJ12" s="17"/>
      <c r="AK12" s="17"/>
      <c r="AL12" s="17"/>
      <c r="AM12" s="17"/>
      <c r="AN12" s="17"/>
      <c r="AO12" s="18">
        <v>1</v>
      </c>
    </row>
    <row r="13" spans="1:41" s="6" customFormat="1" ht="40.15" customHeight="1" thickTop="1" thickBot="1" x14ac:dyDescent="0.3">
      <c r="B13" s="24" t="s">
        <v>30</v>
      </c>
      <c r="C13" s="24" t="s">
        <v>31</v>
      </c>
      <c r="D13" s="24"/>
      <c r="E13" s="2" t="s">
        <v>13</v>
      </c>
      <c r="F13" s="3">
        <v>46125</v>
      </c>
      <c r="G13" s="4">
        <f t="shared" si="0"/>
        <v>0.12087912087912088</v>
      </c>
      <c r="H13" s="20">
        <v>11</v>
      </c>
      <c r="I13" s="5">
        <v>1</v>
      </c>
      <c r="J13" s="17"/>
      <c r="K13" s="5">
        <v>9</v>
      </c>
      <c r="L13" s="17"/>
      <c r="M13" s="18">
        <v>1</v>
      </c>
      <c r="N13" s="38">
        <v>1</v>
      </c>
      <c r="O13" s="17"/>
      <c r="P13" s="17"/>
      <c r="Q13" s="17"/>
      <c r="R13" s="18">
        <v>1</v>
      </c>
      <c r="S13" s="17"/>
      <c r="T13" s="18">
        <v>9</v>
      </c>
      <c r="U13" s="18">
        <v>2</v>
      </c>
      <c r="V13" s="42">
        <v>6</v>
      </c>
      <c r="W13" s="32"/>
      <c r="X13" s="34"/>
      <c r="Y13" s="32"/>
      <c r="Z13" s="17"/>
      <c r="AA13" s="18">
        <v>16</v>
      </c>
      <c r="AB13" s="18">
        <v>16</v>
      </c>
      <c r="AC13" s="18">
        <v>16</v>
      </c>
      <c r="AD13" s="17"/>
      <c r="AE13" s="18">
        <v>9</v>
      </c>
      <c r="AF13" s="17"/>
      <c r="AG13" s="29"/>
      <c r="AH13" s="39">
        <v>1</v>
      </c>
      <c r="AI13" s="18">
        <v>1</v>
      </c>
      <c r="AJ13" s="18">
        <v>1</v>
      </c>
      <c r="AK13" s="17"/>
      <c r="AL13" s="17"/>
      <c r="AM13" s="17"/>
      <c r="AN13" s="17"/>
      <c r="AO13" s="18">
        <v>1</v>
      </c>
    </row>
    <row r="14" spans="1:41" s="6" customFormat="1" ht="40.15" customHeight="1" thickTop="1" thickBot="1" x14ac:dyDescent="0.3">
      <c r="B14" s="24" t="s">
        <v>32</v>
      </c>
      <c r="C14" s="24" t="s">
        <v>31</v>
      </c>
      <c r="D14" s="24"/>
      <c r="E14" s="2" t="s">
        <v>13</v>
      </c>
      <c r="F14" s="3">
        <v>46153</v>
      </c>
      <c r="G14" s="4">
        <f t="shared" si="0"/>
        <v>1.098901098901099E-2</v>
      </c>
      <c r="H14" s="20">
        <v>1</v>
      </c>
      <c r="I14" s="5">
        <v>1</v>
      </c>
      <c r="J14" s="17"/>
      <c r="K14" s="18">
        <v>9</v>
      </c>
      <c r="L14" s="17"/>
      <c r="M14" s="18">
        <v>1</v>
      </c>
      <c r="N14" s="40">
        <v>1</v>
      </c>
      <c r="O14" s="17"/>
      <c r="P14" s="17"/>
      <c r="Q14" s="17"/>
      <c r="R14" s="18">
        <v>1</v>
      </c>
      <c r="S14" s="17"/>
      <c r="T14" s="18">
        <v>9</v>
      </c>
      <c r="U14" s="18">
        <v>2</v>
      </c>
      <c r="V14" s="42">
        <v>6</v>
      </c>
      <c r="W14" s="32"/>
      <c r="X14" s="34"/>
      <c r="Y14" s="32"/>
      <c r="Z14" s="17"/>
      <c r="AA14" s="18">
        <v>16</v>
      </c>
      <c r="AB14" s="18">
        <v>16</v>
      </c>
      <c r="AC14" s="18">
        <v>16</v>
      </c>
      <c r="AD14" s="17"/>
      <c r="AE14" s="18">
        <v>9</v>
      </c>
      <c r="AF14" s="17"/>
      <c r="AG14" s="29"/>
      <c r="AH14" s="39">
        <v>1</v>
      </c>
      <c r="AI14" s="18">
        <v>1</v>
      </c>
      <c r="AJ14" s="18">
        <v>1</v>
      </c>
      <c r="AK14" s="17"/>
      <c r="AL14" s="17"/>
      <c r="AM14" s="17"/>
      <c r="AN14" s="17"/>
      <c r="AO14" s="18">
        <v>1</v>
      </c>
    </row>
    <row r="15" spans="1:41" s="6" customFormat="1" ht="40.15" customHeight="1" thickTop="1" thickBot="1" x14ac:dyDescent="0.3">
      <c r="B15" s="24" t="s">
        <v>33</v>
      </c>
      <c r="C15" s="24" t="s">
        <v>34</v>
      </c>
      <c r="D15" s="24"/>
      <c r="E15" s="2" t="s">
        <v>13</v>
      </c>
      <c r="F15" s="3">
        <v>46125</v>
      </c>
      <c r="G15" s="4">
        <f t="shared" si="0"/>
        <v>0.21904761904761905</v>
      </c>
      <c r="H15" s="20">
        <v>23</v>
      </c>
      <c r="I15" s="5">
        <v>1</v>
      </c>
      <c r="J15" s="17"/>
      <c r="K15" s="7">
        <v>20</v>
      </c>
      <c r="L15" s="17"/>
      <c r="M15" s="53">
        <v>1</v>
      </c>
      <c r="N15" s="32"/>
      <c r="O15" s="17"/>
      <c r="P15" s="18">
        <v>6</v>
      </c>
      <c r="Q15" s="17"/>
      <c r="R15" s="18">
        <v>4</v>
      </c>
      <c r="S15" s="18">
        <v>4</v>
      </c>
      <c r="T15" s="18">
        <v>20</v>
      </c>
      <c r="U15" s="7">
        <v>1</v>
      </c>
      <c r="V15" s="18">
        <v>2</v>
      </c>
      <c r="W15" s="18">
        <v>2</v>
      </c>
      <c r="X15" s="34"/>
      <c r="Y15" s="18">
        <v>2</v>
      </c>
      <c r="Z15" s="18">
        <v>1</v>
      </c>
      <c r="AA15" s="19">
        <v>17</v>
      </c>
      <c r="AB15" s="18">
        <v>1</v>
      </c>
      <c r="AC15" s="7">
        <v>1</v>
      </c>
      <c r="AD15" s="17"/>
      <c r="AE15" s="18">
        <v>18</v>
      </c>
      <c r="AF15" s="17"/>
      <c r="AG15" s="29"/>
      <c r="AH15" s="51">
        <v>1</v>
      </c>
      <c r="AI15" s="52">
        <v>1</v>
      </c>
      <c r="AJ15" s="52">
        <v>1</v>
      </c>
      <c r="AK15" s="17"/>
      <c r="AL15" s="17"/>
      <c r="AM15" s="17"/>
      <c r="AN15" s="17"/>
      <c r="AO15" s="18">
        <v>1</v>
      </c>
    </row>
    <row r="16" spans="1:41" s="6" customFormat="1" ht="40.15" hidden="1" customHeight="1" thickTop="1" thickBot="1" x14ac:dyDescent="0.3">
      <c r="B16" s="8"/>
      <c r="C16" s="10"/>
      <c r="D16" s="10"/>
      <c r="E16" s="2" t="s">
        <v>13</v>
      </c>
      <c r="F16" s="3">
        <v>46100</v>
      </c>
      <c r="G16" s="4">
        <f t="shared" ref="G16:G26" si="2">COUNT(J16:AO16)/23</f>
        <v>0</v>
      </c>
      <c r="H16" s="4"/>
      <c r="I16" s="4"/>
      <c r="J16" s="13"/>
      <c r="K16" s="13"/>
      <c r="L16" s="13"/>
      <c r="M16" s="13"/>
      <c r="N16" s="13"/>
      <c r="O16" s="13"/>
      <c r="P16" s="13"/>
      <c r="Q16" s="13"/>
      <c r="R16" s="13"/>
      <c r="S16" s="13"/>
      <c r="T16" s="13"/>
      <c r="U16" s="18"/>
      <c r="V16" s="13"/>
      <c r="W16" s="13"/>
      <c r="X16" s="13"/>
      <c r="Y16" s="13"/>
      <c r="Z16" s="13"/>
      <c r="AA16" s="13"/>
      <c r="AB16" s="12"/>
      <c r="AC16" s="13"/>
      <c r="AD16" s="13"/>
      <c r="AE16" s="13"/>
      <c r="AF16" s="13"/>
      <c r="AG16" s="13"/>
      <c r="AH16" s="31"/>
      <c r="AI16" s="12"/>
      <c r="AJ16" s="12"/>
      <c r="AK16" s="13"/>
      <c r="AL16" s="13"/>
      <c r="AM16" s="13"/>
      <c r="AN16" s="13"/>
      <c r="AO16" s="14"/>
    </row>
    <row r="17" spans="2:41" s="6" customFormat="1" ht="40.15" hidden="1" customHeight="1" thickTop="1" x14ac:dyDescent="0.25">
      <c r="B17" s="8"/>
      <c r="C17" s="10"/>
      <c r="D17" s="10"/>
      <c r="E17" s="2" t="s">
        <v>13</v>
      </c>
      <c r="F17" s="3">
        <v>46100</v>
      </c>
      <c r="G17" s="4">
        <f t="shared" si="2"/>
        <v>0</v>
      </c>
      <c r="H17" s="4"/>
      <c r="I17" s="4"/>
      <c r="J17" s="13"/>
      <c r="K17" s="13"/>
      <c r="L17" s="13"/>
      <c r="M17" s="13"/>
      <c r="N17" s="13"/>
      <c r="O17" s="13"/>
      <c r="P17" s="13"/>
      <c r="Q17" s="13"/>
      <c r="R17" s="13"/>
      <c r="S17" s="13"/>
      <c r="T17" s="13"/>
      <c r="U17" s="18"/>
      <c r="V17" s="13"/>
      <c r="W17" s="13"/>
      <c r="X17" s="13"/>
      <c r="Y17" s="13"/>
      <c r="Z17" s="13"/>
      <c r="AA17" s="13"/>
      <c r="AB17" s="12"/>
      <c r="AC17" s="13"/>
      <c r="AD17" s="13"/>
      <c r="AE17" s="13"/>
      <c r="AF17" s="13"/>
      <c r="AG17" s="13"/>
      <c r="AH17" s="12"/>
      <c r="AI17" s="12"/>
      <c r="AJ17" s="12"/>
      <c r="AK17" s="13"/>
      <c r="AL17" s="13"/>
      <c r="AM17" s="13"/>
      <c r="AN17" s="13"/>
      <c r="AO17" s="14"/>
    </row>
    <row r="18" spans="2:41" s="6" customFormat="1" ht="40.15" hidden="1" customHeight="1" thickTop="1" x14ac:dyDescent="0.25">
      <c r="B18" s="8"/>
      <c r="C18" s="10"/>
      <c r="D18" s="10"/>
      <c r="E18" s="2" t="s">
        <v>13</v>
      </c>
      <c r="F18" s="3">
        <v>46100</v>
      </c>
      <c r="G18" s="4">
        <f t="shared" si="2"/>
        <v>0</v>
      </c>
      <c r="H18" s="4"/>
      <c r="I18" s="4"/>
      <c r="J18" s="13"/>
      <c r="K18" s="13"/>
      <c r="L18" s="13"/>
      <c r="M18" s="13"/>
      <c r="N18" s="13"/>
      <c r="O18" s="13"/>
      <c r="P18" s="13"/>
      <c r="Q18" s="13"/>
      <c r="R18" s="13"/>
      <c r="S18" s="13"/>
      <c r="T18" s="13"/>
      <c r="U18" s="18"/>
      <c r="V18" s="13"/>
      <c r="W18" s="13"/>
      <c r="X18" s="13"/>
      <c r="Y18" s="13"/>
      <c r="Z18" s="13"/>
      <c r="AA18" s="13"/>
      <c r="AB18" s="12"/>
      <c r="AC18" s="13"/>
      <c r="AD18" s="13"/>
      <c r="AE18" s="13"/>
      <c r="AF18" s="12"/>
      <c r="AG18" s="12"/>
      <c r="AH18" s="12"/>
      <c r="AI18" s="12"/>
      <c r="AJ18" s="12"/>
      <c r="AK18" s="13"/>
      <c r="AL18" s="13"/>
      <c r="AM18" s="13"/>
      <c r="AN18" s="13"/>
      <c r="AO18" s="14"/>
    </row>
    <row r="19" spans="2:41" s="6" customFormat="1" ht="40.15" hidden="1" customHeight="1" thickTop="1" x14ac:dyDescent="0.25">
      <c r="B19" s="8"/>
      <c r="C19" s="10"/>
      <c r="D19" s="10"/>
      <c r="E19" s="2" t="s">
        <v>13</v>
      </c>
      <c r="F19" s="3">
        <v>46100</v>
      </c>
      <c r="G19" s="4">
        <f t="shared" si="2"/>
        <v>0</v>
      </c>
      <c r="H19" s="4"/>
      <c r="I19" s="4"/>
      <c r="J19" s="13"/>
      <c r="K19" s="13"/>
      <c r="L19" s="13"/>
      <c r="M19" s="13"/>
      <c r="N19" s="13"/>
      <c r="O19" s="13"/>
      <c r="P19" s="13"/>
      <c r="Q19" s="13"/>
      <c r="R19" s="13"/>
      <c r="S19" s="13"/>
      <c r="T19" s="13"/>
      <c r="U19" s="18"/>
      <c r="V19" s="13"/>
      <c r="W19" s="13"/>
      <c r="X19" s="13"/>
      <c r="Y19" s="13"/>
      <c r="Z19" s="13"/>
      <c r="AA19" s="13"/>
      <c r="AB19" s="12"/>
      <c r="AC19" s="13"/>
      <c r="AD19" s="13"/>
      <c r="AE19" s="13"/>
      <c r="AF19" s="12"/>
      <c r="AG19" s="12"/>
      <c r="AH19" s="12"/>
      <c r="AI19" s="12"/>
      <c r="AJ19" s="12"/>
      <c r="AK19" s="13"/>
      <c r="AL19" s="13"/>
      <c r="AM19" s="13"/>
      <c r="AN19" s="13"/>
      <c r="AO19" s="14"/>
    </row>
    <row r="20" spans="2:41" s="6" customFormat="1" ht="40.15" hidden="1" customHeight="1" thickTop="1" x14ac:dyDescent="0.25">
      <c r="B20" s="8"/>
      <c r="C20" s="10"/>
      <c r="D20" s="10"/>
      <c r="E20" s="2" t="s">
        <v>13</v>
      </c>
      <c r="F20" s="3">
        <v>46100</v>
      </c>
      <c r="G20" s="4">
        <f t="shared" si="2"/>
        <v>0</v>
      </c>
      <c r="H20" s="4"/>
      <c r="I20" s="4"/>
      <c r="J20" s="13"/>
      <c r="K20" s="13"/>
      <c r="L20" s="13"/>
      <c r="M20" s="13"/>
      <c r="N20" s="13"/>
      <c r="O20" s="13"/>
      <c r="P20" s="13"/>
      <c r="Q20" s="13"/>
      <c r="R20" s="13"/>
      <c r="S20" s="13"/>
      <c r="T20" s="13"/>
      <c r="U20" s="18"/>
      <c r="V20" s="13"/>
      <c r="W20" s="13"/>
      <c r="X20" s="13"/>
      <c r="Y20" s="13"/>
      <c r="Z20" s="13"/>
      <c r="AA20" s="13"/>
      <c r="AB20" s="12"/>
      <c r="AC20" s="13"/>
      <c r="AD20" s="13"/>
      <c r="AE20" s="13"/>
      <c r="AF20" s="12"/>
      <c r="AG20" s="12"/>
      <c r="AH20" s="12"/>
      <c r="AI20" s="12"/>
      <c r="AJ20" s="12"/>
      <c r="AK20" s="13"/>
      <c r="AL20" s="13"/>
      <c r="AM20" s="13"/>
      <c r="AN20" s="13"/>
      <c r="AO20" s="14"/>
    </row>
    <row r="21" spans="2:41" s="6" customFormat="1" ht="40.15" hidden="1" customHeight="1" thickTop="1" x14ac:dyDescent="0.25">
      <c r="B21" s="8"/>
      <c r="C21" s="10"/>
      <c r="D21" s="10"/>
      <c r="E21" s="2" t="s">
        <v>13</v>
      </c>
      <c r="F21" s="3">
        <v>46100</v>
      </c>
      <c r="G21" s="4">
        <f t="shared" si="2"/>
        <v>0</v>
      </c>
      <c r="H21" s="4"/>
      <c r="I21" s="4"/>
      <c r="J21" s="13"/>
      <c r="K21" s="13"/>
      <c r="L21" s="13"/>
      <c r="M21" s="13"/>
      <c r="N21" s="13"/>
      <c r="O21" s="13"/>
      <c r="P21" s="13"/>
      <c r="Q21" s="13"/>
      <c r="R21" s="13"/>
      <c r="S21" s="13"/>
      <c r="T21" s="13"/>
      <c r="U21" s="18"/>
      <c r="V21" s="13"/>
      <c r="W21" s="13"/>
      <c r="X21" s="13"/>
      <c r="Y21" s="13"/>
      <c r="Z21" s="13"/>
      <c r="AA21" s="13"/>
      <c r="AB21" s="12"/>
      <c r="AC21" s="13"/>
      <c r="AD21" s="13"/>
      <c r="AE21" s="13"/>
      <c r="AF21" s="12"/>
      <c r="AG21" s="12"/>
      <c r="AH21" s="12"/>
      <c r="AI21" s="12"/>
      <c r="AJ21" s="12"/>
      <c r="AK21" s="13"/>
      <c r="AL21" s="13"/>
      <c r="AM21" s="13"/>
      <c r="AN21" s="13"/>
      <c r="AO21" s="14"/>
    </row>
    <row r="22" spans="2:41" s="6" customFormat="1" ht="40.15" hidden="1" customHeight="1" thickTop="1" x14ac:dyDescent="0.25">
      <c r="B22" s="8"/>
      <c r="C22" s="10"/>
      <c r="D22" s="10"/>
      <c r="E22" s="2" t="s">
        <v>13</v>
      </c>
      <c r="F22" s="3">
        <v>46100</v>
      </c>
      <c r="G22" s="4">
        <f t="shared" si="2"/>
        <v>0</v>
      </c>
      <c r="H22" s="4"/>
      <c r="I22" s="4"/>
      <c r="J22" s="13"/>
      <c r="K22" s="13"/>
      <c r="L22" s="13"/>
      <c r="M22" s="13"/>
      <c r="N22" s="13"/>
      <c r="O22" s="13"/>
      <c r="P22" s="13"/>
      <c r="Q22" s="13"/>
      <c r="R22" s="13"/>
      <c r="S22" s="13"/>
      <c r="T22" s="13"/>
      <c r="U22" s="18"/>
      <c r="V22" s="13"/>
      <c r="W22" s="13"/>
      <c r="X22" s="13"/>
      <c r="Y22" s="13"/>
      <c r="Z22" s="13"/>
      <c r="AA22" s="13"/>
      <c r="AB22" s="12"/>
      <c r="AC22" s="13"/>
      <c r="AD22" s="13"/>
      <c r="AE22" s="13"/>
      <c r="AF22" s="12"/>
      <c r="AG22" s="12"/>
      <c r="AH22" s="12"/>
      <c r="AI22" s="12"/>
      <c r="AJ22" s="12"/>
      <c r="AK22" s="13"/>
      <c r="AL22" s="13"/>
      <c r="AM22" s="13"/>
      <c r="AN22" s="13"/>
      <c r="AO22" s="14"/>
    </row>
    <row r="23" spans="2:41" s="6" customFormat="1" ht="40.15" hidden="1" customHeight="1" thickTop="1" x14ac:dyDescent="0.25">
      <c r="B23" s="8"/>
      <c r="C23" s="10"/>
      <c r="D23" s="10"/>
      <c r="E23" s="2" t="s">
        <v>13</v>
      </c>
      <c r="F23" s="3">
        <v>46100</v>
      </c>
      <c r="G23" s="4">
        <f t="shared" si="2"/>
        <v>0</v>
      </c>
      <c r="H23" s="4"/>
      <c r="I23" s="4"/>
      <c r="J23" s="13"/>
      <c r="K23" s="13"/>
      <c r="L23" s="13"/>
      <c r="M23" s="13"/>
      <c r="N23" s="13"/>
      <c r="O23" s="13"/>
      <c r="P23" s="13"/>
      <c r="Q23" s="13"/>
      <c r="R23" s="13"/>
      <c r="S23" s="13"/>
      <c r="T23" s="13"/>
      <c r="U23" s="18"/>
      <c r="V23" s="13"/>
      <c r="W23" s="13"/>
      <c r="X23" s="13"/>
      <c r="Y23" s="13"/>
      <c r="Z23" s="13"/>
      <c r="AA23" s="13"/>
      <c r="AB23" s="12"/>
      <c r="AC23" s="13"/>
      <c r="AD23" s="13"/>
      <c r="AE23" s="13"/>
      <c r="AF23" s="12"/>
      <c r="AG23" s="12"/>
      <c r="AH23" s="12"/>
      <c r="AI23" s="12"/>
      <c r="AJ23" s="12"/>
      <c r="AK23" s="13"/>
      <c r="AL23" s="13"/>
      <c r="AM23" s="13"/>
      <c r="AN23" s="13"/>
      <c r="AO23" s="14"/>
    </row>
    <row r="24" spans="2:41" s="6" customFormat="1" ht="40.15" hidden="1" customHeight="1" thickTop="1" x14ac:dyDescent="0.25">
      <c r="B24" s="8"/>
      <c r="C24" s="10"/>
      <c r="D24" s="10"/>
      <c r="E24" s="2" t="s">
        <v>13</v>
      </c>
      <c r="F24" s="3">
        <v>46100</v>
      </c>
      <c r="G24" s="4">
        <f t="shared" si="2"/>
        <v>0</v>
      </c>
      <c r="H24" s="4"/>
      <c r="I24" s="4"/>
      <c r="J24" s="13"/>
      <c r="K24" s="13"/>
      <c r="L24" s="13"/>
      <c r="M24" s="13"/>
      <c r="N24" s="13"/>
      <c r="O24" s="13"/>
      <c r="P24" s="13"/>
      <c r="Q24" s="13"/>
      <c r="R24" s="13"/>
      <c r="S24" s="13"/>
      <c r="T24" s="13"/>
      <c r="U24" s="18"/>
      <c r="V24" s="13"/>
      <c r="W24" s="13"/>
      <c r="X24" s="13"/>
      <c r="Y24" s="13"/>
      <c r="Z24" s="13"/>
      <c r="AA24" s="13"/>
      <c r="AB24" s="12"/>
      <c r="AC24" s="13"/>
      <c r="AD24" s="13"/>
      <c r="AE24" s="13"/>
      <c r="AF24" s="12"/>
      <c r="AG24" s="12"/>
      <c r="AH24" s="12"/>
      <c r="AI24" s="12"/>
      <c r="AJ24" s="12"/>
      <c r="AK24" s="13"/>
      <c r="AL24" s="13"/>
      <c r="AM24" s="13"/>
      <c r="AN24" s="13"/>
      <c r="AO24" s="14"/>
    </row>
    <row r="25" spans="2:41" s="6" customFormat="1" ht="40.15" hidden="1" customHeight="1" thickTop="1" x14ac:dyDescent="0.25">
      <c r="B25" s="8"/>
      <c r="C25" s="10"/>
      <c r="D25" s="10"/>
      <c r="E25" s="2" t="s">
        <v>13</v>
      </c>
      <c r="F25" s="3">
        <v>46100</v>
      </c>
      <c r="G25" s="4">
        <f t="shared" si="2"/>
        <v>0</v>
      </c>
      <c r="H25" s="4"/>
      <c r="I25" s="4"/>
      <c r="J25" s="13"/>
      <c r="K25" s="13"/>
      <c r="L25" s="13"/>
      <c r="M25" s="13"/>
      <c r="N25" s="13"/>
      <c r="O25" s="13"/>
      <c r="P25" s="13"/>
      <c r="Q25" s="13"/>
      <c r="R25" s="13"/>
      <c r="S25" s="13"/>
      <c r="T25" s="13"/>
      <c r="U25" s="18"/>
      <c r="V25" s="13"/>
      <c r="W25" s="13"/>
      <c r="X25" s="13"/>
      <c r="Y25" s="13"/>
      <c r="Z25" s="13"/>
      <c r="AA25" s="13"/>
      <c r="AB25" s="12"/>
      <c r="AC25" s="13"/>
      <c r="AD25" s="13"/>
      <c r="AE25" s="13"/>
      <c r="AF25" s="12"/>
      <c r="AG25" s="12"/>
      <c r="AH25" s="12"/>
      <c r="AI25" s="12"/>
      <c r="AJ25" s="12"/>
      <c r="AK25" s="13"/>
      <c r="AL25" s="13"/>
      <c r="AM25" s="13"/>
      <c r="AN25" s="13"/>
      <c r="AO25" s="14"/>
    </row>
    <row r="26" spans="2:41" s="6" customFormat="1" ht="40.15" hidden="1" customHeight="1" thickTop="1" x14ac:dyDescent="0.25">
      <c r="B26" s="8"/>
      <c r="C26" s="10"/>
      <c r="D26" s="10"/>
      <c r="E26" s="2" t="s">
        <v>13</v>
      </c>
      <c r="F26" s="3">
        <v>46100</v>
      </c>
      <c r="G26" s="4">
        <f t="shared" si="2"/>
        <v>0</v>
      </c>
      <c r="H26" s="4"/>
      <c r="I26" s="4"/>
      <c r="J26" s="13"/>
      <c r="K26" s="13"/>
      <c r="L26" s="13"/>
      <c r="M26" s="13"/>
      <c r="N26" s="13"/>
      <c r="O26" s="13"/>
      <c r="P26" s="13"/>
      <c r="Q26" s="13"/>
      <c r="R26" s="13"/>
      <c r="S26" s="13"/>
      <c r="T26" s="13"/>
      <c r="U26" s="18"/>
      <c r="V26" s="13"/>
      <c r="W26" s="13"/>
      <c r="X26" s="13"/>
      <c r="Y26" s="13"/>
      <c r="Z26" s="13"/>
      <c r="AA26" s="13"/>
      <c r="AB26" s="12"/>
      <c r="AC26" s="13"/>
      <c r="AD26" s="13"/>
      <c r="AE26" s="13"/>
      <c r="AF26" s="12"/>
      <c r="AG26" s="12"/>
      <c r="AH26" s="12"/>
      <c r="AI26" s="12"/>
      <c r="AJ26" s="12"/>
      <c r="AK26" s="13"/>
      <c r="AL26" s="13"/>
      <c r="AM26" s="13"/>
      <c r="AN26" s="13"/>
      <c r="AO26" s="14"/>
    </row>
    <row r="27" spans="2:41" ht="30" customHeight="1" thickTop="1" x14ac:dyDescent="0.35">
      <c r="C27" s="54" t="s">
        <v>0</v>
      </c>
      <c r="D27" s="44" t="s">
        <v>1</v>
      </c>
    </row>
    <row r="28" spans="2:41" ht="30" customHeight="1" x14ac:dyDescent="0.35">
      <c r="C28" s="9"/>
      <c r="D28" s="45" t="s">
        <v>2</v>
      </c>
    </row>
    <row r="29" spans="2:41" ht="30" customHeight="1" x14ac:dyDescent="0.35">
      <c r="C29" s="9"/>
      <c r="D29" s="47" t="s">
        <v>3</v>
      </c>
    </row>
    <row r="30" spans="2:41" ht="30" customHeight="1" thickBot="1" x14ac:dyDescent="0.4">
      <c r="C30" s="9"/>
      <c r="D30" s="48" t="s">
        <v>4</v>
      </c>
    </row>
    <row r="31" spans="2:41" ht="30" customHeight="1" thickTop="1" thickBot="1" x14ac:dyDescent="0.45">
      <c r="D31" s="55" t="s">
        <v>35</v>
      </c>
    </row>
    <row r="32" spans="2:41" ht="30" customHeight="1" thickTop="1" x14ac:dyDescent="0.4">
      <c r="D32" s="46" t="s">
        <v>5</v>
      </c>
    </row>
  </sheetData>
  <mergeCells count="1">
    <mergeCell ref="A7:A10"/>
  </mergeCells>
  <conditionalFormatting sqref="E2:E15">
    <cfRule type="containsText" dxfId="33" priority="2" operator="containsText" text="Starting">
      <formula>NOT(ISERROR(SEARCH("Starting",E2)))</formula>
    </cfRule>
    <cfRule type="containsText" dxfId="32" priority="3" operator="containsText" text="On Track">
      <formula>NOT(ISERROR(SEARCH("On Track",E2)))</formula>
    </cfRule>
  </conditionalFormatting>
  <conditionalFormatting sqref="E2:E26">
    <cfRule type="containsText" dxfId="31" priority="4" operator="containsText" text="Risk">
      <formula>NOT(ISERROR(SEARCH("Risk",E2)))</formula>
    </cfRule>
    <cfRule type="containsText" dxfId="30" priority="5" operator="containsText" text="Hold">
      <formula>NOT(ISERROR(SEARCH("Hold",E2)))</formula>
    </cfRule>
  </conditionalFormatting>
  <conditionalFormatting sqref="G16:I26 G1:H15">
    <cfRule type="dataBar" priority="721">
      <dataBar>
        <cfvo type="num" val="0"/>
        <cfvo type="num" val="1"/>
        <color theme="9" tint="0.59999389629810485"/>
      </dataBar>
      <extLst>
        <ext xmlns:x14="http://schemas.microsoft.com/office/spreadsheetml/2009/9/main" uri="{B025F937-C7B1-47D3-B67F-A62EFF666E3E}">
          <x14:id>{80B80B92-ECC4-4C6A-95D5-8EC1D6219A12}</x14:id>
        </ext>
      </extLst>
    </cfRule>
  </conditionalFormatting>
  <conditionalFormatting sqref="N1:O1">
    <cfRule type="expression" dxfId="29" priority="1866">
      <formula>AND(TODAY()&gt;=#REF!,TODAY()&lt;M$2)</formula>
    </cfRule>
  </conditionalFormatting>
  <conditionalFormatting sqref="P1">
    <cfRule type="expression" dxfId="28" priority="2079">
      <formula>AND(TODAY()&gt;=#REF!,TODAY()&lt;N$2)</formula>
    </cfRule>
  </conditionalFormatting>
  <conditionalFormatting sqref="AB16:AB26">
    <cfRule type="expression" dxfId="27" priority="1250" stopIfTrue="1">
      <formula>AND($E15="Low Risk",AB$4&gt;=#REF!,AB$4&lt;=#REF!+#REF!-1)</formula>
    </cfRule>
    <cfRule type="expression" dxfId="26" priority="1251" stopIfTrue="1">
      <formula>AND($E15="High Risk",AB$4&gt;=#REF!,AB$4&lt;=#REF!+#REF!-1)</formula>
    </cfRule>
    <cfRule type="expression" dxfId="25" priority="1252" stopIfTrue="1">
      <formula>AND($E15="On Track",AB$4&gt;=#REF!,AB$4&lt;=#REF!+#REF!-1)</formula>
    </cfRule>
    <cfRule type="expression" dxfId="24" priority="1253" stopIfTrue="1">
      <formula>AND($E15="Med Risk",AB$4&gt;=#REF!,AB$4&lt;=#REF!+#REF!-1)</formula>
    </cfRule>
    <cfRule type="expression" dxfId="23" priority="1254" stopIfTrue="1">
      <formula>AND(LEN($E15)=0,AB$4&gt;=#REF!,AB$4&lt;=#REF!+#REF!-1)</formula>
    </cfRule>
    <cfRule type="expression" dxfId="22" priority="2627">
      <formula>AND(TODAY()&gt;=AB$4,TODAY()&lt;AB$1)</formula>
    </cfRule>
  </conditionalFormatting>
  <conditionalFormatting sqref="AF18:AF26">
    <cfRule type="expression" dxfId="21" priority="2630">
      <formula>AND(TODAY()&gt;=AF$1,TODAY()&lt;AB$4)</formula>
    </cfRule>
  </conditionalFormatting>
  <conditionalFormatting sqref="AF18:AG26">
    <cfRule type="expression" dxfId="20" priority="731" stopIfTrue="1">
      <formula>AND($E17="Low Risk",AF$1&gt;=#REF!,AF$1&lt;=#REF!+#REF!-1)</formula>
    </cfRule>
    <cfRule type="expression" dxfId="19" priority="732" stopIfTrue="1">
      <formula>AND($E17="High Risk",AF$1&gt;=#REF!,AF$1&lt;=#REF!+#REF!-1)</formula>
    </cfRule>
    <cfRule type="expression" dxfId="18" priority="733" stopIfTrue="1">
      <formula>AND($E17="On Track",AF$1&gt;=#REF!,AF$1&lt;=#REF!+#REF!-1)</formula>
    </cfRule>
    <cfRule type="expression" dxfId="17" priority="734" stopIfTrue="1">
      <formula>AND($E17="Med Risk",AF$1&gt;=#REF!,AF$1&lt;=#REF!+#REF!-1)</formula>
    </cfRule>
    <cfRule type="expression" dxfId="16" priority="735" stopIfTrue="1">
      <formula>AND(LEN($E17)=0,AF$1&gt;=#REF!,AF$1&lt;=#REF!+#REF!-1)</formula>
    </cfRule>
  </conditionalFormatting>
  <conditionalFormatting sqref="AG18:AG26">
    <cfRule type="expression" dxfId="15" priority="2636">
      <formula>AND(TODAY()&gt;=AG$1,TODAY()&lt;AH$4)</formula>
    </cfRule>
  </conditionalFormatting>
  <conditionalFormatting sqref="AH16:AI26">
    <cfRule type="expression" dxfId="14" priority="2466" stopIfTrue="1">
      <formula>AND($E15="Med Risk",AB$1&gt;=#REF!,AB$1&lt;=#REF!+#REF!-1)</formula>
    </cfRule>
    <cfRule type="expression" dxfId="13" priority="2467" stopIfTrue="1">
      <formula>AND(LEN($E15)=0,AB$1&gt;=#REF!,AB$1&lt;=#REF!+#REF!-1)</formula>
    </cfRule>
    <cfRule type="expression" dxfId="12" priority="2474">
      <formula>AND(TODAY()&gt;=AB$1,TODAY()&lt;AH$1)</formula>
    </cfRule>
    <cfRule type="expression" dxfId="11" priority="2464" stopIfTrue="1">
      <formula>AND($E15="High Risk",AB$1&gt;=#REF!,AB$1&lt;=#REF!+#REF!-1)</formula>
    </cfRule>
    <cfRule type="expression" dxfId="10" priority="2465" stopIfTrue="1">
      <formula>AND($E15="On Track",AB$1&gt;=#REF!,AB$1&lt;=#REF!+#REF!-1)</formula>
    </cfRule>
    <cfRule type="expression" dxfId="9" priority="2463" stopIfTrue="1">
      <formula>AND($E15="Low Risk",AB$1&gt;=#REF!,AB$1&lt;=#REF!+#REF!-1)</formula>
    </cfRule>
  </conditionalFormatting>
  <conditionalFormatting sqref="AJ16:AJ26">
    <cfRule type="expression" dxfId="8" priority="2540">
      <formula>AND(TODAY()&gt;=#REF!,TODAY()&lt;AJ$1)</formula>
    </cfRule>
    <cfRule type="expression" dxfId="7" priority="2550" stopIfTrue="1">
      <formula>AND($E15="Low Risk",AE$1&gt;=#REF!,AE$1&lt;=#REF!+#REF!-1)</formula>
    </cfRule>
    <cfRule type="expression" dxfId="6" priority="2551" stopIfTrue="1">
      <formula>AND($E15="High Risk",AE$1&gt;=#REF!,AE$1&lt;=#REF!+#REF!-1)</formula>
    </cfRule>
    <cfRule type="expression" dxfId="5" priority="2552" stopIfTrue="1">
      <formula>AND($E15="On Track",AE$1&gt;=#REF!,AE$1&lt;=#REF!+#REF!-1)</formula>
    </cfRule>
    <cfRule type="expression" dxfId="4" priority="2553" stopIfTrue="1">
      <formula>AND($E15="Med Risk",AE$1&gt;=#REF!,AE$1&lt;=#REF!+#REF!-1)</formula>
    </cfRule>
    <cfRule type="expression" dxfId="3" priority="2554" stopIfTrue="1">
      <formula>AND(LEN($E15)=0,AE$1&gt;=#REF!,AE$1&lt;=#REF!+#REF!-1)</formula>
    </cfRule>
    <cfRule type="expression" dxfId="2" priority="1389">
      <formula>AND(TODAY()&gt;=AO$1,TODAY()&lt;#REF!)</formula>
    </cfRule>
  </conditionalFormatting>
  <conditionalFormatting sqref="AK16:AK26">
    <cfRule type="expression" dxfId="1" priority="2576">
      <formula>AND(TODAY()&gt;=#REF!,TODAY()&lt;#REF!)</formula>
    </cfRule>
  </conditionalFormatting>
  <conditionalFormatting sqref="AL16:AN26">
    <cfRule type="expression" dxfId="0" priority="2575">
      <formula>AND(TODAY()&gt;=AP$1,TODAY()&lt;#REF!)</formula>
    </cfRule>
  </conditionalFormatting>
  <dataValidations count="2">
    <dataValidation type="list" allowBlank="1" showInputMessage="1" showErrorMessage="1" sqref="E2:E26" xr:uid="{26D8FE8A-11D9-4435-8D3A-CCC287BFD202}">
      <formula1>"On Track,On Hold,'@ Risk,Late,Starting"</formula1>
    </dataValidation>
    <dataValidation type="list" allowBlank="1" showInputMessage="1" showErrorMessage="1" sqref="D2" xr:uid="{0536D066-6CE6-42F1-996B-BEAC566ECF53}">
      <formula1>"Rec,Pref-Fab,Fab,Clean,Paint,Yard"</formula1>
    </dataValidation>
  </dataValidations>
  <printOptions verticalCentered="1"/>
  <pageMargins left="0.75" right="0.25" top="0.75" bottom="0.75" header="0.3" footer="0.3"/>
  <pageSetup scale="56" fitToWidth="4" orientation="landscape" r:id="rId1"/>
  <headerFooter differentFirst="1" scaleWithDoc="0">
    <oddFooter>Page &amp;P of &amp;N</oddFooter>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0B80B92-ECC4-4C6A-95D5-8EC1D6219A12}">
            <x14:dataBar minLength="0" maxLength="100" gradient="0">
              <x14:cfvo type="num">
                <xm:f>0</xm:f>
              </x14:cfvo>
              <x14:cfvo type="num">
                <xm:f>1</xm:f>
              </x14:cfvo>
              <x14:negativeFillColor rgb="FFFF0000"/>
              <x14:axisColor rgb="FF000000"/>
            </x14:dataBar>
          </x14:cfRule>
          <xm:sqref>G16:I26 G1:H15</xm:sqref>
        </x14:conditionalFormatting>
        <x14:conditionalFormatting xmlns:xm="http://schemas.microsoft.com/office/excel/2006/main">
          <x14:cfRule type="iconSet" priority="2583" id="{B1657A03-D9B8-493C-801D-771CDD18669C}">
            <x14:iconSet iconSet="3Stars" showValue="0" custom="1">
              <x14:cfvo type="percent">
                <xm:f>0</xm:f>
              </x14:cfvo>
              <x14:cfvo type="num">
                <xm:f>1</xm:f>
              </x14:cfvo>
              <x14:cfvo type="num">
                <xm:f>2</xm:f>
              </x14:cfvo>
              <x14:cfIcon iconSet="NoIcons" iconId="0"/>
              <x14:cfIcon iconSet="3Flags" iconId="1"/>
              <x14:cfIcon iconSet="3Signs" iconId="0"/>
            </x14:iconSet>
          </x14:cfRule>
          <xm:sqref>AB16:AB26 AH16:AJ26 AF18:AG26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By Tank</vt:lpstr>
      <vt:lpstr>'By Tank'!Print_Titles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April Lewis</dc:creator>
  <cp:lastModifiedBy>April Lewis</cp:lastModifiedBy>
  <cp:lastPrinted>2026-03-13T16:23:23Z</cp:lastPrinted>
  <dcterms:created xsi:type="dcterms:W3CDTF">2026-03-11T12:17:26Z</dcterms:created>
  <dcterms:modified xsi:type="dcterms:W3CDTF">2026-03-16T14:00:37Z</dcterms:modified>
</cp:coreProperties>
</file>