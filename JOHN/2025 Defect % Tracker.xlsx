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P:\QC\!!John C\Quality Improvement Meeting Notes\"/>
    </mc:Choice>
  </mc:AlternateContent>
  <xr:revisionPtr revIDLastSave="0" documentId="13_ncr:1_{863C8E57-41D6-4820-A579-A31C5D5E4D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Sheet1!$A$1:$AC$114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9" i="1" l="1"/>
  <c r="C129" i="1"/>
  <c r="D129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B109" i="1"/>
  <c r="B108" i="1"/>
  <c r="B98" i="1"/>
  <c r="D98" i="1"/>
  <c r="B105" i="1"/>
  <c r="B104" i="1"/>
  <c r="E140" i="1"/>
  <c r="D110" i="1"/>
  <c r="D107" i="1"/>
  <c r="D106" i="1"/>
  <c r="D103" i="1"/>
  <c r="D102" i="1"/>
  <c r="D101" i="1"/>
  <c r="D99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E138" i="1" l="1"/>
  <c r="E139" i="1"/>
  <c r="E125" i="1" l="1"/>
  <c r="E126" i="1"/>
  <c r="E127" i="1"/>
  <c r="E128" i="1"/>
  <c r="E129" i="1"/>
  <c r="E130" i="1"/>
  <c r="E131" i="1"/>
  <c r="E132" i="1"/>
  <c r="E133" i="1"/>
  <c r="E134" i="1"/>
  <c r="E135" i="1"/>
  <c r="E124" i="1"/>
  <c r="E137" i="1" l="1"/>
  <c r="D136" i="1"/>
  <c r="C136" i="1"/>
  <c r="B136" i="1"/>
  <c r="B89" i="1"/>
  <c r="B93" i="1"/>
  <c r="B92" i="1"/>
  <c r="B110" i="1"/>
  <c r="B107" i="1"/>
  <c r="B106" i="1"/>
  <c r="B103" i="1"/>
  <c r="B102" i="1"/>
  <c r="B101" i="1"/>
  <c r="B100" i="1"/>
  <c r="B99" i="1"/>
  <c r="B97" i="1"/>
  <c r="B96" i="1"/>
  <c r="B95" i="1"/>
  <c r="B94" i="1"/>
  <c r="B91" i="1"/>
  <c r="B90" i="1"/>
  <c r="B88" i="1"/>
  <c r="B87" i="1"/>
  <c r="B86" i="1"/>
  <c r="B85" i="1"/>
  <c r="B84" i="1"/>
  <c r="B83" i="1"/>
  <c r="B82" i="1"/>
  <c r="AA73" i="1"/>
  <c r="V73" i="1"/>
  <c r="Q73" i="1"/>
  <c r="L73" i="1"/>
  <c r="G73" i="1"/>
  <c r="AA34" i="1"/>
  <c r="AB31" i="1" s="1"/>
  <c r="V34" i="1"/>
  <c r="Q34" i="1"/>
  <c r="L34" i="1"/>
  <c r="G34" i="1"/>
  <c r="B34" i="1"/>
  <c r="B73" i="1"/>
  <c r="AB69" i="1" l="1"/>
  <c r="AB70" i="1"/>
  <c r="W69" i="1"/>
  <c r="W70" i="1"/>
  <c r="R69" i="1"/>
  <c r="R70" i="1"/>
  <c r="M69" i="1"/>
  <c r="M70" i="1"/>
  <c r="H69" i="1"/>
  <c r="H70" i="1"/>
  <c r="C69" i="1"/>
  <c r="C70" i="1"/>
  <c r="W30" i="1"/>
  <c r="W31" i="1"/>
  <c r="R30" i="1"/>
  <c r="R31" i="1"/>
  <c r="M30" i="1"/>
  <c r="M31" i="1"/>
  <c r="H31" i="1"/>
  <c r="H30" i="1"/>
  <c r="C30" i="1"/>
  <c r="C31" i="1"/>
  <c r="AB32" i="1"/>
  <c r="AB30" i="1"/>
  <c r="C66" i="1"/>
  <c r="C59" i="1"/>
  <c r="H66" i="1"/>
  <c r="H59" i="1"/>
  <c r="M66" i="1"/>
  <c r="M59" i="1"/>
  <c r="R66" i="1"/>
  <c r="R59" i="1"/>
  <c r="W66" i="1"/>
  <c r="W59" i="1"/>
  <c r="AB66" i="1"/>
  <c r="AB59" i="1"/>
  <c r="AB27" i="1"/>
  <c r="AB20" i="1"/>
  <c r="W27" i="1"/>
  <c r="W20" i="1"/>
  <c r="R27" i="1"/>
  <c r="R20" i="1"/>
  <c r="M27" i="1"/>
  <c r="M20" i="1"/>
  <c r="H27" i="1"/>
  <c r="H20" i="1"/>
  <c r="C27" i="1"/>
  <c r="C20" i="1"/>
  <c r="AB64" i="1"/>
  <c r="AB65" i="1"/>
  <c r="W67" i="1"/>
  <c r="W65" i="1"/>
  <c r="R68" i="1"/>
  <c r="R65" i="1"/>
  <c r="M68" i="1"/>
  <c r="M65" i="1"/>
  <c r="H64" i="1"/>
  <c r="H65" i="1"/>
  <c r="C64" i="1"/>
  <c r="C65" i="1"/>
  <c r="AB25" i="1"/>
  <c r="AB26" i="1"/>
  <c r="W32" i="1"/>
  <c r="W26" i="1"/>
  <c r="R25" i="1"/>
  <c r="R26" i="1"/>
  <c r="M25" i="1"/>
  <c r="M26" i="1"/>
  <c r="H32" i="1"/>
  <c r="H26" i="1"/>
  <c r="C28" i="1"/>
  <c r="C26" i="1"/>
  <c r="E136" i="1"/>
  <c r="H67" i="1"/>
  <c r="C67" i="1"/>
  <c r="C9" i="1"/>
  <c r="C25" i="1"/>
  <c r="C29" i="1"/>
  <c r="C16" i="1"/>
  <c r="C18" i="1"/>
  <c r="C5" i="1"/>
  <c r="C12" i="1"/>
  <c r="C21" i="1"/>
  <c r="C7" i="1"/>
  <c r="C14" i="1"/>
  <c r="C23" i="1"/>
  <c r="W68" i="1"/>
  <c r="R47" i="1"/>
  <c r="R54" i="1"/>
  <c r="R63" i="1"/>
  <c r="C62" i="1"/>
  <c r="R4" i="1"/>
  <c r="M13" i="1"/>
  <c r="C4" i="1"/>
  <c r="C8" i="1"/>
  <c r="C11" i="1"/>
  <c r="C15" i="1"/>
  <c r="C19" i="1"/>
  <c r="C24" i="1"/>
  <c r="C32" i="1"/>
  <c r="C6" i="1"/>
  <c r="C10" i="1"/>
  <c r="C13" i="1"/>
  <c r="C17" i="1"/>
  <c r="C22" i="1"/>
  <c r="AB45" i="1"/>
  <c r="AB52" i="1"/>
  <c r="AB61" i="1"/>
  <c r="AB46" i="1"/>
  <c r="AB53" i="1"/>
  <c r="AB62" i="1"/>
  <c r="AB49" i="1"/>
  <c r="AB56" i="1"/>
  <c r="AB67" i="1"/>
  <c r="AB57" i="1"/>
  <c r="AB68" i="1"/>
  <c r="AB43" i="1"/>
  <c r="AB47" i="1"/>
  <c r="AB50" i="1"/>
  <c r="AB54" i="1"/>
  <c r="AB58" i="1"/>
  <c r="AB63" i="1"/>
  <c r="AB71" i="1"/>
  <c r="AB44" i="1"/>
  <c r="AB48" i="1"/>
  <c r="AB51" i="1"/>
  <c r="AB55" i="1"/>
  <c r="AB60" i="1"/>
  <c r="W43" i="1"/>
  <c r="W53" i="1"/>
  <c r="W57" i="1"/>
  <c r="W46" i="1"/>
  <c r="W47" i="1"/>
  <c r="W62" i="1"/>
  <c r="W44" i="1"/>
  <c r="W48" i="1"/>
  <c r="W51" i="1"/>
  <c r="W55" i="1"/>
  <c r="W60" i="1"/>
  <c r="W64" i="1"/>
  <c r="W50" i="1"/>
  <c r="W54" i="1"/>
  <c r="W58" i="1"/>
  <c r="W63" i="1"/>
  <c r="W71" i="1"/>
  <c r="W45" i="1"/>
  <c r="W49" i="1"/>
  <c r="W52" i="1"/>
  <c r="W56" i="1"/>
  <c r="W61" i="1"/>
  <c r="R49" i="1"/>
  <c r="R56" i="1"/>
  <c r="R67" i="1"/>
  <c r="R43" i="1"/>
  <c r="R50" i="1"/>
  <c r="R58" i="1"/>
  <c r="R71" i="1"/>
  <c r="R45" i="1"/>
  <c r="R52" i="1"/>
  <c r="R61" i="1"/>
  <c r="R44" i="1"/>
  <c r="R48" i="1"/>
  <c r="R51" i="1"/>
  <c r="R55" i="1"/>
  <c r="R60" i="1"/>
  <c r="R64" i="1"/>
  <c r="R46" i="1"/>
  <c r="R53" i="1"/>
  <c r="R57" i="1"/>
  <c r="R62" i="1"/>
  <c r="M43" i="1"/>
  <c r="M47" i="1"/>
  <c r="M50" i="1"/>
  <c r="M54" i="1"/>
  <c r="M58" i="1"/>
  <c r="M63" i="1"/>
  <c r="M71" i="1"/>
  <c r="M44" i="1"/>
  <c r="M48" i="1"/>
  <c r="M51" i="1"/>
  <c r="M55" i="1"/>
  <c r="M60" i="1"/>
  <c r="M64" i="1"/>
  <c r="M45" i="1"/>
  <c r="M49" i="1"/>
  <c r="M52" i="1"/>
  <c r="M56" i="1"/>
  <c r="M61" i="1"/>
  <c r="M67" i="1"/>
  <c r="M46" i="1"/>
  <c r="M53" i="1"/>
  <c r="M57" i="1"/>
  <c r="M62" i="1"/>
  <c r="H52" i="1"/>
  <c r="H57" i="1"/>
  <c r="H63" i="1"/>
  <c r="H47" i="1"/>
  <c r="H43" i="1"/>
  <c r="H49" i="1"/>
  <c r="H53" i="1"/>
  <c r="H58" i="1"/>
  <c r="H45" i="1"/>
  <c r="H54" i="1"/>
  <c r="H61" i="1"/>
  <c r="H68" i="1"/>
  <c r="H46" i="1"/>
  <c r="H50" i="1"/>
  <c r="H56" i="1"/>
  <c r="H62" i="1"/>
  <c r="H71" i="1"/>
  <c r="H44" i="1"/>
  <c r="H48" i="1"/>
  <c r="H51" i="1"/>
  <c r="H55" i="1"/>
  <c r="H60" i="1"/>
  <c r="C53" i="1"/>
  <c r="C46" i="1"/>
  <c r="C56" i="1"/>
  <c r="C49" i="1"/>
  <c r="C57" i="1"/>
  <c r="C45" i="1"/>
  <c r="C52" i="1"/>
  <c r="C61" i="1"/>
  <c r="C68" i="1"/>
  <c r="C43" i="1"/>
  <c r="C47" i="1"/>
  <c r="C51" i="1"/>
  <c r="C54" i="1"/>
  <c r="C58" i="1"/>
  <c r="C63" i="1"/>
  <c r="C71" i="1"/>
  <c r="C44" i="1"/>
  <c r="C48" i="1"/>
  <c r="C50" i="1"/>
  <c r="C55" i="1"/>
  <c r="C60" i="1"/>
  <c r="AB6" i="1"/>
  <c r="AB10" i="1"/>
  <c r="AB13" i="1"/>
  <c r="AB17" i="1"/>
  <c r="AB22" i="1"/>
  <c r="AB28" i="1"/>
  <c r="AB7" i="1"/>
  <c r="AB14" i="1"/>
  <c r="AB18" i="1"/>
  <c r="AB23" i="1"/>
  <c r="AB29" i="1"/>
  <c r="AB4" i="1"/>
  <c r="AB8" i="1"/>
  <c r="AB11" i="1"/>
  <c r="AB15" i="1"/>
  <c r="AB19" i="1"/>
  <c r="AB24" i="1"/>
  <c r="AB5" i="1"/>
  <c r="AB9" i="1"/>
  <c r="AB12" i="1"/>
  <c r="AB16" i="1"/>
  <c r="AB21" i="1"/>
  <c r="W5" i="1"/>
  <c r="W9" i="1"/>
  <c r="W12" i="1"/>
  <c r="W16" i="1"/>
  <c r="W21" i="1"/>
  <c r="W25" i="1"/>
  <c r="W6" i="1"/>
  <c r="W10" i="1"/>
  <c r="W13" i="1"/>
  <c r="W17" i="1"/>
  <c r="W22" i="1"/>
  <c r="W28" i="1"/>
  <c r="W7" i="1"/>
  <c r="W14" i="1"/>
  <c r="W18" i="1"/>
  <c r="W23" i="1"/>
  <c r="W29" i="1"/>
  <c r="W4" i="1"/>
  <c r="W8" i="1"/>
  <c r="W11" i="1"/>
  <c r="W15" i="1"/>
  <c r="W19" i="1"/>
  <c r="W24" i="1"/>
  <c r="R10" i="1"/>
  <c r="R15" i="1"/>
  <c r="R29" i="1"/>
  <c r="R8" i="1"/>
  <c r="R13" i="1"/>
  <c r="R18" i="1"/>
  <c r="R24" i="1"/>
  <c r="R14" i="1"/>
  <c r="R19" i="1"/>
  <c r="R28" i="1"/>
  <c r="R6" i="1"/>
  <c r="R22" i="1"/>
  <c r="R7" i="1"/>
  <c r="R11" i="1"/>
  <c r="R17" i="1"/>
  <c r="R23" i="1"/>
  <c r="R32" i="1"/>
  <c r="R5" i="1"/>
  <c r="R9" i="1"/>
  <c r="R12" i="1"/>
  <c r="R16" i="1"/>
  <c r="R21" i="1"/>
  <c r="M18" i="1"/>
  <c r="M4" i="1"/>
  <c r="M8" i="1"/>
  <c r="M24" i="1"/>
  <c r="M6" i="1"/>
  <c r="M15" i="1"/>
  <c r="M22" i="1"/>
  <c r="M29" i="1"/>
  <c r="M10" i="1"/>
  <c r="M14" i="1"/>
  <c r="M19" i="1"/>
  <c r="M28" i="1"/>
  <c r="M7" i="1"/>
  <c r="M11" i="1"/>
  <c r="M17" i="1"/>
  <c r="M23" i="1"/>
  <c r="M32" i="1"/>
  <c r="M5" i="1"/>
  <c r="M9" i="1"/>
  <c r="M12" i="1"/>
  <c r="M16" i="1"/>
  <c r="M21" i="1"/>
  <c r="H12" i="1"/>
  <c r="H5" i="1"/>
  <c r="H21" i="1"/>
  <c r="H16" i="1"/>
  <c r="H9" i="1"/>
  <c r="H25" i="1"/>
  <c r="H6" i="1"/>
  <c r="H10" i="1"/>
  <c r="H13" i="1"/>
  <c r="H17" i="1"/>
  <c r="H22" i="1"/>
  <c r="H28" i="1"/>
  <c r="H7" i="1"/>
  <c r="H14" i="1"/>
  <c r="H18" i="1"/>
  <c r="H23" i="1"/>
  <c r="H29" i="1"/>
  <c r="H4" i="1"/>
  <c r="H8" i="1"/>
  <c r="H11" i="1"/>
  <c r="H15" i="1"/>
  <c r="H19" i="1"/>
  <c r="H24" i="1"/>
  <c r="B112" i="1" l="1"/>
  <c r="C109" i="1" s="1"/>
  <c r="C98" i="1" l="1"/>
  <c r="C108" i="1"/>
  <c r="C104" i="1"/>
  <c r="C105" i="1"/>
  <c r="C107" i="1"/>
  <c r="C101" i="1"/>
  <c r="C96" i="1"/>
  <c r="C92" i="1"/>
  <c r="C85" i="1"/>
  <c r="C103" i="1"/>
  <c r="C99" i="1"/>
  <c r="C94" i="1"/>
  <c r="C90" i="1"/>
  <c r="C87" i="1"/>
  <c r="C83" i="1"/>
  <c r="C91" i="1"/>
  <c r="C93" i="1"/>
  <c r="C100" i="1"/>
  <c r="C97" i="1"/>
  <c r="C84" i="1"/>
  <c r="C106" i="1"/>
  <c r="C82" i="1"/>
  <c r="C102" i="1"/>
  <c r="C88" i="1"/>
  <c r="C89" i="1"/>
  <c r="C86" i="1"/>
  <c r="C110" i="1"/>
  <c r="C95" i="1"/>
</calcChain>
</file>

<file path=xl/sharedStrings.xml><?xml version="1.0" encoding="utf-8"?>
<sst xmlns="http://schemas.openxmlformats.org/spreadsheetml/2006/main" count="534" uniqueCount="85">
  <si>
    <t>Spatter</t>
  </si>
  <si>
    <t>Tacks Not Removed</t>
  </si>
  <si>
    <t>Excessive Reinforcement</t>
  </si>
  <si>
    <t>Arc Strikes</t>
  </si>
  <si>
    <t>Overlap</t>
  </si>
  <si>
    <t>Undercut</t>
  </si>
  <si>
    <t>Underfill</t>
  </si>
  <si>
    <t>Worm Tracks</t>
  </si>
  <si>
    <t>Porosity (Cluster)</t>
  </si>
  <si>
    <t>Pin Holes</t>
  </si>
  <si>
    <t>Undersized Weld</t>
  </si>
  <si>
    <t>Weld Off Track / Cut Short</t>
  </si>
  <si>
    <t>Parts Missing @ Shipping</t>
  </si>
  <si>
    <t>Equipment Not Clean</t>
  </si>
  <si>
    <t>Cracks</t>
  </si>
  <si>
    <t>Failed Hydo / Pneumatic Test</t>
  </si>
  <si>
    <t>NDE Rejections</t>
  </si>
  <si>
    <t>Customer Complaint</t>
  </si>
  <si>
    <t>Total</t>
  </si>
  <si>
    <t>% Overall</t>
  </si>
  <si>
    <t>January</t>
  </si>
  <si>
    <t>Defect: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</si>
  <si>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</si>
  <si>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</si>
  <si>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</si>
  <si>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</si>
  <si>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</si>
  <si>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</si>
  <si>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</si>
  <si>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</si>
  <si>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</si>
  <si>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</si>
  <si>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</si>
  <si>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Total</t>
  </si>
  <si>
    <t>January Total</t>
  </si>
  <si>
    <t>February Total</t>
  </si>
  <si>
    <t>March Total</t>
  </si>
  <si>
    <t>April Total</t>
  </si>
  <si>
    <t>May Total</t>
  </si>
  <si>
    <t>June Total</t>
  </si>
  <si>
    <t>July Total</t>
  </si>
  <si>
    <t>August Total</t>
  </si>
  <si>
    <t>September Total</t>
  </si>
  <si>
    <t>October Total</t>
  </si>
  <si>
    <t>November Total</t>
  </si>
  <si>
    <t>December Total</t>
  </si>
  <si>
    <t>Highest Percentage</t>
  </si>
  <si>
    <t>2nd Highest Percentage</t>
  </si>
  <si>
    <t>Low Severity %</t>
  </si>
  <si>
    <t>Moderate Severity %</t>
  </si>
  <si>
    <t>Severe Severity %</t>
  </si>
  <si>
    <t>Low</t>
  </si>
  <si>
    <t>Moderate</t>
  </si>
  <si>
    <t>Severe</t>
  </si>
  <si>
    <t>TOTAL</t>
  </si>
  <si>
    <t>2021 TOTAL</t>
  </si>
  <si>
    <t>2022 Total - 297</t>
  </si>
  <si>
    <t>2022 TOTAL</t>
  </si>
  <si>
    <t>JOB #</t>
  </si>
  <si>
    <t>DESCRIPTION</t>
  </si>
  <si>
    <t>2023 TOTAL</t>
  </si>
  <si>
    <t>Welds Not Wrapped</t>
  </si>
  <si>
    <t>2024 Totals</t>
  </si>
  <si>
    <t>2024 TOTAL</t>
  </si>
  <si>
    <t>Design Issue (ENGINEERING)</t>
  </si>
  <si>
    <t>Not Per Design (WELDING)</t>
  </si>
  <si>
    <t>Not Per Design (FIT UP)</t>
  </si>
  <si>
    <t>Blend Areas</t>
  </si>
  <si>
    <t>Handling Damage</t>
  </si>
  <si>
    <t>Cross Contamination Potential</t>
  </si>
  <si>
    <t>CUSTOMER COMPLAINTS 2025</t>
  </si>
  <si>
    <t>Grinder Cuts</t>
  </si>
  <si>
    <t>Loose Bolts @ Shipping</t>
  </si>
  <si>
    <t>2024 Total - 7 (2% of year)</t>
  </si>
  <si>
    <t>2024 Total - 11 (3% of year)</t>
  </si>
  <si>
    <t>2024 Total - 23 (7% of year)</t>
  </si>
  <si>
    <t>2024 Total - 54 (15% of year)</t>
  </si>
  <si>
    <t>2024 Total - 47 (13% of year)</t>
  </si>
  <si>
    <t>2024 Total - 25 (7% of year)</t>
  </si>
  <si>
    <t>2023 Total - 10 (3% of year)</t>
  </si>
  <si>
    <t>2024 Total - 50 (14% of year)</t>
  </si>
  <si>
    <t>2024 Total - 19 (5% of year)</t>
  </si>
  <si>
    <t>2024 Total - 33 (10% of year)</t>
  </si>
  <si>
    <t>Hold Point Missed</t>
  </si>
  <si>
    <t>Parts Miss / Not Removed 4 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</si>
</sst>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164" fontId="0" fillId="0" borderId="12" xfId="0" applyNumberForma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40"/>
  <sheetViews>
    <sheetView tabSelected="1" topLeftCell="A76" zoomScaleNormal="100" workbookViewId="0">
      <selection activeCell="F119" sqref="F119"/>
    </sheetView>
  </sheetViews>
  <sheetFormatPr defaultRowHeight="15" x14ac:dyDescent="0.25"/>
  <cols>
    <col min="1" max="1" width="31.5703125" bestFit="1" customWidth="1"/>
    <col min="3" max="3" width="10.5703125" bestFit="1" customWidth="1"/>
    <col min="4" max="4" width="10.5703125" customWidth="1"/>
    <col min="6" max="6" width="31.5703125" bestFit="1" customWidth="1"/>
    <col min="8" max="8" width="9.42578125" bestFit="1" customWidth="1"/>
    <col min="9" max="9" width="10.7109375" bestFit="1" customWidth="1"/>
    <col min="11" max="11" width="31.5703125" bestFit="1" customWidth="1"/>
    <col min="13" max="13" width="9.42578125" bestFit="1" customWidth="1"/>
    <col min="14" max="14" width="10.7109375" bestFit="1" customWidth="1"/>
    <col min="16" max="16" width="31.5703125" bestFit="1" customWidth="1"/>
    <col min="18" max="18" width="9.42578125" bestFit="1" customWidth="1"/>
    <col min="19" max="19" width="10.7109375" bestFit="1" customWidth="1"/>
    <col min="21" max="21" width="31.5703125" bestFit="1" customWidth="1"/>
    <col min="23" max="23" width="9.42578125" bestFit="1" customWidth="1"/>
    <col min="24" max="24" width="10.7109375" bestFit="1" customWidth="1"/>
    <col min="26" max="26" width="31.5703125" bestFit="1" customWidth="1"/>
    <col min="28" max="28" width="9.42578125" bestFit="1" customWidth="1"/>
    <col min="29" max="29" width="10.7109375" bestFit="1" customWidth="1"/>
  </cols>
  <sheetData>
    <row r="1" spans="1:52" ht="15.75" thickBot="1" x14ac:dyDescent="0.3"/>
    <row r="2" spans="1:52" x14ac:dyDescent="0.25">
      <c r="A2" s="68" t="s">
        <v>20</v>
      </c>
      <c r="B2" s="69"/>
      <c r="C2" s="70"/>
      <c r="D2" s="26"/>
      <c r="E2" s="14"/>
      <c r="F2" s="68" t="s">
        <v>22</v>
      </c>
      <c r="G2" s="69"/>
      <c r="H2" s="70"/>
      <c r="I2" s="14"/>
      <c r="J2" s="14"/>
      <c r="K2" s="68" t="s">
        <v>23</v>
      </c>
      <c r="L2" s="69"/>
      <c r="M2" s="70"/>
      <c r="N2" s="14"/>
      <c r="O2" s="14"/>
      <c r="P2" s="68" t="s">
        <v>24</v>
      </c>
      <c r="Q2" s="69"/>
      <c r="R2" s="70"/>
      <c r="S2" s="14"/>
      <c r="T2" s="14"/>
      <c r="U2" s="68" t="s">
        <v>25</v>
      </c>
      <c r="V2" s="69"/>
      <c r="W2" s="70"/>
      <c r="X2" s="14"/>
      <c r="Y2" s="14"/>
      <c r="Z2" s="68" t="s">
        <v>26</v>
      </c>
      <c r="AA2" s="69"/>
      <c r="AB2" s="70"/>
      <c r="AD2" s="71"/>
      <c r="AE2" s="71"/>
      <c r="AF2" s="71"/>
      <c r="AH2" s="71"/>
      <c r="AI2" s="71"/>
      <c r="AJ2" s="71"/>
      <c r="AL2" s="71"/>
      <c r="AM2" s="71"/>
      <c r="AN2" s="71"/>
      <c r="AP2" s="71"/>
      <c r="AQ2" s="71"/>
      <c r="AR2" s="71"/>
      <c r="AT2" s="71"/>
      <c r="AU2" s="71"/>
      <c r="AV2" s="71"/>
      <c r="AX2" s="71"/>
      <c r="AY2" s="71"/>
      <c r="AZ2" s="71"/>
    </row>
    <row r="3" spans="1:52" x14ac:dyDescent="0.25">
      <c r="A3" s="6" t="s">
        <v>21</v>
      </c>
      <c r="B3" s="7" t="s">
        <v>18</v>
      </c>
      <c r="C3" s="8" t="s">
        <v>19</v>
      </c>
      <c r="D3" s="26" t="s">
        <v>62</v>
      </c>
      <c r="E3" s="14"/>
      <c r="F3" s="6" t="s">
        <v>21</v>
      </c>
      <c r="G3" s="7" t="s">
        <v>18</v>
      </c>
      <c r="H3" s="8" t="s">
        <v>19</v>
      </c>
      <c r="I3" s="14" t="s">
        <v>62</v>
      </c>
      <c r="J3" s="14"/>
      <c r="K3" s="6" t="s">
        <v>21</v>
      </c>
      <c r="L3" s="7" t="s">
        <v>18</v>
      </c>
      <c r="M3" s="8" t="s">
        <v>19</v>
      </c>
      <c r="N3" s="14" t="s">
        <v>62</v>
      </c>
      <c r="O3" s="14"/>
      <c r="P3" s="6" t="s">
        <v>21</v>
      </c>
      <c r="Q3" s="7" t="s">
        <v>18</v>
      </c>
      <c r="R3" s="8" t="s">
        <v>19</v>
      </c>
      <c r="S3" s="14" t="s">
        <v>62</v>
      </c>
      <c r="T3" s="14"/>
      <c r="U3" s="6" t="s">
        <v>21</v>
      </c>
      <c r="V3" s="7" t="s">
        <v>18</v>
      </c>
      <c r="W3" s="8" t="s">
        <v>19</v>
      </c>
      <c r="X3" s="14" t="s">
        <v>62</v>
      </c>
      <c r="Y3" s="14"/>
      <c r="Z3" s="6" t="s">
        <v>21</v>
      </c>
      <c r="AA3" s="7" t="s">
        <v>18</v>
      </c>
      <c r="AB3" s="8" t="s">
        <v>19</v>
      </c>
      <c r="AC3" s="14" t="s">
        <v>62</v>
      </c>
      <c r="AD3" s="1"/>
      <c r="AE3" s="1"/>
      <c r="AF3" s="1"/>
      <c r="AH3" s="1"/>
      <c r="AI3" s="1"/>
      <c r="AJ3" s="1"/>
      <c r="AL3" s="1"/>
      <c r="AM3" s="1"/>
      <c r="AN3" s="1"/>
      <c r="AP3" s="1"/>
      <c r="AQ3" s="1"/>
      <c r="AR3" s="1"/>
      <c r="AT3" s="1"/>
      <c r="AU3" s="1"/>
      <c r="AV3" s="1"/>
      <c r="AX3" s="1"/>
      <c r="AY3" s="1"/>
      <c r="AZ3" s="1"/>
    </row>
    <row r="4" spans="1:52" x14ac:dyDescent="0.25">
      <c r="A4" s="9" t="s">
        <v>61</v>
      </c>
      <c r="B4" s="17">
        <v>0</v>
      </c>
      <c r="C4" s="19">
        <f>B4/B34</f>
        <v>0</v>
      </c>
      <c r="D4" s="17">
        <v>0</v>
      </c>
      <c r="E4" s="14"/>
      <c r="F4" s="9" t="s">
        <v>61</v>
      </c>
      <c r="G4" s="17">
        <v>1</v>
      </c>
      <c r="H4" s="21">
        <f>G4/G34</f>
        <v>4.7619047619047616E-2</v>
      </c>
      <c r="I4" s="17">
        <v>0</v>
      </c>
      <c r="J4" s="14"/>
      <c r="K4" s="9" t="s">
        <v>61</v>
      </c>
      <c r="L4" s="17">
        <v>0</v>
      </c>
      <c r="M4" s="21">
        <f>L4/L34</f>
        <v>0</v>
      </c>
      <c r="N4" s="17">
        <v>0</v>
      </c>
      <c r="O4" s="14"/>
      <c r="P4" s="9" t="s">
        <v>61</v>
      </c>
      <c r="Q4" s="17">
        <v>0</v>
      </c>
      <c r="R4" s="21">
        <f>Q4/Q34</f>
        <v>0</v>
      </c>
      <c r="S4" s="17">
        <v>0</v>
      </c>
      <c r="T4" s="14"/>
      <c r="U4" s="9" t="s">
        <v>61</v>
      </c>
      <c r="V4" s="17">
        <v>0</v>
      </c>
      <c r="W4" s="21">
        <f>V4/V34</f>
        <v>0</v>
      </c>
      <c r="X4" s="17">
        <v>4</v>
      </c>
      <c r="Y4" s="14"/>
      <c r="Z4" s="9" t="s">
        <v>61</v>
      </c>
      <c r="AA4" s="17">
        <v>0</v>
      </c>
      <c r="AB4" s="19">
        <f>AA4/AA34</f>
        <v>0</v>
      </c>
      <c r="AC4" s="25">
        <v>5</v>
      </c>
      <c r="AD4" s="4"/>
      <c r="AH4" s="4"/>
      <c r="AL4" s="4"/>
      <c r="AP4" s="4"/>
      <c r="AT4" s="4"/>
      <c r="AX4" s="4"/>
    </row>
    <row r="5" spans="1:52" x14ac:dyDescent="0.25">
      <c r="A5" s="35" t="s">
        <v>0</v>
      </c>
      <c r="B5" s="17">
        <v>1</v>
      </c>
      <c r="C5" s="36">
        <f>B5/B34</f>
        <v>4.7619047619047616E-2</v>
      </c>
      <c r="D5" s="17">
        <v>0</v>
      </c>
      <c r="E5" s="14"/>
      <c r="F5" s="35" t="s">
        <v>0</v>
      </c>
      <c r="G5" s="40">
        <v>0</v>
      </c>
      <c r="H5" s="36">
        <f>G5/G34</f>
        <v>0</v>
      </c>
      <c r="I5" s="40">
        <v>1</v>
      </c>
      <c r="J5" s="14"/>
      <c r="K5" s="9" t="s">
        <v>0</v>
      </c>
      <c r="L5" s="17">
        <v>0</v>
      </c>
      <c r="M5" s="19">
        <f>L5/L34</f>
        <v>0</v>
      </c>
      <c r="N5" s="17">
        <v>2</v>
      </c>
      <c r="O5" s="14"/>
      <c r="P5" s="9" t="s">
        <v>0</v>
      </c>
      <c r="Q5" s="17">
        <v>0</v>
      </c>
      <c r="R5" s="19">
        <f>Q5/Q34</f>
        <v>0</v>
      </c>
      <c r="S5" s="23">
        <v>15</v>
      </c>
      <c r="T5" s="14"/>
      <c r="U5" s="9" t="s">
        <v>0</v>
      </c>
      <c r="V5" s="17">
        <v>1</v>
      </c>
      <c r="W5" s="21">
        <f>V5/V34</f>
        <v>0.1111111111111111</v>
      </c>
      <c r="X5" s="17">
        <v>2</v>
      </c>
      <c r="Y5" s="14"/>
      <c r="Z5" s="9" t="s">
        <v>0</v>
      </c>
      <c r="AA5" s="17">
        <v>2</v>
      </c>
      <c r="AB5" s="21">
        <f>AA5/AA34</f>
        <v>4.2553191489361701E-2</v>
      </c>
      <c r="AC5" s="17">
        <v>0</v>
      </c>
      <c r="AD5" s="4"/>
      <c r="AH5" s="4"/>
      <c r="AL5" s="4"/>
      <c r="AP5" s="4"/>
      <c r="AT5" s="4"/>
      <c r="AX5" s="4"/>
    </row>
    <row r="6" spans="1:52" x14ac:dyDescent="0.25">
      <c r="A6" s="9" t="s">
        <v>1</v>
      </c>
      <c r="B6" s="17">
        <v>0</v>
      </c>
      <c r="C6" s="19">
        <f>B6/B34</f>
        <v>0</v>
      </c>
      <c r="D6" s="17">
        <v>0</v>
      </c>
      <c r="E6" s="14"/>
      <c r="F6" s="9" t="s">
        <v>1</v>
      </c>
      <c r="G6" s="40">
        <v>0</v>
      </c>
      <c r="H6" s="36">
        <f>G6/G34</f>
        <v>0</v>
      </c>
      <c r="I6" s="40">
        <v>0</v>
      </c>
      <c r="J6" s="14"/>
      <c r="K6" s="9" t="s">
        <v>1</v>
      </c>
      <c r="L6" s="17">
        <v>0</v>
      </c>
      <c r="M6" s="21">
        <f>L6/L34</f>
        <v>0</v>
      </c>
      <c r="N6" s="17">
        <v>1</v>
      </c>
      <c r="O6" s="14"/>
      <c r="P6" s="9" t="s">
        <v>1</v>
      </c>
      <c r="Q6" s="17">
        <v>0</v>
      </c>
      <c r="R6" s="19">
        <f>Q6/Q34</f>
        <v>0</v>
      </c>
      <c r="S6" s="40">
        <v>4</v>
      </c>
      <c r="T6" s="14"/>
      <c r="U6" s="9" t="s">
        <v>1</v>
      </c>
      <c r="V6" s="17">
        <v>0</v>
      </c>
      <c r="W6" s="21">
        <f>V6/V34</f>
        <v>0</v>
      </c>
      <c r="X6" s="17">
        <v>4</v>
      </c>
      <c r="Y6" s="14"/>
      <c r="Z6" s="9" t="s">
        <v>1</v>
      </c>
      <c r="AA6" s="17">
        <v>1</v>
      </c>
      <c r="AB6" s="21">
        <f>AA6/AA34</f>
        <v>2.1276595744680851E-2</v>
      </c>
      <c r="AC6" s="17">
        <v>0</v>
      </c>
      <c r="AD6" s="4"/>
      <c r="AH6" s="4"/>
      <c r="AL6" s="4"/>
      <c r="AP6" s="4"/>
      <c r="AT6" s="4"/>
      <c r="AX6" s="4"/>
    </row>
    <row r="7" spans="1:52" x14ac:dyDescent="0.25">
      <c r="A7" s="9" t="s">
        <v>2</v>
      </c>
      <c r="B7" s="17">
        <v>0</v>
      </c>
      <c r="C7" s="19">
        <f>B7/B34</f>
        <v>0</v>
      </c>
      <c r="D7" s="17">
        <v>0</v>
      </c>
      <c r="E7" s="14"/>
      <c r="F7" s="9" t="s">
        <v>2</v>
      </c>
      <c r="G7" s="40">
        <v>0</v>
      </c>
      <c r="H7" s="36">
        <f>G7/G34</f>
        <v>0</v>
      </c>
      <c r="I7" s="40">
        <v>0</v>
      </c>
      <c r="J7" s="14"/>
      <c r="K7" s="9" t="s">
        <v>2</v>
      </c>
      <c r="L7" s="17">
        <v>0</v>
      </c>
      <c r="M7" s="21">
        <f>L7/L34</f>
        <v>0</v>
      </c>
      <c r="N7" s="17">
        <v>1</v>
      </c>
      <c r="O7" s="14"/>
      <c r="P7" s="9" t="s">
        <v>2</v>
      </c>
      <c r="Q7" s="17">
        <v>0</v>
      </c>
      <c r="R7" s="19">
        <f>Q7/Q34</f>
        <v>0</v>
      </c>
      <c r="S7" s="40">
        <v>0</v>
      </c>
      <c r="T7" s="14"/>
      <c r="U7" s="9" t="s">
        <v>2</v>
      </c>
      <c r="V7" s="17">
        <v>0</v>
      </c>
      <c r="W7" s="21">
        <f>V7/V34</f>
        <v>0</v>
      </c>
      <c r="X7" s="17">
        <v>0</v>
      </c>
      <c r="Y7" s="14"/>
      <c r="Z7" s="9" t="s">
        <v>2</v>
      </c>
      <c r="AA7" s="17">
        <v>0</v>
      </c>
      <c r="AB7" s="21">
        <f>AA7/AA34</f>
        <v>0</v>
      </c>
      <c r="AC7" s="17">
        <v>1</v>
      </c>
      <c r="AD7" s="4"/>
      <c r="AH7" s="4"/>
      <c r="AL7" s="4"/>
      <c r="AP7" s="4"/>
      <c r="AT7" s="4"/>
      <c r="AX7" s="4"/>
    </row>
    <row r="8" spans="1:52" x14ac:dyDescent="0.25">
      <c r="A8" s="57" t="s">
        <v>67</v>
      </c>
      <c r="B8" s="37">
        <v>3</v>
      </c>
      <c r="C8" s="58">
        <f>B8/B34</f>
        <v>0.14285714285714285</v>
      </c>
      <c r="D8" s="17">
        <v>0</v>
      </c>
      <c r="E8" s="14"/>
      <c r="F8" s="60" t="s">
        <v>67</v>
      </c>
      <c r="G8" s="25">
        <v>5</v>
      </c>
      <c r="H8" s="61">
        <f>G8/G34</f>
        <v>0.23809523809523808</v>
      </c>
      <c r="I8" s="40">
        <v>0</v>
      </c>
      <c r="J8" s="14"/>
      <c r="K8" s="63" t="s">
        <v>67</v>
      </c>
      <c r="L8" s="44">
        <v>3</v>
      </c>
      <c r="M8" s="64">
        <f>L8/L34</f>
        <v>0.23076923076923078</v>
      </c>
      <c r="N8" s="17">
        <v>0</v>
      </c>
      <c r="O8" s="14"/>
      <c r="P8" s="9" t="s">
        <v>67</v>
      </c>
      <c r="Q8" s="17">
        <v>0</v>
      </c>
      <c r="R8" s="19">
        <f>Q8/Q34</f>
        <v>0</v>
      </c>
      <c r="S8" s="40">
        <v>0</v>
      </c>
      <c r="T8" s="14"/>
      <c r="U8" s="55" t="s">
        <v>67</v>
      </c>
      <c r="V8" s="23">
        <v>4</v>
      </c>
      <c r="W8" s="56">
        <f>V8/V34</f>
        <v>0.44444444444444442</v>
      </c>
      <c r="X8" s="17">
        <v>0</v>
      </c>
      <c r="Y8" s="14"/>
      <c r="Z8" s="9" t="s">
        <v>67</v>
      </c>
      <c r="AA8" s="17">
        <v>3</v>
      </c>
      <c r="AB8" s="19">
        <f>AA8/AA34</f>
        <v>6.3829787234042548E-2</v>
      </c>
      <c r="AC8" s="17">
        <v>1</v>
      </c>
      <c r="AD8" s="4"/>
      <c r="AH8" s="4"/>
      <c r="AL8" s="4"/>
      <c r="AP8" s="4"/>
      <c r="AT8" s="4"/>
      <c r="AX8" s="4"/>
    </row>
    <row r="9" spans="1:52" x14ac:dyDescent="0.25">
      <c r="A9" s="9" t="s">
        <v>3</v>
      </c>
      <c r="B9" s="17">
        <v>0</v>
      </c>
      <c r="C9" s="19">
        <f>B9/B34</f>
        <v>0</v>
      </c>
      <c r="D9" s="17">
        <v>0</v>
      </c>
      <c r="E9" s="14"/>
      <c r="F9" s="9" t="s">
        <v>3</v>
      </c>
      <c r="G9" s="40">
        <v>0</v>
      </c>
      <c r="H9" s="36">
        <f>G9/G34</f>
        <v>0</v>
      </c>
      <c r="I9" s="40">
        <v>0</v>
      </c>
      <c r="J9" s="14"/>
      <c r="K9" s="35" t="s">
        <v>3</v>
      </c>
      <c r="L9" s="40">
        <v>0</v>
      </c>
      <c r="M9" s="36">
        <f>L9/L34</f>
        <v>0</v>
      </c>
      <c r="N9" s="40">
        <v>0</v>
      </c>
      <c r="O9" s="14"/>
      <c r="P9" s="9" t="s">
        <v>3</v>
      </c>
      <c r="Q9" s="17">
        <v>0</v>
      </c>
      <c r="R9" s="19">
        <f>Q9/Q34</f>
        <v>0</v>
      </c>
      <c r="S9" s="40">
        <v>1</v>
      </c>
      <c r="T9" s="14"/>
      <c r="U9" s="9" t="s">
        <v>3</v>
      </c>
      <c r="V9" s="17">
        <v>0</v>
      </c>
      <c r="W9" s="21">
        <f>V9/V34</f>
        <v>0</v>
      </c>
      <c r="X9" s="17">
        <v>0</v>
      </c>
      <c r="Y9" s="14"/>
      <c r="Z9" s="9" t="s">
        <v>3</v>
      </c>
      <c r="AA9" s="17">
        <v>2</v>
      </c>
      <c r="AB9" s="19">
        <f>AA9/AA34</f>
        <v>4.2553191489361701E-2</v>
      </c>
      <c r="AC9" s="17">
        <v>0</v>
      </c>
      <c r="AD9" s="4"/>
      <c r="AH9" s="4"/>
      <c r="AL9" s="4"/>
      <c r="AP9" s="4"/>
      <c r="AT9" s="4"/>
      <c r="AX9" s="4"/>
    </row>
    <row r="10" spans="1:52" x14ac:dyDescent="0.25">
      <c r="A10" s="9" t="s">
        <v>4</v>
      </c>
      <c r="B10" s="17">
        <v>0</v>
      </c>
      <c r="C10" s="19">
        <f>B10/B34</f>
        <v>0</v>
      </c>
      <c r="D10" s="17">
        <v>0</v>
      </c>
      <c r="E10" s="14"/>
      <c r="F10" s="9" t="s">
        <v>4</v>
      </c>
      <c r="G10" s="40">
        <v>0</v>
      </c>
      <c r="H10" s="36">
        <f>G10/G34</f>
        <v>0</v>
      </c>
      <c r="I10" s="40">
        <v>1</v>
      </c>
      <c r="J10" s="14"/>
      <c r="K10" s="9" t="s">
        <v>4</v>
      </c>
      <c r="L10" s="40">
        <v>0</v>
      </c>
      <c r="M10" s="36">
        <f>L10/L34</f>
        <v>0</v>
      </c>
      <c r="N10" s="40">
        <v>0</v>
      </c>
      <c r="O10" s="14"/>
      <c r="P10" s="9" t="s">
        <v>4</v>
      </c>
      <c r="Q10" s="17">
        <v>0</v>
      </c>
      <c r="R10" s="19">
        <f>Q10/Q34</f>
        <v>0</v>
      </c>
      <c r="S10" s="40">
        <v>6</v>
      </c>
      <c r="T10" s="14"/>
      <c r="U10" s="9" t="s">
        <v>4</v>
      </c>
      <c r="V10" s="17">
        <v>0</v>
      </c>
      <c r="W10" s="21">
        <f>V10/V34</f>
        <v>0</v>
      </c>
      <c r="X10" s="17">
        <v>4</v>
      </c>
      <c r="Y10" s="14"/>
      <c r="Z10" s="9" t="s">
        <v>4</v>
      </c>
      <c r="AA10" s="17">
        <v>1</v>
      </c>
      <c r="AB10" s="19">
        <f>AA10/AA34</f>
        <v>2.1276595744680851E-2</v>
      </c>
      <c r="AC10" s="40">
        <v>0</v>
      </c>
      <c r="AD10" s="4"/>
      <c r="AH10" s="4"/>
      <c r="AL10" s="4"/>
      <c r="AP10" s="4"/>
      <c r="AT10" s="4"/>
      <c r="AX10" s="4"/>
    </row>
    <row r="11" spans="1:52" x14ac:dyDescent="0.25">
      <c r="A11" s="38" t="s">
        <v>5</v>
      </c>
      <c r="B11" s="40">
        <v>0</v>
      </c>
      <c r="C11" s="36">
        <f>B11/B34</f>
        <v>0</v>
      </c>
      <c r="D11" s="40">
        <v>0</v>
      </c>
      <c r="E11" s="14"/>
      <c r="F11" s="10" t="s">
        <v>5</v>
      </c>
      <c r="G11" s="40">
        <v>0</v>
      </c>
      <c r="H11" s="36">
        <f>G11/G34</f>
        <v>0</v>
      </c>
      <c r="I11" s="40">
        <v>0</v>
      </c>
      <c r="J11" s="14"/>
      <c r="K11" s="10" t="s">
        <v>5</v>
      </c>
      <c r="L11" s="40">
        <v>0</v>
      </c>
      <c r="M11" s="36">
        <f>L11/L34</f>
        <v>0</v>
      </c>
      <c r="N11" s="40">
        <v>1</v>
      </c>
      <c r="O11" s="14"/>
      <c r="P11" s="10" t="s">
        <v>5</v>
      </c>
      <c r="Q11" s="17">
        <v>0</v>
      </c>
      <c r="R11" s="19">
        <f>Q11/Q34</f>
        <v>0</v>
      </c>
      <c r="S11" s="40">
        <v>2</v>
      </c>
      <c r="T11" s="14"/>
      <c r="U11" s="10" t="s">
        <v>5</v>
      </c>
      <c r="V11" s="17">
        <v>0</v>
      </c>
      <c r="W11" s="19">
        <f>V11/V34</f>
        <v>0</v>
      </c>
      <c r="X11" s="17">
        <v>1</v>
      </c>
      <c r="Y11" s="14"/>
      <c r="Z11" s="60" t="s">
        <v>5</v>
      </c>
      <c r="AA11" s="25">
        <v>7</v>
      </c>
      <c r="AB11" s="61">
        <f>AA11/AA34</f>
        <v>0.14893617021276595</v>
      </c>
      <c r="AC11" s="40">
        <v>0</v>
      </c>
      <c r="AD11" s="2"/>
      <c r="AH11" s="2"/>
      <c r="AL11" s="2"/>
      <c r="AP11" s="2"/>
      <c r="AT11" s="2"/>
      <c r="AX11" s="2"/>
    </row>
    <row r="12" spans="1:52" x14ac:dyDescent="0.25">
      <c r="A12" s="38" t="s">
        <v>71</v>
      </c>
      <c r="B12" s="40">
        <v>0</v>
      </c>
      <c r="C12" s="36">
        <f>B12/B34</f>
        <v>0</v>
      </c>
      <c r="D12" s="40">
        <v>0</v>
      </c>
      <c r="E12" s="14"/>
      <c r="F12" s="38" t="s">
        <v>71</v>
      </c>
      <c r="G12" s="40">
        <v>0</v>
      </c>
      <c r="H12" s="36">
        <f>G12/G34</f>
        <v>0</v>
      </c>
      <c r="I12" s="40">
        <v>0</v>
      </c>
      <c r="J12" s="14"/>
      <c r="K12" s="38" t="s">
        <v>71</v>
      </c>
      <c r="L12" s="40">
        <v>0</v>
      </c>
      <c r="M12" s="36">
        <f>L12/L34</f>
        <v>0</v>
      </c>
      <c r="N12" s="40">
        <v>0</v>
      </c>
      <c r="O12" s="14"/>
      <c r="P12" s="38" t="s">
        <v>71</v>
      </c>
      <c r="Q12" s="17">
        <v>0</v>
      </c>
      <c r="R12" s="19">
        <f>Q12/Q34</f>
        <v>0</v>
      </c>
      <c r="S12" s="40">
        <v>1</v>
      </c>
      <c r="T12" s="14"/>
      <c r="U12" s="38" t="s">
        <v>71</v>
      </c>
      <c r="V12" s="17">
        <v>0</v>
      </c>
      <c r="W12" s="21">
        <f>V12/V34</f>
        <v>0</v>
      </c>
      <c r="X12" s="17">
        <v>1</v>
      </c>
      <c r="Y12" s="14"/>
      <c r="Z12" s="38" t="s">
        <v>71</v>
      </c>
      <c r="AA12" s="17">
        <v>0</v>
      </c>
      <c r="AB12" s="19">
        <f>AA12/AA34</f>
        <v>0</v>
      </c>
      <c r="AC12" s="40">
        <v>0</v>
      </c>
      <c r="AD12" s="2"/>
      <c r="AH12" s="2"/>
      <c r="AL12" s="2"/>
      <c r="AP12" s="2"/>
      <c r="AT12" s="2"/>
      <c r="AX12" s="2"/>
    </row>
    <row r="13" spans="1:52" x14ac:dyDescent="0.25">
      <c r="A13" s="38" t="s">
        <v>6</v>
      </c>
      <c r="B13" s="40">
        <v>2</v>
      </c>
      <c r="C13" s="36">
        <f>B13/B34</f>
        <v>9.5238095238095233E-2</v>
      </c>
      <c r="D13" s="40">
        <v>0</v>
      </c>
      <c r="E13" s="14"/>
      <c r="F13" s="10" t="s">
        <v>6</v>
      </c>
      <c r="G13" s="40">
        <v>2</v>
      </c>
      <c r="H13" s="36">
        <f>G13/G34</f>
        <v>9.5238095238095233E-2</v>
      </c>
      <c r="I13" s="40">
        <v>0</v>
      </c>
      <c r="J13" s="14"/>
      <c r="K13" s="10" t="s">
        <v>6</v>
      </c>
      <c r="L13" s="40">
        <v>2</v>
      </c>
      <c r="M13" s="36">
        <f>L13/L34</f>
        <v>0.15384615384615385</v>
      </c>
      <c r="N13" s="40">
        <v>3</v>
      </c>
      <c r="O13" s="14"/>
      <c r="P13" s="10" t="s">
        <v>6</v>
      </c>
      <c r="Q13" s="17">
        <v>0</v>
      </c>
      <c r="R13" s="19">
        <f>Q13/Q34</f>
        <v>0</v>
      </c>
      <c r="S13" s="40">
        <v>4</v>
      </c>
      <c r="T13" s="14"/>
      <c r="U13" s="63" t="s">
        <v>6</v>
      </c>
      <c r="V13" s="44">
        <v>2</v>
      </c>
      <c r="W13" s="64">
        <f>V13/V34</f>
        <v>0.22222222222222221</v>
      </c>
      <c r="X13" s="17">
        <v>0</v>
      </c>
      <c r="Y13" s="14"/>
      <c r="Z13" s="60" t="s">
        <v>6</v>
      </c>
      <c r="AA13" s="25">
        <v>7</v>
      </c>
      <c r="AB13" s="61">
        <f>AA13/AA34</f>
        <v>0.14893617021276595</v>
      </c>
      <c r="AC13" s="40">
        <v>0</v>
      </c>
      <c r="AD13" s="2"/>
      <c r="AH13" s="2"/>
      <c r="AL13" s="2"/>
      <c r="AP13" s="2"/>
      <c r="AT13" s="2"/>
      <c r="AX13" s="2"/>
    </row>
    <row r="14" spans="1:52" x14ac:dyDescent="0.25">
      <c r="A14" s="38" t="s">
        <v>7</v>
      </c>
      <c r="B14" s="40">
        <v>0</v>
      </c>
      <c r="C14" s="36">
        <f>B14/B34</f>
        <v>0</v>
      </c>
      <c r="D14" s="40">
        <v>0</v>
      </c>
      <c r="E14" s="14"/>
      <c r="F14" s="10" t="s">
        <v>7</v>
      </c>
      <c r="G14" s="40">
        <v>0</v>
      </c>
      <c r="H14" s="36">
        <f>G14/G34</f>
        <v>0</v>
      </c>
      <c r="I14" s="40">
        <v>0</v>
      </c>
      <c r="J14" s="14"/>
      <c r="K14" s="10" t="s">
        <v>7</v>
      </c>
      <c r="L14" s="40">
        <v>0</v>
      </c>
      <c r="M14" s="36">
        <f>L14/L34</f>
        <v>0</v>
      </c>
      <c r="N14" s="40">
        <v>0</v>
      </c>
      <c r="O14" s="14"/>
      <c r="P14" s="10" t="s">
        <v>7</v>
      </c>
      <c r="Q14" s="17">
        <v>0</v>
      </c>
      <c r="R14" s="19">
        <f>Q14/Q34</f>
        <v>0</v>
      </c>
      <c r="S14" s="40">
        <v>0</v>
      </c>
      <c r="T14" s="14"/>
      <c r="U14" s="10" t="s">
        <v>7</v>
      </c>
      <c r="V14" s="17">
        <v>0</v>
      </c>
      <c r="W14" s="21">
        <f>V14/V34</f>
        <v>0</v>
      </c>
      <c r="X14" s="17">
        <v>0</v>
      </c>
      <c r="Y14" s="14"/>
      <c r="Z14" s="10" t="s">
        <v>7</v>
      </c>
      <c r="AA14" s="17">
        <v>0</v>
      </c>
      <c r="AB14" s="19">
        <f>AA14/AA34</f>
        <v>0</v>
      </c>
      <c r="AC14" s="40">
        <v>0</v>
      </c>
      <c r="AD14" s="2"/>
      <c r="AH14" s="2"/>
      <c r="AL14" s="2"/>
      <c r="AP14" s="2"/>
      <c r="AT14" s="2"/>
      <c r="AX14" s="2"/>
    </row>
    <row r="15" spans="1:52" x14ac:dyDescent="0.25">
      <c r="A15" s="38" t="s">
        <v>8</v>
      </c>
      <c r="B15" s="40">
        <v>0</v>
      </c>
      <c r="C15" s="36">
        <f>B15/B34</f>
        <v>0</v>
      </c>
      <c r="D15" s="40">
        <v>0</v>
      </c>
      <c r="E15" s="14"/>
      <c r="F15" s="10" t="s">
        <v>8</v>
      </c>
      <c r="G15" s="40">
        <v>0</v>
      </c>
      <c r="H15" s="36">
        <f>G15/G34</f>
        <v>0</v>
      </c>
      <c r="I15" s="40">
        <v>0</v>
      </c>
      <c r="J15" s="14"/>
      <c r="K15" s="10" t="s">
        <v>8</v>
      </c>
      <c r="L15" s="40">
        <v>0</v>
      </c>
      <c r="M15" s="36">
        <f>L15/L34</f>
        <v>0</v>
      </c>
      <c r="N15" s="40">
        <v>0</v>
      </c>
      <c r="O15" s="14"/>
      <c r="P15" s="10" t="s">
        <v>8</v>
      </c>
      <c r="Q15" s="17">
        <v>0</v>
      </c>
      <c r="R15" s="19">
        <f>Q15/Q34</f>
        <v>0</v>
      </c>
      <c r="S15" s="40">
        <v>0</v>
      </c>
      <c r="T15" s="14"/>
      <c r="U15" s="10" t="s">
        <v>8</v>
      </c>
      <c r="V15" s="17">
        <v>0</v>
      </c>
      <c r="W15" s="21">
        <f>V15/V34</f>
        <v>0</v>
      </c>
      <c r="X15" s="17">
        <v>0</v>
      </c>
      <c r="Y15" s="14"/>
      <c r="Z15" s="10" t="s">
        <v>8</v>
      </c>
      <c r="AA15" s="17">
        <v>3</v>
      </c>
      <c r="AB15" s="19">
        <f>AA15/AA34</f>
        <v>6.3829787234042548E-2</v>
      </c>
      <c r="AC15" s="40">
        <v>0</v>
      </c>
      <c r="AD15" s="2"/>
      <c r="AH15" s="2"/>
      <c r="AL15" s="2"/>
      <c r="AP15" s="2"/>
      <c r="AT15" s="2"/>
      <c r="AX15" s="2"/>
    </row>
    <row r="16" spans="1:52" x14ac:dyDescent="0.25">
      <c r="A16" s="38" t="s">
        <v>9</v>
      </c>
      <c r="B16" s="40">
        <v>1</v>
      </c>
      <c r="C16" s="36">
        <f>B16/B34</f>
        <v>4.7619047619047616E-2</v>
      </c>
      <c r="D16" s="37">
        <v>1</v>
      </c>
      <c r="E16" s="14"/>
      <c r="F16" s="60" t="s">
        <v>9</v>
      </c>
      <c r="G16" s="25">
        <v>5</v>
      </c>
      <c r="H16" s="61">
        <f>G16/G34</f>
        <v>0.23809523809523808</v>
      </c>
      <c r="I16" s="25">
        <v>2</v>
      </c>
      <c r="J16" s="14"/>
      <c r="K16" s="55" t="s">
        <v>9</v>
      </c>
      <c r="L16" s="23">
        <v>7</v>
      </c>
      <c r="M16" s="56">
        <f>L16/L34</f>
        <v>0.53846153846153844</v>
      </c>
      <c r="N16" s="40">
        <v>0</v>
      </c>
      <c r="O16" s="14"/>
      <c r="P16" s="10" t="s">
        <v>9</v>
      </c>
      <c r="Q16" s="17">
        <v>0</v>
      </c>
      <c r="R16" s="19">
        <f>Q16/Q34</f>
        <v>0</v>
      </c>
      <c r="S16" s="40">
        <v>4</v>
      </c>
      <c r="T16" s="14"/>
      <c r="U16" s="10" t="s">
        <v>9</v>
      </c>
      <c r="V16" s="17">
        <v>0</v>
      </c>
      <c r="W16" s="19">
        <f>V16/V34</f>
        <v>0</v>
      </c>
      <c r="X16" s="25">
        <v>5</v>
      </c>
      <c r="Y16" s="14"/>
      <c r="Z16" s="10" t="s">
        <v>9</v>
      </c>
      <c r="AA16" s="17">
        <v>5</v>
      </c>
      <c r="AB16" s="19">
        <f>AA16/AA34</f>
        <v>0.10638297872340426</v>
      </c>
      <c r="AC16" s="40">
        <v>0</v>
      </c>
      <c r="AD16" s="2"/>
      <c r="AH16" s="2"/>
      <c r="AL16" s="2"/>
      <c r="AP16" s="2"/>
      <c r="AT16" s="2"/>
      <c r="AX16" s="2"/>
    </row>
    <row r="17" spans="1:52" x14ac:dyDescent="0.25">
      <c r="A17" s="38" t="s">
        <v>10</v>
      </c>
      <c r="B17" s="40">
        <v>0</v>
      </c>
      <c r="C17" s="36">
        <f>B17/B34</f>
        <v>0</v>
      </c>
      <c r="D17" s="40">
        <v>0</v>
      </c>
      <c r="E17" s="14"/>
      <c r="F17" s="10" t="s">
        <v>10</v>
      </c>
      <c r="G17" s="17">
        <v>0</v>
      </c>
      <c r="H17" s="19">
        <f>G17/G34</f>
        <v>0</v>
      </c>
      <c r="I17" s="40">
        <v>0</v>
      </c>
      <c r="J17" s="14"/>
      <c r="K17" s="10" t="s">
        <v>10</v>
      </c>
      <c r="L17" s="40">
        <v>0</v>
      </c>
      <c r="M17" s="36">
        <f>L17/L34</f>
        <v>0</v>
      </c>
      <c r="N17" s="40">
        <v>0</v>
      </c>
      <c r="O17" s="14"/>
      <c r="P17" s="10" t="s">
        <v>10</v>
      </c>
      <c r="Q17" s="17">
        <v>0</v>
      </c>
      <c r="R17" s="19">
        <f>Q17/Q34</f>
        <v>0</v>
      </c>
      <c r="S17" s="40">
        <v>0</v>
      </c>
      <c r="T17" s="14"/>
      <c r="U17" s="10" t="s">
        <v>10</v>
      </c>
      <c r="V17" s="17">
        <v>0</v>
      </c>
      <c r="W17" s="19">
        <f>V17/V34</f>
        <v>0</v>
      </c>
      <c r="X17" s="40">
        <v>0</v>
      </c>
      <c r="Y17" s="14"/>
      <c r="Z17" s="10" t="s">
        <v>10</v>
      </c>
      <c r="AA17" s="17">
        <v>0</v>
      </c>
      <c r="AB17" s="19">
        <f>AA17/AA34</f>
        <v>0</v>
      </c>
      <c r="AC17" s="40">
        <v>0</v>
      </c>
      <c r="AD17" s="2"/>
      <c r="AH17" s="2"/>
      <c r="AL17" s="2"/>
      <c r="AP17" s="2"/>
      <c r="AT17" s="2"/>
      <c r="AX17" s="2"/>
    </row>
    <row r="18" spans="1:52" x14ac:dyDescent="0.25">
      <c r="A18" s="11" t="s">
        <v>11</v>
      </c>
      <c r="B18" s="40">
        <v>1</v>
      </c>
      <c r="C18" s="36">
        <f>B18/B34</f>
        <v>4.7619047619047616E-2</v>
      </c>
      <c r="D18" s="40">
        <v>0</v>
      </c>
      <c r="E18" s="14"/>
      <c r="F18" s="11" t="s">
        <v>11</v>
      </c>
      <c r="G18" s="17">
        <v>1</v>
      </c>
      <c r="H18" s="19">
        <f>G18/G34</f>
        <v>4.7619047619047616E-2</v>
      </c>
      <c r="I18" s="23">
        <v>3</v>
      </c>
      <c r="J18" s="14"/>
      <c r="K18" s="11" t="s">
        <v>11</v>
      </c>
      <c r="L18" s="40">
        <v>0</v>
      </c>
      <c r="M18" s="36">
        <f>L18/L34</f>
        <v>0</v>
      </c>
      <c r="N18" s="40">
        <v>0</v>
      </c>
      <c r="O18" s="14"/>
      <c r="P18" s="63" t="s">
        <v>11</v>
      </c>
      <c r="Q18" s="44">
        <v>1</v>
      </c>
      <c r="R18" s="64">
        <f>Q18/Q34</f>
        <v>0.33333333333333331</v>
      </c>
      <c r="S18" s="40">
        <v>0</v>
      </c>
      <c r="T18" s="14"/>
      <c r="U18" s="11" t="s">
        <v>11</v>
      </c>
      <c r="V18" s="17">
        <v>0</v>
      </c>
      <c r="W18" s="19">
        <f>V18/V34</f>
        <v>0</v>
      </c>
      <c r="X18" s="40">
        <v>0</v>
      </c>
      <c r="Y18" s="14"/>
      <c r="Z18" s="11" t="s">
        <v>11</v>
      </c>
      <c r="AA18" s="17">
        <v>0</v>
      </c>
      <c r="AB18" s="19">
        <f>AA18/AA34</f>
        <v>0</v>
      </c>
      <c r="AC18" s="40">
        <v>2</v>
      </c>
      <c r="AD18" s="5"/>
      <c r="AH18" s="5"/>
      <c r="AL18" s="5"/>
      <c r="AP18" s="5"/>
      <c r="AT18" s="5"/>
      <c r="AX18" s="5"/>
    </row>
    <row r="19" spans="1:52" x14ac:dyDescent="0.25">
      <c r="A19" s="11" t="s">
        <v>12</v>
      </c>
      <c r="B19" s="40">
        <v>0</v>
      </c>
      <c r="C19" s="36">
        <f>B19/B34</f>
        <v>0</v>
      </c>
      <c r="D19" s="40">
        <v>0</v>
      </c>
      <c r="E19" s="15"/>
      <c r="F19" s="11" t="s">
        <v>12</v>
      </c>
      <c r="G19" s="40">
        <v>0</v>
      </c>
      <c r="H19" s="36">
        <f>G19/G34</f>
        <v>0</v>
      </c>
      <c r="I19" s="40">
        <v>0</v>
      </c>
      <c r="J19" s="15"/>
      <c r="K19" s="11" t="s">
        <v>12</v>
      </c>
      <c r="L19" s="40">
        <v>0</v>
      </c>
      <c r="M19" s="36">
        <f>L19/L34</f>
        <v>0</v>
      </c>
      <c r="N19" s="40">
        <v>0</v>
      </c>
      <c r="O19" s="14"/>
      <c r="P19" s="11" t="s">
        <v>12</v>
      </c>
      <c r="Q19" s="17">
        <v>0</v>
      </c>
      <c r="R19" s="19">
        <f>Q19/Q34</f>
        <v>0</v>
      </c>
      <c r="S19" s="40">
        <v>4</v>
      </c>
      <c r="T19" s="14"/>
      <c r="U19" s="11" t="s">
        <v>12</v>
      </c>
      <c r="V19" s="17">
        <v>0</v>
      </c>
      <c r="W19" s="19">
        <f>V19/V34</f>
        <v>0</v>
      </c>
      <c r="X19" s="25">
        <v>5</v>
      </c>
      <c r="Y19" s="14"/>
      <c r="Z19" s="11" t="s">
        <v>12</v>
      </c>
      <c r="AA19" s="17">
        <v>0</v>
      </c>
      <c r="AB19" s="19">
        <f>AA19/AA34</f>
        <v>0</v>
      </c>
      <c r="AC19" s="40">
        <v>4</v>
      </c>
      <c r="AD19" s="5"/>
      <c r="AE19" s="3"/>
      <c r="AF19" s="3"/>
      <c r="AH19" s="5"/>
      <c r="AI19" s="3"/>
      <c r="AJ19" s="3"/>
      <c r="AL19" s="5"/>
      <c r="AM19" s="3"/>
      <c r="AN19" s="3"/>
      <c r="AP19" s="5"/>
      <c r="AQ19" s="3"/>
      <c r="AR19" s="3"/>
      <c r="AT19" s="5"/>
      <c r="AU19" s="3"/>
      <c r="AV19" s="3"/>
      <c r="AX19" s="5"/>
      <c r="AY19" s="3"/>
      <c r="AZ19" s="3"/>
    </row>
    <row r="20" spans="1:52" x14ac:dyDescent="0.25">
      <c r="A20" s="11" t="s">
        <v>72</v>
      </c>
      <c r="B20" s="40">
        <v>0</v>
      </c>
      <c r="C20" s="36">
        <f>B20/B34</f>
        <v>0</v>
      </c>
      <c r="D20" s="40">
        <v>0</v>
      </c>
      <c r="E20" s="15"/>
      <c r="F20" s="11" t="s">
        <v>72</v>
      </c>
      <c r="G20" s="40">
        <v>0</v>
      </c>
      <c r="H20" s="36">
        <f>G20/G34</f>
        <v>0</v>
      </c>
      <c r="I20" s="40">
        <v>0</v>
      </c>
      <c r="J20" s="15"/>
      <c r="K20" s="11" t="s">
        <v>72</v>
      </c>
      <c r="L20" s="40">
        <v>0</v>
      </c>
      <c r="M20" s="36">
        <f>L20/L34</f>
        <v>0</v>
      </c>
      <c r="N20" s="40">
        <v>0</v>
      </c>
      <c r="O20" s="14"/>
      <c r="P20" s="11" t="s">
        <v>72</v>
      </c>
      <c r="Q20" s="17">
        <v>0</v>
      </c>
      <c r="R20" s="19">
        <f>Q20/Q34</f>
        <v>0</v>
      </c>
      <c r="S20" s="40">
        <v>0</v>
      </c>
      <c r="T20" s="14"/>
      <c r="U20" s="63" t="s">
        <v>72</v>
      </c>
      <c r="V20" s="44">
        <v>2</v>
      </c>
      <c r="W20" s="64">
        <f>V20/V34</f>
        <v>0.22222222222222221</v>
      </c>
      <c r="X20" s="17">
        <v>0</v>
      </c>
      <c r="Y20" s="14"/>
      <c r="Z20" s="11" t="s">
        <v>72</v>
      </c>
      <c r="AA20" s="17">
        <v>0</v>
      </c>
      <c r="AB20" s="19">
        <f>AA20/AA34</f>
        <v>0</v>
      </c>
      <c r="AC20" s="40">
        <v>0</v>
      </c>
      <c r="AD20" s="5"/>
      <c r="AE20" s="3"/>
      <c r="AF20" s="3"/>
      <c r="AH20" s="5"/>
      <c r="AI20" s="3"/>
      <c r="AJ20" s="3"/>
      <c r="AL20" s="5"/>
      <c r="AM20" s="3"/>
      <c r="AN20" s="3"/>
      <c r="AP20" s="5"/>
      <c r="AQ20" s="3"/>
      <c r="AR20" s="3"/>
      <c r="AT20" s="5"/>
      <c r="AU20" s="3"/>
      <c r="AV20" s="3"/>
      <c r="AX20" s="5"/>
      <c r="AY20" s="3"/>
      <c r="AZ20" s="3"/>
    </row>
    <row r="21" spans="1:52" x14ac:dyDescent="0.25">
      <c r="A21" s="11" t="s">
        <v>13</v>
      </c>
      <c r="B21" s="40">
        <v>0</v>
      </c>
      <c r="C21" s="36">
        <f>B21/B34</f>
        <v>0</v>
      </c>
      <c r="D21" s="40">
        <v>0</v>
      </c>
      <c r="E21" s="15"/>
      <c r="F21" s="11" t="s">
        <v>13</v>
      </c>
      <c r="G21" s="40">
        <v>0</v>
      </c>
      <c r="H21" s="36">
        <f>G21/G34</f>
        <v>0</v>
      </c>
      <c r="I21" s="40">
        <v>0</v>
      </c>
      <c r="J21" s="15"/>
      <c r="K21" s="11" t="s">
        <v>13</v>
      </c>
      <c r="L21" s="40">
        <v>0</v>
      </c>
      <c r="M21" s="36">
        <f>L21/L34</f>
        <v>0</v>
      </c>
      <c r="N21" s="40">
        <v>0</v>
      </c>
      <c r="O21" s="14"/>
      <c r="P21" s="11" t="s">
        <v>13</v>
      </c>
      <c r="Q21" s="17">
        <v>0</v>
      </c>
      <c r="R21" s="19">
        <f>Q21/Q34</f>
        <v>0</v>
      </c>
      <c r="S21" s="40">
        <v>1</v>
      </c>
      <c r="T21" s="14"/>
      <c r="U21" s="11" t="s">
        <v>13</v>
      </c>
      <c r="V21" s="17">
        <v>0</v>
      </c>
      <c r="W21" s="19">
        <f>V21/V34</f>
        <v>0</v>
      </c>
      <c r="X21" s="40">
        <v>1</v>
      </c>
      <c r="Y21" s="14"/>
      <c r="Z21" s="11" t="s">
        <v>13</v>
      </c>
      <c r="AA21" s="17">
        <v>0</v>
      </c>
      <c r="AB21" s="19">
        <f>AA21/AA34</f>
        <v>0</v>
      </c>
      <c r="AC21" s="40">
        <v>0</v>
      </c>
      <c r="AD21" s="5"/>
      <c r="AE21" s="3"/>
      <c r="AF21" s="3"/>
      <c r="AH21" s="5"/>
      <c r="AI21" s="3"/>
      <c r="AJ21" s="3"/>
      <c r="AL21" s="5"/>
      <c r="AM21" s="3"/>
      <c r="AN21" s="3"/>
      <c r="AP21" s="5"/>
      <c r="AQ21" s="3"/>
      <c r="AR21" s="3"/>
      <c r="AT21" s="5"/>
      <c r="AU21" s="3"/>
      <c r="AV21" s="3"/>
      <c r="AX21" s="5"/>
      <c r="AY21" s="3"/>
      <c r="AZ21" s="3"/>
    </row>
    <row r="22" spans="1:52" x14ac:dyDescent="0.25">
      <c r="A22" s="11" t="s">
        <v>68</v>
      </c>
      <c r="B22" s="40">
        <v>0</v>
      </c>
      <c r="C22" s="36">
        <f>B22/B34</f>
        <v>0</v>
      </c>
      <c r="D22" s="40">
        <v>0</v>
      </c>
      <c r="E22" s="15"/>
      <c r="F22" s="11" t="s">
        <v>68</v>
      </c>
      <c r="G22" s="40">
        <v>0</v>
      </c>
      <c r="H22" s="36">
        <f>G22/G34</f>
        <v>0</v>
      </c>
      <c r="I22" s="40">
        <v>1</v>
      </c>
      <c r="J22" s="15"/>
      <c r="K22" s="11" t="s">
        <v>68</v>
      </c>
      <c r="L22" s="40">
        <v>0</v>
      </c>
      <c r="M22" s="36">
        <f>L22/L34</f>
        <v>0</v>
      </c>
      <c r="N22" s="40">
        <v>0</v>
      </c>
      <c r="O22" s="14"/>
      <c r="P22" s="11" t="s">
        <v>68</v>
      </c>
      <c r="Q22" s="17">
        <v>0</v>
      </c>
      <c r="R22" s="19">
        <f>Q22/Q34</f>
        <v>0</v>
      </c>
      <c r="S22" s="40">
        <v>1</v>
      </c>
      <c r="T22" s="14"/>
      <c r="U22" s="11" t="s">
        <v>68</v>
      </c>
      <c r="V22" s="17">
        <v>0</v>
      </c>
      <c r="W22" s="19">
        <f>V22/V34</f>
        <v>0</v>
      </c>
      <c r="X22" s="40">
        <v>0</v>
      </c>
      <c r="Y22" s="14"/>
      <c r="Z22" s="11" t="s">
        <v>68</v>
      </c>
      <c r="AA22" s="17">
        <v>0</v>
      </c>
      <c r="AB22" s="19">
        <f>AA22/AA34</f>
        <v>0</v>
      </c>
      <c r="AC22" s="23">
        <v>7</v>
      </c>
      <c r="AD22" s="5"/>
      <c r="AE22" s="3"/>
      <c r="AF22" s="3"/>
      <c r="AH22" s="5"/>
      <c r="AI22" s="3"/>
      <c r="AJ22" s="3"/>
      <c r="AL22" s="5"/>
      <c r="AM22" s="3"/>
      <c r="AN22" s="3"/>
      <c r="AP22" s="5"/>
      <c r="AQ22" s="3"/>
      <c r="AR22" s="3"/>
      <c r="AT22" s="5"/>
      <c r="AU22" s="3"/>
      <c r="AV22" s="3"/>
      <c r="AX22" s="5"/>
      <c r="AY22" s="3"/>
      <c r="AZ22" s="3"/>
    </row>
    <row r="23" spans="1:52" x14ac:dyDescent="0.25">
      <c r="A23" s="11" t="s">
        <v>14</v>
      </c>
      <c r="B23" s="40">
        <v>0</v>
      </c>
      <c r="C23" s="36">
        <f>B23/B34</f>
        <v>0</v>
      </c>
      <c r="D23" s="40">
        <v>0</v>
      </c>
      <c r="E23" s="15"/>
      <c r="F23" s="11" t="s">
        <v>14</v>
      </c>
      <c r="G23" s="40">
        <v>0</v>
      </c>
      <c r="H23" s="36">
        <f>G23/G34</f>
        <v>0</v>
      </c>
      <c r="I23" s="40">
        <v>0</v>
      </c>
      <c r="J23" s="15"/>
      <c r="K23" s="11" t="s">
        <v>14</v>
      </c>
      <c r="L23" s="40">
        <v>0</v>
      </c>
      <c r="M23" s="36">
        <f>L23/L34</f>
        <v>0</v>
      </c>
      <c r="N23" s="40">
        <v>0</v>
      </c>
      <c r="O23" s="14"/>
      <c r="P23" s="11" t="s">
        <v>14</v>
      </c>
      <c r="Q23" s="17">
        <v>0</v>
      </c>
      <c r="R23" s="19">
        <f>Q23/Q34</f>
        <v>0</v>
      </c>
      <c r="S23" s="40">
        <v>0</v>
      </c>
      <c r="T23" s="14"/>
      <c r="U23" s="11" t="s">
        <v>14</v>
      </c>
      <c r="V23" s="17">
        <v>0</v>
      </c>
      <c r="W23" s="19">
        <f>V23/V34</f>
        <v>0</v>
      </c>
      <c r="X23" s="40">
        <v>3</v>
      </c>
      <c r="Y23" s="14"/>
      <c r="Z23" s="11" t="s">
        <v>14</v>
      </c>
      <c r="AA23" s="40">
        <v>0</v>
      </c>
      <c r="AB23" s="36">
        <f>AA23/AA34</f>
        <v>0</v>
      </c>
      <c r="AC23" s="40">
        <v>0</v>
      </c>
      <c r="AD23" s="5"/>
      <c r="AE23" s="3"/>
      <c r="AF23" s="3"/>
      <c r="AH23" s="5"/>
      <c r="AI23" s="3"/>
      <c r="AJ23" s="3"/>
      <c r="AL23" s="5"/>
      <c r="AM23" s="3"/>
      <c r="AN23" s="3"/>
      <c r="AP23" s="5"/>
      <c r="AQ23" s="3"/>
      <c r="AR23" s="3"/>
      <c r="AT23" s="5"/>
      <c r="AU23" s="3"/>
      <c r="AV23" s="3"/>
      <c r="AX23" s="5"/>
      <c r="AY23" s="3"/>
      <c r="AZ23" s="3"/>
    </row>
    <row r="24" spans="1:52" x14ac:dyDescent="0.25">
      <c r="A24" s="11" t="s">
        <v>69</v>
      </c>
      <c r="B24" s="40">
        <v>0</v>
      </c>
      <c r="C24" s="36">
        <f>B24/B34</f>
        <v>0</v>
      </c>
      <c r="D24" s="40">
        <v>0</v>
      </c>
      <c r="E24" s="14"/>
      <c r="F24" s="11" t="s">
        <v>69</v>
      </c>
      <c r="G24" s="40">
        <v>0</v>
      </c>
      <c r="H24" s="36">
        <f>G24/G34</f>
        <v>0</v>
      </c>
      <c r="I24" s="40">
        <v>0</v>
      </c>
      <c r="J24" s="14"/>
      <c r="K24" s="11" t="s">
        <v>69</v>
      </c>
      <c r="L24" s="40">
        <v>0</v>
      </c>
      <c r="M24" s="36">
        <f>L24/L34</f>
        <v>0</v>
      </c>
      <c r="N24" s="40">
        <v>0</v>
      </c>
      <c r="O24" s="14"/>
      <c r="P24" s="11" t="s">
        <v>69</v>
      </c>
      <c r="Q24" s="17">
        <v>0</v>
      </c>
      <c r="R24" s="19">
        <f>Q24/Q34</f>
        <v>0</v>
      </c>
      <c r="S24" s="40">
        <v>0</v>
      </c>
      <c r="T24" s="14"/>
      <c r="U24" s="11" t="s">
        <v>69</v>
      </c>
      <c r="V24" s="17">
        <v>0</v>
      </c>
      <c r="W24" s="19">
        <f>V24/V34</f>
        <v>0</v>
      </c>
      <c r="X24" s="40">
        <v>0</v>
      </c>
      <c r="Y24" s="14"/>
      <c r="Z24" s="11" t="s">
        <v>69</v>
      </c>
      <c r="AA24" s="40">
        <v>0</v>
      </c>
      <c r="AB24" s="36">
        <f>AA24/AA34</f>
        <v>0</v>
      </c>
      <c r="AC24" s="40">
        <v>0</v>
      </c>
      <c r="AD24" s="5"/>
      <c r="AH24" s="5"/>
      <c r="AL24" s="5"/>
      <c r="AP24" s="5"/>
      <c r="AT24" s="5"/>
      <c r="AX24" s="5"/>
    </row>
    <row r="25" spans="1:52" x14ac:dyDescent="0.25">
      <c r="A25" s="11" t="s">
        <v>65</v>
      </c>
      <c r="B25" s="7">
        <v>1</v>
      </c>
      <c r="C25" s="21">
        <f>B25/B34</f>
        <v>4.7619047619047616E-2</v>
      </c>
      <c r="D25" s="23">
        <v>5</v>
      </c>
      <c r="E25" s="14"/>
      <c r="F25" s="55" t="s">
        <v>65</v>
      </c>
      <c r="G25" s="23">
        <v>6</v>
      </c>
      <c r="H25" s="56">
        <f>G25/G34</f>
        <v>0.2857142857142857</v>
      </c>
      <c r="I25" s="40">
        <v>1</v>
      </c>
      <c r="J25" s="14"/>
      <c r="K25" s="11" t="s">
        <v>65</v>
      </c>
      <c r="L25" s="17">
        <v>0</v>
      </c>
      <c r="M25" s="19">
        <f>L25/L34</f>
        <v>0</v>
      </c>
      <c r="N25" s="44">
        <v>5</v>
      </c>
      <c r="O25" s="14"/>
      <c r="P25" s="11" t="s">
        <v>65</v>
      </c>
      <c r="Q25" s="17">
        <v>0</v>
      </c>
      <c r="R25" s="19">
        <f>Q25/Q34</f>
        <v>0</v>
      </c>
      <c r="S25" s="37">
        <v>7</v>
      </c>
      <c r="T25" s="14"/>
      <c r="U25" s="11" t="s">
        <v>65</v>
      </c>
      <c r="V25" s="17">
        <v>0</v>
      </c>
      <c r="W25" s="19">
        <f>V25/V34</f>
        <v>0</v>
      </c>
      <c r="X25" s="23">
        <v>14</v>
      </c>
      <c r="Y25" s="14"/>
      <c r="Z25" s="11" t="s">
        <v>65</v>
      </c>
      <c r="AA25" s="17">
        <v>5</v>
      </c>
      <c r="AB25" s="19">
        <f>AA25/AA34</f>
        <v>0.10638297872340426</v>
      </c>
      <c r="AC25" s="40">
        <v>3</v>
      </c>
      <c r="AD25" s="5"/>
      <c r="AH25" s="5"/>
      <c r="AL25" s="5"/>
      <c r="AP25" s="5"/>
      <c r="AT25" s="5"/>
      <c r="AX25" s="5"/>
    </row>
    <row r="26" spans="1:52" x14ac:dyDescent="0.25">
      <c r="A26" s="11" t="s">
        <v>66</v>
      </c>
      <c r="B26" s="7">
        <v>0</v>
      </c>
      <c r="C26" s="21">
        <f>B26/B34</f>
        <v>0</v>
      </c>
      <c r="D26" s="17">
        <v>0</v>
      </c>
      <c r="E26" s="14"/>
      <c r="F26" s="11" t="s">
        <v>66</v>
      </c>
      <c r="G26" s="40">
        <v>0</v>
      </c>
      <c r="H26" s="36">
        <f>G26/G34</f>
        <v>0</v>
      </c>
      <c r="I26" s="40">
        <v>2</v>
      </c>
      <c r="J26" s="14"/>
      <c r="K26" s="11" t="s">
        <v>66</v>
      </c>
      <c r="L26" s="17">
        <v>0</v>
      </c>
      <c r="M26" s="19">
        <f>L26/L34</f>
        <v>0</v>
      </c>
      <c r="N26" s="17">
        <v>0</v>
      </c>
      <c r="O26" s="14"/>
      <c r="P26" s="55" t="s">
        <v>66</v>
      </c>
      <c r="Q26" s="23">
        <v>2</v>
      </c>
      <c r="R26" s="56">
        <f>Q26/Q34</f>
        <v>0.66666666666666663</v>
      </c>
      <c r="S26" s="17">
        <v>0</v>
      </c>
      <c r="T26" s="14"/>
      <c r="U26" s="11" t="s">
        <v>66</v>
      </c>
      <c r="V26" s="17">
        <v>0</v>
      </c>
      <c r="W26" s="19">
        <f>V26/V34</f>
        <v>0</v>
      </c>
      <c r="X26" s="17">
        <v>0</v>
      </c>
      <c r="Y26" s="14"/>
      <c r="Z26" s="11" t="s">
        <v>66</v>
      </c>
      <c r="AA26" s="40">
        <v>2</v>
      </c>
      <c r="AB26" s="36">
        <f>AA26/AA34</f>
        <v>4.2553191489361701E-2</v>
      </c>
      <c r="AC26" s="40">
        <v>0</v>
      </c>
      <c r="AD26" s="5"/>
      <c r="AH26" s="5"/>
      <c r="AL26" s="5"/>
      <c r="AP26" s="5"/>
      <c r="AT26" s="5"/>
      <c r="AX26" s="5"/>
    </row>
    <row r="27" spans="1:52" x14ac:dyDescent="0.25">
      <c r="A27" s="11" t="s">
        <v>64</v>
      </c>
      <c r="B27" s="7">
        <v>2</v>
      </c>
      <c r="C27" s="21">
        <f>B27/B34</f>
        <v>9.5238095238095233E-2</v>
      </c>
      <c r="D27" s="17">
        <v>0</v>
      </c>
      <c r="E27" s="14"/>
      <c r="F27" s="11" t="s">
        <v>64</v>
      </c>
      <c r="G27" s="40">
        <v>1</v>
      </c>
      <c r="H27" s="36">
        <f>G27/G34</f>
        <v>4.7619047619047616E-2</v>
      </c>
      <c r="I27" s="40">
        <v>0</v>
      </c>
      <c r="J27" s="14"/>
      <c r="K27" s="11" t="s">
        <v>64</v>
      </c>
      <c r="L27" s="17">
        <v>0</v>
      </c>
      <c r="M27" s="19">
        <f>L27/L34</f>
        <v>0</v>
      </c>
      <c r="N27" s="17">
        <v>0</v>
      </c>
      <c r="O27" s="14"/>
      <c r="P27" s="11" t="s">
        <v>64</v>
      </c>
      <c r="Q27" s="17">
        <v>0</v>
      </c>
      <c r="R27" s="19">
        <f>Q27/Q34</f>
        <v>0</v>
      </c>
      <c r="S27" s="17">
        <v>0</v>
      </c>
      <c r="T27" s="14"/>
      <c r="U27" s="11" t="s">
        <v>64</v>
      </c>
      <c r="V27" s="17">
        <v>0</v>
      </c>
      <c r="W27" s="19">
        <f>V27/V34</f>
        <v>0</v>
      </c>
      <c r="X27" s="17">
        <v>0</v>
      </c>
      <c r="Y27" s="14"/>
      <c r="Z27" s="11" t="s">
        <v>64</v>
      </c>
      <c r="AA27" s="40">
        <v>0</v>
      </c>
      <c r="AB27" s="36">
        <f>AA27/AA34</f>
        <v>0</v>
      </c>
      <c r="AC27" s="40">
        <v>0</v>
      </c>
      <c r="AD27" s="5"/>
      <c r="AH27" s="5"/>
      <c r="AL27" s="5"/>
      <c r="AP27" s="5"/>
      <c r="AT27" s="5"/>
      <c r="AX27" s="5"/>
    </row>
    <row r="28" spans="1:52" x14ac:dyDescent="0.25">
      <c r="A28" s="11" t="s">
        <v>15</v>
      </c>
      <c r="B28" s="40">
        <v>0</v>
      </c>
      <c r="C28" s="36">
        <f>B28/B34</f>
        <v>0</v>
      </c>
      <c r="D28" s="40">
        <v>0</v>
      </c>
      <c r="E28" s="14"/>
      <c r="F28" s="11" t="s">
        <v>15</v>
      </c>
      <c r="G28" s="17">
        <v>0</v>
      </c>
      <c r="H28" s="21">
        <f>G28/G34</f>
        <v>0</v>
      </c>
      <c r="I28" s="17">
        <v>1</v>
      </c>
      <c r="J28" s="14"/>
      <c r="K28" s="11" t="s">
        <v>15</v>
      </c>
      <c r="L28" s="17">
        <v>1</v>
      </c>
      <c r="M28" s="19">
        <f>L28/L34</f>
        <v>7.6923076923076927E-2</v>
      </c>
      <c r="N28" s="23">
        <v>9</v>
      </c>
      <c r="O28" s="14"/>
      <c r="P28" s="11" t="s">
        <v>15</v>
      </c>
      <c r="Q28" s="17">
        <v>0</v>
      </c>
      <c r="R28" s="21">
        <f>Q28/Q34</f>
        <v>0</v>
      </c>
      <c r="S28" s="17">
        <v>0</v>
      </c>
      <c r="T28" s="14"/>
      <c r="U28" s="39" t="s">
        <v>15</v>
      </c>
      <c r="V28" s="40">
        <v>0</v>
      </c>
      <c r="W28" s="36">
        <f>V28/V34</f>
        <v>0</v>
      </c>
      <c r="X28" s="40">
        <v>3</v>
      </c>
      <c r="Y28" s="14"/>
      <c r="Z28" s="55" t="s">
        <v>15</v>
      </c>
      <c r="AA28" s="23">
        <v>9</v>
      </c>
      <c r="AB28" s="56">
        <f>AA28/AA34</f>
        <v>0.19148936170212766</v>
      </c>
      <c r="AC28" s="40">
        <v>2</v>
      </c>
      <c r="AD28" s="5"/>
      <c r="AH28" s="5"/>
      <c r="AL28" s="5"/>
      <c r="AP28" s="5"/>
      <c r="AT28" s="5"/>
      <c r="AX28" s="5"/>
    </row>
    <row r="29" spans="1:52" x14ac:dyDescent="0.25">
      <c r="A29" s="55" t="s">
        <v>16</v>
      </c>
      <c r="B29" s="23">
        <v>7</v>
      </c>
      <c r="C29" s="56">
        <f>B29/B34</f>
        <v>0.33333333333333331</v>
      </c>
      <c r="D29" s="37">
        <v>1</v>
      </c>
      <c r="E29" s="14"/>
      <c r="F29" s="11" t="s">
        <v>16</v>
      </c>
      <c r="G29" s="17">
        <v>0</v>
      </c>
      <c r="H29" s="21">
        <f>G29/G34</f>
        <v>0</v>
      </c>
      <c r="I29" s="17">
        <v>1</v>
      </c>
      <c r="J29" s="14"/>
      <c r="K29" s="11" t="s">
        <v>16</v>
      </c>
      <c r="L29" s="17">
        <v>0</v>
      </c>
      <c r="M29" s="19">
        <f>L29/L34</f>
        <v>0</v>
      </c>
      <c r="N29" s="17">
        <v>1</v>
      </c>
      <c r="O29" s="14"/>
      <c r="P29" s="11" t="s">
        <v>16</v>
      </c>
      <c r="Q29" s="17">
        <v>0</v>
      </c>
      <c r="R29" s="19">
        <f>Q29/Q34</f>
        <v>0</v>
      </c>
      <c r="S29" s="17">
        <v>0</v>
      </c>
      <c r="T29" s="24"/>
      <c r="U29" s="39" t="s">
        <v>16</v>
      </c>
      <c r="V29" s="40">
        <v>0</v>
      </c>
      <c r="W29" s="36">
        <f>V29/V34</f>
        <v>0</v>
      </c>
      <c r="X29" s="40">
        <v>0</v>
      </c>
      <c r="Y29" s="14"/>
      <c r="Z29" s="39" t="s">
        <v>16</v>
      </c>
      <c r="AA29" s="40">
        <v>0</v>
      </c>
      <c r="AB29" s="36">
        <f>AA29/AA34</f>
        <v>0</v>
      </c>
      <c r="AC29" s="40">
        <v>0</v>
      </c>
      <c r="AD29" s="5"/>
      <c r="AH29" s="5"/>
      <c r="AL29" s="5"/>
      <c r="AP29" s="5"/>
      <c r="AT29" s="5"/>
      <c r="AX29" s="5"/>
    </row>
    <row r="30" spans="1:52" x14ac:dyDescent="0.25">
      <c r="A30" s="50" t="s">
        <v>83</v>
      </c>
      <c r="B30" s="51">
        <v>1</v>
      </c>
      <c r="C30" s="36">
        <f>B30/B34</f>
        <v>4.7619047619047616E-2</v>
      </c>
      <c r="D30" s="51">
        <v>0</v>
      </c>
      <c r="E30" s="14"/>
      <c r="F30" s="50" t="s">
        <v>83</v>
      </c>
      <c r="G30" s="52">
        <v>0</v>
      </c>
      <c r="H30" s="21">
        <f>G30/G34</f>
        <v>0</v>
      </c>
      <c r="I30" s="52">
        <v>0</v>
      </c>
      <c r="J30" s="14"/>
      <c r="K30" s="50" t="s">
        <v>83</v>
      </c>
      <c r="L30" s="52">
        <v>0</v>
      </c>
      <c r="M30" s="19">
        <f>L30/L34</f>
        <v>0</v>
      </c>
      <c r="N30" s="52">
        <v>0</v>
      </c>
      <c r="O30" s="14"/>
      <c r="P30" s="50" t="s">
        <v>83</v>
      </c>
      <c r="Q30" s="52">
        <v>0</v>
      </c>
      <c r="R30" s="19">
        <f>Q30/Q34</f>
        <v>0</v>
      </c>
      <c r="S30" s="52">
        <v>0</v>
      </c>
      <c r="T30" s="24"/>
      <c r="U30" s="50" t="s">
        <v>83</v>
      </c>
      <c r="V30" s="51">
        <v>0</v>
      </c>
      <c r="W30" s="36">
        <f>V30/V34</f>
        <v>0</v>
      </c>
      <c r="X30" s="51">
        <v>0</v>
      </c>
      <c r="Y30" s="14"/>
      <c r="Z30" s="50" t="s">
        <v>83</v>
      </c>
      <c r="AA30" s="51">
        <v>0</v>
      </c>
      <c r="AB30" s="36">
        <f>AA30/AA34</f>
        <v>0</v>
      </c>
      <c r="AC30" s="51">
        <v>0</v>
      </c>
      <c r="AD30" s="5"/>
      <c r="AH30" s="5"/>
      <c r="AL30" s="5"/>
      <c r="AP30" s="5"/>
      <c r="AT30" s="5"/>
      <c r="AX30" s="5"/>
    </row>
    <row r="31" spans="1:52" x14ac:dyDescent="0.25">
      <c r="A31" s="50" t="s">
        <v>84</v>
      </c>
      <c r="B31" s="51">
        <v>2</v>
      </c>
      <c r="C31" s="36">
        <f>B31/B34</f>
        <v>9.5238095238095233E-2</v>
      </c>
      <c r="D31" s="51">
        <v>0</v>
      </c>
      <c r="E31" s="14"/>
      <c r="F31" s="50" t="s">
        <v>84</v>
      </c>
      <c r="G31" s="52">
        <v>0</v>
      </c>
      <c r="H31" s="21">
        <f>G31/G34</f>
        <v>0</v>
      </c>
      <c r="I31" s="52">
        <v>0</v>
      </c>
      <c r="J31" s="14"/>
      <c r="K31" s="50" t="s">
        <v>84</v>
      </c>
      <c r="L31" s="52">
        <v>0</v>
      </c>
      <c r="M31" s="19">
        <f>L31/L34</f>
        <v>0</v>
      </c>
      <c r="N31" s="52">
        <v>0</v>
      </c>
      <c r="O31" s="14"/>
      <c r="P31" s="50" t="s">
        <v>84</v>
      </c>
      <c r="Q31" s="52">
        <v>0</v>
      </c>
      <c r="R31" s="19">
        <f>Q31/Q34</f>
        <v>0</v>
      </c>
      <c r="S31" s="52">
        <v>0</v>
      </c>
      <c r="T31" s="24"/>
      <c r="U31" s="50" t="s">
        <v>84</v>
      </c>
      <c r="V31" s="51">
        <v>0</v>
      </c>
      <c r="W31" s="36">
        <f>V31/V34</f>
        <v>0</v>
      </c>
      <c r="X31" s="51">
        <v>0</v>
      </c>
      <c r="Y31" s="14"/>
      <c r="Z31" s="50" t="s">
        <v>84</v>
      </c>
      <c r="AA31" s="51">
        <v>0</v>
      </c>
      <c r="AB31" s="36">
        <f>AA31/AA34</f>
        <v>0</v>
      </c>
      <c r="AC31" s="51">
        <v>0</v>
      </c>
      <c r="AD31" s="5"/>
      <c r="AH31" s="5"/>
      <c r="AL31" s="5"/>
      <c r="AP31" s="5"/>
      <c r="AT31" s="5"/>
      <c r="AX31" s="5"/>
    </row>
    <row r="32" spans="1:52" ht="15.75" thickBot="1" x14ac:dyDescent="0.3">
      <c r="A32" s="12" t="s">
        <v>17</v>
      </c>
      <c r="B32" s="41">
        <v>0</v>
      </c>
      <c r="C32" s="42">
        <f>B32/B34</f>
        <v>0</v>
      </c>
      <c r="D32" s="41">
        <v>0</v>
      </c>
      <c r="E32" s="14"/>
      <c r="F32" s="12" t="s">
        <v>17</v>
      </c>
      <c r="G32" s="18">
        <v>0</v>
      </c>
      <c r="H32" s="22">
        <f>G32/G34</f>
        <v>0</v>
      </c>
      <c r="I32" s="18">
        <v>0</v>
      </c>
      <c r="J32" s="14"/>
      <c r="K32" s="12" t="s">
        <v>17</v>
      </c>
      <c r="L32" s="18">
        <v>0</v>
      </c>
      <c r="M32" s="20">
        <f>L32/L34</f>
        <v>0</v>
      </c>
      <c r="N32" s="18">
        <v>0</v>
      </c>
      <c r="O32" s="14"/>
      <c r="P32" s="12" t="s">
        <v>17</v>
      </c>
      <c r="Q32" s="18">
        <v>0</v>
      </c>
      <c r="R32" s="22">
        <f>Q32/Q34</f>
        <v>0</v>
      </c>
      <c r="S32" s="18">
        <v>4</v>
      </c>
      <c r="T32" s="14"/>
      <c r="U32" s="12" t="s">
        <v>17</v>
      </c>
      <c r="V32" s="18">
        <v>0</v>
      </c>
      <c r="W32" s="20">
        <f>V32/V34</f>
        <v>0</v>
      </c>
      <c r="X32" s="18">
        <v>0</v>
      </c>
      <c r="Y32" s="14"/>
      <c r="Z32" s="43" t="s">
        <v>17</v>
      </c>
      <c r="AA32" s="41">
        <v>0</v>
      </c>
      <c r="AB32" s="42">
        <f>AA32/AA34</f>
        <v>0</v>
      </c>
      <c r="AC32" s="41">
        <v>0</v>
      </c>
      <c r="AD32" s="5"/>
      <c r="AH32" s="5"/>
      <c r="AL32" s="5"/>
      <c r="AP32" s="5"/>
      <c r="AT32" s="5"/>
      <c r="AX32" s="5"/>
    </row>
    <row r="33" spans="1:50" ht="15.75" thickBo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50" ht="15.75" thickBot="1" x14ac:dyDescent="0.3">
      <c r="A34" s="13" t="s">
        <v>34</v>
      </c>
      <c r="B34" s="16">
        <f>SUM(B4:B32)</f>
        <v>21</v>
      </c>
      <c r="C34" s="14"/>
      <c r="D34" s="14"/>
      <c r="E34" s="14"/>
      <c r="F34" s="13" t="s">
        <v>35</v>
      </c>
      <c r="G34" s="16">
        <f>SUM(G4:G32)</f>
        <v>21</v>
      </c>
      <c r="H34" s="14"/>
      <c r="I34" s="14"/>
      <c r="J34" s="14"/>
      <c r="K34" s="13" t="s">
        <v>36</v>
      </c>
      <c r="L34" s="16">
        <f>SUM(L4:L32)</f>
        <v>13</v>
      </c>
      <c r="M34" s="14"/>
      <c r="N34" s="14"/>
      <c r="O34" s="14"/>
      <c r="P34" s="13" t="s">
        <v>37</v>
      </c>
      <c r="Q34" s="16">
        <f>SUM(Q4:Q32)</f>
        <v>3</v>
      </c>
      <c r="R34" s="14"/>
      <c r="S34" s="14"/>
      <c r="T34" s="14"/>
      <c r="U34" s="13" t="s">
        <v>38</v>
      </c>
      <c r="V34" s="16">
        <f>SUM(V4:V32)</f>
        <v>9</v>
      </c>
      <c r="W34" s="14"/>
      <c r="X34" s="14"/>
      <c r="Y34" s="14"/>
      <c r="Z34" s="13" t="s">
        <v>39</v>
      </c>
      <c r="AA34" s="16">
        <f>SUM(AA4:AA32)</f>
        <v>47</v>
      </c>
      <c r="AB34" s="14"/>
      <c r="AD34" s="1"/>
      <c r="AH34" s="1"/>
      <c r="AL34" s="1"/>
      <c r="AP34" s="1"/>
      <c r="AT34" s="1"/>
      <c r="AX34" s="1"/>
    </row>
    <row r="35" spans="1:50" x14ac:dyDescent="0.25">
      <c r="A35" s="14" t="s">
        <v>73</v>
      </c>
      <c r="B35" s="14"/>
      <c r="C35" s="14"/>
      <c r="D35" s="14"/>
      <c r="E35" s="14"/>
      <c r="F35" s="14" t="s">
        <v>74</v>
      </c>
      <c r="G35" s="14"/>
      <c r="H35" s="14"/>
      <c r="I35" s="14"/>
      <c r="J35" s="14"/>
      <c r="K35" s="14" t="s">
        <v>75</v>
      </c>
      <c r="L35" s="14"/>
      <c r="M35" s="14"/>
      <c r="N35" s="14"/>
      <c r="O35" s="14"/>
      <c r="P35" s="14" t="s">
        <v>76</v>
      </c>
      <c r="Q35" s="14"/>
      <c r="R35" s="14"/>
      <c r="S35" s="14"/>
      <c r="T35" s="14"/>
      <c r="U35" s="14" t="s">
        <v>77</v>
      </c>
      <c r="V35" s="14"/>
      <c r="W35" s="14"/>
      <c r="X35" s="14"/>
      <c r="Y35" s="14"/>
      <c r="Z35" s="14" t="s">
        <v>78</v>
      </c>
      <c r="AA35" s="14"/>
      <c r="AB35" s="14"/>
    </row>
    <row r="36" spans="1:50" x14ac:dyDescent="0.25">
      <c r="A36" s="14"/>
      <c r="B36" s="14">
        <v>2023</v>
      </c>
      <c r="C36" s="14">
        <v>2024</v>
      </c>
      <c r="D36" s="14">
        <v>2025</v>
      </c>
      <c r="E36" s="14"/>
      <c r="F36" s="14"/>
      <c r="G36" s="14">
        <v>2023</v>
      </c>
      <c r="H36" s="14">
        <v>2024</v>
      </c>
      <c r="I36" s="14">
        <v>2025</v>
      </c>
      <c r="J36" s="14"/>
      <c r="K36" s="14"/>
      <c r="L36" s="14">
        <v>2023</v>
      </c>
      <c r="M36" s="14">
        <v>2024</v>
      </c>
      <c r="N36" s="14">
        <v>2025</v>
      </c>
      <c r="O36" s="14"/>
      <c r="P36" s="14"/>
      <c r="Q36" s="14">
        <v>2023</v>
      </c>
      <c r="R36" s="14">
        <v>2024</v>
      </c>
      <c r="S36" s="14">
        <v>2025</v>
      </c>
      <c r="T36" s="14"/>
      <c r="U36" s="14"/>
      <c r="V36" s="14">
        <v>2023</v>
      </c>
      <c r="W36" s="14">
        <v>2024</v>
      </c>
      <c r="X36" s="14">
        <v>2025</v>
      </c>
      <c r="Y36" s="14"/>
      <c r="Z36" s="14"/>
      <c r="AA36" s="14">
        <v>2023</v>
      </c>
      <c r="AB36" s="14">
        <v>2024</v>
      </c>
      <c r="AC36" s="14">
        <v>2025</v>
      </c>
    </row>
    <row r="37" spans="1:50" x14ac:dyDescent="0.25">
      <c r="A37" s="14" t="s">
        <v>48</v>
      </c>
      <c r="B37" s="30">
        <v>0.12</v>
      </c>
      <c r="C37" s="30">
        <v>0</v>
      </c>
      <c r="D37" s="30">
        <v>0.19</v>
      </c>
      <c r="E37" s="14"/>
      <c r="F37" s="14" t="s">
        <v>48</v>
      </c>
      <c r="G37" s="30">
        <v>0.67</v>
      </c>
      <c r="H37" s="30">
        <v>0.18</v>
      </c>
      <c r="I37" s="30">
        <v>0.28999999999999998</v>
      </c>
      <c r="J37" s="14"/>
      <c r="K37" s="14" t="s">
        <v>48</v>
      </c>
      <c r="L37" s="30">
        <v>0.25</v>
      </c>
      <c r="M37" s="30">
        <v>0.17</v>
      </c>
      <c r="N37" s="30">
        <v>0.23</v>
      </c>
      <c r="O37" s="14"/>
      <c r="P37" s="14" t="s">
        <v>48</v>
      </c>
      <c r="Q37" s="30">
        <v>0.38</v>
      </c>
      <c r="R37" s="30">
        <v>0.48</v>
      </c>
      <c r="S37" s="30">
        <v>0</v>
      </c>
      <c r="T37" s="14"/>
      <c r="U37" s="14" t="s">
        <v>48</v>
      </c>
      <c r="V37" s="30">
        <v>0</v>
      </c>
      <c r="W37" s="30">
        <v>0.3</v>
      </c>
      <c r="X37" s="30">
        <v>0.56000000000000005</v>
      </c>
      <c r="Y37" s="14"/>
      <c r="Z37" s="14" t="s">
        <v>48</v>
      </c>
      <c r="AA37" s="30">
        <v>0.11</v>
      </c>
      <c r="AB37" s="30">
        <v>0.28000000000000003</v>
      </c>
      <c r="AC37" s="30">
        <v>0.19</v>
      </c>
    </row>
    <row r="38" spans="1:50" x14ac:dyDescent="0.25">
      <c r="A38" s="14" t="s">
        <v>49</v>
      </c>
      <c r="B38" s="30">
        <v>0.59</v>
      </c>
      <c r="C38" s="30">
        <v>0.14000000000000001</v>
      </c>
      <c r="D38" s="30">
        <v>0.14000000000000001</v>
      </c>
      <c r="E38" s="14"/>
      <c r="F38" s="14" t="s">
        <v>49</v>
      </c>
      <c r="G38" s="30">
        <v>0</v>
      </c>
      <c r="H38" s="30">
        <v>0.18</v>
      </c>
      <c r="I38" s="30">
        <v>0.33</v>
      </c>
      <c r="J38" s="14"/>
      <c r="K38" s="14" t="s">
        <v>49</v>
      </c>
      <c r="L38" s="30">
        <v>0.1</v>
      </c>
      <c r="M38" s="30">
        <v>0.17</v>
      </c>
      <c r="N38" s="30">
        <v>0.69</v>
      </c>
      <c r="O38" s="14"/>
      <c r="P38" s="14" t="s">
        <v>49</v>
      </c>
      <c r="Q38" s="30">
        <v>0</v>
      </c>
      <c r="R38" s="30">
        <v>0.2</v>
      </c>
      <c r="S38" s="30">
        <v>0</v>
      </c>
      <c r="T38" s="14"/>
      <c r="U38" s="14" t="s">
        <v>49</v>
      </c>
      <c r="V38" s="30">
        <v>0.3</v>
      </c>
      <c r="W38" s="30">
        <v>0.15</v>
      </c>
      <c r="X38" s="30">
        <v>0.22</v>
      </c>
      <c r="Y38" s="14"/>
      <c r="Z38" s="14" t="s">
        <v>49</v>
      </c>
      <c r="AA38" s="30">
        <v>0.11</v>
      </c>
      <c r="AB38" s="30">
        <v>0</v>
      </c>
      <c r="AC38" s="30">
        <v>0.47</v>
      </c>
    </row>
    <row r="39" spans="1:50" x14ac:dyDescent="0.25">
      <c r="A39" s="14" t="s">
        <v>50</v>
      </c>
      <c r="B39" s="30">
        <v>0.28999999999999998</v>
      </c>
      <c r="C39" s="30">
        <v>0.86</v>
      </c>
      <c r="D39" s="30">
        <v>0.67</v>
      </c>
      <c r="E39" s="14"/>
      <c r="F39" s="14" t="s">
        <v>50</v>
      </c>
      <c r="G39" s="30">
        <v>0.33</v>
      </c>
      <c r="H39" s="30">
        <v>0.64</v>
      </c>
      <c r="I39" s="30">
        <v>0.38</v>
      </c>
      <c r="J39" s="14"/>
      <c r="K39" s="14" t="s">
        <v>50</v>
      </c>
      <c r="L39" s="30">
        <v>0.65</v>
      </c>
      <c r="M39" s="30">
        <v>0.66</v>
      </c>
      <c r="N39" s="30">
        <v>0.08</v>
      </c>
      <c r="O39" s="14"/>
      <c r="P39" s="14" t="s">
        <v>50</v>
      </c>
      <c r="Q39" s="30">
        <v>0.62</v>
      </c>
      <c r="R39" s="30">
        <v>0.32</v>
      </c>
      <c r="S39" s="30">
        <v>1</v>
      </c>
      <c r="T39" s="14"/>
      <c r="U39" s="14" t="s">
        <v>50</v>
      </c>
      <c r="V39" s="30">
        <v>0.7</v>
      </c>
      <c r="W39" s="30">
        <v>0.55000000000000004</v>
      </c>
      <c r="X39" s="30">
        <v>0.22</v>
      </c>
      <c r="Y39" s="14"/>
      <c r="Z39" s="14" t="s">
        <v>50</v>
      </c>
      <c r="AA39" s="30">
        <v>0.78</v>
      </c>
      <c r="AB39" s="30">
        <v>0.72</v>
      </c>
      <c r="AC39" s="30">
        <v>0.34</v>
      </c>
    </row>
    <row r="40" spans="1:50" ht="15.75" thickBo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50" x14ac:dyDescent="0.25">
      <c r="A41" s="68" t="s">
        <v>27</v>
      </c>
      <c r="B41" s="69"/>
      <c r="C41" s="70"/>
      <c r="D41" s="14"/>
      <c r="E41" s="14"/>
      <c r="F41" s="68" t="s">
        <v>28</v>
      </c>
      <c r="G41" s="69"/>
      <c r="H41" s="70"/>
      <c r="I41" s="14"/>
      <c r="J41" s="14"/>
      <c r="K41" s="68" t="s">
        <v>29</v>
      </c>
      <c r="L41" s="69"/>
      <c r="M41" s="70"/>
      <c r="N41" s="14"/>
      <c r="O41" s="14"/>
      <c r="P41" s="68" t="s">
        <v>30</v>
      </c>
      <c r="Q41" s="69"/>
      <c r="R41" s="70"/>
      <c r="S41" s="14"/>
      <c r="T41" s="14"/>
      <c r="U41" s="68" t="s">
        <v>31</v>
      </c>
      <c r="V41" s="69"/>
      <c r="W41" s="70"/>
      <c r="X41" s="14"/>
      <c r="Y41" s="14"/>
      <c r="Z41" s="68" t="s">
        <v>32</v>
      </c>
      <c r="AA41" s="69"/>
      <c r="AB41" s="70"/>
    </row>
    <row r="42" spans="1:50" x14ac:dyDescent="0.25">
      <c r="A42" s="6" t="s">
        <v>21</v>
      </c>
      <c r="B42" s="7" t="s">
        <v>18</v>
      </c>
      <c r="C42" s="8" t="s">
        <v>19</v>
      </c>
      <c r="D42" s="14" t="s">
        <v>62</v>
      </c>
      <c r="E42" s="14"/>
      <c r="F42" s="6" t="s">
        <v>21</v>
      </c>
      <c r="G42" s="7" t="s">
        <v>18</v>
      </c>
      <c r="H42" s="8" t="s">
        <v>19</v>
      </c>
      <c r="I42" s="14" t="s">
        <v>62</v>
      </c>
      <c r="J42" s="14"/>
      <c r="K42" s="6" t="s">
        <v>21</v>
      </c>
      <c r="L42" s="7" t="s">
        <v>18</v>
      </c>
      <c r="M42" s="8" t="s">
        <v>19</v>
      </c>
      <c r="N42" s="14" t="s">
        <v>62</v>
      </c>
      <c r="O42" s="14"/>
      <c r="P42" s="6" t="s">
        <v>21</v>
      </c>
      <c r="Q42" s="7" t="s">
        <v>18</v>
      </c>
      <c r="R42" s="8" t="s">
        <v>19</v>
      </c>
      <c r="S42" s="14" t="s">
        <v>62</v>
      </c>
      <c r="T42" s="14"/>
      <c r="U42" s="6" t="s">
        <v>21</v>
      </c>
      <c r="V42" s="7" t="s">
        <v>18</v>
      </c>
      <c r="W42" s="8" t="s">
        <v>19</v>
      </c>
      <c r="X42" s="14" t="s">
        <v>62</v>
      </c>
      <c r="Y42" s="14"/>
      <c r="Z42" s="6" t="s">
        <v>21</v>
      </c>
      <c r="AA42" s="7" t="s">
        <v>18</v>
      </c>
      <c r="AB42" s="8" t="s">
        <v>19</v>
      </c>
      <c r="AC42" s="14" t="s">
        <v>62</v>
      </c>
    </row>
    <row r="43" spans="1:50" x14ac:dyDescent="0.25">
      <c r="A43" s="60" t="s">
        <v>61</v>
      </c>
      <c r="B43" s="25">
        <v>1</v>
      </c>
      <c r="C43" s="61">
        <f>B43/B73</f>
        <v>3.4482758620689655E-2</v>
      </c>
      <c r="D43" s="17">
        <v>6</v>
      </c>
      <c r="E43" s="14"/>
      <c r="F43" s="9" t="s">
        <v>61</v>
      </c>
      <c r="G43" s="17">
        <v>0</v>
      </c>
      <c r="H43" s="21">
        <f>G43/G73</f>
        <v>0</v>
      </c>
      <c r="I43" s="17">
        <v>0</v>
      </c>
      <c r="J43" s="14"/>
      <c r="K43" s="9" t="s">
        <v>61</v>
      </c>
      <c r="L43" s="17">
        <v>0</v>
      </c>
      <c r="M43" s="21">
        <f>L43/L73</f>
        <v>0</v>
      </c>
      <c r="N43" s="17">
        <v>0</v>
      </c>
      <c r="O43" s="14"/>
      <c r="P43" s="9" t="s">
        <v>61</v>
      </c>
      <c r="Q43" s="17">
        <v>2</v>
      </c>
      <c r="R43" s="21">
        <f>Q43/Q73</f>
        <v>6.4516129032258063E-2</v>
      </c>
      <c r="S43" s="17">
        <v>0</v>
      </c>
      <c r="T43" s="14"/>
      <c r="U43" s="9" t="s">
        <v>61</v>
      </c>
      <c r="V43" s="17">
        <v>0</v>
      </c>
      <c r="W43" s="21">
        <f>V43/V73</f>
        <v>0</v>
      </c>
      <c r="X43" s="17">
        <v>2</v>
      </c>
      <c r="Y43" s="14"/>
      <c r="Z43" s="9" t="s">
        <v>61</v>
      </c>
      <c r="AA43" s="17">
        <v>0</v>
      </c>
      <c r="AB43" s="21">
        <f>AA43/AA73</f>
        <v>0</v>
      </c>
      <c r="AC43" s="17">
        <v>0</v>
      </c>
    </row>
    <row r="44" spans="1:50" x14ac:dyDescent="0.25">
      <c r="A44" s="9" t="s">
        <v>0</v>
      </c>
      <c r="B44" s="17">
        <v>0</v>
      </c>
      <c r="C44" s="21">
        <f>B44/B73</f>
        <v>0</v>
      </c>
      <c r="D44" s="17">
        <v>0</v>
      </c>
      <c r="E44" s="14"/>
      <c r="F44" s="9" t="s">
        <v>0</v>
      </c>
      <c r="G44" s="17">
        <v>0</v>
      </c>
      <c r="H44" s="21">
        <f>G44/G73</f>
        <v>0</v>
      </c>
      <c r="I44" s="17">
        <v>2</v>
      </c>
      <c r="J44" s="14"/>
      <c r="K44" s="9" t="s">
        <v>0</v>
      </c>
      <c r="L44" s="17">
        <v>2</v>
      </c>
      <c r="M44" s="19">
        <f>L44/L73</f>
        <v>7.407407407407407E-2</v>
      </c>
      <c r="N44" s="23">
        <v>4</v>
      </c>
      <c r="O44" s="14"/>
      <c r="P44" s="9" t="s">
        <v>0</v>
      </c>
      <c r="Q44" s="17">
        <v>0</v>
      </c>
      <c r="R44" s="19">
        <f>Q44/Q73</f>
        <v>0</v>
      </c>
      <c r="S44" s="17">
        <v>0</v>
      </c>
      <c r="T44" s="14"/>
      <c r="U44" s="9" t="s">
        <v>0</v>
      </c>
      <c r="V44" s="17">
        <v>0</v>
      </c>
      <c r="W44" s="21">
        <f>V44/V73</f>
        <v>0</v>
      </c>
      <c r="X44" s="17">
        <v>0</v>
      </c>
      <c r="Y44" s="14"/>
      <c r="Z44" s="9" t="s">
        <v>0</v>
      </c>
      <c r="AA44" s="17">
        <v>0</v>
      </c>
      <c r="AB44" s="19">
        <f>AA44/AA73</f>
        <v>0</v>
      </c>
      <c r="AC44" s="17">
        <v>0</v>
      </c>
    </row>
    <row r="45" spans="1:50" x14ac:dyDescent="0.25">
      <c r="A45" s="9" t="s">
        <v>1</v>
      </c>
      <c r="B45" s="17">
        <v>0</v>
      </c>
      <c r="C45" s="21">
        <f>B45/B73</f>
        <v>0</v>
      </c>
      <c r="D45" s="17">
        <v>1</v>
      </c>
      <c r="E45" s="14"/>
      <c r="F45" s="9" t="s">
        <v>1</v>
      </c>
      <c r="G45" s="17">
        <v>0</v>
      </c>
      <c r="H45" s="21">
        <f>G45/G73</f>
        <v>0</v>
      </c>
      <c r="I45" s="17">
        <v>0</v>
      </c>
      <c r="J45" s="14"/>
      <c r="K45" s="9" t="s">
        <v>1</v>
      </c>
      <c r="L45" s="17">
        <v>1</v>
      </c>
      <c r="M45" s="19">
        <f>L45/L73</f>
        <v>3.7037037037037035E-2</v>
      </c>
      <c r="N45" s="17">
        <v>1</v>
      </c>
      <c r="O45" s="14"/>
      <c r="P45" s="9" t="s">
        <v>1</v>
      </c>
      <c r="Q45" s="17">
        <v>0</v>
      </c>
      <c r="R45" s="21">
        <f>Q45/Q73</f>
        <v>0</v>
      </c>
      <c r="S45" s="17">
        <v>1</v>
      </c>
      <c r="T45" s="14"/>
      <c r="U45" s="9" t="s">
        <v>1</v>
      </c>
      <c r="V45" s="17">
        <v>0</v>
      </c>
      <c r="W45" s="19">
        <f>V45/V73</f>
        <v>0</v>
      </c>
      <c r="X45" s="17">
        <v>0</v>
      </c>
      <c r="Y45" s="14"/>
      <c r="Z45" s="9" t="s">
        <v>1</v>
      </c>
      <c r="AA45" s="17">
        <v>0</v>
      </c>
      <c r="AB45" s="21">
        <f>AA45/AA73</f>
        <v>0</v>
      </c>
      <c r="AC45" s="17">
        <v>0</v>
      </c>
    </row>
    <row r="46" spans="1:50" x14ac:dyDescent="0.25">
      <c r="A46" s="9" t="s">
        <v>2</v>
      </c>
      <c r="B46" s="17">
        <v>0</v>
      </c>
      <c r="C46" s="21">
        <f>B46/B73</f>
        <v>0</v>
      </c>
      <c r="D46" s="17">
        <v>0</v>
      </c>
      <c r="E46" s="14"/>
      <c r="F46" s="9" t="s">
        <v>2</v>
      </c>
      <c r="G46" s="17">
        <v>1</v>
      </c>
      <c r="H46" s="21">
        <f>G46/G73</f>
        <v>0.05</v>
      </c>
      <c r="I46" s="17">
        <v>0</v>
      </c>
      <c r="J46" s="14"/>
      <c r="K46" s="9" t="s">
        <v>2</v>
      </c>
      <c r="L46" s="17">
        <v>0</v>
      </c>
      <c r="M46" s="19">
        <f>L46/L73</f>
        <v>0</v>
      </c>
      <c r="N46" s="17">
        <v>0</v>
      </c>
      <c r="O46" s="14"/>
      <c r="P46" s="9" t="s">
        <v>2</v>
      </c>
      <c r="Q46" s="17">
        <v>0</v>
      </c>
      <c r="R46" s="21">
        <f>Q46/Q73</f>
        <v>0</v>
      </c>
      <c r="S46" s="17">
        <v>0</v>
      </c>
      <c r="T46" s="14"/>
      <c r="U46" s="9" t="s">
        <v>2</v>
      </c>
      <c r="V46" s="17">
        <v>0</v>
      </c>
      <c r="W46" s="21">
        <f>V46/V73</f>
        <v>0</v>
      </c>
      <c r="X46" s="17">
        <v>0</v>
      </c>
      <c r="Y46" s="14"/>
      <c r="Z46" s="9" t="s">
        <v>2</v>
      </c>
      <c r="AA46" s="17">
        <v>0</v>
      </c>
      <c r="AB46" s="21">
        <f>AA46/AA73</f>
        <v>0</v>
      </c>
      <c r="AC46" s="17">
        <v>0</v>
      </c>
    </row>
    <row r="47" spans="1:50" x14ac:dyDescent="0.25">
      <c r="A47" s="60" t="s">
        <v>67</v>
      </c>
      <c r="B47" s="25">
        <v>1</v>
      </c>
      <c r="C47" s="61">
        <f>B47/B73</f>
        <v>3.4482758620689655E-2</v>
      </c>
      <c r="D47" s="17">
        <v>6</v>
      </c>
      <c r="E47" s="14"/>
      <c r="F47" s="9" t="s">
        <v>67</v>
      </c>
      <c r="G47" s="17">
        <v>2</v>
      </c>
      <c r="H47" s="19">
        <f>G47/G73</f>
        <v>0.1</v>
      </c>
      <c r="I47" s="17">
        <v>1</v>
      </c>
      <c r="J47" s="14"/>
      <c r="K47" s="9" t="s">
        <v>67</v>
      </c>
      <c r="L47" s="17">
        <v>3</v>
      </c>
      <c r="M47" s="19">
        <f>L47/L73</f>
        <v>0.1111111111111111</v>
      </c>
      <c r="N47" s="17">
        <v>1</v>
      </c>
      <c r="O47" s="14"/>
      <c r="P47" s="9" t="s">
        <v>67</v>
      </c>
      <c r="Q47" s="17">
        <v>4</v>
      </c>
      <c r="R47" s="19">
        <f>Q47/Q73</f>
        <v>0.12903225806451613</v>
      </c>
      <c r="S47" s="25">
        <v>5</v>
      </c>
      <c r="T47" s="14"/>
      <c r="U47" s="9" t="s">
        <v>67</v>
      </c>
      <c r="V47" s="17">
        <v>0</v>
      </c>
      <c r="W47" s="19">
        <f>V47/V73</f>
        <v>0</v>
      </c>
      <c r="X47" s="23">
        <v>10</v>
      </c>
      <c r="Y47" s="14"/>
      <c r="Z47" s="9" t="s">
        <v>67</v>
      </c>
      <c r="AA47" s="17">
        <v>0</v>
      </c>
      <c r="AB47" s="19">
        <f>AA47/AA73</f>
        <v>0</v>
      </c>
      <c r="AC47" s="17">
        <v>0</v>
      </c>
    </row>
    <row r="48" spans="1:50" x14ac:dyDescent="0.25">
      <c r="A48" s="9" t="s">
        <v>3</v>
      </c>
      <c r="B48" s="17">
        <v>0</v>
      </c>
      <c r="C48" s="21">
        <f>B48/B73</f>
        <v>0</v>
      </c>
      <c r="D48" s="17">
        <v>0</v>
      </c>
      <c r="E48" s="14"/>
      <c r="F48" s="9" t="s">
        <v>3</v>
      </c>
      <c r="G48" s="17">
        <v>0</v>
      </c>
      <c r="H48" s="21">
        <f>G48/G73</f>
        <v>0</v>
      </c>
      <c r="I48" s="17">
        <v>3</v>
      </c>
      <c r="J48" s="14"/>
      <c r="K48" s="9" t="s">
        <v>3</v>
      </c>
      <c r="L48" s="17">
        <v>0</v>
      </c>
      <c r="M48" s="19">
        <f>L48/L73</f>
        <v>0</v>
      </c>
      <c r="N48" s="17">
        <v>0</v>
      </c>
      <c r="O48" s="14"/>
      <c r="P48" s="9" t="s">
        <v>3</v>
      </c>
      <c r="Q48" s="17">
        <v>0</v>
      </c>
      <c r="R48" s="21">
        <f>Q48/Q73</f>
        <v>0</v>
      </c>
      <c r="S48" s="17">
        <v>0</v>
      </c>
      <c r="T48" s="14"/>
      <c r="U48" s="9" t="s">
        <v>3</v>
      </c>
      <c r="V48" s="17">
        <v>0</v>
      </c>
      <c r="W48" s="19">
        <f>V48/V73</f>
        <v>0</v>
      </c>
      <c r="X48" s="40">
        <v>0</v>
      </c>
      <c r="Y48" s="14"/>
      <c r="Z48" s="9" t="s">
        <v>3</v>
      </c>
      <c r="AA48" s="17">
        <v>0</v>
      </c>
      <c r="AB48" s="21">
        <f>AA48/AA73</f>
        <v>0</v>
      </c>
      <c r="AC48" s="17">
        <v>0</v>
      </c>
    </row>
    <row r="49" spans="1:29" x14ac:dyDescent="0.25">
      <c r="A49" s="60" t="s">
        <v>4</v>
      </c>
      <c r="B49" s="25">
        <v>1</v>
      </c>
      <c r="C49" s="61">
        <f>B49/B73</f>
        <v>3.4482758620689655E-2</v>
      </c>
      <c r="D49" s="17">
        <v>0</v>
      </c>
      <c r="E49" s="14"/>
      <c r="F49" s="9" t="s">
        <v>4</v>
      </c>
      <c r="G49" s="17">
        <v>2</v>
      </c>
      <c r="H49" s="21">
        <f>G49/G73</f>
        <v>0.1</v>
      </c>
      <c r="I49" s="17">
        <v>0</v>
      </c>
      <c r="J49" s="14"/>
      <c r="K49" s="9" t="s">
        <v>4</v>
      </c>
      <c r="L49" s="17">
        <v>0</v>
      </c>
      <c r="M49" s="19">
        <f>L49/L73</f>
        <v>0</v>
      </c>
      <c r="N49" s="17">
        <v>0</v>
      </c>
      <c r="O49" s="14"/>
      <c r="P49" s="9" t="s">
        <v>4</v>
      </c>
      <c r="Q49" s="17">
        <v>0</v>
      </c>
      <c r="R49" s="19">
        <f>Q49/Q73</f>
        <v>0</v>
      </c>
      <c r="S49" s="25">
        <v>5</v>
      </c>
      <c r="T49" s="14"/>
      <c r="U49" s="9" t="s">
        <v>4</v>
      </c>
      <c r="V49" s="17">
        <v>0</v>
      </c>
      <c r="W49" s="19">
        <f>V49/V73</f>
        <v>0</v>
      </c>
      <c r="X49" s="40">
        <v>0</v>
      </c>
      <c r="Y49" s="14"/>
      <c r="Z49" s="9" t="s">
        <v>4</v>
      </c>
      <c r="AA49" s="17">
        <v>0</v>
      </c>
      <c r="AB49" s="21">
        <f>AA49/AA73</f>
        <v>0</v>
      </c>
      <c r="AC49" s="17">
        <v>0</v>
      </c>
    </row>
    <row r="50" spans="1:29" x14ac:dyDescent="0.25">
      <c r="A50" s="10" t="s">
        <v>5</v>
      </c>
      <c r="B50" s="17">
        <v>0</v>
      </c>
      <c r="C50" s="19">
        <f>B50/B73</f>
        <v>0</v>
      </c>
      <c r="D50" s="17">
        <v>0</v>
      </c>
      <c r="E50" s="14"/>
      <c r="F50" s="10" t="s">
        <v>5</v>
      </c>
      <c r="G50" s="17">
        <v>0</v>
      </c>
      <c r="H50" s="19">
        <f>G50/G73</f>
        <v>0</v>
      </c>
      <c r="I50" s="17">
        <v>1</v>
      </c>
      <c r="J50" s="14"/>
      <c r="K50" s="10" t="s">
        <v>5</v>
      </c>
      <c r="L50" s="17">
        <v>0</v>
      </c>
      <c r="M50" s="19">
        <f>L50/L73</f>
        <v>0</v>
      </c>
      <c r="N50" s="17">
        <v>0</v>
      </c>
      <c r="O50" s="14"/>
      <c r="P50" s="10" t="s">
        <v>5</v>
      </c>
      <c r="Q50" s="17">
        <v>0</v>
      </c>
      <c r="R50" s="19">
        <f>Q50/Q73</f>
        <v>0</v>
      </c>
      <c r="S50" s="17">
        <v>0</v>
      </c>
      <c r="T50" s="14"/>
      <c r="U50" s="10" t="s">
        <v>5</v>
      </c>
      <c r="V50" s="17">
        <v>0</v>
      </c>
      <c r="W50" s="19">
        <f>V50/V73</f>
        <v>0</v>
      </c>
      <c r="X50" s="40">
        <v>1</v>
      </c>
      <c r="Y50" s="14"/>
      <c r="Z50" s="10" t="s">
        <v>5</v>
      </c>
      <c r="AA50" s="17">
        <v>0</v>
      </c>
      <c r="AB50" s="19">
        <f>AA50/AA73</f>
        <v>0</v>
      </c>
      <c r="AC50" s="17">
        <v>0</v>
      </c>
    </row>
    <row r="51" spans="1:29" x14ac:dyDescent="0.25">
      <c r="A51" s="38" t="s">
        <v>71</v>
      </c>
      <c r="B51" s="17">
        <v>0</v>
      </c>
      <c r="C51" s="21">
        <f>B51/B73</f>
        <v>0</v>
      </c>
      <c r="D51" s="17">
        <v>3</v>
      </c>
      <c r="E51" s="14"/>
      <c r="F51" s="38" t="s">
        <v>71</v>
      </c>
      <c r="G51" s="17">
        <v>0</v>
      </c>
      <c r="H51" s="21">
        <f>G51/G73</f>
        <v>0</v>
      </c>
      <c r="I51" s="17">
        <v>0</v>
      </c>
      <c r="J51" s="14"/>
      <c r="K51" s="38" t="s">
        <v>71</v>
      </c>
      <c r="L51" s="17">
        <v>0</v>
      </c>
      <c r="M51" s="19">
        <f>L51/L73</f>
        <v>0</v>
      </c>
      <c r="N51" s="17">
        <v>1</v>
      </c>
      <c r="O51" s="14"/>
      <c r="P51" s="38" t="s">
        <v>71</v>
      </c>
      <c r="Q51" s="17">
        <v>0</v>
      </c>
      <c r="R51" s="21">
        <f>Q51/Q73</f>
        <v>0</v>
      </c>
      <c r="S51" s="17">
        <v>0</v>
      </c>
      <c r="T51" s="14"/>
      <c r="U51" s="38" t="s">
        <v>71</v>
      </c>
      <c r="V51" s="17">
        <v>0</v>
      </c>
      <c r="W51" s="19">
        <f>V51/V73</f>
        <v>0</v>
      </c>
      <c r="X51" s="40">
        <v>0</v>
      </c>
      <c r="Y51" s="14"/>
      <c r="Z51" s="38" t="s">
        <v>71</v>
      </c>
      <c r="AA51" s="17">
        <v>0</v>
      </c>
      <c r="AB51" s="21">
        <f>AA51/AA73</f>
        <v>0</v>
      </c>
      <c r="AC51" s="17">
        <v>0</v>
      </c>
    </row>
    <row r="52" spans="1:29" x14ac:dyDescent="0.25">
      <c r="A52" s="60" t="s">
        <v>6</v>
      </c>
      <c r="B52" s="25">
        <v>1</v>
      </c>
      <c r="C52" s="61">
        <f>B52/B73</f>
        <v>3.4482758620689655E-2</v>
      </c>
      <c r="D52" s="17">
        <v>5</v>
      </c>
      <c r="E52" s="14"/>
      <c r="F52" s="60" t="s">
        <v>6</v>
      </c>
      <c r="G52" s="25">
        <v>3</v>
      </c>
      <c r="H52" s="61">
        <f>G52/G73</f>
        <v>0.15</v>
      </c>
      <c r="I52" s="23">
        <v>9</v>
      </c>
      <c r="J52" s="14"/>
      <c r="K52" s="10" t="s">
        <v>6</v>
      </c>
      <c r="L52" s="17">
        <v>0</v>
      </c>
      <c r="M52" s="19">
        <f>L52/L73</f>
        <v>0</v>
      </c>
      <c r="N52" s="17">
        <v>0</v>
      </c>
      <c r="O52" s="14"/>
      <c r="P52" s="60" t="s">
        <v>6</v>
      </c>
      <c r="Q52" s="25">
        <v>5</v>
      </c>
      <c r="R52" s="61">
        <f>Q52/Q73</f>
        <v>0.16129032258064516</v>
      </c>
      <c r="S52" s="17">
        <v>0</v>
      </c>
      <c r="T52" s="14"/>
      <c r="U52" s="60" t="s">
        <v>6</v>
      </c>
      <c r="V52" s="25">
        <v>3</v>
      </c>
      <c r="W52" s="61">
        <f>V52/V73</f>
        <v>0.15789473684210525</v>
      </c>
      <c r="X52" s="40">
        <v>2</v>
      </c>
      <c r="Y52" s="14"/>
      <c r="Z52" s="10" t="s">
        <v>6</v>
      </c>
      <c r="AA52" s="17">
        <v>0</v>
      </c>
      <c r="AB52" s="19">
        <f>AA52/AA73</f>
        <v>0</v>
      </c>
      <c r="AC52" s="17">
        <v>0</v>
      </c>
    </row>
    <row r="53" spans="1:29" x14ac:dyDescent="0.25">
      <c r="A53" s="10" t="s">
        <v>7</v>
      </c>
      <c r="B53" s="17">
        <v>0</v>
      </c>
      <c r="C53" s="21">
        <f>B53/B73</f>
        <v>0</v>
      </c>
      <c r="D53" s="17">
        <v>0</v>
      </c>
      <c r="E53" s="14"/>
      <c r="F53" s="10" t="s">
        <v>7</v>
      </c>
      <c r="G53" s="17">
        <v>0</v>
      </c>
      <c r="H53" s="21">
        <f>G53/G73</f>
        <v>0</v>
      </c>
      <c r="I53" s="17">
        <v>0</v>
      </c>
      <c r="J53" s="14"/>
      <c r="K53" s="10" t="s">
        <v>7</v>
      </c>
      <c r="L53" s="17">
        <v>0</v>
      </c>
      <c r="M53" s="19">
        <f>L53/L73</f>
        <v>0</v>
      </c>
      <c r="N53" s="17">
        <v>0</v>
      </c>
      <c r="O53" s="14"/>
      <c r="P53" s="10" t="s">
        <v>7</v>
      </c>
      <c r="Q53" s="17">
        <v>0</v>
      </c>
      <c r="R53" s="21">
        <f>Q53/Q73</f>
        <v>0</v>
      </c>
      <c r="S53" s="17">
        <v>0</v>
      </c>
      <c r="T53" s="14"/>
      <c r="U53" s="10" t="s">
        <v>7</v>
      </c>
      <c r="V53" s="17">
        <v>0</v>
      </c>
      <c r="W53" s="19">
        <f>V53/V73</f>
        <v>0</v>
      </c>
      <c r="X53" s="40">
        <v>0</v>
      </c>
      <c r="Y53" s="14"/>
      <c r="Z53" s="10" t="s">
        <v>7</v>
      </c>
      <c r="AA53" s="17">
        <v>0</v>
      </c>
      <c r="AB53" s="21">
        <f>AA53/AA73</f>
        <v>0</v>
      </c>
      <c r="AC53" s="17">
        <v>0</v>
      </c>
    </row>
    <row r="54" spans="1:29" x14ac:dyDescent="0.25">
      <c r="A54" s="10" t="s">
        <v>8</v>
      </c>
      <c r="B54" s="17">
        <v>0</v>
      </c>
      <c r="C54" s="21">
        <f>B54/B73</f>
        <v>0</v>
      </c>
      <c r="D54" s="17">
        <v>0</v>
      </c>
      <c r="E54" s="14"/>
      <c r="F54" s="10" t="s">
        <v>8</v>
      </c>
      <c r="G54" s="17">
        <v>0</v>
      </c>
      <c r="H54" s="19">
        <f>G54/G73</f>
        <v>0</v>
      </c>
      <c r="I54" s="17">
        <v>2</v>
      </c>
      <c r="J54" s="24"/>
      <c r="K54" s="10" t="s">
        <v>8</v>
      </c>
      <c r="L54" s="17">
        <v>1</v>
      </c>
      <c r="M54" s="19">
        <f>L54/L73</f>
        <v>3.7037037037037035E-2</v>
      </c>
      <c r="N54" s="17">
        <v>0</v>
      </c>
      <c r="O54" s="14"/>
      <c r="P54" s="10" t="s">
        <v>8</v>
      </c>
      <c r="Q54" s="17">
        <v>0</v>
      </c>
      <c r="R54" s="21">
        <f>Q54/Q73</f>
        <v>0</v>
      </c>
      <c r="S54" s="17">
        <v>1</v>
      </c>
      <c r="T54" s="14"/>
      <c r="U54" s="10" t="s">
        <v>8</v>
      </c>
      <c r="V54" s="17">
        <v>0</v>
      </c>
      <c r="W54" s="19">
        <f>V54/V73</f>
        <v>0</v>
      </c>
      <c r="X54" s="40">
        <v>1</v>
      </c>
      <c r="Y54" s="14"/>
      <c r="Z54" s="10" t="s">
        <v>8</v>
      </c>
      <c r="AA54" s="17">
        <v>0</v>
      </c>
      <c r="AB54" s="21">
        <f>AA54/AA73</f>
        <v>0</v>
      </c>
      <c r="AC54" s="17">
        <v>0</v>
      </c>
    </row>
    <row r="55" spans="1:29" x14ac:dyDescent="0.25">
      <c r="A55" s="60" t="s">
        <v>9</v>
      </c>
      <c r="B55" s="25">
        <v>1</v>
      </c>
      <c r="C55" s="61">
        <f>B55/B73</f>
        <v>3.4482758620689655E-2</v>
      </c>
      <c r="D55" s="25">
        <v>8</v>
      </c>
      <c r="E55" s="14"/>
      <c r="F55" s="10" t="s">
        <v>9</v>
      </c>
      <c r="G55" s="17">
        <v>2</v>
      </c>
      <c r="H55" s="19">
        <f>G55/G73</f>
        <v>0.1</v>
      </c>
      <c r="I55" s="25">
        <v>4</v>
      </c>
      <c r="J55" s="14"/>
      <c r="K55" s="10" t="s">
        <v>9</v>
      </c>
      <c r="L55" s="17">
        <v>3</v>
      </c>
      <c r="M55" s="19">
        <f>L55/L73</f>
        <v>0.1111111111111111</v>
      </c>
      <c r="N55" s="23">
        <v>4</v>
      </c>
      <c r="O55" s="14"/>
      <c r="P55" s="55" t="s">
        <v>9</v>
      </c>
      <c r="Q55" s="23">
        <v>6</v>
      </c>
      <c r="R55" s="56">
        <f>Q55/Q73</f>
        <v>0.19354838709677419</v>
      </c>
      <c r="S55" s="17">
        <v>1</v>
      </c>
      <c r="T55" s="14"/>
      <c r="U55" s="10" t="s">
        <v>9</v>
      </c>
      <c r="V55" s="17">
        <v>0</v>
      </c>
      <c r="W55" s="19">
        <f>V55/V73</f>
        <v>0</v>
      </c>
      <c r="X55" s="40">
        <v>8</v>
      </c>
      <c r="Y55" s="14"/>
      <c r="Z55" s="10" t="s">
        <v>9</v>
      </c>
      <c r="AA55" s="17">
        <v>0</v>
      </c>
      <c r="AB55" s="21">
        <f>AA55/AA73</f>
        <v>0</v>
      </c>
      <c r="AC55" s="17">
        <v>0</v>
      </c>
    </row>
    <row r="56" spans="1:29" x14ac:dyDescent="0.25">
      <c r="A56" s="10" t="s">
        <v>10</v>
      </c>
      <c r="B56" s="17">
        <v>0</v>
      </c>
      <c r="C56" s="21">
        <f>B56/B73</f>
        <v>0</v>
      </c>
      <c r="D56" s="17">
        <v>0</v>
      </c>
      <c r="E56" s="14"/>
      <c r="F56" s="10" t="s">
        <v>10</v>
      </c>
      <c r="G56" s="17">
        <v>0</v>
      </c>
      <c r="H56" s="21">
        <f>G56/G73</f>
        <v>0</v>
      </c>
      <c r="I56" s="17">
        <v>0</v>
      </c>
      <c r="J56" s="14"/>
      <c r="K56" s="10" t="s">
        <v>10</v>
      </c>
      <c r="L56" s="17">
        <v>0</v>
      </c>
      <c r="M56" s="19">
        <f>L56/L73</f>
        <v>0</v>
      </c>
      <c r="N56" s="17">
        <v>0</v>
      </c>
      <c r="O56" s="14"/>
      <c r="P56" s="10" t="s">
        <v>10</v>
      </c>
      <c r="Q56" s="17">
        <v>0</v>
      </c>
      <c r="R56" s="21">
        <f>Q56/Q73</f>
        <v>0</v>
      </c>
      <c r="S56" s="17">
        <v>0</v>
      </c>
      <c r="T56" s="14"/>
      <c r="U56" s="10" t="s">
        <v>10</v>
      </c>
      <c r="V56" s="17">
        <v>1</v>
      </c>
      <c r="W56" s="19">
        <f>V56/V73</f>
        <v>5.2631578947368418E-2</v>
      </c>
      <c r="X56" s="40">
        <v>5</v>
      </c>
      <c r="Y56" s="14"/>
      <c r="Z56" s="10" t="s">
        <v>10</v>
      </c>
      <c r="AA56" s="17">
        <v>0</v>
      </c>
      <c r="AB56" s="21">
        <f>AA56/AA73</f>
        <v>0</v>
      </c>
      <c r="AC56" s="17">
        <v>0</v>
      </c>
    </row>
    <row r="57" spans="1:29" x14ac:dyDescent="0.25">
      <c r="A57" s="11" t="s">
        <v>11</v>
      </c>
      <c r="B57" s="17">
        <v>0</v>
      </c>
      <c r="C57" s="21">
        <f>B57/B73</f>
        <v>0</v>
      </c>
      <c r="D57" s="17">
        <v>0</v>
      </c>
      <c r="E57" s="14"/>
      <c r="F57" s="11" t="s">
        <v>11</v>
      </c>
      <c r="G57" s="17">
        <v>0</v>
      </c>
      <c r="H57" s="21">
        <f>G57/G73</f>
        <v>0</v>
      </c>
      <c r="I57" s="17">
        <v>1</v>
      </c>
      <c r="J57" s="14"/>
      <c r="K57" s="11" t="s">
        <v>11</v>
      </c>
      <c r="L57" s="17">
        <v>0</v>
      </c>
      <c r="M57" s="19">
        <f>L57/L73</f>
        <v>0</v>
      </c>
      <c r="N57" s="17">
        <v>0</v>
      </c>
      <c r="O57" s="14"/>
      <c r="P57" s="11" t="s">
        <v>11</v>
      </c>
      <c r="Q57" s="17">
        <v>0</v>
      </c>
      <c r="R57" s="21">
        <f>Q57/Q73</f>
        <v>0</v>
      </c>
      <c r="S57" s="17">
        <v>0</v>
      </c>
      <c r="T57" s="14"/>
      <c r="U57" s="11" t="s">
        <v>11</v>
      </c>
      <c r="V57" s="17">
        <v>0</v>
      </c>
      <c r="W57" s="19">
        <f>V57/V73</f>
        <v>0</v>
      </c>
      <c r="X57" s="40">
        <v>0</v>
      </c>
      <c r="Y57" s="14"/>
      <c r="Z57" s="11" t="s">
        <v>11</v>
      </c>
      <c r="AA57" s="17">
        <v>0</v>
      </c>
      <c r="AB57" s="19">
        <f>AA57/AA73</f>
        <v>0</v>
      </c>
      <c r="AC57" s="17">
        <v>0</v>
      </c>
    </row>
    <row r="58" spans="1:29" x14ac:dyDescent="0.25">
      <c r="A58" s="11" t="s">
        <v>12</v>
      </c>
      <c r="B58" s="17">
        <v>0</v>
      </c>
      <c r="C58" s="21">
        <f>B58/B73</f>
        <v>0</v>
      </c>
      <c r="D58" s="17">
        <v>6</v>
      </c>
      <c r="E58" s="14"/>
      <c r="F58" s="11" t="s">
        <v>12</v>
      </c>
      <c r="G58" s="17">
        <v>1</v>
      </c>
      <c r="H58" s="21">
        <f>G58/G73</f>
        <v>0.05</v>
      </c>
      <c r="I58" s="17">
        <v>3</v>
      </c>
      <c r="J58" s="14"/>
      <c r="K58" s="11" t="s">
        <v>12</v>
      </c>
      <c r="L58" s="17">
        <v>0</v>
      </c>
      <c r="M58" s="19">
        <f>L58/L73</f>
        <v>0</v>
      </c>
      <c r="N58" s="17">
        <v>0</v>
      </c>
      <c r="O58" s="14"/>
      <c r="P58" s="11" t="s">
        <v>12</v>
      </c>
      <c r="Q58" s="17">
        <v>4</v>
      </c>
      <c r="R58" s="21">
        <f>Q58/Q73</f>
        <v>0.12903225806451613</v>
      </c>
      <c r="S58" s="17">
        <v>0</v>
      </c>
      <c r="T58" s="14"/>
      <c r="U58" s="11" t="s">
        <v>12</v>
      </c>
      <c r="V58" s="17">
        <v>0</v>
      </c>
      <c r="W58" s="19">
        <f>V58/V73</f>
        <v>0</v>
      </c>
      <c r="X58" s="40">
        <v>0</v>
      </c>
      <c r="Y58" s="14"/>
      <c r="Z58" s="39" t="s">
        <v>12</v>
      </c>
      <c r="AA58" s="40">
        <v>0</v>
      </c>
      <c r="AB58" s="36">
        <f>AA58/AA73</f>
        <v>0</v>
      </c>
      <c r="AC58" s="17">
        <v>0</v>
      </c>
    </row>
    <row r="59" spans="1:29" x14ac:dyDescent="0.25">
      <c r="A59" s="11" t="s">
        <v>72</v>
      </c>
      <c r="B59" s="17">
        <v>0</v>
      </c>
      <c r="C59" s="21">
        <f>B59/B73</f>
        <v>0</v>
      </c>
      <c r="D59" s="17">
        <v>0</v>
      </c>
      <c r="E59" s="14"/>
      <c r="F59" s="11" t="s">
        <v>72</v>
      </c>
      <c r="G59" s="17">
        <v>0</v>
      </c>
      <c r="H59" s="21">
        <f>G59/G73</f>
        <v>0</v>
      </c>
      <c r="I59" s="17">
        <v>0</v>
      </c>
      <c r="J59" s="14"/>
      <c r="K59" s="11" t="s">
        <v>72</v>
      </c>
      <c r="L59" s="17">
        <v>0</v>
      </c>
      <c r="M59" s="19">
        <f>L59/L73</f>
        <v>0</v>
      </c>
      <c r="N59" s="17">
        <v>0</v>
      </c>
      <c r="O59" s="14"/>
      <c r="P59" s="11" t="s">
        <v>72</v>
      </c>
      <c r="Q59" s="17">
        <v>2</v>
      </c>
      <c r="R59" s="21">
        <f>Q59/Q73</f>
        <v>6.4516129032258063E-2</v>
      </c>
      <c r="S59" s="17">
        <v>0</v>
      </c>
      <c r="T59" s="14"/>
      <c r="U59" s="11" t="s">
        <v>72</v>
      </c>
      <c r="V59" s="17">
        <v>0</v>
      </c>
      <c r="W59" s="19">
        <f>V59/V73</f>
        <v>0</v>
      </c>
      <c r="X59" s="40">
        <v>0</v>
      </c>
      <c r="Y59" s="14"/>
      <c r="Z59" s="11" t="s">
        <v>72</v>
      </c>
      <c r="AA59" s="40">
        <v>0</v>
      </c>
      <c r="AB59" s="36">
        <f>AA59/AA73</f>
        <v>0</v>
      </c>
      <c r="AC59" s="40">
        <v>0</v>
      </c>
    </row>
    <row r="60" spans="1:29" x14ac:dyDescent="0.25">
      <c r="A60" s="11" t="s">
        <v>13</v>
      </c>
      <c r="B60" s="17">
        <v>0</v>
      </c>
      <c r="C60" s="21">
        <f>B60/B73</f>
        <v>0</v>
      </c>
      <c r="D60" s="17">
        <v>1</v>
      </c>
      <c r="E60" s="14"/>
      <c r="F60" s="11" t="s">
        <v>13</v>
      </c>
      <c r="G60" s="17">
        <v>1</v>
      </c>
      <c r="H60" s="21">
        <f>G60/G73</f>
        <v>0.05</v>
      </c>
      <c r="I60" s="17">
        <v>0</v>
      </c>
      <c r="J60" s="14"/>
      <c r="K60" s="11" t="s">
        <v>13</v>
      </c>
      <c r="L60" s="17">
        <v>2</v>
      </c>
      <c r="M60" s="19">
        <f>L60/L73</f>
        <v>7.407407407407407E-2</v>
      </c>
      <c r="N60" s="17">
        <v>0</v>
      </c>
      <c r="O60" s="14"/>
      <c r="P60" s="11" t="s">
        <v>13</v>
      </c>
      <c r="Q60" s="17">
        <v>4</v>
      </c>
      <c r="R60" s="21">
        <f>Q60/Q73</f>
        <v>0.12903225806451613</v>
      </c>
      <c r="S60" s="17">
        <v>0</v>
      </c>
      <c r="T60" s="14"/>
      <c r="U60" s="11" t="s">
        <v>13</v>
      </c>
      <c r="V60" s="17">
        <v>0</v>
      </c>
      <c r="W60" s="19">
        <f>V60/V73</f>
        <v>0</v>
      </c>
      <c r="X60" s="23">
        <v>10</v>
      </c>
      <c r="Y60" s="14"/>
      <c r="Z60" s="39" t="s">
        <v>13</v>
      </c>
      <c r="AA60" s="40">
        <v>0</v>
      </c>
      <c r="AB60" s="36">
        <f>AA60/AA73</f>
        <v>0</v>
      </c>
      <c r="AC60" s="40">
        <v>0</v>
      </c>
    </row>
    <row r="61" spans="1:29" x14ac:dyDescent="0.25">
      <c r="A61" s="11" t="s">
        <v>68</v>
      </c>
      <c r="B61" s="17">
        <v>0</v>
      </c>
      <c r="C61" s="21">
        <f>B61/B73</f>
        <v>0</v>
      </c>
      <c r="D61" s="17">
        <v>0</v>
      </c>
      <c r="E61" s="14"/>
      <c r="F61" s="11" t="s">
        <v>68</v>
      </c>
      <c r="G61" s="17">
        <v>0</v>
      </c>
      <c r="H61" s="21">
        <f>G61/G73</f>
        <v>0</v>
      </c>
      <c r="I61" s="17">
        <v>2</v>
      </c>
      <c r="J61" s="14"/>
      <c r="K61" s="11" t="s">
        <v>68</v>
      </c>
      <c r="L61" s="17">
        <v>0</v>
      </c>
      <c r="M61" s="19">
        <f>L61/L73</f>
        <v>0</v>
      </c>
      <c r="N61" s="25">
        <v>3</v>
      </c>
      <c r="O61" s="14"/>
      <c r="P61" s="11" t="s">
        <v>68</v>
      </c>
      <c r="Q61" s="17">
        <v>0</v>
      </c>
      <c r="R61" s="21">
        <f>Q61/Q73</f>
        <v>0</v>
      </c>
      <c r="S61" s="17">
        <v>0</v>
      </c>
      <c r="T61" s="14"/>
      <c r="U61" s="11" t="s">
        <v>68</v>
      </c>
      <c r="V61" s="17">
        <v>0</v>
      </c>
      <c r="W61" s="19">
        <f>V61/V73</f>
        <v>0</v>
      </c>
      <c r="X61" s="40">
        <v>0</v>
      </c>
      <c r="Y61" s="14"/>
      <c r="Z61" s="11" t="s">
        <v>68</v>
      </c>
      <c r="AA61" s="40">
        <v>0</v>
      </c>
      <c r="AB61" s="36">
        <f>AA61/AA73</f>
        <v>0</v>
      </c>
      <c r="AC61" s="40">
        <v>0</v>
      </c>
    </row>
    <row r="62" spans="1:29" x14ac:dyDescent="0.25">
      <c r="A62" s="11" t="s">
        <v>14</v>
      </c>
      <c r="B62" s="17">
        <v>0</v>
      </c>
      <c r="C62" s="19">
        <f>B62/B73</f>
        <v>0</v>
      </c>
      <c r="D62" s="17">
        <v>0</v>
      </c>
      <c r="E62" s="14"/>
      <c r="F62" s="11" t="s">
        <v>14</v>
      </c>
      <c r="G62" s="17">
        <v>0</v>
      </c>
      <c r="H62" s="21">
        <f>G62/G73</f>
        <v>0</v>
      </c>
      <c r="I62" s="17">
        <v>0</v>
      </c>
      <c r="J62" s="14"/>
      <c r="K62" s="11" t="s">
        <v>14</v>
      </c>
      <c r="L62" s="17">
        <v>0</v>
      </c>
      <c r="M62" s="19">
        <f>L62/L73</f>
        <v>0</v>
      </c>
      <c r="N62" s="17">
        <v>1</v>
      </c>
      <c r="O62" s="14"/>
      <c r="P62" s="11" t="s">
        <v>14</v>
      </c>
      <c r="Q62" s="17">
        <v>0</v>
      </c>
      <c r="R62" s="21">
        <f>Q62/Q73</f>
        <v>0</v>
      </c>
      <c r="S62" s="17">
        <v>2</v>
      </c>
      <c r="T62" s="14"/>
      <c r="U62" s="11" t="s">
        <v>14</v>
      </c>
      <c r="V62" s="17">
        <v>0</v>
      </c>
      <c r="W62" s="19">
        <f>V62/V73</f>
        <v>0</v>
      </c>
      <c r="X62" s="40">
        <v>0</v>
      </c>
      <c r="Y62" s="14"/>
      <c r="Z62" s="39" t="s">
        <v>14</v>
      </c>
      <c r="AA62" s="40">
        <v>0</v>
      </c>
      <c r="AB62" s="36">
        <f>AA62/AA73</f>
        <v>0</v>
      </c>
      <c r="AC62" s="40">
        <v>0</v>
      </c>
    </row>
    <row r="63" spans="1:29" x14ac:dyDescent="0.25">
      <c r="A63" s="11" t="s">
        <v>69</v>
      </c>
      <c r="B63" s="17">
        <v>0</v>
      </c>
      <c r="C63" s="21">
        <f>B63/B73</f>
        <v>0</v>
      </c>
      <c r="D63" s="17">
        <v>0</v>
      </c>
      <c r="E63" s="14"/>
      <c r="F63" s="11" t="s">
        <v>69</v>
      </c>
      <c r="G63" s="17">
        <v>0</v>
      </c>
      <c r="H63" s="21">
        <f>G63/G73</f>
        <v>0</v>
      </c>
      <c r="I63" s="17">
        <v>0</v>
      </c>
      <c r="J63" s="14"/>
      <c r="K63" s="11" t="s">
        <v>69</v>
      </c>
      <c r="L63" s="17">
        <v>0</v>
      </c>
      <c r="M63" s="19">
        <f>L63/L73</f>
        <v>0</v>
      </c>
      <c r="N63" s="17">
        <v>0</v>
      </c>
      <c r="O63" s="14"/>
      <c r="P63" s="11" t="s">
        <v>69</v>
      </c>
      <c r="Q63" s="17">
        <v>0</v>
      </c>
      <c r="R63" s="21">
        <f>Q63/Q73</f>
        <v>0</v>
      </c>
      <c r="S63" s="17">
        <v>0</v>
      </c>
      <c r="T63" s="14"/>
      <c r="U63" s="11" t="s">
        <v>69</v>
      </c>
      <c r="V63" s="17">
        <v>0</v>
      </c>
      <c r="W63" s="19">
        <f>V63/V73</f>
        <v>0</v>
      </c>
      <c r="X63" s="40">
        <v>0</v>
      </c>
      <c r="Y63" s="14"/>
      <c r="Z63" s="11" t="s">
        <v>69</v>
      </c>
      <c r="AA63" s="40">
        <v>0</v>
      </c>
      <c r="AB63" s="36">
        <f>AA63/AA73</f>
        <v>0</v>
      </c>
      <c r="AC63" s="40">
        <v>0</v>
      </c>
    </row>
    <row r="64" spans="1:29" x14ac:dyDescent="0.25">
      <c r="A64" s="60" t="s">
        <v>65</v>
      </c>
      <c r="B64" s="25">
        <v>1</v>
      </c>
      <c r="C64" s="61">
        <f>B64/B73</f>
        <v>3.4482758620689655E-2</v>
      </c>
      <c r="D64" s="23">
        <v>10</v>
      </c>
      <c r="E64" s="14"/>
      <c r="F64" s="11" t="s">
        <v>65</v>
      </c>
      <c r="G64" s="40">
        <v>0</v>
      </c>
      <c r="H64" s="36">
        <f>G64/G73</f>
        <v>0</v>
      </c>
      <c r="I64" s="40">
        <v>2</v>
      </c>
      <c r="J64" s="14"/>
      <c r="K64" s="55" t="s">
        <v>65</v>
      </c>
      <c r="L64" s="23">
        <v>8</v>
      </c>
      <c r="M64" s="56">
        <f>L64/L73</f>
        <v>0.29629629629629628</v>
      </c>
      <c r="N64" s="23">
        <v>4</v>
      </c>
      <c r="O64" s="14"/>
      <c r="P64" s="11" t="s">
        <v>65</v>
      </c>
      <c r="Q64" s="17">
        <v>1</v>
      </c>
      <c r="R64" s="19">
        <f>Q64/Q73</f>
        <v>3.2258064516129031E-2</v>
      </c>
      <c r="S64" s="23">
        <v>8</v>
      </c>
      <c r="T64" s="14"/>
      <c r="U64" s="11" t="s">
        <v>65</v>
      </c>
      <c r="V64" s="17">
        <v>0</v>
      </c>
      <c r="W64" s="19">
        <f>V64/V73</f>
        <v>0</v>
      </c>
      <c r="X64" s="37">
        <v>9</v>
      </c>
      <c r="Y64" s="14"/>
      <c r="Z64" s="11" t="s">
        <v>65</v>
      </c>
      <c r="AA64" s="40">
        <v>0</v>
      </c>
      <c r="AB64" s="36">
        <f>AA64/AA73</f>
        <v>0</v>
      </c>
      <c r="AC64" s="25">
        <v>1</v>
      </c>
    </row>
    <row r="65" spans="1:29" x14ac:dyDescent="0.25">
      <c r="A65" s="11" t="s">
        <v>66</v>
      </c>
      <c r="B65" s="17">
        <v>0</v>
      </c>
      <c r="C65" s="19">
        <f>B65/B73</f>
        <v>0</v>
      </c>
      <c r="D65" s="17">
        <v>0</v>
      </c>
      <c r="E65" s="14"/>
      <c r="F65" s="11" t="s">
        <v>66</v>
      </c>
      <c r="G65" s="40">
        <v>1</v>
      </c>
      <c r="H65" s="36">
        <f>G65/G73</f>
        <v>0.05</v>
      </c>
      <c r="I65" s="40">
        <v>0</v>
      </c>
      <c r="J65" s="14"/>
      <c r="K65" s="11" t="s">
        <v>66</v>
      </c>
      <c r="L65" s="17">
        <v>0</v>
      </c>
      <c r="M65" s="19">
        <f>L65/L73</f>
        <v>0</v>
      </c>
      <c r="N65" s="17">
        <v>0</v>
      </c>
      <c r="O65" s="14"/>
      <c r="P65" s="11" t="s">
        <v>66</v>
      </c>
      <c r="Q65" s="17">
        <v>1</v>
      </c>
      <c r="R65" s="19">
        <f>Q65/Q73</f>
        <v>3.2258064516129031E-2</v>
      </c>
      <c r="S65" s="17">
        <v>0</v>
      </c>
      <c r="T65" s="14"/>
      <c r="U65" s="11" t="s">
        <v>66</v>
      </c>
      <c r="V65" s="17">
        <v>0</v>
      </c>
      <c r="W65" s="19">
        <f>V65/V73</f>
        <v>0</v>
      </c>
      <c r="X65" s="17">
        <v>0</v>
      </c>
      <c r="Y65" s="14"/>
      <c r="Z65" s="55" t="s">
        <v>66</v>
      </c>
      <c r="AA65" s="23">
        <v>3</v>
      </c>
      <c r="AB65" s="56">
        <f>AA65/AA73</f>
        <v>1</v>
      </c>
      <c r="AC65" s="23">
        <v>8</v>
      </c>
    </row>
    <row r="66" spans="1:29" x14ac:dyDescent="0.25">
      <c r="A66" s="11" t="s">
        <v>64</v>
      </c>
      <c r="B66" s="17">
        <v>0</v>
      </c>
      <c r="C66" s="19">
        <f>B66/B73</f>
        <v>0</v>
      </c>
      <c r="D66" s="17">
        <v>0</v>
      </c>
      <c r="E66" s="14"/>
      <c r="F66" s="11" t="s">
        <v>64</v>
      </c>
      <c r="G66" s="40">
        <v>0</v>
      </c>
      <c r="H66" s="36">
        <f>G66/G73</f>
        <v>0</v>
      </c>
      <c r="I66" s="40">
        <v>0</v>
      </c>
      <c r="J66" s="14"/>
      <c r="K66" s="11" t="s">
        <v>64</v>
      </c>
      <c r="L66" s="17">
        <v>1</v>
      </c>
      <c r="M66" s="19">
        <f>L66/L73</f>
        <v>3.7037037037037035E-2</v>
      </c>
      <c r="N66" s="17">
        <v>0</v>
      </c>
      <c r="O66" s="14"/>
      <c r="P66" s="11" t="s">
        <v>64</v>
      </c>
      <c r="Q66" s="17">
        <v>0</v>
      </c>
      <c r="R66" s="19">
        <f>Q66/Q73</f>
        <v>0</v>
      </c>
      <c r="S66" s="17">
        <v>0</v>
      </c>
      <c r="T66" s="14"/>
      <c r="U66" s="11" t="s">
        <v>64</v>
      </c>
      <c r="V66" s="17">
        <v>0</v>
      </c>
      <c r="W66" s="19">
        <f>V66/V73</f>
        <v>0</v>
      </c>
      <c r="X66" s="17">
        <v>0</v>
      </c>
      <c r="Y66" s="14"/>
      <c r="Z66" s="11" t="s">
        <v>64</v>
      </c>
      <c r="AA66" s="40">
        <v>0</v>
      </c>
      <c r="AB66" s="36">
        <f>AA66/AA73</f>
        <v>0</v>
      </c>
      <c r="AC66" s="17">
        <v>0</v>
      </c>
    </row>
    <row r="67" spans="1:29" ht="15.75" thickBot="1" x14ac:dyDescent="0.3">
      <c r="A67" s="55" t="s">
        <v>15</v>
      </c>
      <c r="B67" s="23">
        <v>21</v>
      </c>
      <c r="C67" s="56">
        <f>B67/B73</f>
        <v>0.72413793103448276</v>
      </c>
      <c r="D67" s="17">
        <v>0</v>
      </c>
      <c r="E67" s="14"/>
      <c r="F67" s="39" t="s">
        <v>15</v>
      </c>
      <c r="G67" s="40">
        <v>2</v>
      </c>
      <c r="H67" s="36">
        <f>G67/G73</f>
        <v>0.1</v>
      </c>
      <c r="I67" s="40">
        <v>1</v>
      </c>
      <c r="J67" s="14"/>
      <c r="K67" s="11" t="s">
        <v>15</v>
      </c>
      <c r="L67" s="17">
        <v>1</v>
      </c>
      <c r="M67" s="21">
        <f>L67/L73</f>
        <v>3.7037037037037035E-2</v>
      </c>
      <c r="N67" s="17">
        <v>0</v>
      </c>
      <c r="O67" s="14"/>
      <c r="P67" s="39" t="s">
        <v>15</v>
      </c>
      <c r="Q67" s="40">
        <v>1</v>
      </c>
      <c r="R67" s="36">
        <f>Q67/Q73</f>
        <v>3.2258064516129031E-2</v>
      </c>
      <c r="S67" s="40">
        <v>0</v>
      </c>
      <c r="T67" s="14"/>
      <c r="U67" s="11" t="s">
        <v>15</v>
      </c>
      <c r="V67" s="17">
        <v>0</v>
      </c>
      <c r="W67" s="21">
        <f>V67/V73</f>
        <v>0</v>
      </c>
      <c r="X67" s="17">
        <v>2</v>
      </c>
      <c r="Y67" s="14"/>
      <c r="Z67" s="39" t="s">
        <v>15</v>
      </c>
      <c r="AA67" s="17">
        <v>0</v>
      </c>
      <c r="AB67" s="19">
        <f>AA67/AA73</f>
        <v>0</v>
      </c>
      <c r="AC67" s="49">
        <v>1</v>
      </c>
    </row>
    <row r="68" spans="1:29" x14ac:dyDescent="0.25">
      <c r="A68" s="60" t="s">
        <v>16</v>
      </c>
      <c r="B68" s="25">
        <v>1</v>
      </c>
      <c r="C68" s="61">
        <f>B68/B73</f>
        <v>3.4482758620689655E-2</v>
      </c>
      <c r="D68" s="17">
        <v>0</v>
      </c>
      <c r="E68" s="14"/>
      <c r="F68" s="55" t="s">
        <v>16</v>
      </c>
      <c r="G68" s="23">
        <v>4</v>
      </c>
      <c r="H68" s="56">
        <f>G68/G73</f>
        <v>0.2</v>
      </c>
      <c r="I68" s="40">
        <v>1</v>
      </c>
      <c r="J68" s="14"/>
      <c r="K68" s="60" t="s">
        <v>16</v>
      </c>
      <c r="L68" s="25">
        <v>5</v>
      </c>
      <c r="M68" s="61">
        <f>L68/L73</f>
        <v>0.18518518518518517</v>
      </c>
      <c r="N68" s="40">
        <v>0</v>
      </c>
      <c r="O68" s="14"/>
      <c r="P68" s="11" t="s">
        <v>16</v>
      </c>
      <c r="Q68" s="17">
        <v>1</v>
      </c>
      <c r="R68" s="19">
        <f>Q68/Q73</f>
        <v>3.2258064516129031E-2</v>
      </c>
      <c r="S68" s="17">
        <v>0</v>
      </c>
      <c r="T68" s="14"/>
      <c r="U68" s="55" t="s">
        <v>16</v>
      </c>
      <c r="V68" s="23">
        <v>15</v>
      </c>
      <c r="W68" s="56">
        <f>V68/V73</f>
        <v>0.78947368421052633</v>
      </c>
      <c r="X68" s="17">
        <v>0</v>
      </c>
      <c r="Y68" s="14"/>
      <c r="Z68" s="11" t="s">
        <v>16</v>
      </c>
      <c r="AA68" s="17">
        <v>0</v>
      </c>
      <c r="AB68" s="19">
        <f>AA68/AA73</f>
        <v>0</v>
      </c>
      <c r="AC68" s="17">
        <v>0</v>
      </c>
    </row>
    <row r="69" spans="1:29" x14ac:dyDescent="0.25">
      <c r="A69" s="65" t="s">
        <v>83</v>
      </c>
      <c r="B69" s="66">
        <v>1</v>
      </c>
      <c r="C69" s="61">
        <f>B69/B73</f>
        <v>3.4482758620689655E-2</v>
      </c>
      <c r="D69" s="52">
        <v>0</v>
      </c>
      <c r="E69" s="14"/>
      <c r="F69" s="50" t="s">
        <v>83</v>
      </c>
      <c r="G69" s="51">
        <v>1</v>
      </c>
      <c r="H69" s="36">
        <f>G69/G73</f>
        <v>0.05</v>
      </c>
      <c r="I69" s="51">
        <v>0</v>
      </c>
      <c r="J69" s="14"/>
      <c r="K69" s="50" t="s">
        <v>83</v>
      </c>
      <c r="L69" s="51">
        <v>0</v>
      </c>
      <c r="M69" s="36">
        <f>L69/L73</f>
        <v>0</v>
      </c>
      <c r="N69" s="51">
        <v>0</v>
      </c>
      <c r="O69" s="14"/>
      <c r="P69" s="50" t="s">
        <v>83</v>
      </c>
      <c r="Q69" s="52">
        <v>0</v>
      </c>
      <c r="R69" s="19">
        <f>Q69/Q73</f>
        <v>0</v>
      </c>
      <c r="S69" s="52">
        <v>0</v>
      </c>
      <c r="T69" s="14"/>
      <c r="U69" s="50" t="s">
        <v>83</v>
      </c>
      <c r="V69" s="52">
        <v>0</v>
      </c>
      <c r="W69" s="21">
        <f>V69/V73</f>
        <v>0</v>
      </c>
      <c r="X69" s="52">
        <v>0</v>
      </c>
      <c r="Y69" s="14"/>
      <c r="Z69" s="50" t="s">
        <v>83</v>
      </c>
      <c r="AA69" s="52">
        <v>0</v>
      </c>
      <c r="AB69" s="19">
        <f>AA69/AA73</f>
        <v>0</v>
      </c>
      <c r="AC69" s="52">
        <v>0</v>
      </c>
    </row>
    <row r="70" spans="1:29" x14ac:dyDescent="0.25">
      <c r="A70" s="50" t="s">
        <v>84</v>
      </c>
      <c r="B70" s="52">
        <v>0</v>
      </c>
      <c r="C70" s="19">
        <f>B70/B73</f>
        <v>0</v>
      </c>
      <c r="D70" s="52">
        <v>0</v>
      </c>
      <c r="E70" s="14"/>
      <c r="F70" s="50" t="s">
        <v>84</v>
      </c>
      <c r="G70" s="51">
        <v>0</v>
      </c>
      <c r="H70" s="36">
        <f>G70/G73</f>
        <v>0</v>
      </c>
      <c r="I70" s="51">
        <v>0</v>
      </c>
      <c r="J70" s="14"/>
      <c r="K70" s="50" t="s">
        <v>84</v>
      </c>
      <c r="L70" s="51">
        <v>0</v>
      </c>
      <c r="M70" s="36">
        <f>L70/L73</f>
        <v>0</v>
      </c>
      <c r="N70" s="51">
        <v>0</v>
      </c>
      <c r="O70" s="14"/>
      <c r="P70" s="50" t="s">
        <v>84</v>
      </c>
      <c r="Q70" s="52">
        <v>0</v>
      </c>
      <c r="R70" s="19">
        <f>Q70/Q73</f>
        <v>0</v>
      </c>
      <c r="S70" s="52">
        <v>0</v>
      </c>
      <c r="T70" s="14"/>
      <c r="U70" s="50" t="s">
        <v>84</v>
      </c>
      <c r="V70" s="52">
        <v>0</v>
      </c>
      <c r="W70" s="21">
        <f>V70/V73</f>
        <v>0</v>
      </c>
      <c r="X70" s="52">
        <v>0</v>
      </c>
      <c r="Y70" s="14"/>
      <c r="Z70" s="50" t="s">
        <v>84</v>
      </c>
      <c r="AA70" s="52">
        <v>0</v>
      </c>
      <c r="AB70" s="19">
        <f>AA70/AA73</f>
        <v>0</v>
      </c>
      <c r="AC70" s="52">
        <v>0</v>
      </c>
    </row>
    <row r="71" spans="1:29" ht="15.75" thickBot="1" x14ac:dyDescent="0.3">
      <c r="A71" s="12" t="s">
        <v>17</v>
      </c>
      <c r="B71" s="18">
        <v>0</v>
      </c>
      <c r="C71" s="22">
        <f>B71/B73</f>
        <v>0</v>
      </c>
      <c r="D71" s="18">
        <v>4</v>
      </c>
      <c r="E71" s="14"/>
      <c r="F71" s="43" t="s">
        <v>17</v>
      </c>
      <c r="G71" s="18">
        <v>0</v>
      </c>
      <c r="H71" s="22">
        <f>G71/G73</f>
        <v>0</v>
      </c>
      <c r="I71" s="18">
        <v>1</v>
      </c>
      <c r="J71" s="14"/>
      <c r="K71" s="12" t="s">
        <v>17</v>
      </c>
      <c r="L71" s="18">
        <v>0</v>
      </c>
      <c r="M71" s="22">
        <f>L71/L73</f>
        <v>0</v>
      </c>
      <c r="N71" s="18">
        <v>0</v>
      </c>
      <c r="O71" s="14"/>
      <c r="P71" s="12" t="s">
        <v>17</v>
      </c>
      <c r="Q71" s="18">
        <v>0</v>
      </c>
      <c r="R71" s="22">
        <f>Q71/Q73</f>
        <v>0</v>
      </c>
      <c r="S71" s="18">
        <v>0</v>
      </c>
      <c r="T71" s="14"/>
      <c r="U71" s="12" t="s">
        <v>17</v>
      </c>
      <c r="V71" s="18">
        <v>0</v>
      </c>
      <c r="W71" s="22">
        <f>V71/V73</f>
        <v>0</v>
      </c>
      <c r="X71" s="18">
        <v>0</v>
      </c>
      <c r="Y71" s="14"/>
      <c r="Z71" s="12" t="s">
        <v>17</v>
      </c>
      <c r="AA71" s="18">
        <v>0</v>
      </c>
      <c r="AB71" s="22">
        <f>AA71/AA73</f>
        <v>0</v>
      </c>
      <c r="AC71" s="18">
        <v>0</v>
      </c>
    </row>
    <row r="72" spans="1:29" ht="15.75" thickBo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9" ht="15.75" thickBot="1" x14ac:dyDescent="0.3">
      <c r="A73" s="13" t="s">
        <v>40</v>
      </c>
      <c r="B73" s="16">
        <f>SUM(B43:B71)</f>
        <v>29</v>
      </c>
      <c r="C73" s="14"/>
      <c r="D73" s="14"/>
      <c r="E73" s="14"/>
      <c r="F73" s="13" t="s">
        <v>41</v>
      </c>
      <c r="G73" s="16">
        <f>SUM(G43:G71)</f>
        <v>20</v>
      </c>
      <c r="H73" s="14"/>
      <c r="I73" s="14"/>
      <c r="J73" s="14"/>
      <c r="K73" s="13" t="s">
        <v>42</v>
      </c>
      <c r="L73" s="16">
        <f>SUM(L43:L71)</f>
        <v>27</v>
      </c>
      <c r="M73" s="14"/>
      <c r="N73" s="14"/>
      <c r="O73" s="14"/>
      <c r="P73" s="13" t="s">
        <v>43</v>
      </c>
      <c r="Q73" s="16">
        <f>SUM(Q43:Q71)</f>
        <v>31</v>
      </c>
      <c r="R73" s="14"/>
      <c r="S73" s="14"/>
      <c r="T73" s="14"/>
      <c r="U73" s="13" t="s">
        <v>44</v>
      </c>
      <c r="V73" s="16">
        <f>SUM(V43:V71)</f>
        <v>19</v>
      </c>
      <c r="W73" s="14"/>
      <c r="X73" s="14"/>
      <c r="Y73" s="14"/>
      <c r="Z73" s="13" t="s">
        <v>45</v>
      </c>
      <c r="AA73" s="16">
        <f>SUM(AA43:AA71)</f>
        <v>3</v>
      </c>
      <c r="AB73" s="14"/>
    </row>
    <row r="74" spans="1:29" x14ac:dyDescent="0.25">
      <c r="A74" s="14" t="s">
        <v>80</v>
      </c>
      <c r="B74" s="14"/>
      <c r="C74" s="14"/>
      <c r="D74" s="14"/>
      <c r="E74" s="14"/>
      <c r="F74" s="14" t="s">
        <v>82</v>
      </c>
      <c r="G74" s="14"/>
      <c r="H74" s="14"/>
      <c r="I74" s="14"/>
      <c r="J74" s="14"/>
      <c r="K74" s="14" t="s">
        <v>81</v>
      </c>
      <c r="L74" s="14"/>
      <c r="M74" s="14"/>
      <c r="N74" s="14"/>
      <c r="O74" s="14"/>
      <c r="P74" s="14" t="s">
        <v>75</v>
      </c>
      <c r="Q74" s="14"/>
      <c r="R74" s="14"/>
      <c r="S74" s="14"/>
      <c r="T74" s="14"/>
      <c r="U74" s="14" t="s">
        <v>80</v>
      </c>
      <c r="V74" s="14"/>
      <c r="W74" s="14"/>
      <c r="X74" s="14"/>
      <c r="Y74" s="14"/>
      <c r="Z74" s="14" t="s">
        <v>79</v>
      </c>
      <c r="AA74" s="14"/>
      <c r="AB74" s="14"/>
    </row>
    <row r="75" spans="1:29" x14ac:dyDescent="0.25">
      <c r="A75" s="14"/>
      <c r="B75" s="14">
        <v>2023</v>
      </c>
      <c r="C75" s="14">
        <v>2024</v>
      </c>
      <c r="D75" s="14">
        <v>2025</v>
      </c>
      <c r="E75" s="14"/>
      <c r="F75" s="14"/>
      <c r="G75" s="14">
        <v>2023</v>
      </c>
      <c r="H75" s="14">
        <v>2024</v>
      </c>
      <c r="I75" s="14">
        <v>2025</v>
      </c>
      <c r="J75" s="14"/>
      <c r="K75" s="14"/>
      <c r="L75" s="14">
        <v>2023</v>
      </c>
      <c r="M75" s="14">
        <v>2024</v>
      </c>
      <c r="N75" s="14">
        <v>2025</v>
      </c>
      <c r="O75" s="14"/>
      <c r="P75" s="14"/>
      <c r="Q75" s="14">
        <v>2023</v>
      </c>
      <c r="R75" s="14">
        <v>2024</v>
      </c>
      <c r="S75" s="14">
        <v>2025</v>
      </c>
      <c r="T75" s="14"/>
      <c r="U75" s="14"/>
      <c r="V75" s="14">
        <v>2023</v>
      </c>
      <c r="W75" s="14">
        <v>2024</v>
      </c>
      <c r="X75" s="14">
        <v>2025</v>
      </c>
      <c r="Y75" s="14"/>
      <c r="Z75" s="14"/>
      <c r="AA75" s="14">
        <v>2023</v>
      </c>
      <c r="AB75" s="14">
        <v>2024</v>
      </c>
      <c r="AC75" s="14">
        <v>2025</v>
      </c>
    </row>
    <row r="76" spans="1:29" x14ac:dyDescent="0.25">
      <c r="A76" s="14" t="s">
        <v>48</v>
      </c>
      <c r="B76" s="30">
        <v>0</v>
      </c>
      <c r="C76" s="30">
        <v>0.26</v>
      </c>
      <c r="D76" s="30">
        <v>0.1</v>
      </c>
      <c r="E76" s="14"/>
      <c r="F76" s="14" t="s">
        <v>48</v>
      </c>
      <c r="G76" s="30">
        <v>0</v>
      </c>
      <c r="H76" s="30">
        <v>0.18</v>
      </c>
      <c r="I76" s="30">
        <v>0.19</v>
      </c>
      <c r="J76" s="14"/>
      <c r="K76" s="14" t="s">
        <v>48</v>
      </c>
      <c r="L76" s="30">
        <v>0</v>
      </c>
      <c r="M76" s="30">
        <v>0.32</v>
      </c>
      <c r="N76" s="30">
        <v>0.24</v>
      </c>
      <c r="O76" s="14"/>
      <c r="P76" s="14" t="s">
        <v>48</v>
      </c>
      <c r="Q76" s="30">
        <v>0</v>
      </c>
      <c r="R76" s="30">
        <v>0.48</v>
      </c>
      <c r="S76" s="30">
        <v>0.19</v>
      </c>
      <c r="T76" s="14"/>
      <c r="U76" s="14" t="s">
        <v>48</v>
      </c>
      <c r="V76" s="30">
        <v>0.38</v>
      </c>
      <c r="W76" s="30">
        <v>0.24</v>
      </c>
      <c r="X76" s="30">
        <v>0</v>
      </c>
      <c r="Y76" s="14"/>
      <c r="Z76" s="14" t="s">
        <v>48</v>
      </c>
      <c r="AA76" s="34">
        <v>0</v>
      </c>
      <c r="AB76" s="30">
        <v>0</v>
      </c>
      <c r="AC76" s="30">
        <v>0</v>
      </c>
    </row>
    <row r="77" spans="1:29" x14ac:dyDescent="0.25">
      <c r="A77" s="14" t="s">
        <v>49</v>
      </c>
      <c r="B77" s="30">
        <v>0</v>
      </c>
      <c r="C77" s="30">
        <v>0.32</v>
      </c>
      <c r="D77" s="30">
        <v>7.0000000000000007E-2</v>
      </c>
      <c r="E77" s="14"/>
      <c r="F77" s="14" t="s">
        <v>49</v>
      </c>
      <c r="G77" s="30">
        <v>0.1</v>
      </c>
      <c r="H77" s="30">
        <v>0.49</v>
      </c>
      <c r="I77" s="30">
        <v>0.31</v>
      </c>
      <c r="J77" s="14"/>
      <c r="K77" s="14" t="s">
        <v>49</v>
      </c>
      <c r="L77" s="30">
        <v>0</v>
      </c>
      <c r="M77" s="30">
        <v>0.26</v>
      </c>
      <c r="N77" s="30">
        <v>0.16</v>
      </c>
      <c r="O77" s="14"/>
      <c r="P77" s="14" t="s">
        <v>49</v>
      </c>
      <c r="Q77" s="30">
        <v>0.3</v>
      </c>
      <c r="R77" s="30">
        <v>0.09</v>
      </c>
      <c r="S77" s="30">
        <v>0.36</v>
      </c>
      <c r="T77" s="14"/>
      <c r="U77" s="14" t="s">
        <v>49</v>
      </c>
      <c r="V77" s="30">
        <v>0.3</v>
      </c>
      <c r="W77" s="30">
        <v>0.34</v>
      </c>
      <c r="X77" s="30">
        <v>0.21</v>
      </c>
      <c r="Y77" s="14"/>
      <c r="Z77" s="14" t="s">
        <v>49</v>
      </c>
      <c r="AA77" s="34">
        <v>0</v>
      </c>
      <c r="AB77" s="30">
        <v>0</v>
      </c>
      <c r="AC77" s="30">
        <v>0</v>
      </c>
    </row>
    <row r="78" spans="1:29" x14ac:dyDescent="0.25">
      <c r="A78" s="14" t="s">
        <v>50</v>
      </c>
      <c r="B78" s="30">
        <v>1</v>
      </c>
      <c r="C78" s="30">
        <v>0.42</v>
      </c>
      <c r="D78" s="30">
        <v>0.83</v>
      </c>
      <c r="E78" s="14"/>
      <c r="F78" s="14" t="s">
        <v>50</v>
      </c>
      <c r="G78" s="30">
        <v>0.9</v>
      </c>
      <c r="H78" s="30">
        <v>0.33</v>
      </c>
      <c r="I78" s="30">
        <v>0.5</v>
      </c>
      <c r="J78" s="14"/>
      <c r="K78" s="14" t="s">
        <v>50</v>
      </c>
      <c r="L78" s="30">
        <v>1</v>
      </c>
      <c r="M78" s="30">
        <v>0.42</v>
      </c>
      <c r="N78" s="30">
        <v>0.6</v>
      </c>
      <c r="O78" s="14"/>
      <c r="P78" s="14" t="s">
        <v>50</v>
      </c>
      <c r="Q78" s="30">
        <v>0.7</v>
      </c>
      <c r="R78" s="30">
        <v>0.43</v>
      </c>
      <c r="S78" s="30">
        <v>0.45</v>
      </c>
      <c r="T78" s="14"/>
      <c r="U78" s="14" t="s">
        <v>50</v>
      </c>
      <c r="V78" s="30">
        <v>0.32</v>
      </c>
      <c r="W78" s="30">
        <v>0.42</v>
      </c>
      <c r="X78" s="30">
        <v>0.79</v>
      </c>
      <c r="Y78" s="14"/>
      <c r="Z78" s="14" t="s">
        <v>50</v>
      </c>
      <c r="AA78" s="30">
        <v>1</v>
      </c>
      <c r="AB78" s="30">
        <v>1</v>
      </c>
      <c r="AC78" s="30">
        <v>1</v>
      </c>
    </row>
    <row r="79" spans="1:29" ht="15.75" thickBo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9" x14ac:dyDescent="0.25">
      <c r="A80" s="68" t="s">
        <v>33</v>
      </c>
      <c r="B80" s="69"/>
      <c r="C80" s="70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x14ac:dyDescent="0.25">
      <c r="A81" s="6" t="s">
        <v>21</v>
      </c>
      <c r="B81" s="7" t="s">
        <v>18</v>
      </c>
      <c r="C81" s="8" t="s">
        <v>19</v>
      </c>
      <c r="D81" s="14" t="s">
        <v>62</v>
      </c>
      <c r="E81" s="14"/>
      <c r="F81" s="23" t="s">
        <v>46</v>
      </c>
      <c r="G81" s="14"/>
      <c r="H81" s="14"/>
      <c r="I81" s="14"/>
      <c r="J81" s="73" t="s">
        <v>70</v>
      </c>
      <c r="K81" s="73"/>
      <c r="L81" s="73"/>
      <c r="M81" s="73"/>
      <c r="N81" s="73"/>
      <c r="O81" s="73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x14ac:dyDescent="0.25">
      <c r="A82" s="9" t="s">
        <v>61</v>
      </c>
      <c r="B82" s="17">
        <f>SUM(B4,G4,L4,Q4,V4,AA4,B43,G43,L43,Q43,V43,AA43)</f>
        <v>4</v>
      </c>
      <c r="C82" s="27">
        <f>B82/B112</f>
        <v>1.646090534979424E-2</v>
      </c>
      <c r="D82" s="17">
        <f>SUM(D4,I4,N4,S4,X4,AC4,D43,I43,N43,S43,X43,AC43)</f>
        <v>17</v>
      </c>
      <c r="E82" s="14"/>
      <c r="F82" s="25" t="s">
        <v>47</v>
      </c>
      <c r="G82" s="14"/>
      <c r="H82" s="14"/>
      <c r="I82" s="14"/>
      <c r="J82" s="7" t="s">
        <v>58</v>
      </c>
      <c r="K82" s="73" t="s">
        <v>59</v>
      </c>
      <c r="L82" s="73"/>
      <c r="M82" s="73"/>
      <c r="N82" s="73"/>
      <c r="O82" s="73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x14ac:dyDescent="0.25">
      <c r="A83" s="9" t="s">
        <v>0</v>
      </c>
      <c r="B83" s="17">
        <f t="shared" ref="B83:B88" si="0">SUM(B5,G5,L5,Q5,V5,AA5,AA44,V44,Q44,L44,G44,B44)</f>
        <v>6</v>
      </c>
      <c r="C83" s="28">
        <f>B83/B112</f>
        <v>2.4691358024691357E-2</v>
      </c>
      <c r="D83" s="17">
        <f t="shared" ref="D83:D88" si="1">SUM(D5,I5,N5,S5,X5,AC5,AC44,X44,S44,N44,I44,D44)</f>
        <v>26</v>
      </c>
      <c r="E83" s="14"/>
      <c r="F83" s="14"/>
      <c r="G83" s="14"/>
      <c r="H83" s="14"/>
      <c r="I83" s="14"/>
      <c r="J83" s="7"/>
      <c r="K83" s="73"/>
      <c r="L83" s="73"/>
      <c r="M83" s="73"/>
      <c r="N83" s="73"/>
      <c r="O83" s="73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x14ac:dyDescent="0.25">
      <c r="A84" s="9" t="s">
        <v>1</v>
      </c>
      <c r="B84" s="17">
        <f t="shared" si="0"/>
        <v>2</v>
      </c>
      <c r="C84" s="27">
        <f>B84/B112</f>
        <v>8.23045267489712E-3</v>
      </c>
      <c r="D84" s="17">
        <f t="shared" si="1"/>
        <v>12</v>
      </c>
      <c r="E84" s="14"/>
      <c r="F84" s="14"/>
      <c r="G84" s="14"/>
      <c r="H84" s="14"/>
      <c r="I84" s="14"/>
      <c r="J84" s="7"/>
      <c r="K84" s="73"/>
      <c r="L84" s="73"/>
      <c r="M84" s="73"/>
      <c r="N84" s="73"/>
      <c r="O84" s="73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x14ac:dyDescent="0.25">
      <c r="A85" s="9" t="s">
        <v>2</v>
      </c>
      <c r="B85" s="17">
        <f t="shared" si="0"/>
        <v>1</v>
      </c>
      <c r="C85" s="27">
        <f>B85/B112</f>
        <v>4.11522633744856E-3</v>
      </c>
      <c r="D85" s="17">
        <f t="shared" si="1"/>
        <v>2</v>
      </c>
      <c r="E85" s="14"/>
      <c r="F85" s="14"/>
      <c r="G85" s="14"/>
      <c r="H85" s="14"/>
      <c r="I85" s="14"/>
      <c r="J85" s="7"/>
      <c r="K85" s="73"/>
      <c r="L85" s="73"/>
      <c r="M85" s="73"/>
      <c r="N85" s="73"/>
      <c r="O85" s="73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x14ac:dyDescent="0.25">
      <c r="A86" s="9" t="s">
        <v>67</v>
      </c>
      <c r="B86" s="17">
        <f t="shared" si="0"/>
        <v>28</v>
      </c>
      <c r="C86" s="28">
        <f>B86/B112</f>
        <v>0.11522633744855967</v>
      </c>
      <c r="D86" s="17">
        <f t="shared" si="1"/>
        <v>24</v>
      </c>
      <c r="E86" s="14"/>
      <c r="F86" s="14"/>
      <c r="G86" s="14"/>
      <c r="H86" s="14"/>
      <c r="I86" s="14"/>
      <c r="J86" s="7"/>
      <c r="K86" s="73"/>
      <c r="L86" s="73"/>
      <c r="M86" s="73"/>
      <c r="N86" s="73"/>
      <c r="O86" s="73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x14ac:dyDescent="0.25">
      <c r="A87" s="9" t="s">
        <v>3</v>
      </c>
      <c r="B87" s="17">
        <f t="shared" si="0"/>
        <v>2</v>
      </c>
      <c r="C87" s="28">
        <f>B87/B112</f>
        <v>8.23045267489712E-3</v>
      </c>
      <c r="D87" s="17">
        <f t="shared" si="1"/>
        <v>4</v>
      </c>
      <c r="E87" s="14"/>
      <c r="F87" s="14"/>
      <c r="G87" s="14"/>
      <c r="H87" s="14"/>
      <c r="I87" s="14"/>
      <c r="J87" s="7"/>
      <c r="K87" s="73"/>
      <c r="L87" s="73"/>
      <c r="M87" s="73"/>
      <c r="N87" s="73"/>
      <c r="O87" s="73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x14ac:dyDescent="0.25">
      <c r="A88" s="9" t="s">
        <v>4</v>
      </c>
      <c r="B88" s="17">
        <f t="shared" si="0"/>
        <v>4</v>
      </c>
      <c r="C88" s="27">
        <f>B88/B112</f>
        <v>1.646090534979424E-2</v>
      </c>
      <c r="D88" s="17">
        <f t="shared" si="1"/>
        <v>16</v>
      </c>
      <c r="E88" s="14"/>
      <c r="F88" s="14"/>
      <c r="G88" s="14"/>
      <c r="H88" s="14"/>
      <c r="I88" s="14"/>
      <c r="J88" s="7"/>
      <c r="K88" s="73"/>
      <c r="L88" s="73"/>
      <c r="M88" s="73"/>
      <c r="N88" s="73"/>
      <c r="O88" s="73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x14ac:dyDescent="0.25">
      <c r="A89" s="10" t="s">
        <v>5</v>
      </c>
      <c r="B89" s="7">
        <f t="shared" ref="B89:B109" si="2">SUM(B11,G11,L11,Q11,V11,AA11,B50,G50,L50,Q50,V50,AA50)</f>
        <v>7</v>
      </c>
      <c r="C89" s="27">
        <f>B89/B112</f>
        <v>2.8806584362139918E-2</v>
      </c>
      <c r="D89" s="7">
        <f t="shared" ref="D89:D99" si="3">SUM(D11,I11,N11,S11,X11,AC11,D50,I50,N50,S50,X50,AC50)</f>
        <v>6</v>
      </c>
      <c r="E89" s="14"/>
      <c r="F89" s="14"/>
      <c r="G89" s="14"/>
      <c r="H89" s="14"/>
      <c r="I89" s="14"/>
      <c r="J89" s="7"/>
      <c r="K89" s="73"/>
      <c r="L89" s="73"/>
      <c r="M89" s="73"/>
      <c r="N89" s="73"/>
      <c r="O89" s="73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x14ac:dyDescent="0.25">
      <c r="A90" s="38" t="s">
        <v>71</v>
      </c>
      <c r="B90" s="17">
        <f t="shared" si="2"/>
        <v>0</v>
      </c>
      <c r="C90" s="27">
        <f>B90/B112</f>
        <v>0</v>
      </c>
      <c r="D90" s="17">
        <f t="shared" si="3"/>
        <v>6</v>
      </c>
      <c r="E90" s="14"/>
      <c r="F90" s="14"/>
      <c r="G90" s="14"/>
      <c r="H90" s="14"/>
      <c r="I90" s="14"/>
      <c r="J90" s="7"/>
      <c r="K90" s="73"/>
      <c r="L90" s="73"/>
      <c r="M90" s="73"/>
      <c r="N90" s="73"/>
      <c r="O90" s="73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x14ac:dyDescent="0.25">
      <c r="A91" s="10" t="s">
        <v>6</v>
      </c>
      <c r="B91" s="17">
        <f t="shared" si="2"/>
        <v>27</v>
      </c>
      <c r="C91" s="28">
        <f>B91/B112</f>
        <v>0.1111111111111111</v>
      </c>
      <c r="D91" s="17">
        <f t="shared" si="3"/>
        <v>23</v>
      </c>
      <c r="E91" s="14"/>
      <c r="F91" s="14"/>
      <c r="G91" s="14"/>
      <c r="H91" s="14"/>
      <c r="I91" s="14"/>
      <c r="J91" s="7"/>
      <c r="K91" s="73"/>
      <c r="L91" s="73"/>
      <c r="M91" s="73"/>
      <c r="N91" s="73"/>
      <c r="O91" s="73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x14ac:dyDescent="0.25">
      <c r="A92" s="10" t="s">
        <v>7</v>
      </c>
      <c r="B92" s="17">
        <f t="shared" si="2"/>
        <v>0</v>
      </c>
      <c r="C92" s="27">
        <f>B92/B112</f>
        <v>0</v>
      </c>
      <c r="D92" s="17">
        <f t="shared" si="3"/>
        <v>0</v>
      </c>
      <c r="E92" s="14"/>
      <c r="F92" s="14"/>
      <c r="G92" s="14"/>
      <c r="H92" s="14"/>
      <c r="I92" s="14"/>
      <c r="J92" s="7"/>
      <c r="K92" s="73"/>
      <c r="L92" s="73"/>
      <c r="M92" s="73"/>
      <c r="N92" s="73"/>
      <c r="O92" s="73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x14ac:dyDescent="0.25">
      <c r="A93" s="10" t="s">
        <v>8</v>
      </c>
      <c r="B93" s="17">
        <f t="shared" si="2"/>
        <v>4</v>
      </c>
      <c r="C93" s="27">
        <f>B93/B112</f>
        <v>1.646090534979424E-2</v>
      </c>
      <c r="D93" s="17">
        <f t="shared" si="3"/>
        <v>4</v>
      </c>
      <c r="E93" s="14"/>
      <c r="F93" s="14"/>
      <c r="G93" s="14"/>
      <c r="H93" s="14"/>
      <c r="I93" s="14"/>
      <c r="J93" s="7"/>
      <c r="K93" s="73"/>
      <c r="L93" s="73"/>
      <c r="M93" s="73"/>
      <c r="N93" s="73"/>
      <c r="O93" s="73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x14ac:dyDescent="0.25">
      <c r="A94" s="10" t="s">
        <v>9</v>
      </c>
      <c r="B94" s="7">
        <f t="shared" si="2"/>
        <v>30</v>
      </c>
      <c r="C94" s="27">
        <f>B94/B112</f>
        <v>0.12345679012345678</v>
      </c>
      <c r="D94" s="25">
        <f t="shared" si="3"/>
        <v>37</v>
      </c>
      <c r="E94" s="14"/>
      <c r="F94" s="14"/>
      <c r="G94" s="14"/>
      <c r="H94" s="14"/>
      <c r="I94" s="14"/>
      <c r="J94" s="7"/>
      <c r="K94" s="73"/>
      <c r="L94" s="73"/>
      <c r="M94" s="73"/>
      <c r="N94" s="73"/>
      <c r="O94" s="73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x14ac:dyDescent="0.25">
      <c r="A95" s="10" t="s">
        <v>10</v>
      </c>
      <c r="B95" s="17">
        <f t="shared" si="2"/>
        <v>1</v>
      </c>
      <c r="C95" s="27">
        <f>B95/B112</f>
        <v>4.11522633744856E-3</v>
      </c>
      <c r="D95" s="17">
        <f t="shared" si="3"/>
        <v>5</v>
      </c>
      <c r="E95" s="14"/>
      <c r="F95" s="14"/>
      <c r="G95" s="14"/>
      <c r="H95" s="14"/>
      <c r="I95" s="14"/>
      <c r="J95" s="7"/>
      <c r="K95" s="73"/>
      <c r="L95" s="73"/>
      <c r="M95" s="73"/>
      <c r="N95" s="73"/>
      <c r="O95" s="73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x14ac:dyDescent="0.25">
      <c r="A96" s="11" t="s">
        <v>11</v>
      </c>
      <c r="B96" s="7">
        <f t="shared" si="2"/>
        <v>3</v>
      </c>
      <c r="C96" s="27">
        <f>B96/B112</f>
        <v>1.2345679012345678E-2</v>
      </c>
      <c r="D96" s="7">
        <f t="shared" si="3"/>
        <v>6</v>
      </c>
      <c r="E96" s="14"/>
      <c r="F96" s="14"/>
      <c r="G96" s="14"/>
      <c r="H96" s="14"/>
      <c r="I96" s="14"/>
      <c r="J96" s="7"/>
      <c r="K96" s="73"/>
      <c r="L96" s="73"/>
      <c r="M96" s="73"/>
      <c r="N96" s="73"/>
      <c r="O96" s="73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x14ac:dyDescent="0.25">
      <c r="A97" s="11" t="s">
        <v>12</v>
      </c>
      <c r="B97" s="17">
        <f t="shared" si="2"/>
        <v>5</v>
      </c>
      <c r="C97" s="28">
        <f>B97/B112</f>
        <v>2.0576131687242798E-2</v>
      </c>
      <c r="D97" s="17">
        <f t="shared" si="3"/>
        <v>22</v>
      </c>
      <c r="E97" s="14"/>
      <c r="F97" s="14"/>
      <c r="G97" s="14"/>
      <c r="H97" s="14"/>
      <c r="I97" s="14"/>
      <c r="J97" s="7"/>
      <c r="K97" s="73"/>
      <c r="L97" s="73"/>
      <c r="M97" s="73"/>
      <c r="N97" s="73"/>
      <c r="O97" s="73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x14ac:dyDescent="0.25">
      <c r="A98" s="11" t="s">
        <v>72</v>
      </c>
      <c r="B98" s="17">
        <f t="shared" si="2"/>
        <v>4</v>
      </c>
      <c r="C98" s="28">
        <f>B98/B112</f>
        <v>1.646090534979424E-2</v>
      </c>
      <c r="D98" s="17">
        <f t="shared" si="3"/>
        <v>0</v>
      </c>
      <c r="E98" s="14"/>
      <c r="F98" s="14"/>
      <c r="G98" s="14"/>
      <c r="H98" s="14"/>
      <c r="I98" s="14"/>
      <c r="J98" s="7"/>
      <c r="K98" s="74"/>
      <c r="L98" s="75"/>
      <c r="M98" s="75"/>
      <c r="N98" s="75"/>
      <c r="O98" s="76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x14ac:dyDescent="0.25">
      <c r="A99" s="11" t="s">
        <v>13</v>
      </c>
      <c r="B99" s="17">
        <f t="shared" si="2"/>
        <v>7</v>
      </c>
      <c r="C99" s="27">
        <f>B99/B112</f>
        <v>2.8806584362139918E-2</v>
      </c>
      <c r="D99" s="17">
        <f t="shared" si="3"/>
        <v>13</v>
      </c>
      <c r="E99" s="14"/>
      <c r="F99" s="14"/>
      <c r="G99" s="14"/>
      <c r="H99" s="14"/>
      <c r="I99" s="14"/>
      <c r="J99" s="7"/>
      <c r="K99" s="73"/>
      <c r="L99" s="73"/>
      <c r="M99" s="73"/>
      <c r="N99" s="73"/>
      <c r="O99" s="73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x14ac:dyDescent="0.25">
      <c r="A100" s="11" t="s">
        <v>68</v>
      </c>
      <c r="B100" s="17">
        <f t="shared" si="2"/>
        <v>0</v>
      </c>
      <c r="C100" s="27">
        <f>B100/B112</f>
        <v>0</v>
      </c>
      <c r="D100" s="17">
        <v>0</v>
      </c>
      <c r="E100" s="14"/>
      <c r="F100" s="14"/>
      <c r="G100" s="14"/>
      <c r="H100" s="14"/>
      <c r="I100" s="14"/>
      <c r="J100" s="7"/>
      <c r="K100" s="73"/>
      <c r="L100" s="73"/>
      <c r="M100" s="73"/>
      <c r="N100" s="73"/>
      <c r="O100" s="73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x14ac:dyDescent="0.25">
      <c r="A101" s="11" t="s">
        <v>14</v>
      </c>
      <c r="B101" s="17">
        <f t="shared" si="2"/>
        <v>0</v>
      </c>
      <c r="C101" s="27">
        <f>B101/B112</f>
        <v>0</v>
      </c>
      <c r="D101" s="17">
        <f>SUM(D23,I23,N23,S23,X23,AC23,D62,I62,N62,S62,X62,AC62)</f>
        <v>6</v>
      </c>
      <c r="E101" s="14"/>
      <c r="F101" s="14"/>
      <c r="G101" s="14"/>
      <c r="H101" s="14"/>
      <c r="I101" s="14"/>
      <c r="J101" s="7"/>
      <c r="K101" s="73"/>
      <c r="L101" s="73"/>
      <c r="M101" s="73"/>
      <c r="N101" s="73"/>
      <c r="O101" s="73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x14ac:dyDescent="0.25">
      <c r="A102" s="11" t="s">
        <v>69</v>
      </c>
      <c r="B102" s="17">
        <f t="shared" si="2"/>
        <v>0</v>
      </c>
      <c r="C102" s="27">
        <f>B102/B112</f>
        <v>0</v>
      </c>
      <c r="D102" s="17">
        <f>SUM(D24,I24,N24,S24,X24,AC24,D63,I63,N63,S63,X63,AC63)</f>
        <v>0</v>
      </c>
      <c r="E102" s="14"/>
      <c r="F102" s="14"/>
      <c r="G102" s="14"/>
      <c r="H102" s="14"/>
      <c r="I102" s="14"/>
      <c r="J102" s="7"/>
      <c r="K102" s="73"/>
      <c r="L102" s="73"/>
      <c r="M102" s="73"/>
      <c r="N102" s="73"/>
      <c r="O102" s="73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x14ac:dyDescent="0.25">
      <c r="A103" s="11" t="s">
        <v>65</v>
      </c>
      <c r="B103" s="7">
        <f t="shared" si="2"/>
        <v>22</v>
      </c>
      <c r="C103" s="27">
        <f>B103/B112</f>
        <v>9.0534979423868317E-2</v>
      </c>
      <c r="D103" s="23">
        <f>SUM(D25,I25,N25,S25,X25,AC25,D64,I64,N64,S64,X64,AC64)</f>
        <v>69</v>
      </c>
      <c r="E103" s="14"/>
      <c r="F103" s="14"/>
      <c r="G103" s="14"/>
      <c r="H103" s="14"/>
      <c r="I103" s="14"/>
      <c r="J103" s="7"/>
      <c r="K103" s="73"/>
      <c r="L103" s="73"/>
      <c r="M103" s="73"/>
      <c r="N103" s="73"/>
      <c r="O103" s="73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x14ac:dyDescent="0.25">
      <c r="A104" s="11" t="s">
        <v>66</v>
      </c>
      <c r="B104" s="17">
        <f t="shared" si="2"/>
        <v>9</v>
      </c>
      <c r="C104" s="28">
        <f>B104/B112</f>
        <v>3.7037037037037035E-2</v>
      </c>
      <c r="D104" s="17">
        <v>0</v>
      </c>
      <c r="E104" s="14"/>
      <c r="F104" s="14"/>
      <c r="G104" s="14"/>
      <c r="H104" s="14"/>
      <c r="I104" s="14"/>
      <c r="J104" s="7"/>
      <c r="K104" s="74"/>
      <c r="L104" s="75"/>
      <c r="M104" s="75"/>
      <c r="N104" s="75"/>
      <c r="O104" s="76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x14ac:dyDescent="0.25">
      <c r="A105" s="11" t="s">
        <v>64</v>
      </c>
      <c r="B105" s="17">
        <f t="shared" si="2"/>
        <v>4</v>
      </c>
      <c r="C105" s="28">
        <f>B105/B112</f>
        <v>1.646090534979424E-2</v>
      </c>
      <c r="D105" s="17">
        <v>0</v>
      </c>
      <c r="E105" s="14"/>
      <c r="F105" s="14"/>
      <c r="G105" s="14"/>
      <c r="H105" s="14"/>
      <c r="I105" s="14"/>
      <c r="J105" s="7"/>
      <c r="K105" s="45"/>
      <c r="L105" s="46"/>
      <c r="M105" s="46"/>
      <c r="N105" s="46"/>
      <c r="O105" s="47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x14ac:dyDescent="0.25">
      <c r="A106" s="55" t="s">
        <v>15</v>
      </c>
      <c r="B106" s="23">
        <f t="shared" si="2"/>
        <v>35</v>
      </c>
      <c r="C106" s="59">
        <f>B106/B112</f>
        <v>0.1440329218106996</v>
      </c>
      <c r="D106" s="17">
        <f>SUM(D28,I28,N28,S28,X28,AC28,D67,I67,N67,S67,X67,AC67)</f>
        <v>19</v>
      </c>
      <c r="E106" s="14"/>
      <c r="F106" s="14"/>
      <c r="G106" s="14"/>
      <c r="H106" s="14"/>
      <c r="I106" s="14"/>
      <c r="J106" s="7"/>
      <c r="K106" s="73"/>
      <c r="L106" s="73"/>
      <c r="M106" s="73"/>
      <c r="N106" s="73"/>
      <c r="O106" s="73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x14ac:dyDescent="0.25">
      <c r="A107" s="63" t="s">
        <v>16</v>
      </c>
      <c r="B107" s="44">
        <f t="shared" si="2"/>
        <v>33</v>
      </c>
      <c r="C107" s="67">
        <f>B107/B112</f>
        <v>0.13580246913580246</v>
      </c>
      <c r="D107" s="7">
        <f>SUM(D29,I29,N29,S29,X29,AC29,D68,I68,N68,S68,X68,AC68)</f>
        <v>4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x14ac:dyDescent="0.25">
      <c r="A108" s="62" t="s">
        <v>83</v>
      </c>
      <c r="B108" s="7">
        <f t="shared" si="2"/>
        <v>3</v>
      </c>
      <c r="C108" s="27">
        <f>B108/B112</f>
        <v>1.2345679012345678E-2</v>
      </c>
      <c r="D108" s="53">
        <v>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x14ac:dyDescent="0.25">
      <c r="A109" s="50" t="s">
        <v>84</v>
      </c>
      <c r="B109" s="7">
        <f t="shared" si="2"/>
        <v>2</v>
      </c>
      <c r="C109" s="27">
        <f>B109/B112</f>
        <v>8.23045267489712E-3</v>
      </c>
      <c r="D109" s="53">
        <v>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5.75" thickBot="1" x14ac:dyDescent="0.3">
      <c r="A110" s="12" t="s">
        <v>17</v>
      </c>
      <c r="B110" s="18">
        <f t="shared" ref="B110" si="4">SUM(B32,G32,L32,Q32,V32,AA32,B71,G71,L71,Q71,V71,AA71)</f>
        <v>0</v>
      </c>
      <c r="C110" s="29">
        <f>B110/B112</f>
        <v>0</v>
      </c>
      <c r="D110" s="18">
        <f>SUM(D32,I32,N32,S32,X32,AC32,D71,I71,N71,S71,X71,AC71)</f>
        <v>9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5.75" thickBo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5.75" thickBot="1" x14ac:dyDescent="0.3">
      <c r="A112" s="13" t="s">
        <v>33</v>
      </c>
      <c r="B112" s="16">
        <f>SUM(B82:B110)</f>
        <v>243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5" x14ac:dyDescent="0.25">
      <c r="A113" s="24" t="s">
        <v>56</v>
      </c>
    </row>
    <row r="114" spans="1:5" x14ac:dyDescent="0.25">
      <c r="A114" s="14"/>
      <c r="B114" s="14">
        <v>2023</v>
      </c>
      <c r="C114" s="14">
        <v>2024</v>
      </c>
      <c r="D114" s="14">
        <v>2025</v>
      </c>
    </row>
    <row r="115" spans="1:5" x14ac:dyDescent="0.25">
      <c r="A115" s="14" t="s">
        <v>48</v>
      </c>
      <c r="B115" s="30">
        <v>0.22</v>
      </c>
      <c r="C115" s="30">
        <v>0.22</v>
      </c>
      <c r="D115" s="30">
        <v>0.19</v>
      </c>
    </row>
    <row r="116" spans="1:5" x14ac:dyDescent="0.25">
      <c r="A116" s="14" t="s">
        <v>49</v>
      </c>
      <c r="B116" s="30">
        <v>0.21</v>
      </c>
      <c r="C116" s="30">
        <v>0.21</v>
      </c>
      <c r="D116" s="30">
        <v>0.28000000000000003</v>
      </c>
    </row>
    <row r="117" spans="1:5" x14ac:dyDescent="0.25">
      <c r="A117" s="14" t="s">
        <v>50</v>
      </c>
      <c r="B117" s="30">
        <v>0.56999999999999995</v>
      </c>
      <c r="C117" s="30">
        <v>0.56999999999999995</v>
      </c>
      <c r="D117" s="30">
        <v>0.53</v>
      </c>
    </row>
    <row r="122" spans="1:5" x14ac:dyDescent="0.25">
      <c r="B122" s="72" t="s">
        <v>18</v>
      </c>
      <c r="C122" s="72"/>
      <c r="D122" s="72"/>
      <c r="E122" s="32"/>
    </row>
    <row r="123" spans="1:5" x14ac:dyDescent="0.25">
      <c r="B123" s="33" t="s">
        <v>51</v>
      </c>
      <c r="C123" s="33" t="s">
        <v>52</v>
      </c>
      <c r="D123" s="33" t="s">
        <v>53</v>
      </c>
      <c r="E123" s="33" t="s">
        <v>18</v>
      </c>
    </row>
    <row r="124" spans="1:5" x14ac:dyDescent="0.25">
      <c r="A124" s="31" t="s">
        <v>20</v>
      </c>
      <c r="B124" s="48">
        <f>SUM(B4:B10)</f>
        <v>4</v>
      </c>
      <c r="C124" s="48">
        <f>SUM(B11:B17)</f>
        <v>3</v>
      </c>
      <c r="D124" s="54">
        <f>SUM(B18:B32)</f>
        <v>14</v>
      </c>
      <c r="E124" s="33">
        <f>SUM(B124:D124)</f>
        <v>21</v>
      </c>
    </row>
    <row r="125" spans="1:5" x14ac:dyDescent="0.25">
      <c r="A125" s="31" t="s">
        <v>22</v>
      </c>
      <c r="B125" s="48">
        <f>SUM(G4:G10)</f>
        <v>6</v>
      </c>
      <c r="C125" s="48">
        <f>SUM(G11:G17)</f>
        <v>7</v>
      </c>
      <c r="D125" s="54">
        <f>SUM(G18:G32)</f>
        <v>8</v>
      </c>
      <c r="E125" s="33">
        <f t="shared" ref="E125:E135" si="5">SUM(B125:D125)</f>
        <v>21</v>
      </c>
    </row>
    <row r="126" spans="1:5" x14ac:dyDescent="0.25">
      <c r="A126" s="31" t="s">
        <v>23</v>
      </c>
      <c r="B126" s="48">
        <f>SUM(L4:L10)</f>
        <v>3</v>
      </c>
      <c r="C126" s="54">
        <f>SUM(L11:L17)</f>
        <v>9</v>
      </c>
      <c r="D126" s="48">
        <f>SUM(L18:L32)</f>
        <v>1</v>
      </c>
      <c r="E126" s="33">
        <f t="shared" si="5"/>
        <v>13</v>
      </c>
    </row>
    <row r="127" spans="1:5" x14ac:dyDescent="0.25">
      <c r="A127" s="31" t="s">
        <v>24</v>
      </c>
      <c r="B127" s="48">
        <f>SUM(Q4:Q10)</f>
        <v>0</v>
      </c>
      <c r="C127" s="48">
        <f>SUM(Q11:Q17)</f>
        <v>0</v>
      </c>
      <c r="D127" s="54">
        <f>SUM(Q18:Q32)</f>
        <v>3</v>
      </c>
      <c r="E127" s="33">
        <f t="shared" si="5"/>
        <v>3</v>
      </c>
    </row>
    <row r="128" spans="1:5" x14ac:dyDescent="0.25">
      <c r="A128" s="31" t="s">
        <v>25</v>
      </c>
      <c r="B128" s="54">
        <f>SUM(V4:V10)</f>
        <v>5</v>
      </c>
      <c r="C128" s="48">
        <f>SUM(V11:V17)</f>
        <v>2</v>
      </c>
      <c r="D128" s="48">
        <f>SUM(V18:V32)</f>
        <v>2</v>
      </c>
      <c r="E128" s="33">
        <f t="shared" si="5"/>
        <v>9</v>
      </c>
    </row>
    <row r="129" spans="1:5" x14ac:dyDescent="0.25">
      <c r="A129" s="31" t="s">
        <v>26</v>
      </c>
      <c r="B129" s="48">
        <f>SUM(AA4:AA10)</f>
        <v>9</v>
      </c>
      <c r="C129" s="54">
        <f>SUM(AA11:AA17)</f>
        <v>22</v>
      </c>
      <c r="D129" s="48">
        <f>SUM(AA18:AA32)</f>
        <v>16</v>
      </c>
      <c r="E129" s="33">
        <f t="shared" si="5"/>
        <v>47</v>
      </c>
    </row>
    <row r="130" spans="1:5" x14ac:dyDescent="0.25">
      <c r="A130" s="31" t="s">
        <v>27</v>
      </c>
      <c r="B130" s="48">
        <f>SUM(B43:B49)</f>
        <v>3</v>
      </c>
      <c r="C130" s="48">
        <f>SUM(B50:B56)</f>
        <v>2</v>
      </c>
      <c r="D130" s="54">
        <f>SUM(B57:B71)</f>
        <v>24</v>
      </c>
      <c r="E130" s="33">
        <f t="shared" si="5"/>
        <v>29</v>
      </c>
    </row>
    <row r="131" spans="1:5" x14ac:dyDescent="0.25">
      <c r="A131" s="31" t="s">
        <v>28</v>
      </c>
      <c r="B131" s="48">
        <f>SUM(G43:G49)</f>
        <v>5</v>
      </c>
      <c r="C131" s="48">
        <f>SUM(G50:G56)</f>
        <v>5</v>
      </c>
      <c r="D131" s="54">
        <f>SUM(G57:G71)</f>
        <v>10</v>
      </c>
      <c r="E131" s="33">
        <f t="shared" si="5"/>
        <v>20</v>
      </c>
    </row>
    <row r="132" spans="1:5" x14ac:dyDescent="0.25">
      <c r="A132" s="31" t="s">
        <v>29</v>
      </c>
      <c r="B132" s="48">
        <f>SUM(L43:L49)</f>
        <v>6</v>
      </c>
      <c r="C132" s="48">
        <f>SUM(L50:L56)</f>
        <v>4</v>
      </c>
      <c r="D132" s="54">
        <f>SUM(L57:L71)</f>
        <v>17</v>
      </c>
      <c r="E132" s="33">
        <f t="shared" si="5"/>
        <v>27</v>
      </c>
    </row>
    <row r="133" spans="1:5" x14ac:dyDescent="0.25">
      <c r="A133" s="31" t="s">
        <v>30</v>
      </c>
      <c r="B133" s="48">
        <f>SUM(Q43:Q49)</f>
        <v>6</v>
      </c>
      <c r="C133" s="48">
        <f>SUM(Q50:Q56)</f>
        <v>11</v>
      </c>
      <c r="D133" s="54">
        <f>SUM(Q57:Q71)</f>
        <v>14</v>
      </c>
      <c r="E133" s="33">
        <f t="shared" si="5"/>
        <v>31</v>
      </c>
    </row>
    <row r="134" spans="1:5" x14ac:dyDescent="0.25">
      <c r="A134" s="31" t="s">
        <v>31</v>
      </c>
      <c r="B134" s="48">
        <f>SUM(V43:V49)</f>
        <v>0</v>
      </c>
      <c r="C134" s="48">
        <f>SUM(V50:V56)</f>
        <v>4</v>
      </c>
      <c r="D134" s="54">
        <f>SUM(V57:V71)</f>
        <v>15</v>
      </c>
      <c r="E134" s="33">
        <f t="shared" si="5"/>
        <v>19</v>
      </c>
    </row>
    <row r="135" spans="1:5" x14ac:dyDescent="0.25">
      <c r="A135" s="31" t="s">
        <v>32</v>
      </c>
      <c r="B135" s="48">
        <f>SUM(AA43:AA49)</f>
        <v>0</v>
      </c>
      <c r="C135" s="48">
        <f>SUM(AA50:AA56)</f>
        <v>0</v>
      </c>
      <c r="D135" s="54">
        <f>SUM(AA57:AA71)</f>
        <v>3</v>
      </c>
      <c r="E135" s="33">
        <f t="shared" si="5"/>
        <v>3</v>
      </c>
    </row>
    <row r="136" spans="1:5" x14ac:dyDescent="0.25">
      <c r="A136" s="31" t="s">
        <v>54</v>
      </c>
      <c r="B136" s="7">
        <f>SUM(B124:B135)</f>
        <v>47</v>
      </c>
      <c r="C136" s="7">
        <f>SUM(C124:C135)</f>
        <v>69</v>
      </c>
      <c r="D136" s="7">
        <f>SUM(D124:D135)</f>
        <v>127</v>
      </c>
      <c r="E136" s="7">
        <f>SUM(E124:E135)</f>
        <v>243</v>
      </c>
    </row>
    <row r="137" spans="1:5" x14ac:dyDescent="0.25">
      <c r="A137" s="31" t="s">
        <v>63</v>
      </c>
      <c r="B137" s="7">
        <v>101</v>
      </c>
      <c r="C137" s="33">
        <v>81</v>
      </c>
      <c r="D137" s="33">
        <v>170</v>
      </c>
      <c r="E137" s="33">
        <f>SUM(B137:D137)</f>
        <v>352</v>
      </c>
    </row>
    <row r="138" spans="1:5" x14ac:dyDescent="0.25">
      <c r="A138" s="31" t="s">
        <v>60</v>
      </c>
      <c r="B138" s="33">
        <v>40</v>
      </c>
      <c r="C138" s="33">
        <v>38</v>
      </c>
      <c r="D138" s="33">
        <v>104</v>
      </c>
      <c r="E138" s="33">
        <f>SUM(B138:D138)</f>
        <v>182</v>
      </c>
    </row>
    <row r="139" spans="1:5" x14ac:dyDescent="0.25">
      <c r="A139" s="31" t="s">
        <v>57</v>
      </c>
      <c r="B139" s="33">
        <v>58</v>
      </c>
      <c r="C139" s="33">
        <v>98</v>
      </c>
      <c r="D139" s="33">
        <v>141</v>
      </c>
      <c r="E139" s="33">
        <f>SUM(B139:D139)</f>
        <v>297</v>
      </c>
    </row>
    <row r="140" spans="1:5" x14ac:dyDescent="0.25">
      <c r="A140" s="31" t="s">
        <v>55</v>
      </c>
      <c r="B140" s="7">
        <v>247</v>
      </c>
      <c r="C140" s="7">
        <v>292</v>
      </c>
      <c r="D140" s="7">
        <v>196</v>
      </c>
      <c r="E140" s="7">
        <f>SUM(B140:D140)</f>
        <v>735</v>
      </c>
    </row>
  </sheetData>
  <mergeCells count="45">
    <mergeCell ref="K102:O102"/>
    <mergeCell ref="K103:O103"/>
    <mergeCell ref="K106:O106"/>
    <mergeCell ref="K95:O95"/>
    <mergeCell ref="K96:O96"/>
    <mergeCell ref="K97:O97"/>
    <mergeCell ref="K99:O99"/>
    <mergeCell ref="K100:O100"/>
    <mergeCell ref="K104:O104"/>
    <mergeCell ref="K98:O98"/>
    <mergeCell ref="K91:O91"/>
    <mergeCell ref="K92:O92"/>
    <mergeCell ref="K93:O93"/>
    <mergeCell ref="K94:O94"/>
    <mergeCell ref="K101:O101"/>
    <mergeCell ref="K2:M2"/>
    <mergeCell ref="P2:R2"/>
    <mergeCell ref="U2:W2"/>
    <mergeCell ref="B122:D122"/>
    <mergeCell ref="A2:C2"/>
    <mergeCell ref="F2:H2"/>
    <mergeCell ref="J81:O81"/>
    <mergeCell ref="K82:O82"/>
    <mergeCell ref="K83:O83"/>
    <mergeCell ref="K84:O84"/>
    <mergeCell ref="K85:O85"/>
    <mergeCell ref="K86:O86"/>
    <mergeCell ref="K87:O87"/>
    <mergeCell ref="K88:O88"/>
    <mergeCell ref="K89:O89"/>
    <mergeCell ref="K90:O90"/>
    <mergeCell ref="AT2:AV2"/>
    <mergeCell ref="AX2:AZ2"/>
    <mergeCell ref="Z2:AB2"/>
    <mergeCell ref="AD2:AF2"/>
    <mergeCell ref="AH2:AJ2"/>
    <mergeCell ref="AL2:AN2"/>
    <mergeCell ref="AP2:AR2"/>
    <mergeCell ref="Z41:AB41"/>
    <mergeCell ref="A80:C80"/>
    <mergeCell ref="A41:C41"/>
    <mergeCell ref="F41:H41"/>
    <mergeCell ref="K41:M41"/>
    <mergeCell ref="P41:R41"/>
    <mergeCell ref="U41:W41"/>
  </mergeCells>
  <phoneticPr fontId="6" type="noConversion"/>
  <pageMargins left="0.7" right="0.7" top="0.75" bottom="0.75" header="0.3" footer="0.3"/>
  <pageSetup paperSize="122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Corwin</dc:creator>
  <cp:lastModifiedBy>John Corwin</cp:lastModifiedBy>
  <cp:lastPrinted>2021-07-12T14:22:17Z</cp:lastPrinted>
  <dcterms:created xsi:type="dcterms:W3CDTF">2015-06-05T18:17:20Z</dcterms:created>
  <dcterms:modified xsi:type="dcterms:W3CDTF">2026-01-05T16:29:00Z</dcterms:modified>
</cp:coreProperties>
</file>