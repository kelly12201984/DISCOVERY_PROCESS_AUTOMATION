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P:\QC\!!John C\Quality Meeting\"/>
    </mc:Choice>
  </mc:AlternateContent>
  <xr:revisionPtr revIDLastSave="0" documentId="13_ncr:1_{9D133B23-C9B0-4F61-A8D1-67341A3D0D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ory" sheetId="1" r:id="rId1"/>
    <sheet name="Pack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" i="1" l="1"/>
  <c r="I88" i="1"/>
  <c r="K88" i="1" s="1"/>
  <c r="D77" i="1"/>
  <c r="V80" i="1"/>
  <c r="U80" i="1"/>
  <c r="N78" i="1" s="1"/>
  <c r="V77" i="1"/>
  <c r="U77" i="1"/>
  <c r="L13" i="1"/>
  <c r="L14" i="1"/>
  <c r="K13" i="1"/>
  <c r="K14" i="1"/>
  <c r="J13" i="1"/>
  <c r="J14" i="1"/>
  <c r="I13" i="1"/>
  <c r="I14" i="1"/>
  <c r="H13" i="1"/>
  <c r="H14" i="1"/>
  <c r="L12" i="1"/>
  <c r="K12" i="1"/>
  <c r="J12" i="1"/>
  <c r="I12" i="1"/>
  <c r="H12" i="1"/>
  <c r="D73" i="1"/>
  <c r="C73" i="1"/>
  <c r="B73" i="1"/>
  <c r="L6" i="1"/>
  <c r="L7" i="1"/>
  <c r="K6" i="1"/>
  <c r="K7" i="1"/>
  <c r="J6" i="1"/>
  <c r="J7" i="1"/>
  <c r="I6" i="1"/>
  <c r="I7" i="1"/>
  <c r="H6" i="1"/>
  <c r="H7" i="1"/>
  <c r="V81" i="1"/>
  <c r="U81" i="1"/>
  <c r="V79" i="1"/>
  <c r="U79" i="1"/>
  <c r="L8" i="1"/>
  <c r="L9" i="1"/>
  <c r="L10" i="1"/>
  <c r="L11" i="1"/>
  <c r="K8" i="1"/>
  <c r="K9" i="1"/>
  <c r="K10" i="1"/>
  <c r="K11" i="1"/>
  <c r="J8" i="1"/>
  <c r="J9" i="1"/>
  <c r="J10" i="1"/>
  <c r="J11" i="1"/>
  <c r="I8" i="1"/>
  <c r="I9" i="1"/>
  <c r="I10" i="1"/>
  <c r="I11" i="1"/>
  <c r="H8" i="1"/>
  <c r="H9" i="1"/>
  <c r="H10" i="1"/>
  <c r="H11" i="1"/>
  <c r="J89" i="1"/>
  <c r="J90" i="1"/>
  <c r="J91" i="1"/>
  <c r="J92" i="1"/>
  <c r="J93" i="1"/>
  <c r="J94" i="1"/>
  <c r="J95" i="1"/>
  <c r="J96" i="1"/>
  <c r="J97" i="1"/>
  <c r="J98" i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I18" i="1"/>
  <c r="I19" i="1"/>
  <c r="I20" i="1"/>
  <c r="K18" i="1"/>
  <c r="K19" i="1"/>
  <c r="K20" i="1"/>
  <c r="K15" i="1"/>
  <c r="I15" i="1"/>
  <c r="K52" i="1"/>
  <c r="J52" i="1"/>
  <c r="I52" i="1"/>
  <c r="H52" i="1"/>
  <c r="K51" i="1"/>
  <c r="J51" i="1"/>
  <c r="I51" i="1"/>
  <c r="H51" i="1"/>
  <c r="K50" i="1"/>
  <c r="J50" i="1"/>
  <c r="I50" i="1"/>
  <c r="H50" i="1"/>
  <c r="K24" i="1"/>
  <c r="I24" i="1"/>
  <c r="J24" i="1"/>
  <c r="H24" i="1"/>
  <c r="K28" i="1"/>
  <c r="J28" i="1"/>
  <c r="I28" i="1"/>
  <c r="H28" i="1"/>
  <c r="K43" i="1"/>
  <c r="J43" i="1"/>
  <c r="I43" i="1"/>
  <c r="H43" i="1"/>
  <c r="K29" i="1"/>
  <c r="J29" i="1"/>
  <c r="I29" i="1"/>
  <c r="H29" i="1"/>
  <c r="K44" i="1"/>
  <c r="J44" i="1"/>
  <c r="I44" i="1"/>
  <c r="H44" i="1"/>
  <c r="K27" i="1"/>
  <c r="J27" i="1"/>
  <c r="I27" i="1"/>
  <c r="H27" i="1"/>
  <c r="K38" i="1"/>
  <c r="J38" i="1"/>
  <c r="I38" i="1"/>
  <c r="H38" i="1"/>
  <c r="K26" i="1"/>
  <c r="J26" i="1"/>
  <c r="I26" i="1"/>
  <c r="H26" i="1"/>
  <c r="K25" i="1"/>
  <c r="I25" i="1"/>
  <c r="J25" i="1"/>
  <c r="H25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21" i="1"/>
  <c r="K22" i="1"/>
  <c r="K23" i="1"/>
  <c r="I21" i="1"/>
  <c r="I22" i="1"/>
  <c r="I23" i="1"/>
  <c r="J21" i="1"/>
  <c r="J22" i="1"/>
  <c r="J23" i="1"/>
  <c r="H21" i="1"/>
  <c r="H22" i="1"/>
  <c r="H23" i="1"/>
  <c r="K39" i="1"/>
  <c r="K40" i="1"/>
  <c r="K41" i="1"/>
  <c r="J39" i="1"/>
  <c r="J40" i="1"/>
  <c r="J41" i="1"/>
  <c r="I39" i="1"/>
  <c r="I40" i="1"/>
  <c r="I41" i="1"/>
  <c r="H39" i="1"/>
  <c r="H40" i="1"/>
  <c r="H41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H99" i="1"/>
  <c r="G99" i="1"/>
  <c r="F99" i="1"/>
  <c r="E99" i="1"/>
  <c r="D99" i="1"/>
  <c r="C99" i="1"/>
  <c r="N79" i="1"/>
  <c r="M79" i="1" l="1"/>
  <c r="O79" i="1" s="1"/>
  <c r="M77" i="1"/>
  <c r="M78" i="1"/>
  <c r="O78" i="1" s="1"/>
  <c r="N77" i="1"/>
  <c r="J15" i="1"/>
  <c r="H15" i="1"/>
  <c r="L96" i="1" l="1"/>
  <c r="O77" i="1"/>
  <c r="I87" i="1"/>
  <c r="K42" i="1"/>
  <c r="J42" i="1"/>
  <c r="I42" i="1"/>
  <c r="H42" i="1"/>
  <c r="K31" i="1"/>
  <c r="J31" i="1"/>
  <c r="I31" i="1"/>
  <c r="H31" i="1"/>
  <c r="K30" i="1"/>
  <c r="J30" i="1"/>
  <c r="I30" i="1"/>
  <c r="H30" i="1"/>
  <c r="J19" i="1"/>
  <c r="H19" i="1"/>
  <c r="H16" i="1"/>
  <c r="J20" i="1"/>
  <c r="H20" i="1"/>
  <c r="J17" i="1"/>
  <c r="J18" i="1"/>
  <c r="J45" i="1"/>
  <c r="J46" i="1"/>
  <c r="J47" i="1"/>
  <c r="J48" i="1"/>
  <c r="J49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I17" i="1"/>
  <c r="I45" i="1"/>
  <c r="I46" i="1"/>
  <c r="I47" i="1"/>
  <c r="I48" i="1"/>
  <c r="I49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H17" i="1"/>
  <c r="H18" i="1"/>
  <c r="H45" i="1"/>
  <c r="H46" i="1"/>
  <c r="H47" i="1"/>
  <c r="H48" i="1"/>
  <c r="H49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I16" i="1"/>
  <c r="C77" i="1"/>
  <c r="B77" i="1"/>
  <c r="B81" i="1" s="1"/>
  <c r="L98" i="1" l="1"/>
  <c r="K87" i="1"/>
  <c r="F77" i="1"/>
  <c r="E77" i="1"/>
  <c r="D81" i="1"/>
  <c r="C81" i="1"/>
  <c r="E81" i="1" s="1"/>
  <c r="K17" i="1"/>
  <c r="K45" i="1"/>
  <c r="K46" i="1"/>
  <c r="K47" i="1"/>
  <c r="K48" i="1"/>
  <c r="K49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16" i="1"/>
  <c r="J16" i="1"/>
  <c r="L93" i="1" l="1"/>
  <c r="L87" i="1"/>
  <c r="L88" i="1"/>
  <c r="L90" i="1"/>
  <c r="L92" i="1"/>
  <c r="L91" i="1"/>
  <c r="L89" i="1"/>
  <c r="L95" i="1"/>
  <c r="L97" i="1"/>
  <c r="L94" i="1"/>
  <c r="F81" i="1"/>
  <c r="E73" i="1"/>
  <c r="F73" i="1"/>
</calcChain>
</file>

<file path=xl/sharedStrings.xml><?xml version="1.0" encoding="utf-8"?>
<sst xmlns="http://schemas.openxmlformats.org/spreadsheetml/2006/main" count="217" uniqueCount="110">
  <si>
    <t>157-21 Ship Loose Checksheet</t>
  </si>
  <si>
    <t>1/4" THK double shells (X6)</t>
  </si>
  <si>
    <t>1/4" THK single shells (X3)</t>
  </si>
  <si>
    <t>Top Cone (2 Pieces)</t>
  </si>
  <si>
    <t>Flat Bottom (2 Pieces)</t>
  </si>
  <si>
    <t>Rim Angle (X4)</t>
  </si>
  <si>
    <t>N1 (Pipe &amp; Flange)</t>
  </si>
  <si>
    <t>N1 Vent</t>
  </si>
  <si>
    <t>N1 Gasket &amp; Hardware</t>
  </si>
  <si>
    <t>N2 (Pipe &amp; Flange)</t>
  </si>
  <si>
    <t>N3 (Pipe &amp; Flange)</t>
  </si>
  <si>
    <t>N4 (Pipe, Flange, Blind, Gasket &amp; Hardware)</t>
  </si>
  <si>
    <t>N5 (Pipe &amp; Flange)</t>
  </si>
  <si>
    <t>N6 (Pipe &amp; Flange)</t>
  </si>
  <si>
    <t>N7 (Pipe &amp; Flange)</t>
  </si>
  <si>
    <t>N8 (Pipe &amp; Flange)</t>
  </si>
  <si>
    <t>N9 (Pipe &amp; Flange)</t>
  </si>
  <si>
    <t>M1 (Pipe,Flange,Blind,Gasket,Davit Arm,Hardware)</t>
  </si>
  <si>
    <t>M2 (Pipe,Flange,Blind,Gasket,Davit Arm,Hardware)</t>
  </si>
  <si>
    <t>N2 Repad (X2)</t>
  </si>
  <si>
    <t>N3 Repad (X2)</t>
  </si>
  <si>
    <t>M1 Repad (X2)</t>
  </si>
  <si>
    <t>M2 Repad (X2)</t>
  </si>
  <si>
    <t>N5 Repad (X2)</t>
  </si>
  <si>
    <t>Handail W/ Toe Plate (X2)</t>
  </si>
  <si>
    <t>Handrail post clips W/ hardware (X10)</t>
  </si>
  <si>
    <t>Lift Lugs (X4)</t>
  </si>
  <si>
    <t>Anchor Chair (X7)</t>
  </si>
  <si>
    <t>Anchor Chair W/ Ground lug (X1)</t>
  </si>
  <si>
    <t>Nameplate W/ Nameplate Bracket (X1)</t>
  </si>
  <si>
    <t>Items</t>
  </si>
  <si>
    <t>QC</t>
  </si>
  <si>
    <t>Shipping</t>
  </si>
  <si>
    <t>Package</t>
  </si>
  <si>
    <t>Job #</t>
  </si>
  <si>
    <t># of RT Shots</t>
  </si>
  <si>
    <t># of Accepted Shots</t>
  </si>
  <si>
    <t># of Rejected Shots</t>
  </si>
  <si>
    <t>RT Pass Rate</t>
  </si>
  <si>
    <t>RT Failure Rate</t>
  </si>
  <si>
    <t>Total:</t>
  </si>
  <si>
    <t>Subarc</t>
  </si>
  <si>
    <t>Handweld</t>
  </si>
  <si>
    <t>Process</t>
  </si>
  <si>
    <t>Subarc Welding</t>
  </si>
  <si>
    <t>Hand Welding</t>
  </si>
  <si>
    <t># Accepted</t>
  </si>
  <si>
    <t># Rejected</t>
  </si>
  <si>
    <t>Scale</t>
  </si>
  <si>
    <t>Pass Rate</t>
  </si>
  <si>
    <t>Fail Rate</t>
  </si>
  <si>
    <t>100% - 90%</t>
  </si>
  <si>
    <t>89% - 80%</t>
  </si>
  <si>
    <t>79% - 0%</t>
  </si>
  <si>
    <t>Material</t>
  </si>
  <si>
    <t>Combined Welding</t>
  </si>
  <si>
    <t>Total</t>
  </si>
  <si>
    <t>0% - 10%</t>
  </si>
  <si>
    <t>11% - 20%</t>
  </si>
  <si>
    <t>21% - 100%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</si>
  <si>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</si>
  <si>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</si>
  <si>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</si>
  <si>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</si>
  <si>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</si>
  <si>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</si>
  <si>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</si>
  <si>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</si>
  <si>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</si>
  <si>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</si>
  <si>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</si>
  <si>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</si>
  <si>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Months</t>
  </si>
  <si>
    <t>6 Months Moving Avg</t>
  </si>
  <si>
    <t>Start</t>
  </si>
  <si>
    <t>Finish</t>
  </si>
  <si>
    <t>Combined Pass Rate</t>
  </si>
  <si>
    <t>C/S Pass Rate</t>
  </si>
  <si>
    <t>S/S Pass Rate</t>
  </si>
  <si>
    <t>Exotic Pass Rate</t>
  </si>
  <si>
    <t>Hand</t>
  </si>
  <si>
    <t>Both</t>
  </si>
  <si>
    <t>Pass</t>
  </si>
  <si>
    <t>C/S Subarc</t>
  </si>
  <si>
    <t>C/S Hand</t>
  </si>
  <si>
    <t>S/S Subarc</t>
  </si>
  <si>
    <t>S/S Hand</t>
  </si>
  <si>
    <t>Exotic Subarc</t>
  </si>
  <si>
    <t>Exotic Hand</t>
  </si>
  <si>
    <t>2026 RT Pass / Fail Rate</t>
  </si>
  <si>
    <t>083-25</t>
  </si>
  <si>
    <t>SA240-316/316L</t>
  </si>
  <si>
    <t>062-25</t>
  </si>
  <si>
    <t>063-25</t>
  </si>
  <si>
    <t>064-25</t>
  </si>
  <si>
    <t>065-25</t>
  </si>
  <si>
    <t>089-25</t>
  </si>
  <si>
    <t>SA240-AL2205</t>
  </si>
  <si>
    <t>SA516-70</t>
  </si>
  <si>
    <t>N/A</t>
  </si>
  <si>
    <t>016-25</t>
  </si>
  <si>
    <t>019-25</t>
  </si>
  <si>
    <t>SA240-304-304L</t>
  </si>
  <si>
    <t>066-25</t>
  </si>
  <si>
    <t>067-25</t>
  </si>
  <si>
    <t>068-25</t>
  </si>
  <si>
    <t>SA506-70</t>
  </si>
  <si>
    <t>092-25</t>
  </si>
  <si>
    <t>093-25</t>
  </si>
  <si>
    <t>As of 2/23/26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</si>
</sst>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/>
    </xf>
    <xf numFmtId="9" fontId="0" fillId="0" borderId="8" xfId="0" applyNumberForma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0" borderId="1" xfId="0" applyFont="1" applyBorder="1" applyAlignment="1">
      <alignment horizontal="center" vertical="center"/>
    </xf>
    <xf numFmtId="0" fontId="0" fillId="0" borderId="11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1" xfId="0" applyBorder="1"/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9" fontId="0" fillId="0" borderId="35" xfId="0" applyNumberFormat="1" applyBorder="1" applyAlignment="1">
      <alignment horizontal="center" vertical="center"/>
    </xf>
    <xf numFmtId="9" fontId="0" fillId="0" borderId="36" xfId="0" applyNumberFormat="1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9" fontId="4" fillId="2" borderId="1" xfId="0" applyNumberFormat="1" applyFont="1" applyFill="1" applyBorder="1" applyAlignment="1">
      <alignment horizontal="center"/>
    </xf>
    <xf numFmtId="9" fontId="6" fillId="0" borderId="34" xfId="0" applyNumberFormat="1" applyFont="1" applyBorder="1" applyAlignment="1">
      <alignment horizontal="center" vertical="center"/>
    </xf>
    <xf numFmtId="14" fontId="0" fillId="0" borderId="0" xfId="0" applyNumberFormat="1"/>
    <xf numFmtId="9" fontId="4" fillId="2" borderId="34" xfId="0" applyNumberFormat="1" applyFont="1" applyFill="1" applyBorder="1" applyAlignment="1">
      <alignment horizontal="center" vertical="center"/>
    </xf>
    <xf numFmtId="9" fontId="6" fillId="3" borderId="34" xfId="0" applyNumberFormat="1" applyFont="1" applyFill="1" applyBorder="1" applyAlignment="1">
      <alignment horizontal="center" vertical="center"/>
    </xf>
    <xf numFmtId="9" fontId="4" fillId="2" borderId="12" xfId="0" applyNumberFormat="1" applyFont="1" applyFill="1" applyBorder="1" applyAlignment="1">
      <alignment horizontal="center" vertical="center"/>
    </xf>
    <xf numFmtId="9" fontId="4" fillId="2" borderId="13" xfId="0" applyNumberFormat="1" applyFont="1" applyFill="1" applyBorder="1" applyAlignment="1">
      <alignment horizontal="center" vertical="center"/>
    </xf>
    <xf numFmtId="9" fontId="4" fillId="4" borderId="34" xfId="0" applyNumberFormat="1" applyFont="1" applyFill="1" applyBorder="1" applyAlignment="1">
      <alignment horizontal="center" vertical="center"/>
    </xf>
    <xf numFmtId="9" fontId="4" fillId="2" borderId="15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3" borderId="34" xfId="0" applyNumberFormat="1" applyFont="1" applyFill="1" applyBorder="1" applyAlignment="1">
      <alignment horizontal="center" vertical="center"/>
    </xf>
    <xf numFmtId="9" fontId="0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1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 Pass Rate with</a:t>
            </a:r>
            <a:r>
              <a:rPr lang="en-US" baseline="0"/>
              <a:t> 6 Month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Inventory!$A$86</c:f>
              <c:strCache>
                <c:ptCount val="1"/>
                <c:pt idx="0">
                  <c:v>Months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Inventory!$B$87:$B$98</c:f>
              <c:numCache>
                <c:formatCode>General</c:formatCode>
                <c:ptCount val="12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A35D-44C5-B86B-473FFD5F42B9}"/>
            </c:ext>
          </c:extLst>
        </c:ser>
        <c:ser>
          <c:idx val="1"/>
          <c:order val="1"/>
          <c:tx>
            <c:strRef>
              <c:f>Inventory!$K$86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9"/>
              <c:tx>
                <c:rich>
                  <a:bodyPr/>
                  <a:lstStyle/>
                  <a:p>
                    <a:fld id="{C40BC6F8-8985-4D3F-BD7F-0E170C106235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633-4A4F-B462-489B985F33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Inventory!$K$87:$K$98</c:f>
              <c:numCache>
                <c:formatCode>0%</c:formatCode>
                <c:ptCount val="12"/>
                <c:pt idx="0">
                  <c:v>0.93650793650793651</c:v>
                </c:pt>
                <c:pt idx="1">
                  <c:v>0.87674418604651172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A35D-44C5-B86B-473FFD5F4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73040"/>
        <c:axId val="86677360"/>
      </c:barChart>
      <c:lineChart>
        <c:grouping val="standard"/>
        <c:varyColors val="0"/>
        <c:ser>
          <c:idx val="2"/>
          <c:order val="2"/>
          <c:tx>
            <c:strRef>
              <c:f>Inventory!$L$86</c:f>
              <c:strCache>
                <c:ptCount val="1"/>
                <c:pt idx="0">
                  <c:v>6 Months Moving Avg</c:v>
                </c:pt>
              </c:strCache>
            </c:strRef>
          </c:tx>
          <c:spPr>
            <a:ln w="34925" cap="rnd">
              <a:solidFill>
                <a:schemeClr val="bg2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Inventory!$A$87:$A$98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Inventory!$L$87:$L$98</c:f>
              <c:numCache>
                <c:formatCode>0%</c:formatCode>
                <c:ptCount val="12"/>
                <c:pt idx="0">
                  <c:v>0.93650793650793651</c:v>
                </c:pt>
                <c:pt idx="1">
                  <c:v>0.90662606127722412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5D-44C5-B86B-473FFD5F4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73040"/>
        <c:axId val="86677360"/>
      </c:lineChart>
      <c:catAx>
        <c:axId val="8667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77360"/>
        <c:crossesAt val="0"/>
        <c:auto val="1"/>
        <c:lblAlgn val="ctr"/>
        <c:lblOffset val="100"/>
        <c:noMultiLvlLbl val="0"/>
      </c:catAx>
      <c:valAx>
        <c:axId val="866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7304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226218</xdr:colOff>
      <xdr:row>101</xdr:row>
      <xdr:rowOff>11908</xdr:rowOff>
    </xdr:from>
    <xdr:to>
      <xdr:col>10</xdr:col>
      <xdr:colOff>35716</xdr:colOff>
      <xdr:row>121</xdr:row>
      <xdr:rowOff>107156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5CC157-3CC3-4021-B3B4-8435C37DA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"/>
  <sheetViews>
    <sheetView tabSelected="1" topLeftCell="A48" zoomScale="80" zoomScaleNormal="80" workbookViewId="0">
      <selection activeCell="R93" sqref="R93"/>
    </sheetView>
  </sheetViews>
  <sheetFormatPr defaultRowHeight="15" x14ac:dyDescent="0.25"/>
  <cols>
    <col min="2" max="3" width="13.5703125" bestFit="1" customWidth="1"/>
    <col min="4" max="5" width="20.28515625" bestFit="1" customWidth="1"/>
    <col min="6" max="7" width="20" bestFit="1" customWidth="1"/>
    <col min="8" max="9" width="13.5703125" bestFit="1" customWidth="1"/>
    <col min="10" max="11" width="16.28515625" bestFit="1" customWidth="1"/>
    <col min="12" max="12" width="21.7109375" bestFit="1" customWidth="1"/>
    <col min="13" max="13" width="15.85546875" bestFit="1" customWidth="1"/>
    <col min="14" max="15" width="11.5703125" bestFit="1" customWidth="1"/>
    <col min="17" max="17" width="4.85546875" customWidth="1"/>
    <col min="18" max="19" width="13.5703125" bestFit="1" customWidth="1"/>
    <col min="20" max="21" width="20.28515625" bestFit="1" customWidth="1"/>
    <col min="22" max="23" width="20" bestFit="1" customWidth="1"/>
    <col min="24" max="26" width="10.7109375" bestFit="1" customWidth="1"/>
  </cols>
  <sheetData>
    <row r="1" spans="1:26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6" ht="15" customHeight="1" x14ac:dyDescent="0.45">
      <c r="A2" s="65" t="s">
        <v>89</v>
      </c>
      <c r="B2" s="66"/>
      <c r="C2" s="66"/>
      <c r="D2" s="66"/>
      <c r="E2" s="66"/>
      <c r="F2" s="66"/>
      <c r="G2" s="66"/>
      <c r="H2" s="66"/>
      <c r="I2" s="66"/>
      <c r="J2" s="66"/>
      <c r="K2" s="67"/>
      <c r="L2" s="2"/>
      <c r="M2" s="2"/>
      <c r="N2" s="2"/>
      <c r="O2" s="2"/>
      <c r="P2" s="1"/>
    </row>
    <row r="3" spans="1:26" ht="15" customHeight="1" x14ac:dyDescent="0.45">
      <c r="A3" s="68"/>
      <c r="B3" s="69"/>
      <c r="C3" s="69"/>
      <c r="D3" s="69"/>
      <c r="E3" s="69"/>
      <c r="F3" s="69"/>
      <c r="G3" s="69"/>
      <c r="H3" s="69"/>
      <c r="I3" s="69"/>
      <c r="J3" s="69"/>
      <c r="K3" s="70"/>
      <c r="L3" s="2"/>
      <c r="M3" s="2"/>
      <c r="N3" s="2"/>
      <c r="O3" s="2"/>
      <c r="R3" s="27"/>
      <c r="S3" s="27"/>
      <c r="T3" s="27"/>
      <c r="U3" s="27"/>
      <c r="V3" s="27"/>
      <c r="W3" s="27"/>
      <c r="X3" s="27"/>
      <c r="Y3" s="27"/>
      <c r="Z3" s="27"/>
    </row>
    <row r="4" spans="1:26" ht="15" customHeight="1" thickBot="1" x14ac:dyDescent="0.3">
      <c r="A4" s="40" t="s">
        <v>43</v>
      </c>
      <c r="B4" s="19" t="s">
        <v>41</v>
      </c>
      <c r="C4" s="19" t="s">
        <v>42</v>
      </c>
      <c r="D4" s="19" t="s">
        <v>41</v>
      </c>
      <c r="E4" s="19" t="s">
        <v>42</v>
      </c>
      <c r="F4" s="19" t="s">
        <v>41</v>
      </c>
      <c r="G4" s="19" t="s">
        <v>42</v>
      </c>
      <c r="H4" s="19" t="s">
        <v>41</v>
      </c>
      <c r="I4" s="19" t="s">
        <v>42</v>
      </c>
      <c r="J4" s="19" t="s">
        <v>41</v>
      </c>
      <c r="K4" s="41" t="s">
        <v>42</v>
      </c>
      <c r="L4" s="27"/>
      <c r="M4" s="27"/>
      <c r="N4" s="13" t="s">
        <v>74</v>
      </c>
      <c r="O4" s="13" t="s">
        <v>75</v>
      </c>
      <c r="R4" s="34"/>
      <c r="S4" s="34"/>
      <c r="T4" s="34"/>
      <c r="U4" s="13"/>
      <c r="V4" s="13"/>
      <c r="W4" s="34"/>
      <c r="X4" s="34"/>
      <c r="Y4" s="34"/>
      <c r="Z4" s="34"/>
    </row>
    <row r="5" spans="1:26" x14ac:dyDescent="0.25">
      <c r="A5" s="16" t="s">
        <v>34</v>
      </c>
      <c r="B5" s="17" t="s">
        <v>35</v>
      </c>
      <c r="C5" s="17" t="s">
        <v>35</v>
      </c>
      <c r="D5" s="17" t="s">
        <v>36</v>
      </c>
      <c r="E5" s="17" t="s">
        <v>36</v>
      </c>
      <c r="F5" s="17" t="s">
        <v>37</v>
      </c>
      <c r="G5" s="17" t="s">
        <v>37</v>
      </c>
      <c r="H5" s="17" t="s">
        <v>38</v>
      </c>
      <c r="I5" s="17" t="s">
        <v>38</v>
      </c>
      <c r="J5" s="18" t="s">
        <v>39</v>
      </c>
      <c r="K5" s="18" t="s">
        <v>39</v>
      </c>
      <c r="L5" s="39" t="s">
        <v>76</v>
      </c>
      <c r="M5" s="27" t="s">
        <v>54</v>
      </c>
      <c r="N5" s="27"/>
      <c r="O5" s="27"/>
      <c r="R5" s="32"/>
      <c r="S5" s="32"/>
      <c r="T5" s="32"/>
      <c r="U5" s="32"/>
      <c r="V5" s="32"/>
      <c r="W5" s="32"/>
      <c r="X5" s="35"/>
      <c r="Y5" s="35"/>
      <c r="Z5" s="35"/>
    </row>
    <row r="6" spans="1:26" x14ac:dyDescent="0.25">
      <c r="A6" s="16" t="s">
        <v>100</v>
      </c>
      <c r="B6" s="4">
        <v>6</v>
      </c>
      <c r="C6" s="4">
        <v>0</v>
      </c>
      <c r="D6" s="4">
        <v>6</v>
      </c>
      <c r="E6" s="4">
        <v>0</v>
      </c>
      <c r="F6" s="4">
        <v>0</v>
      </c>
      <c r="G6" s="4">
        <v>0</v>
      </c>
      <c r="H6" s="5">
        <f t="shared" ref="H6:H14" si="0">SUM(D6/B6)</f>
        <v>1</v>
      </c>
      <c r="I6" s="15" t="e">
        <f t="shared" ref="I6:I14" si="1">SUM(E6/C6)</f>
        <v>#DIV/0!</v>
      </c>
      <c r="J6" s="15">
        <f t="shared" ref="J6:J14" si="2">SUM(F6/B6)</f>
        <v>0</v>
      </c>
      <c r="K6" s="11" t="e">
        <f t="shared" ref="K6:K14" si="3">SUM(G6/C6)</f>
        <v>#DIV/0!</v>
      </c>
      <c r="L6" s="51">
        <f t="shared" ref="L6:L14" si="4">AVERAGE(D6+E6)/(C6+B6)</f>
        <v>1</v>
      </c>
      <c r="M6" s="13" t="s">
        <v>102</v>
      </c>
      <c r="N6" s="27"/>
      <c r="O6" s="31">
        <v>46049</v>
      </c>
      <c r="R6" s="32"/>
      <c r="S6" s="32"/>
      <c r="T6" s="32"/>
      <c r="U6" s="32"/>
      <c r="V6" s="32"/>
      <c r="W6" s="32"/>
      <c r="X6" s="35"/>
      <c r="Y6" s="35"/>
      <c r="Z6" s="35"/>
    </row>
    <row r="7" spans="1:26" x14ac:dyDescent="0.25">
      <c r="A7" s="16" t="s">
        <v>101</v>
      </c>
      <c r="B7" s="4">
        <v>6</v>
      </c>
      <c r="C7" s="4">
        <v>0</v>
      </c>
      <c r="D7" s="4">
        <v>6</v>
      </c>
      <c r="E7" s="4">
        <v>0</v>
      </c>
      <c r="F7" s="4">
        <v>0</v>
      </c>
      <c r="G7" s="4">
        <v>0</v>
      </c>
      <c r="H7" s="5">
        <f t="shared" si="0"/>
        <v>1</v>
      </c>
      <c r="I7" s="15" t="e">
        <f t="shared" si="1"/>
        <v>#DIV/0!</v>
      </c>
      <c r="J7" s="15">
        <f t="shared" si="2"/>
        <v>0</v>
      </c>
      <c r="K7" s="11" t="e">
        <f t="shared" si="3"/>
        <v>#DIV/0!</v>
      </c>
      <c r="L7" s="51">
        <f t="shared" si="4"/>
        <v>1</v>
      </c>
      <c r="M7" s="13" t="s">
        <v>91</v>
      </c>
      <c r="N7" s="13"/>
      <c r="O7" s="31">
        <v>46049</v>
      </c>
      <c r="R7" s="32"/>
      <c r="S7" s="32"/>
      <c r="T7" s="32"/>
      <c r="U7" s="32"/>
      <c r="V7" s="32"/>
      <c r="W7" s="32"/>
      <c r="X7" s="35"/>
      <c r="Y7" s="35"/>
      <c r="Z7" s="35"/>
    </row>
    <row r="8" spans="1:26" x14ac:dyDescent="0.25">
      <c r="A8" s="16" t="s">
        <v>92</v>
      </c>
      <c r="B8" s="4">
        <v>1</v>
      </c>
      <c r="C8" s="4">
        <v>0</v>
      </c>
      <c r="D8" s="4">
        <v>1</v>
      </c>
      <c r="E8" s="4">
        <v>0</v>
      </c>
      <c r="F8" s="4">
        <v>0</v>
      </c>
      <c r="G8" s="4">
        <v>0</v>
      </c>
      <c r="H8" s="5">
        <f t="shared" si="0"/>
        <v>1</v>
      </c>
      <c r="I8" s="15" t="e">
        <f t="shared" si="1"/>
        <v>#DIV/0!</v>
      </c>
      <c r="J8" s="15">
        <f t="shared" si="2"/>
        <v>0</v>
      </c>
      <c r="K8" s="11" t="e">
        <f t="shared" si="3"/>
        <v>#DIV/0!</v>
      </c>
      <c r="L8" s="51">
        <f t="shared" si="4"/>
        <v>1</v>
      </c>
      <c r="M8" s="13" t="s">
        <v>98</v>
      </c>
      <c r="N8" s="13"/>
      <c r="O8" s="31">
        <v>46038</v>
      </c>
      <c r="R8" s="32"/>
      <c r="S8" s="32"/>
      <c r="T8" s="32"/>
      <c r="U8" s="32"/>
      <c r="V8" s="32"/>
      <c r="W8" s="32"/>
      <c r="X8" s="35"/>
      <c r="Y8" s="35"/>
      <c r="Z8" s="35"/>
    </row>
    <row r="9" spans="1:26" x14ac:dyDescent="0.25">
      <c r="A9" s="16" t="s">
        <v>93</v>
      </c>
      <c r="B9" s="4">
        <v>1</v>
      </c>
      <c r="C9" s="4">
        <v>0</v>
      </c>
      <c r="D9" s="4">
        <v>1</v>
      </c>
      <c r="E9" s="4">
        <v>0</v>
      </c>
      <c r="F9" s="4">
        <v>0</v>
      </c>
      <c r="G9" s="4">
        <v>0</v>
      </c>
      <c r="H9" s="5">
        <f t="shared" si="0"/>
        <v>1</v>
      </c>
      <c r="I9" s="15" t="e">
        <f t="shared" si="1"/>
        <v>#DIV/0!</v>
      </c>
      <c r="J9" s="15">
        <f t="shared" si="2"/>
        <v>0</v>
      </c>
      <c r="K9" s="11" t="e">
        <f t="shared" si="3"/>
        <v>#DIV/0!</v>
      </c>
      <c r="L9" s="51">
        <f t="shared" si="4"/>
        <v>1</v>
      </c>
      <c r="M9" s="13" t="s">
        <v>98</v>
      </c>
      <c r="N9" s="13"/>
      <c r="O9" s="31">
        <v>46038</v>
      </c>
      <c r="R9" s="32"/>
      <c r="S9" s="32"/>
      <c r="T9" s="32"/>
      <c r="U9" s="32"/>
      <c r="V9" s="32"/>
      <c r="W9" s="32"/>
      <c r="X9" s="35"/>
      <c r="Y9" s="35"/>
      <c r="Z9" s="35"/>
    </row>
    <row r="10" spans="1:26" x14ac:dyDescent="0.25">
      <c r="A10" s="16" t="s">
        <v>94</v>
      </c>
      <c r="B10" s="4">
        <v>8</v>
      </c>
      <c r="C10" s="4">
        <v>0</v>
      </c>
      <c r="D10" s="4">
        <v>7</v>
      </c>
      <c r="E10" s="4">
        <v>0</v>
      </c>
      <c r="F10" s="4">
        <v>1</v>
      </c>
      <c r="G10" s="4">
        <v>0</v>
      </c>
      <c r="H10" s="5">
        <f t="shared" si="0"/>
        <v>0.875</v>
      </c>
      <c r="I10" s="15" t="e">
        <f t="shared" si="1"/>
        <v>#DIV/0!</v>
      </c>
      <c r="J10" s="15">
        <f t="shared" si="2"/>
        <v>0.125</v>
      </c>
      <c r="K10" s="11" t="e">
        <f t="shared" si="3"/>
        <v>#DIV/0!</v>
      </c>
      <c r="L10" s="52">
        <f t="shared" si="4"/>
        <v>0.875</v>
      </c>
      <c r="M10" s="13" t="s">
        <v>98</v>
      </c>
      <c r="N10" s="31">
        <v>46038</v>
      </c>
      <c r="O10" s="31">
        <v>46052</v>
      </c>
      <c r="R10" s="32"/>
      <c r="S10" s="32"/>
      <c r="T10" s="32"/>
      <c r="U10" s="32"/>
      <c r="V10" s="32"/>
      <c r="W10" s="32"/>
      <c r="X10" s="35"/>
      <c r="Y10" s="35"/>
      <c r="Z10" s="35"/>
    </row>
    <row r="11" spans="1:26" x14ac:dyDescent="0.25">
      <c r="A11" s="16" t="s">
        <v>95</v>
      </c>
      <c r="B11" s="4">
        <v>5</v>
      </c>
      <c r="C11" s="4">
        <v>0</v>
      </c>
      <c r="D11" s="4">
        <v>5</v>
      </c>
      <c r="E11" s="4">
        <v>0</v>
      </c>
      <c r="F11" s="4">
        <v>0</v>
      </c>
      <c r="G11" s="4">
        <v>0</v>
      </c>
      <c r="H11" s="5">
        <f t="shared" si="0"/>
        <v>1</v>
      </c>
      <c r="I11" s="15" t="e">
        <f t="shared" si="1"/>
        <v>#DIV/0!</v>
      </c>
      <c r="J11" s="15">
        <f t="shared" si="2"/>
        <v>0</v>
      </c>
      <c r="K11" s="11" t="e">
        <f t="shared" si="3"/>
        <v>#DIV/0!</v>
      </c>
      <c r="L11" s="51">
        <f t="shared" si="4"/>
        <v>1</v>
      </c>
      <c r="M11" s="13" t="s">
        <v>98</v>
      </c>
      <c r="N11" s="31">
        <v>46038</v>
      </c>
      <c r="O11" s="31">
        <v>46058</v>
      </c>
      <c r="R11" s="32"/>
      <c r="S11" s="32"/>
      <c r="T11" s="32"/>
      <c r="U11" s="32"/>
      <c r="V11" s="32"/>
      <c r="W11" s="32"/>
      <c r="X11" s="35"/>
      <c r="Y11" s="35"/>
      <c r="Z11" s="35"/>
    </row>
    <row r="12" spans="1:26" x14ac:dyDescent="0.25">
      <c r="A12" s="16" t="s">
        <v>103</v>
      </c>
      <c r="B12" s="4">
        <v>5</v>
      </c>
      <c r="C12" s="4">
        <v>0</v>
      </c>
      <c r="D12" s="4">
        <v>5</v>
      </c>
      <c r="E12" s="4">
        <v>0</v>
      </c>
      <c r="F12" s="4">
        <v>0</v>
      </c>
      <c r="G12" s="4">
        <v>0</v>
      </c>
      <c r="H12" s="5">
        <f t="shared" si="0"/>
        <v>1</v>
      </c>
      <c r="I12" s="15" t="e">
        <f t="shared" si="1"/>
        <v>#DIV/0!</v>
      </c>
      <c r="J12" s="15">
        <f t="shared" si="2"/>
        <v>0</v>
      </c>
      <c r="K12" s="11" t="e">
        <f t="shared" si="3"/>
        <v>#DIV/0!</v>
      </c>
      <c r="L12" s="51">
        <f t="shared" si="4"/>
        <v>1</v>
      </c>
      <c r="M12" s="13" t="s">
        <v>98</v>
      </c>
      <c r="N12" s="31">
        <v>46052</v>
      </c>
      <c r="O12" s="31">
        <v>46076</v>
      </c>
      <c r="R12" s="32"/>
      <c r="S12" s="32"/>
      <c r="T12" s="32"/>
      <c r="U12" s="32"/>
      <c r="V12" s="32"/>
      <c r="W12" s="32"/>
      <c r="X12" s="35"/>
      <c r="Y12" s="35"/>
      <c r="Z12" s="35"/>
    </row>
    <row r="13" spans="1:26" x14ac:dyDescent="0.25">
      <c r="A13" s="16" t="s">
        <v>104</v>
      </c>
      <c r="B13" s="4">
        <v>7</v>
      </c>
      <c r="C13" s="4">
        <v>0</v>
      </c>
      <c r="D13" s="4">
        <v>6</v>
      </c>
      <c r="E13" s="4">
        <v>0</v>
      </c>
      <c r="F13" s="4">
        <v>1</v>
      </c>
      <c r="G13" s="4">
        <v>0</v>
      </c>
      <c r="H13" s="5">
        <f t="shared" si="0"/>
        <v>0.8571428571428571</v>
      </c>
      <c r="I13" s="15" t="e">
        <f t="shared" si="1"/>
        <v>#DIV/0!</v>
      </c>
      <c r="J13" s="15">
        <f t="shared" si="2"/>
        <v>0.14285714285714285</v>
      </c>
      <c r="K13" s="11" t="e">
        <f t="shared" si="3"/>
        <v>#DIV/0!</v>
      </c>
      <c r="L13" s="86">
        <f t="shared" si="4"/>
        <v>0.8571428571428571</v>
      </c>
      <c r="M13" s="13" t="s">
        <v>98</v>
      </c>
      <c r="N13" s="31">
        <v>46070</v>
      </c>
      <c r="O13" s="13"/>
      <c r="R13" s="32"/>
      <c r="S13" s="32"/>
      <c r="T13" s="32"/>
      <c r="U13" s="32"/>
      <c r="V13" s="32"/>
      <c r="W13" s="32"/>
      <c r="X13" s="35"/>
      <c r="Y13" s="35"/>
      <c r="Z13" s="35"/>
    </row>
    <row r="14" spans="1:26" x14ac:dyDescent="0.25">
      <c r="A14" s="16" t="s">
        <v>105</v>
      </c>
      <c r="B14" s="4">
        <v>7</v>
      </c>
      <c r="C14" s="4">
        <v>0</v>
      </c>
      <c r="D14" s="4">
        <v>6</v>
      </c>
      <c r="E14" s="4">
        <v>0</v>
      </c>
      <c r="F14" s="4">
        <v>1</v>
      </c>
      <c r="G14" s="4">
        <v>0</v>
      </c>
      <c r="H14" s="5">
        <f t="shared" si="0"/>
        <v>0.8571428571428571</v>
      </c>
      <c r="I14" s="15" t="e">
        <f t="shared" si="1"/>
        <v>#DIV/0!</v>
      </c>
      <c r="J14" s="15">
        <f t="shared" si="2"/>
        <v>0.14285714285714285</v>
      </c>
      <c r="K14" s="11" t="e">
        <f t="shared" si="3"/>
        <v>#DIV/0!</v>
      </c>
      <c r="L14" s="86">
        <f t="shared" si="4"/>
        <v>0.8571428571428571</v>
      </c>
      <c r="M14" s="13" t="s">
        <v>98</v>
      </c>
      <c r="N14" s="31">
        <v>46070</v>
      </c>
      <c r="O14" s="13"/>
      <c r="R14" s="32"/>
      <c r="S14" s="32"/>
      <c r="T14" s="32"/>
      <c r="U14" s="32"/>
      <c r="V14" s="32"/>
      <c r="W14" s="32"/>
      <c r="X14" s="35"/>
      <c r="Y14" s="35"/>
      <c r="Z14" s="35"/>
    </row>
    <row r="15" spans="1:26" x14ac:dyDescent="0.25">
      <c r="A15" s="16" t="s">
        <v>90</v>
      </c>
      <c r="B15" s="4">
        <v>53</v>
      </c>
      <c r="C15" s="4">
        <v>0</v>
      </c>
      <c r="D15" s="4">
        <v>53</v>
      </c>
      <c r="E15" s="4">
        <v>0</v>
      </c>
      <c r="F15" s="4">
        <v>0</v>
      </c>
      <c r="G15" s="4">
        <v>0</v>
      </c>
      <c r="H15" s="5">
        <f>SUM(D15/B15)</f>
        <v>1</v>
      </c>
      <c r="I15" s="15" t="e">
        <f>SUM(E15/C15)</f>
        <v>#DIV/0!</v>
      </c>
      <c r="J15" s="15">
        <f>SUM(F15/B15)</f>
        <v>0</v>
      </c>
      <c r="K15" s="11" t="e">
        <f>SUM(G15/C15)</f>
        <v>#DIV/0!</v>
      </c>
      <c r="L15" s="51">
        <f t="shared" ref="L15:L69" si="5">AVERAGE(D15+E15)/(C15+B15)</f>
        <v>1</v>
      </c>
      <c r="M15" s="13" t="s">
        <v>91</v>
      </c>
      <c r="N15" s="31">
        <v>46034</v>
      </c>
      <c r="O15" s="27"/>
      <c r="R15" s="32"/>
      <c r="S15" s="32"/>
      <c r="T15" s="32"/>
      <c r="U15" s="32"/>
      <c r="V15" s="32"/>
      <c r="W15" s="32"/>
      <c r="X15" s="35"/>
      <c r="Y15" s="35"/>
      <c r="Z15" s="35"/>
    </row>
    <row r="16" spans="1:26" x14ac:dyDescent="0.25">
      <c r="A16" s="10" t="s">
        <v>96</v>
      </c>
      <c r="B16" s="4">
        <v>70</v>
      </c>
      <c r="C16" s="4">
        <v>0</v>
      </c>
      <c r="D16" s="4">
        <v>63</v>
      </c>
      <c r="E16" s="4">
        <v>0</v>
      </c>
      <c r="F16" s="4">
        <v>7</v>
      </c>
      <c r="G16" s="4">
        <v>0</v>
      </c>
      <c r="H16" s="5">
        <f>SUM(D16/B16)</f>
        <v>0.9</v>
      </c>
      <c r="I16" s="15" t="e">
        <f>SUM(E16/C16)</f>
        <v>#DIV/0!</v>
      </c>
      <c r="J16" s="15">
        <f>SUM(F16/B16)</f>
        <v>0.1</v>
      </c>
      <c r="K16" s="11" t="e">
        <f>SUM(G16/C16)</f>
        <v>#DIV/0!</v>
      </c>
      <c r="L16" s="51">
        <f t="shared" si="5"/>
        <v>0.9</v>
      </c>
      <c r="M16" s="13" t="s">
        <v>97</v>
      </c>
      <c r="N16" s="31">
        <v>46038</v>
      </c>
      <c r="O16" s="31">
        <v>46070</v>
      </c>
      <c r="R16" s="32"/>
      <c r="S16" s="32"/>
      <c r="T16" s="32"/>
      <c r="U16" s="32"/>
      <c r="V16" s="32"/>
      <c r="W16" s="32"/>
      <c r="X16" s="35"/>
      <c r="Y16" s="35"/>
      <c r="Z16" s="35"/>
    </row>
    <row r="17" spans="1:26" x14ac:dyDescent="0.25">
      <c r="A17" s="10" t="s">
        <v>107</v>
      </c>
      <c r="B17" s="4">
        <v>0</v>
      </c>
      <c r="C17" s="4">
        <v>3</v>
      </c>
      <c r="D17" s="4">
        <v>0</v>
      </c>
      <c r="E17" s="4">
        <v>2</v>
      </c>
      <c r="F17" s="4">
        <v>0</v>
      </c>
      <c r="G17" s="4">
        <v>1</v>
      </c>
      <c r="H17" s="5" t="e">
        <f t="shared" ref="H17:H69" si="6">SUM(D17/B17)</f>
        <v>#DIV/0!</v>
      </c>
      <c r="I17" s="15">
        <f t="shared" ref="I17:I69" si="7">SUM(E17/C17)</f>
        <v>0.66666666666666663</v>
      </c>
      <c r="J17" s="15" t="e">
        <f t="shared" ref="J17:J69" si="8">SUM(F17/B17)</f>
        <v>#DIV/0!</v>
      </c>
      <c r="K17" s="11">
        <f t="shared" ref="K17:K69" si="9">SUM(G17/C17)</f>
        <v>0.33333333333333331</v>
      </c>
      <c r="L17" s="55">
        <f t="shared" si="5"/>
        <v>0.66666666666666663</v>
      </c>
      <c r="M17" s="13" t="s">
        <v>91</v>
      </c>
      <c r="N17" s="31">
        <v>46070</v>
      </c>
      <c r="O17" s="31"/>
      <c r="R17" s="32"/>
      <c r="S17" s="32"/>
      <c r="T17" s="32"/>
      <c r="U17" s="32"/>
      <c r="V17" s="32"/>
      <c r="W17" s="32"/>
      <c r="X17" s="35"/>
      <c r="Y17" s="35"/>
      <c r="Z17" s="35"/>
    </row>
    <row r="18" spans="1:26" x14ac:dyDescent="0.25">
      <c r="A18" s="10" t="s">
        <v>108</v>
      </c>
      <c r="B18" s="4">
        <v>0</v>
      </c>
      <c r="C18" s="4">
        <v>2</v>
      </c>
      <c r="D18" s="4">
        <v>0</v>
      </c>
      <c r="E18" s="4">
        <v>2</v>
      </c>
      <c r="F18" s="4">
        <v>0</v>
      </c>
      <c r="G18" s="4">
        <v>0</v>
      </c>
      <c r="H18" s="5" t="e">
        <f t="shared" si="6"/>
        <v>#DIV/0!</v>
      </c>
      <c r="I18" s="15">
        <f t="shared" si="7"/>
        <v>1</v>
      </c>
      <c r="J18" s="15" t="e">
        <f t="shared" si="8"/>
        <v>#DIV/0!</v>
      </c>
      <c r="K18" s="56">
        <f t="shared" si="9"/>
        <v>0</v>
      </c>
      <c r="L18" s="51">
        <f t="shared" si="5"/>
        <v>1</v>
      </c>
      <c r="M18" s="13" t="s">
        <v>91</v>
      </c>
      <c r="N18" s="31">
        <v>46070</v>
      </c>
      <c r="O18" s="31"/>
      <c r="R18" s="32"/>
      <c r="S18" s="32"/>
      <c r="T18" s="32"/>
      <c r="U18" s="32"/>
      <c r="V18" s="32"/>
      <c r="W18" s="32"/>
      <c r="X18" s="35"/>
      <c r="Y18" s="36"/>
      <c r="Z18" s="35"/>
    </row>
    <row r="19" spans="1:26" x14ac:dyDescent="0.25">
      <c r="A19" s="10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5" t="e">
        <f t="shared" si="6"/>
        <v>#DIV/0!</v>
      </c>
      <c r="I19" s="15" t="e">
        <f t="shared" si="7"/>
        <v>#DIV/0!</v>
      </c>
      <c r="J19" s="15" t="e">
        <f t="shared" si="8"/>
        <v>#DIV/0!</v>
      </c>
      <c r="K19" s="11" t="e">
        <f t="shared" si="9"/>
        <v>#DIV/0!</v>
      </c>
      <c r="L19" s="49" t="e">
        <f t="shared" si="5"/>
        <v>#DIV/0!</v>
      </c>
      <c r="M19" s="13" t="s">
        <v>106</v>
      </c>
      <c r="N19" s="31"/>
      <c r="R19" s="32"/>
      <c r="S19" s="32"/>
      <c r="T19" s="32"/>
      <c r="U19" s="32"/>
      <c r="V19" s="32"/>
      <c r="W19" s="32"/>
      <c r="X19" s="36"/>
      <c r="Y19" s="36"/>
      <c r="Z19" s="36"/>
    </row>
    <row r="20" spans="1:26" x14ac:dyDescent="0.25">
      <c r="A20" s="10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5" t="e">
        <f t="shared" si="6"/>
        <v>#DIV/0!</v>
      </c>
      <c r="I20" s="15" t="e">
        <f t="shared" si="7"/>
        <v>#DIV/0!</v>
      </c>
      <c r="J20" s="15" t="e">
        <f t="shared" si="8"/>
        <v>#DIV/0!</v>
      </c>
      <c r="K20" s="11" t="e">
        <f t="shared" si="9"/>
        <v>#DIV/0!</v>
      </c>
      <c r="L20" s="49" t="e">
        <f t="shared" si="5"/>
        <v>#DIV/0!</v>
      </c>
      <c r="M20" s="13" t="s">
        <v>106</v>
      </c>
      <c r="N20" s="31"/>
      <c r="R20" s="32"/>
      <c r="S20" s="32"/>
      <c r="T20" s="32"/>
      <c r="U20" s="32"/>
      <c r="V20" s="32"/>
      <c r="W20" s="32"/>
      <c r="X20" s="36"/>
      <c r="Y20" s="36"/>
      <c r="Z20" s="36"/>
    </row>
    <row r="21" spans="1:26" x14ac:dyDescent="0.25">
      <c r="A21" s="10"/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5" t="e">
        <f t="shared" si="6"/>
        <v>#DIV/0!</v>
      </c>
      <c r="I21" s="15" t="e">
        <f t="shared" si="7"/>
        <v>#DIV/0!</v>
      </c>
      <c r="J21" s="15" t="e">
        <f t="shared" si="8"/>
        <v>#DIV/0!</v>
      </c>
      <c r="K21" s="11" t="e">
        <f t="shared" si="9"/>
        <v>#DIV/0!</v>
      </c>
      <c r="L21" s="49" t="e">
        <f t="shared" si="5"/>
        <v>#DIV/0!</v>
      </c>
      <c r="M21" s="13" t="s">
        <v>106</v>
      </c>
      <c r="N21" s="31"/>
      <c r="R21" s="32"/>
      <c r="S21" s="32"/>
      <c r="T21" s="32"/>
      <c r="U21" s="32"/>
      <c r="V21" s="32"/>
      <c r="W21" s="32"/>
      <c r="X21" s="36"/>
      <c r="Y21" s="36"/>
      <c r="Z21" s="36"/>
    </row>
    <row r="22" spans="1:26" x14ac:dyDescent="0.25">
      <c r="A22" s="10"/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5" t="e">
        <f t="shared" si="6"/>
        <v>#DIV/0!</v>
      </c>
      <c r="I22" s="15" t="e">
        <f t="shared" si="7"/>
        <v>#DIV/0!</v>
      </c>
      <c r="J22" s="15" t="e">
        <f t="shared" si="8"/>
        <v>#DIV/0!</v>
      </c>
      <c r="K22" s="11" t="e">
        <f t="shared" si="9"/>
        <v>#DIV/0!</v>
      </c>
      <c r="L22" s="49" t="e">
        <f t="shared" si="5"/>
        <v>#DIV/0!</v>
      </c>
      <c r="M22" s="13" t="s">
        <v>106</v>
      </c>
      <c r="N22" s="31"/>
      <c r="R22" s="32"/>
      <c r="S22" s="32"/>
      <c r="T22" s="32"/>
      <c r="U22" s="32"/>
      <c r="V22" s="32"/>
      <c r="W22" s="32"/>
      <c r="X22" s="36"/>
      <c r="Y22" s="36"/>
      <c r="Z22" s="36"/>
    </row>
    <row r="23" spans="1:26" x14ac:dyDescent="0.25">
      <c r="A23" s="10"/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5" t="e">
        <f t="shared" si="6"/>
        <v>#DIV/0!</v>
      </c>
      <c r="I23" s="15" t="e">
        <f t="shared" si="7"/>
        <v>#DIV/0!</v>
      </c>
      <c r="J23" s="15" t="e">
        <f t="shared" si="8"/>
        <v>#DIV/0!</v>
      </c>
      <c r="K23" s="11" t="e">
        <f t="shared" si="9"/>
        <v>#DIV/0!</v>
      </c>
      <c r="L23" s="49" t="e">
        <f t="shared" si="5"/>
        <v>#DIV/0!</v>
      </c>
      <c r="M23" s="13" t="s">
        <v>106</v>
      </c>
      <c r="N23" s="31"/>
      <c r="R23" s="32"/>
      <c r="S23" s="32"/>
      <c r="T23" s="32"/>
      <c r="U23" s="32"/>
      <c r="V23" s="32"/>
      <c r="W23" s="32"/>
      <c r="X23" s="36"/>
      <c r="Y23" s="36"/>
      <c r="Z23" s="36"/>
    </row>
    <row r="24" spans="1:26" x14ac:dyDescent="0.25">
      <c r="A24" s="10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5" t="e">
        <f t="shared" si="6"/>
        <v>#DIV/0!</v>
      </c>
      <c r="I24" s="15" t="e">
        <f t="shared" si="7"/>
        <v>#DIV/0!</v>
      </c>
      <c r="J24" s="15" t="e">
        <f t="shared" si="8"/>
        <v>#DIV/0!</v>
      </c>
      <c r="K24" s="11" t="e">
        <f t="shared" si="9"/>
        <v>#DIV/0!</v>
      </c>
      <c r="L24" s="49" t="e">
        <f t="shared" si="5"/>
        <v>#DIV/0!</v>
      </c>
      <c r="M24" s="13" t="s">
        <v>106</v>
      </c>
      <c r="N24" s="31"/>
      <c r="R24" s="32"/>
      <c r="S24" s="32"/>
      <c r="T24" s="32"/>
      <c r="U24" s="32"/>
      <c r="V24" s="32"/>
      <c r="W24" s="32"/>
      <c r="X24" s="36"/>
      <c r="Y24" s="36"/>
      <c r="Z24" s="36"/>
    </row>
    <row r="25" spans="1:26" x14ac:dyDescent="0.25">
      <c r="A25" s="10"/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5" t="e">
        <f t="shared" si="6"/>
        <v>#DIV/0!</v>
      </c>
      <c r="I25" s="15" t="e">
        <f t="shared" si="7"/>
        <v>#DIV/0!</v>
      </c>
      <c r="J25" s="15" t="e">
        <f t="shared" si="8"/>
        <v>#DIV/0!</v>
      </c>
      <c r="K25" s="11" t="e">
        <f t="shared" si="9"/>
        <v>#DIV/0!</v>
      </c>
      <c r="L25" s="49" t="e">
        <f t="shared" si="5"/>
        <v>#DIV/0!</v>
      </c>
      <c r="M25" s="13" t="s">
        <v>106</v>
      </c>
      <c r="N25" s="31"/>
      <c r="R25" s="32"/>
      <c r="S25" s="32"/>
      <c r="T25" s="32"/>
      <c r="U25" s="32"/>
      <c r="V25" s="32"/>
      <c r="W25" s="32"/>
      <c r="X25" s="36"/>
      <c r="Y25" s="36"/>
      <c r="Z25" s="36"/>
    </row>
    <row r="26" spans="1:26" x14ac:dyDescent="0.25">
      <c r="A26" s="10"/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5" t="e">
        <f t="shared" si="6"/>
        <v>#DIV/0!</v>
      </c>
      <c r="I26" s="15" t="e">
        <f t="shared" si="7"/>
        <v>#DIV/0!</v>
      </c>
      <c r="J26" s="15" t="e">
        <f t="shared" si="8"/>
        <v>#DIV/0!</v>
      </c>
      <c r="K26" s="11" t="e">
        <f t="shared" si="9"/>
        <v>#DIV/0!</v>
      </c>
      <c r="L26" s="49" t="e">
        <f t="shared" si="5"/>
        <v>#DIV/0!</v>
      </c>
      <c r="M26" s="13" t="s">
        <v>106</v>
      </c>
      <c r="N26" s="31"/>
      <c r="R26" s="32"/>
      <c r="S26" s="32"/>
      <c r="T26" s="32"/>
      <c r="U26" s="32"/>
      <c r="V26" s="32"/>
      <c r="W26" s="32"/>
      <c r="X26" s="36"/>
      <c r="Y26" s="36"/>
      <c r="Z26" s="36"/>
    </row>
    <row r="27" spans="1:26" x14ac:dyDescent="0.25">
      <c r="A27" s="10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5" t="e">
        <f t="shared" si="6"/>
        <v>#DIV/0!</v>
      </c>
      <c r="I27" s="15" t="e">
        <f t="shared" si="7"/>
        <v>#DIV/0!</v>
      </c>
      <c r="J27" s="15" t="e">
        <f t="shared" si="8"/>
        <v>#DIV/0!</v>
      </c>
      <c r="K27" s="11" t="e">
        <f t="shared" si="9"/>
        <v>#DIV/0!</v>
      </c>
      <c r="L27" s="49" t="e">
        <f t="shared" si="5"/>
        <v>#DIV/0!</v>
      </c>
      <c r="M27" s="13" t="s">
        <v>106</v>
      </c>
      <c r="N27" s="31"/>
      <c r="R27" s="32"/>
      <c r="S27" s="32"/>
      <c r="T27" s="32"/>
      <c r="U27" s="32"/>
      <c r="V27" s="32"/>
      <c r="W27" s="32"/>
      <c r="X27" s="36"/>
      <c r="Y27" s="36"/>
      <c r="Z27" s="36"/>
    </row>
    <row r="28" spans="1:26" x14ac:dyDescent="0.25">
      <c r="A28" s="10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5" t="e">
        <f t="shared" si="6"/>
        <v>#DIV/0!</v>
      </c>
      <c r="I28" s="15" t="e">
        <f t="shared" si="7"/>
        <v>#DIV/0!</v>
      </c>
      <c r="J28" s="15" t="e">
        <f t="shared" si="8"/>
        <v>#DIV/0!</v>
      </c>
      <c r="K28" s="11" t="e">
        <f t="shared" si="9"/>
        <v>#DIV/0!</v>
      </c>
      <c r="L28" s="49" t="e">
        <f t="shared" si="5"/>
        <v>#DIV/0!</v>
      </c>
      <c r="M28" s="13" t="s">
        <v>106</v>
      </c>
      <c r="N28" s="31"/>
      <c r="O28" s="50"/>
      <c r="R28" s="32"/>
      <c r="S28" s="32"/>
      <c r="T28" s="32"/>
      <c r="U28" s="32"/>
      <c r="V28" s="32"/>
      <c r="W28" s="32"/>
      <c r="X28" s="36"/>
      <c r="Y28" s="36"/>
      <c r="Z28" s="36"/>
    </row>
    <row r="29" spans="1:26" x14ac:dyDescent="0.25">
      <c r="A29" s="10"/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5" t="e">
        <f t="shared" si="6"/>
        <v>#DIV/0!</v>
      </c>
      <c r="I29" s="15" t="e">
        <f t="shared" si="7"/>
        <v>#DIV/0!</v>
      </c>
      <c r="J29" s="15" t="e">
        <f t="shared" si="8"/>
        <v>#DIV/0!</v>
      </c>
      <c r="K29" s="11" t="e">
        <f t="shared" si="9"/>
        <v>#DIV/0!</v>
      </c>
      <c r="L29" s="49" t="e">
        <f t="shared" si="5"/>
        <v>#DIV/0!</v>
      </c>
      <c r="M29" s="13" t="s">
        <v>106</v>
      </c>
      <c r="N29" s="31"/>
      <c r="R29" s="32"/>
      <c r="S29" s="32"/>
      <c r="T29" s="32"/>
      <c r="U29" s="32"/>
      <c r="V29" s="32"/>
      <c r="W29" s="32"/>
      <c r="X29" s="36"/>
      <c r="Y29" s="36"/>
      <c r="Z29" s="36"/>
    </row>
    <row r="30" spans="1:26" x14ac:dyDescent="0.25">
      <c r="A30" s="10"/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5" t="e">
        <f t="shared" si="6"/>
        <v>#DIV/0!</v>
      </c>
      <c r="I30" s="15" t="e">
        <f t="shared" si="7"/>
        <v>#DIV/0!</v>
      </c>
      <c r="J30" s="15" t="e">
        <f t="shared" si="8"/>
        <v>#DIV/0!</v>
      </c>
      <c r="K30" s="11" t="e">
        <f t="shared" si="9"/>
        <v>#DIV/0!</v>
      </c>
      <c r="L30" s="49" t="e">
        <f t="shared" si="5"/>
        <v>#DIV/0!</v>
      </c>
      <c r="M30" s="13" t="s">
        <v>106</v>
      </c>
      <c r="N30" s="31"/>
      <c r="R30" s="32"/>
      <c r="S30" s="32"/>
      <c r="T30" s="32"/>
      <c r="U30" s="32"/>
      <c r="V30" s="32"/>
      <c r="W30" s="32"/>
      <c r="X30" s="36"/>
      <c r="Y30" s="36"/>
      <c r="Z30" s="36"/>
    </row>
    <row r="31" spans="1:26" x14ac:dyDescent="0.25">
      <c r="A31" s="10"/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5" t="e">
        <f t="shared" si="6"/>
        <v>#DIV/0!</v>
      </c>
      <c r="I31" s="15" t="e">
        <f t="shared" si="7"/>
        <v>#DIV/0!</v>
      </c>
      <c r="J31" s="15" t="e">
        <f t="shared" si="8"/>
        <v>#DIV/0!</v>
      </c>
      <c r="K31" s="11" t="e">
        <f t="shared" si="9"/>
        <v>#DIV/0!</v>
      </c>
      <c r="L31" s="49" t="e">
        <f t="shared" si="5"/>
        <v>#DIV/0!</v>
      </c>
      <c r="M31" s="13" t="s">
        <v>106</v>
      </c>
      <c r="N31" s="31"/>
      <c r="R31" s="32"/>
      <c r="S31" s="32"/>
      <c r="T31" s="32"/>
      <c r="U31" s="32"/>
      <c r="V31" s="32"/>
      <c r="W31" s="32"/>
      <c r="X31" s="36"/>
      <c r="Y31" s="36"/>
      <c r="Z31" s="36"/>
    </row>
    <row r="32" spans="1:26" x14ac:dyDescent="0.25">
      <c r="A32" s="10"/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5" t="e">
        <f t="shared" si="6"/>
        <v>#DIV/0!</v>
      </c>
      <c r="I32" s="15" t="e">
        <f t="shared" si="7"/>
        <v>#DIV/0!</v>
      </c>
      <c r="J32" s="15" t="e">
        <f t="shared" si="8"/>
        <v>#DIV/0!</v>
      </c>
      <c r="K32" s="11" t="e">
        <f t="shared" si="9"/>
        <v>#DIV/0!</v>
      </c>
      <c r="L32" s="49" t="e">
        <f t="shared" si="5"/>
        <v>#DIV/0!</v>
      </c>
      <c r="M32" s="13" t="s">
        <v>106</v>
      </c>
      <c r="N32" s="31"/>
      <c r="O32" s="50"/>
      <c r="R32" s="32"/>
      <c r="S32" s="32"/>
      <c r="T32" s="32"/>
      <c r="U32" s="32"/>
      <c r="V32" s="32"/>
      <c r="W32" s="32"/>
      <c r="X32" s="36"/>
      <c r="Y32" s="36"/>
      <c r="Z32" s="36"/>
    </row>
    <row r="33" spans="1:26" x14ac:dyDescent="0.25">
      <c r="A33" s="10"/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5" t="e">
        <f t="shared" si="6"/>
        <v>#DIV/0!</v>
      </c>
      <c r="I33" s="15" t="e">
        <f t="shared" si="7"/>
        <v>#DIV/0!</v>
      </c>
      <c r="J33" s="15" t="e">
        <f t="shared" si="8"/>
        <v>#DIV/0!</v>
      </c>
      <c r="K33" s="11" t="e">
        <f t="shared" si="9"/>
        <v>#DIV/0!</v>
      </c>
      <c r="L33" s="49" t="e">
        <f t="shared" si="5"/>
        <v>#DIV/0!</v>
      </c>
      <c r="M33" s="13" t="s">
        <v>106</v>
      </c>
      <c r="N33" s="31"/>
      <c r="O33" s="50"/>
      <c r="R33" s="32"/>
      <c r="S33" s="32"/>
      <c r="T33" s="32"/>
      <c r="U33" s="32"/>
      <c r="V33" s="32"/>
      <c r="W33" s="32"/>
      <c r="X33" s="36"/>
      <c r="Y33" s="36"/>
      <c r="Z33" s="36"/>
    </row>
    <row r="34" spans="1:26" x14ac:dyDescent="0.25">
      <c r="A34" s="10"/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5" t="e">
        <f t="shared" si="6"/>
        <v>#DIV/0!</v>
      </c>
      <c r="I34" s="15" t="e">
        <f t="shared" si="7"/>
        <v>#DIV/0!</v>
      </c>
      <c r="J34" s="15" t="e">
        <f t="shared" si="8"/>
        <v>#DIV/0!</v>
      </c>
      <c r="K34" s="11" t="e">
        <f t="shared" si="9"/>
        <v>#DIV/0!</v>
      </c>
      <c r="L34" s="49" t="e">
        <f t="shared" si="5"/>
        <v>#DIV/0!</v>
      </c>
      <c r="M34" s="13" t="s">
        <v>106</v>
      </c>
      <c r="N34" s="31"/>
      <c r="R34" s="32"/>
      <c r="S34" s="32"/>
      <c r="T34" s="32"/>
      <c r="U34" s="32"/>
      <c r="V34" s="32"/>
      <c r="W34" s="32"/>
      <c r="X34" s="36"/>
      <c r="Y34" s="36"/>
      <c r="Z34" s="36"/>
    </row>
    <row r="35" spans="1:26" x14ac:dyDescent="0.25">
      <c r="A35" s="10"/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5" t="e">
        <f t="shared" si="6"/>
        <v>#DIV/0!</v>
      </c>
      <c r="I35" s="15" t="e">
        <f t="shared" si="7"/>
        <v>#DIV/0!</v>
      </c>
      <c r="J35" s="15" t="e">
        <f t="shared" si="8"/>
        <v>#DIV/0!</v>
      </c>
      <c r="K35" s="11" t="e">
        <f t="shared" si="9"/>
        <v>#DIV/0!</v>
      </c>
      <c r="L35" s="49" t="e">
        <f t="shared" si="5"/>
        <v>#DIV/0!</v>
      </c>
      <c r="M35" s="13" t="s">
        <v>106</v>
      </c>
      <c r="N35" s="31"/>
      <c r="R35" s="32"/>
      <c r="S35" s="32"/>
      <c r="T35" s="32"/>
      <c r="U35" s="32"/>
      <c r="V35" s="32"/>
      <c r="W35" s="32"/>
      <c r="X35" s="36"/>
      <c r="Y35" s="36"/>
      <c r="Z35" s="36"/>
    </row>
    <row r="36" spans="1:26" x14ac:dyDescent="0.25">
      <c r="A36" s="10"/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5" t="e">
        <f t="shared" si="6"/>
        <v>#DIV/0!</v>
      </c>
      <c r="I36" s="15" t="e">
        <f t="shared" si="7"/>
        <v>#DIV/0!</v>
      </c>
      <c r="J36" s="15" t="e">
        <f t="shared" si="8"/>
        <v>#DIV/0!</v>
      </c>
      <c r="K36" s="11" t="e">
        <f t="shared" si="9"/>
        <v>#DIV/0!</v>
      </c>
      <c r="L36" s="49" t="e">
        <f t="shared" si="5"/>
        <v>#DIV/0!</v>
      </c>
      <c r="M36" s="13" t="s">
        <v>106</v>
      </c>
      <c r="N36" s="31"/>
      <c r="O36" s="50"/>
      <c r="R36" s="32"/>
      <c r="S36" s="32"/>
      <c r="T36" s="32"/>
      <c r="U36" s="32"/>
      <c r="V36" s="32"/>
      <c r="W36" s="32"/>
      <c r="X36" s="36"/>
      <c r="Y36" s="36"/>
      <c r="Z36" s="36"/>
    </row>
    <row r="37" spans="1:26" x14ac:dyDescent="0.25">
      <c r="A37" s="10"/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5" t="e">
        <f t="shared" si="6"/>
        <v>#DIV/0!</v>
      </c>
      <c r="I37" s="15" t="e">
        <f t="shared" si="7"/>
        <v>#DIV/0!</v>
      </c>
      <c r="J37" s="15" t="e">
        <f t="shared" si="8"/>
        <v>#DIV/0!</v>
      </c>
      <c r="K37" s="11" t="e">
        <f t="shared" si="9"/>
        <v>#DIV/0!</v>
      </c>
      <c r="L37" s="49" t="e">
        <f t="shared" si="5"/>
        <v>#DIV/0!</v>
      </c>
      <c r="M37" s="13" t="s">
        <v>106</v>
      </c>
      <c r="N37" s="31"/>
      <c r="R37" s="32"/>
      <c r="S37" s="32"/>
      <c r="T37" s="32"/>
      <c r="U37" s="32"/>
      <c r="V37" s="32"/>
      <c r="W37" s="32"/>
      <c r="X37" s="36"/>
      <c r="Y37" s="36"/>
      <c r="Z37" s="36"/>
    </row>
    <row r="38" spans="1:26" x14ac:dyDescent="0.25">
      <c r="A38" s="10"/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5" t="e">
        <f t="shared" si="6"/>
        <v>#DIV/0!</v>
      </c>
      <c r="I38" s="15" t="e">
        <f t="shared" si="7"/>
        <v>#DIV/0!</v>
      </c>
      <c r="J38" s="15" t="e">
        <f t="shared" si="8"/>
        <v>#DIV/0!</v>
      </c>
      <c r="K38" s="11" t="e">
        <f t="shared" si="9"/>
        <v>#DIV/0!</v>
      </c>
      <c r="L38" s="49" t="e">
        <f t="shared" si="5"/>
        <v>#DIV/0!</v>
      </c>
      <c r="M38" s="13" t="s">
        <v>106</v>
      </c>
      <c r="N38" s="31"/>
      <c r="O38" s="50"/>
      <c r="R38" s="32"/>
      <c r="S38" s="32"/>
      <c r="T38" s="32"/>
      <c r="U38" s="32"/>
      <c r="V38" s="32"/>
      <c r="W38" s="32"/>
      <c r="X38" s="36"/>
      <c r="Y38" s="36"/>
      <c r="Z38" s="36"/>
    </row>
    <row r="39" spans="1:26" x14ac:dyDescent="0.25">
      <c r="A39" s="10"/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5" t="e">
        <f t="shared" si="6"/>
        <v>#DIV/0!</v>
      </c>
      <c r="I39" s="15" t="e">
        <f t="shared" si="7"/>
        <v>#DIV/0!</v>
      </c>
      <c r="J39" s="15" t="e">
        <f t="shared" si="8"/>
        <v>#DIV/0!</v>
      </c>
      <c r="K39" s="11" t="e">
        <f t="shared" si="9"/>
        <v>#DIV/0!</v>
      </c>
      <c r="L39" s="49" t="e">
        <f t="shared" si="5"/>
        <v>#DIV/0!</v>
      </c>
      <c r="M39" s="13" t="s">
        <v>106</v>
      </c>
      <c r="N39" s="31"/>
      <c r="R39" s="32"/>
      <c r="S39" s="32"/>
      <c r="T39" s="32"/>
      <c r="U39" s="32"/>
      <c r="V39" s="32"/>
      <c r="W39" s="32"/>
      <c r="X39" s="36"/>
      <c r="Y39" s="36"/>
      <c r="Z39" s="36"/>
    </row>
    <row r="40" spans="1:26" x14ac:dyDescent="0.25">
      <c r="A40" s="10"/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5" t="e">
        <f t="shared" si="6"/>
        <v>#DIV/0!</v>
      </c>
      <c r="I40" s="15" t="e">
        <f t="shared" si="7"/>
        <v>#DIV/0!</v>
      </c>
      <c r="J40" s="15" t="e">
        <f t="shared" si="8"/>
        <v>#DIV/0!</v>
      </c>
      <c r="K40" s="11" t="e">
        <f t="shared" si="9"/>
        <v>#DIV/0!</v>
      </c>
      <c r="L40" s="49" t="e">
        <f t="shared" si="5"/>
        <v>#DIV/0!</v>
      </c>
      <c r="M40" s="13" t="s">
        <v>106</v>
      </c>
      <c r="N40" s="31"/>
      <c r="R40" s="32"/>
      <c r="S40" s="32"/>
      <c r="T40" s="32"/>
      <c r="U40" s="32"/>
      <c r="V40" s="32"/>
      <c r="W40" s="32"/>
      <c r="X40" s="36"/>
      <c r="Y40" s="36"/>
      <c r="Z40" s="36"/>
    </row>
    <row r="41" spans="1:26" x14ac:dyDescent="0.25">
      <c r="A41" s="10"/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5" t="e">
        <f t="shared" si="6"/>
        <v>#DIV/0!</v>
      </c>
      <c r="I41" s="15" t="e">
        <f t="shared" si="7"/>
        <v>#DIV/0!</v>
      </c>
      <c r="J41" s="15" t="e">
        <f t="shared" si="8"/>
        <v>#DIV/0!</v>
      </c>
      <c r="K41" s="11" t="e">
        <f t="shared" si="9"/>
        <v>#DIV/0!</v>
      </c>
      <c r="L41" s="49" t="e">
        <f t="shared" si="5"/>
        <v>#DIV/0!</v>
      </c>
      <c r="M41" s="13" t="s">
        <v>106</v>
      </c>
      <c r="N41" s="31"/>
      <c r="R41" s="32"/>
      <c r="S41" s="32"/>
      <c r="T41" s="32"/>
      <c r="U41" s="32"/>
      <c r="V41" s="32"/>
      <c r="W41" s="32"/>
      <c r="X41" s="36"/>
      <c r="Y41" s="36"/>
      <c r="Z41" s="36"/>
    </row>
    <row r="42" spans="1:26" x14ac:dyDescent="0.25">
      <c r="A42" s="10"/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5" t="e">
        <f t="shared" si="6"/>
        <v>#DIV/0!</v>
      </c>
      <c r="I42" s="15" t="e">
        <f t="shared" si="7"/>
        <v>#DIV/0!</v>
      </c>
      <c r="J42" s="15" t="e">
        <f t="shared" si="8"/>
        <v>#DIV/0!</v>
      </c>
      <c r="K42" s="11" t="e">
        <f t="shared" si="9"/>
        <v>#DIV/0!</v>
      </c>
      <c r="L42" s="49" t="e">
        <f t="shared" si="5"/>
        <v>#DIV/0!</v>
      </c>
      <c r="M42" s="13" t="s">
        <v>106</v>
      </c>
      <c r="N42" s="31"/>
      <c r="O42" s="50"/>
      <c r="R42" s="32"/>
      <c r="S42" s="32"/>
      <c r="T42" s="32"/>
      <c r="U42" s="32"/>
      <c r="V42" s="32"/>
      <c r="W42" s="32"/>
      <c r="X42" s="36"/>
      <c r="Y42" s="36"/>
      <c r="Z42" s="36"/>
    </row>
    <row r="43" spans="1:26" x14ac:dyDescent="0.25">
      <c r="A43" s="10"/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5" t="e">
        <f t="shared" si="6"/>
        <v>#DIV/0!</v>
      </c>
      <c r="I43" s="15" t="e">
        <f t="shared" si="7"/>
        <v>#DIV/0!</v>
      </c>
      <c r="J43" s="15" t="e">
        <f t="shared" si="8"/>
        <v>#DIV/0!</v>
      </c>
      <c r="K43" s="11" t="e">
        <f t="shared" si="9"/>
        <v>#DIV/0!</v>
      </c>
      <c r="L43" s="49" t="e">
        <f t="shared" si="5"/>
        <v>#DIV/0!</v>
      </c>
      <c r="M43" s="13" t="s">
        <v>106</v>
      </c>
      <c r="N43" s="31"/>
      <c r="O43" s="50"/>
      <c r="R43" s="32"/>
      <c r="S43" s="32"/>
      <c r="T43" s="32"/>
      <c r="U43" s="32"/>
      <c r="V43" s="32"/>
      <c r="W43" s="32"/>
      <c r="X43" s="36"/>
      <c r="Y43" s="36"/>
      <c r="Z43" s="36"/>
    </row>
    <row r="44" spans="1:26" x14ac:dyDescent="0.25">
      <c r="A44" s="10"/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5" t="e">
        <f t="shared" si="6"/>
        <v>#DIV/0!</v>
      </c>
      <c r="I44" s="15" t="e">
        <f t="shared" si="7"/>
        <v>#DIV/0!</v>
      </c>
      <c r="J44" s="15" t="e">
        <f t="shared" si="8"/>
        <v>#DIV/0!</v>
      </c>
      <c r="K44" s="11" t="e">
        <f t="shared" si="9"/>
        <v>#DIV/0!</v>
      </c>
      <c r="L44" s="49" t="e">
        <f t="shared" si="5"/>
        <v>#DIV/0!</v>
      </c>
      <c r="M44" s="13" t="s">
        <v>106</v>
      </c>
      <c r="N44" s="31"/>
      <c r="O44" s="50"/>
      <c r="R44" s="32"/>
      <c r="S44" s="32"/>
      <c r="T44" s="32"/>
      <c r="U44" s="32"/>
      <c r="V44" s="32"/>
      <c r="W44" s="32"/>
      <c r="X44" s="36"/>
      <c r="Y44" s="36"/>
      <c r="Z44" s="36"/>
    </row>
    <row r="45" spans="1:26" x14ac:dyDescent="0.25">
      <c r="A45" s="10"/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5" t="e">
        <f t="shared" si="6"/>
        <v>#DIV/0!</v>
      </c>
      <c r="I45" s="15" t="e">
        <f t="shared" si="7"/>
        <v>#DIV/0!</v>
      </c>
      <c r="J45" s="15" t="e">
        <f t="shared" si="8"/>
        <v>#DIV/0!</v>
      </c>
      <c r="K45" s="11" t="e">
        <f t="shared" si="9"/>
        <v>#DIV/0!</v>
      </c>
      <c r="L45" s="49" t="e">
        <f t="shared" si="5"/>
        <v>#DIV/0!</v>
      </c>
      <c r="M45" s="13" t="s">
        <v>106</v>
      </c>
      <c r="N45" s="31"/>
      <c r="O45" s="50"/>
      <c r="R45" s="32"/>
      <c r="S45" s="32"/>
      <c r="T45" s="32"/>
      <c r="U45" s="32"/>
      <c r="V45" s="32"/>
      <c r="W45" s="32"/>
      <c r="X45" s="36"/>
      <c r="Y45" s="36"/>
      <c r="Z45" s="36"/>
    </row>
    <row r="46" spans="1:26" x14ac:dyDescent="0.25">
      <c r="A46" s="10"/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5" t="e">
        <f t="shared" si="6"/>
        <v>#DIV/0!</v>
      </c>
      <c r="I46" s="15" t="e">
        <f t="shared" si="7"/>
        <v>#DIV/0!</v>
      </c>
      <c r="J46" s="15" t="e">
        <f t="shared" si="8"/>
        <v>#DIV/0!</v>
      </c>
      <c r="K46" s="11" t="e">
        <f t="shared" si="9"/>
        <v>#DIV/0!</v>
      </c>
      <c r="L46" s="49" t="e">
        <f t="shared" si="5"/>
        <v>#DIV/0!</v>
      </c>
      <c r="M46" s="13" t="s">
        <v>106</v>
      </c>
      <c r="N46" s="31"/>
      <c r="O46" s="50"/>
      <c r="R46" s="32"/>
      <c r="S46" s="32"/>
      <c r="T46" s="32"/>
      <c r="U46" s="32"/>
      <c r="V46" s="32"/>
      <c r="W46" s="32"/>
      <c r="X46" s="36"/>
      <c r="Y46" s="36"/>
      <c r="Z46" s="36"/>
    </row>
    <row r="47" spans="1:26" x14ac:dyDescent="0.25">
      <c r="A47" s="10"/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5" t="e">
        <f t="shared" si="6"/>
        <v>#DIV/0!</v>
      </c>
      <c r="I47" s="15" t="e">
        <f t="shared" si="7"/>
        <v>#DIV/0!</v>
      </c>
      <c r="J47" s="15" t="e">
        <f t="shared" si="8"/>
        <v>#DIV/0!</v>
      </c>
      <c r="K47" s="11" t="e">
        <f t="shared" si="9"/>
        <v>#DIV/0!</v>
      </c>
      <c r="L47" s="49" t="e">
        <f t="shared" si="5"/>
        <v>#DIV/0!</v>
      </c>
      <c r="M47" s="13" t="s">
        <v>106</v>
      </c>
      <c r="N47" s="31"/>
      <c r="O47" s="50"/>
      <c r="R47" s="32"/>
      <c r="S47" s="32"/>
      <c r="T47" s="32"/>
      <c r="U47" s="32"/>
      <c r="V47" s="32"/>
      <c r="W47" s="32"/>
      <c r="X47" s="36"/>
      <c r="Y47" s="36"/>
      <c r="Z47" s="36"/>
    </row>
    <row r="48" spans="1:26" x14ac:dyDescent="0.25">
      <c r="A48" s="10"/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5" t="e">
        <f t="shared" si="6"/>
        <v>#DIV/0!</v>
      </c>
      <c r="I48" s="15" t="e">
        <f t="shared" si="7"/>
        <v>#DIV/0!</v>
      </c>
      <c r="J48" s="15" t="e">
        <f t="shared" si="8"/>
        <v>#DIV/0!</v>
      </c>
      <c r="K48" s="11" t="e">
        <f t="shared" si="9"/>
        <v>#DIV/0!</v>
      </c>
      <c r="L48" s="49" t="e">
        <f t="shared" si="5"/>
        <v>#DIV/0!</v>
      </c>
      <c r="M48" s="13" t="s">
        <v>106</v>
      </c>
      <c r="N48" s="31"/>
      <c r="O48" s="50"/>
    </row>
    <row r="49" spans="1:15" x14ac:dyDescent="0.25">
      <c r="A49" s="10"/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5" t="e">
        <f t="shared" si="6"/>
        <v>#DIV/0!</v>
      </c>
      <c r="I49" s="15" t="e">
        <f t="shared" si="7"/>
        <v>#DIV/0!</v>
      </c>
      <c r="J49" s="15" t="e">
        <f t="shared" si="8"/>
        <v>#DIV/0!</v>
      </c>
      <c r="K49" s="11" t="e">
        <f t="shared" si="9"/>
        <v>#DIV/0!</v>
      </c>
      <c r="L49" s="49" t="e">
        <f t="shared" si="5"/>
        <v>#DIV/0!</v>
      </c>
      <c r="M49" s="13" t="s">
        <v>106</v>
      </c>
      <c r="N49" s="31"/>
      <c r="O49" s="50"/>
    </row>
    <row r="50" spans="1:15" x14ac:dyDescent="0.25">
      <c r="A50" s="10"/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5" t="e">
        <f t="shared" si="6"/>
        <v>#DIV/0!</v>
      </c>
      <c r="I50" s="15" t="e">
        <f t="shared" si="7"/>
        <v>#DIV/0!</v>
      </c>
      <c r="J50" s="15" t="e">
        <f t="shared" si="8"/>
        <v>#DIV/0!</v>
      </c>
      <c r="K50" s="11" t="e">
        <f t="shared" si="9"/>
        <v>#DIV/0!</v>
      </c>
      <c r="L50" s="49" t="e">
        <f t="shared" si="5"/>
        <v>#DIV/0!</v>
      </c>
      <c r="M50" s="13" t="s">
        <v>106</v>
      </c>
      <c r="N50" s="31"/>
      <c r="O50" s="50"/>
    </row>
    <row r="51" spans="1:15" x14ac:dyDescent="0.25">
      <c r="A51" s="10"/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5" t="e">
        <f t="shared" si="6"/>
        <v>#DIV/0!</v>
      </c>
      <c r="I51" s="15" t="e">
        <f t="shared" si="7"/>
        <v>#DIV/0!</v>
      </c>
      <c r="J51" s="15" t="e">
        <f t="shared" si="8"/>
        <v>#DIV/0!</v>
      </c>
      <c r="K51" s="11" t="e">
        <f t="shared" si="9"/>
        <v>#DIV/0!</v>
      </c>
      <c r="L51" s="49" t="e">
        <f t="shared" si="5"/>
        <v>#DIV/0!</v>
      </c>
      <c r="M51" s="13" t="s">
        <v>106</v>
      </c>
      <c r="N51" s="31"/>
      <c r="O51" s="50"/>
    </row>
    <row r="52" spans="1:15" x14ac:dyDescent="0.25">
      <c r="A52" s="10"/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5" t="e">
        <f t="shared" si="6"/>
        <v>#DIV/0!</v>
      </c>
      <c r="I52" s="15" t="e">
        <f t="shared" si="7"/>
        <v>#DIV/0!</v>
      </c>
      <c r="J52" s="15" t="e">
        <f t="shared" si="8"/>
        <v>#DIV/0!</v>
      </c>
      <c r="K52" s="11" t="e">
        <f t="shared" si="9"/>
        <v>#DIV/0!</v>
      </c>
      <c r="L52" s="49" t="e">
        <f t="shared" si="5"/>
        <v>#DIV/0!</v>
      </c>
      <c r="M52" s="13" t="s">
        <v>106</v>
      </c>
      <c r="N52" s="31"/>
      <c r="O52" s="50"/>
    </row>
    <row r="53" spans="1:15" x14ac:dyDescent="0.25">
      <c r="A53" s="10"/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5" t="e">
        <f t="shared" si="6"/>
        <v>#DIV/0!</v>
      </c>
      <c r="I53" s="15" t="e">
        <f t="shared" si="7"/>
        <v>#DIV/0!</v>
      </c>
      <c r="J53" s="15" t="e">
        <f t="shared" si="8"/>
        <v>#DIV/0!</v>
      </c>
      <c r="K53" s="11" t="e">
        <f t="shared" si="9"/>
        <v>#DIV/0!</v>
      </c>
      <c r="L53" s="49" t="e">
        <f t="shared" si="5"/>
        <v>#DIV/0!</v>
      </c>
      <c r="M53" s="13" t="s">
        <v>106</v>
      </c>
      <c r="N53" s="31"/>
    </row>
    <row r="54" spans="1:15" x14ac:dyDescent="0.25">
      <c r="A54" s="10"/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5" t="e">
        <f t="shared" si="6"/>
        <v>#DIV/0!</v>
      </c>
      <c r="I54" s="15" t="e">
        <f t="shared" si="7"/>
        <v>#DIV/0!</v>
      </c>
      <c r="J54" s="15" t="e">
        <f t="shared" si="8"/>
        <v>#DIV/0!</v>
      </c>
      <c r="K54" s="11" t="e">
        <f t="shared" si="9"/>
        <v>#DIV/0!</v>
      </c>
      <c r="L54" s="49" t="e">
        <f t="shared" si="5"/>
        <v>#DIV/0!</v>
      </c>
      <c r="M54" s="13" t="s">
        <v>106</v>
      </c>
      <c r="N54" s="31"/>
      <c r="O54" s="50"/>
    </row>
    <row r="55" spans="1:15" x14ac:dyDescent="0.25">
      <c r="A55" s="10"/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5" t="e">
        <f t="shared" si="6"/>
        <v>#DIV/0!</v>
      </c>
      <c r="I55" s="15" t="e">
        <f t="shared" si="7"/>
        <v>#DIV/0!</v>
      </c>
      <c r="J55" s="15" t="e">
        <f t="shared" si="8"/>
        <v>#DIV/0!</v>
      </c>
      <c r="K55" s="11" t="e">
        <f t="shared" si="9"/>
        <v>#DIV/0!</v>
      </c>
      <c r="L55" s="49" t="e">
        <f t="shared" si="5"/>
        <v>#DIV/0!</v>
      </c>
      <c r="M55" s="13" t="s">
        <v>106</v>
      </c>
      <c r="N55" s="13"/>
    </row>
    <row r="56" spans="1:15" x14ac:dyDescent="0.25">
      <c r="A56" s="10"/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5" t="e">
        <f t="shared" si="6"/>
        <v>#DIV/0!</v>
      </c>
      <c r="I56" s="15" t="e">
        <f t="shared" si="7"/>
        <v>#DIV/0!</v>
      </c>
      <c r="J56" s="15" t="e">
        <f t="shared" si="8"/>
        <v>#DIV/0!</v>
      </c>
      <c r="K56" s="11" t="e">
        <f t="shared" si="9"/>
        <v>#DIV/0!</v>
      </c>
      <c r="L56" s="49" t="e">
        <f t="shared" si="5"/>
        <v>#DIV/0!</v>
      </c>
      <c r="M56" s="13" t="s">
        <v>106</v>
      </c>
      <c r="N56" s="13"/>
    </row>
    <row r="57" spans="1:15" x14ac:dyDescent="0.25">
      <c r="A57" s="10"/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5" t="e">
        <f t="shared" si="6"/>
        <v>#DIV/0!</v>
      </c>
      <c r="I57" s="15" t="e">
        <f t="shared" si="7"/>
        <v>#DIV/0!</v>
      </c>
      <c r="J57" s="15" t="e">
        <f t="shared" si="8"/>
        <v>#DIV/0!</v>
      </c>
      <c r="K57" s="11" t="e">
        <f t="shared" si="9"/>
        <v>#DIV/0!</v>
      </c>
      <c r="L57" s="49" t="e">
        <f t="shared" si="5"/>
        <v>#DIV/0!</v>
      </c>
      <c r="M57" s="13" t="s">
        <v>106</v>
      </c>
      <c r="N57" s="13"/>
    </row>
    <row r="58" spans="1:15" x14ac:dyDescent="0.25">
      <c r="A58" s="10"/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5" t="e">
        <f t="shared" si="6"/>
        <v>#DIV/0!</v>
      </c>
      <c r="I58" s="15" t="e">
        <f t="shared" si="7"/>
        <v>#DIV/0!</v>
      </c>
      <c r="J58" s="15" t="e">
        <f t="shared" si="8"/>
        <v>#DIV/0!</v>
      </c>
      <c r="K58" s="11" t="e">
        <f t="shared" si="9"/>
        <v>#DIV/0!</v>
      </c>
      <c r="L58" s="49" t="e">
        <f t="shared" si="5"/>
        <v>#DIV/0!</v>
      </c>
      <c r="M58" s="13" t="s">
        <v>106</v>
      </c>
      <c r="N58" s="13"/>
    </row>
    <row r="59" spans="1:15" x14ac:dyDescent="0.25">
      <c r="A59" s="10"/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5" t="e">
        <f t="shared" si="6"/>
        <v>#DIV/0!</v>
      </c>
      <c r="I59" s="15" t="e">
        <f t="shared" si="7"/>
        <v>#DIV/0!</v>
      </c>
      <c r="J59" s="15" t="e">
        <f t="shared" si="8"/>
        <v>#DIV/0!</v>
      </c>
      <c r="K59" s="11" t="e">
        <f t="shared" si="9"/>
        <v>#DIV/0!</v>
      </c>
      <c r="L59" s="49" t="e">
        <f t="shared" si="5"/>
        <v>#DIV/0!</v>
      </c>
      <c r="M59" s="13" t="s">
        <v>106</v>
      </c>
      <c r="N59" s="13"/>
    </row>
    <row r="60" spans="1:15" x14ac:dyDescent="0.25">
      <c r="A60" s="10"/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5" t="e">
        <f t="shared" si="6"/>
        <v>#DIV/0!</v>
      </c>
      <c r="I60" s="15" t="e">
        <f t="shared" si="7"/>
        <v>#DIV/0!</v>
      </c>
      <c r="J60" s="15" t="e">
        <f t="shared" si="8"/>
        <v>#DIV/0!</v>
      </c>
      <c r="K60" s="11" t="e">
        <f t="shared" si="9"/>
        <v>#DIV/0!</v>
      </c>
      <c r="L60" s="49" t="e">
        <f t="shared" si="5"/>
        <v>#DIV/0!</v>
      </c>
      <c r="M60" s="13" t="s">
        <v>106</v>
      </c>
      <c r="N60" s="13"/>
    </row>
    <row r="61" spans="1:15" x14ac:dyDescent="0.25">
      <c r="A61" s="10"/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5" t="e">
        <f t="shared" si="6"/>
        <v>#DIV/0!</v>
      </c>
      <c r="I61" s="15" t="e">
        <f t="shared" si="7"/>
        <v>#DIV/0!</v>
      </c>
      <c r="J61" s="15" t="e">
        <f t="shared" si="8"/>
        <v>#DIV/0!</v>
      </c>
      <c r="K61" s="11" t="e">
        <f t="shared" si="9"/>
        <v>#DIV/0!</v>
      </c>
      <c r="L61" s="49" t="e">
        <f t="shared" si="5"/>
        <v>#DIV/0!</v>
      </c>
      <c r="M61" s="13" t="s">
        <v>106</v>
      </c>
      <c r="N61" s="13"/>
    </row>
    <row r="62" spans="1:15" x14ac:dyDescent="0.25">
      <c r="A62" s="10"/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5" t="e">
        <f t="shared" si="6"/>
        <v>#DIV/0!</v>
      </c>
      <c r="I62" s="15" t="e">
        <f t="shared" si="7"/>
        <v>#DIV/0!</v>
      </c>
      <c r="J62" s="15" t="e">
        <f t="shared" si="8"/>
        <v>#DIV/0!</v>
      </c>
      <c r="K62" s="11" t="e">
        <f t="shared" si="9"/>
        <v>#DIV/0!</v>
      </c>
      <c r="L62" s="49" t="e">
        <f t="shared" si="5"/>
        <v>#DIV/0!</v>
      </c>
      <c r="M62" s="13" t="s">
        <v>106</v>
      </c>
      <c r="N62" s="13"/>
    </row>
    <row r="63" spans="1:15" x14ac:dyDescent="0.25">
      <c r="A63" s="10"/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5" t="e">
        <f t="shared" si="6"/>
        <v>#DIV/0!</v>
      </c>
      <c r="I63" s="15" t="e">
        <f t="shared" si="7"/>
        <v>#DIV/0!</v>
      </c>
      <c r="J63" s="15" t="e">
        <f t="shared" si="8"/>
        <v>#DIV/0!</v>
      </c>
      <c r="K63" s="11" t="e">
        <f t="shared" si="9"/>
        <v>#DIV/0!</v>
      </c>
      <c r="L63" s="49" t="e">
        <f t="shared" si="5"/>
        <v>#DIV/0!</v>
      </c>
      <c r="M63" s="13" t="s">
        <v>106</v>
      </c>
      <c r="N63" s="13"/>
    </row>
    <row r="64" spans="1:15" x14ac:dyDescent="0.25">
      <c r="A64" s="10"/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5" t="e">
        <f t="shared" si="6"/>
        <v>#DIV/0!</v>
      </c>
      <c r="I64" s="15" t="e">
        <f t="shared" si="7"/>
        <v>#DIV/0!</v>
      </c>
      <c r="J64" s="15" t="e">
        <f t="shared" si="8"/>
        <v>#DIV/0!</v>
      </c>
      <c r="K64" s="11" t="e">
        <f t="shared" si="9"/>
        <v>#DIV/0!</v>
      </c>
      <c r="L64" s="49" t="e">
        <f t="shared" si="5"/>
        <v>#DIV/0!</v>
      </c>
      <c r="M64" s="13" t="s">
        <v>106</v>
      </c>
      <c r="N64" s="13"/>
    </row>
    <row r="65" spans="1:22" x14ac:dyDescent="0.25">
      <c r="A65" s="10"/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5" t="e">
        <f t="shared" si="6"/>
        <v>#DIV/0!</v>
      </c>
      <c r="I65" s="15" t="e">
        <f t="shared" si="7"/>
        <v>#DIV/0!</v>
      </c>
      <c r="J65" s="15" t="e">
        <f t="shared" si="8"/>
        <v>#DIV/0!</v>
      </c>
      <c r="K65" s="11" t="e">
        <f t="shared" si="9"/>
        <v>#DIV/0!</v>
      </c>
      <c r="L65" s="49" t="e">
        <f t="shared" si="5"/>
        <v>#DIV/0!</v>
      </c>
      <c r="M65" s="13" t="s">
        <v>106</v>
      </c>
      <c r="N65" s="13"/>
    </row>
    <row r="66" spans="1:22" x14ac:dyDescent="0.25">
      <c r="A66" s="14"/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5" t="e">
        <f t="shared" si="6"/>
        <v>#DIV/0!</v>
      </c>
      <c r="I66" s="15" t="e">
        <f t="shared" si="7"/>
        <v>#DIV/0!</v>
      </c>
      <c r="J66" s="15" t="e">
        <f t="shared" si="8"/>
        <v>#DIV/0!</v>
      </c>
      <c r="K66" s="11" t="e">
        <f t="shared" si="9"/>
        <v>#DIV/0!</v>
      </c>
      <c r="L66" s="49" t="e">
        <f t="shared" si="5"/>
        <v>#DIV/0!</v>
      </c>
      <c r="M66" s="13" t="s">
        <v>106</v>
      </c>
      <c r="N66" s="13"/>
    </row>
    <row r="67" spans="1:22" x14ac:dyDescent="0.25">
      <c r="A67" s="10"/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5" t="e">
        <f t="shared" si="6"/>
        <v>#DIV/0!</v>
      </c>
      <c r="I67" s="15" t="e">
        <f t="shared" si="7"/>
        <v>#DIV/0!</v>
      </c>
      <c r="J67" s="15" t="e">
        <f t="shared" si="8"/>
        <v>#DIV/0!</v>
      </c>
      <c r="K67" s="11" t="e">
        <f t="shared" si="9"/>
        <v>#DIV/0!</v>
      </c>
      <c r="L67" s="49" t="e">
        <f t="shared" si="5"/>
        <v>#DIV/0!</v>
      </c>
      <c r="M67" s="13" t="s">
        <v>106</v>
      </c>
      <c r="N67" s="13"/>
    </row>
    <row r="68" spans="1:22" x14ac:dyDescent="0.25">
      <c r="A68" s="10"/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5" t="e">
        <f t="shared" si="6"/>
        <v>#DIV/0!</v>
      </c>
      <c r="I68" s="15" t="e">
        <f t="shared" si="7"/>
        <v>#DIV/0!</v>
      </c>
      <c r="J68" s="15" t="e">
        <f t="shared" si="8"/>
        <v>#DIV/0!</v>
      </c>
      <c r="K68" s="11" t="e">
        <f t="shared" si="9"/>
        <v>#DIV/0!</v>
      </c>
      <c r="L68" s="49" t="e">
        <f t="shared" si="5"/>
        <v>#DIV/0!</v>
      </c>
      <c r="M68" s="13" t="s">
        <v>106</v>
      </c>
      <c r="N68" s="13"/>
    </row>
    <row r="69" spans="1:22" ht="15.75" thickBot="1" x14ac:dyDescent="0.3">
      <c r="A69" s="12"/>
      <c r="B69" s="42">
        <v>0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3" t="e">
        <f t="shared" si="6"/>
        <v>#DIV/0!</v>
      </c>
      <c r="I69" s="44" t="e">
        <f t="shared" si="7"/>
        <v>#DIV/0!</v>
      </c>
      <c r="J69" s="44" t="e">
        <f t="shared" si="8"/>
        <v>#DIV/0!</v>
      </c>
      <c r="K69" s="45" t="e">
        <f t="shared" si="9"/>
        <v>#DIV/0!</v>
      </c>
      <c r="L69" s="49" t="e">
        <f t="shared" si="5"/>
        <v>#DIV/0!</v>
      </c>
      <c r="M69" s="13" t="s">
        <v>106</v>
      </c>
      <c r="N69" s="13"/>
    </row>
    <row r="70" spans="1:22" ht="15.75" thickBot="1" x14ac:dyDescent="0.3">
      <c r="H70" s="3"/>
      <c r="I70" s="3"/>
      <c r="J70" s="3"/>
      <c r="K70" s="3"/>
    </row>
    <row r="71" spans="1:22" ht="16.5" thickBot="1" x14ac:dyDescent="0.3">
      <c r="B71" s="62" t="s">
        <v>44</v>
      </c>
      <c r="C71" s="63"/>
      <c r="D71" s="63"/>
      <c r="E71" s="63"/>
      <c r="F71" s="64"/>
      <c r="H71" s="71" t="s">
        <v>48</v>
      </c>
      <c r="I71" s="71"/>
      <c r="J71" s="71"/>
      <c r="K71" s="71"/>
    </row>
    <row r="72" spans="1:22" ht="15.75" thickBot="1" x14ac:dyDescent="0.3">
      <c r="B72" s="20" t="s">
        <v>35</v>
      </c>
      <c r="C72" s="21" t="s">
        <v>46</v>
      </c>
      <c r="D72" s="21" t="s">
        <v>47</v>
      </c>
      <c r="E72" s="21" t="s">
        <v>38</v>
      </c>
      <c r="F72" s="22" t="s">
        <v>39</v>
      </c>
      <c r="H72" s="72" t="s">
        <v>49</v>
      </c>
      <c r="I72" s="72"/>
      <c r="J72" s="72" t="s">
        <v>50</v>
      </c>
      <c r="K72" s="72"/>
    </row>
    <row r="73" spans="1:22" ht="15.75" thickBot="1" x14ac:dyDescent="0.3">
      <c r="A73" s="6" t="s">
        <v>40</v>
      </c>
      <c r="B73" s="7">
        <f>SUM(B6:B69)</f>
        <v>169</v>
      </c>
      <c r="C73" s="7">
        <f>SUM(D6:D69)</f>
        <v>159</v>
      </c>
      <c r="D73" s="7">
        <f>SUM(F6:F69)</f>
        <v>10</v>
      </c>
      <c r="E73" s="53">
        <f>SUM(C73/B73)</f>
        <v>0.94082840236686394</v>
      </c>
      <c r="F73" s="54">
        <f>SUM(D73/B73)</f>
        <v>5.9171597633136092E-2</v>
      </c>
      <c r="G73" s="13"/>
      <c r="H73" s="73" t="s">
        <v>51</v>
      </c>
      <c r="I73" s="73"/>
      <c r="J73" s="73" t="s">
        <v>57</v>
      </c>
      <c r="K73" s="73"/>
    </row>
    <row r="74" spans="1:22" ht="15.75" thickBot="1" x14ac:dyDescent="0.3">
      <c r="H74" s="74" t="s">
        <v>52</v>
      </c>
      <c r="I74" s="74"/>
      <c r="J74" s="74" t="s">
        <v>58</v>
      </c>
      <c r="K74" s="74"/>
    </row>
    <row r="75" spans="1:22" ht="15.75" thickBot="1" x14ac:dyDescent="0.3">
      <c r="B75" s="62" t="s">
        <v>45</v>
      </c>
      <c r="C75" s="63"/>
      <c r="D75" s="63"/>
      <c r="E75" s="63"/>
      <c r="F75" s="64"/>
      <c r="H75" s="75" t="s">
        <v>53</v>
      </c>
      <c r="I75" s="75"/>
      <c r="J75" s="75" t="s">
        <v>59</v>
      </c>
      <c r="K75" s="75"/>
    </row>
    <row r="76" spans="1:22" ht="15.75" thickBot="1" x14ac:dyDescent="0.3">
      <c r="B76" s="23" t="s">
        <v>35</v>
      </c>
      <c r="C76" s="24" t="s">
        <v>46</v>
      </c>
      <c r="D76" s="24" t="s">
        <v>47</v>
      </c>
      <c r="E76" s="24" t="s">
        <v>38</v>
      </c>
      <c r="F76" s="25" t="s">
        <v>39</v>
      </c>
      <c r="M76" s="32" t="s">
        <v>41</v>
      </c>
      <c r="N76" s="32" t="s">
        <v>80</v>
      </c>
      <c r="O76" s="32" t="s">
        <v>81</v>
      </c>
      <c r="T76" s="34"/>
      <c r="U76" s="13" t="s">
        <v>56</v>
      </c>
      <c r="V76" s="13" t="s">
        <v>82</v>
      </c>
    </row>
    <row r="77" spans="1:22" ht="15.75" thickBot="1" x14ac:dyDescent="0.3">
      <c r="A77" s="26" t="s">
        <v>40</v>
      </c>
      <c r="B77" s="7">
        <f>SUM(C16:C69)</f>
        <v>5</v>
      </c>
      <c r="C77" s="7">
        <f>SUM(E16:E69)</f>
        <v>4</v>
      </c>
      <c r="D77" s="7">
        <f>SUM(G16:G69)</f>
        <v>1</v>
      </c>
      <c r="E77" s="8">
        <f>SUM(C77/B77)</f>
        <v>0.8</v>
      </c>
      <c r="F77" s="9">
        <f>SUM(D77/B77)</f>
        <v>0.2</v>
      </c>
      <c r="L77" s="32" t="s">
        <v>77</v>
      </c>
      <c r="M77" s="48">
        <f>SUM(V77/U77)</f>
        <v>0.91176470588235292</v>
      </c>
      <c r="N77" s="33" t="e">
        <f>SUM(V78/U78)</f>
        <v>#DIV/0!</v>
      </c>
      <c r="O77" s="33" t="e">
        <f>AVERAGE(M77:N77)</f>
        <v>#DIV/0!</v>
      </c>
      <c r="T77" s="32" t="s">
        <v>83</v>
      </c>
      <c r="U77" s="30">
        <f>SUM(B8,B9,B10,B11,B12,B13,B14)</f>
        <v>34</v>
      </c>
      <c r="V77" s="30">
        <f>SUM(D8,D9,D10,D11,D12,D13,D14)</f>
        <v>31</v>
      </c>
    </row>
    <row r="78" spans="1:22" ht="15.75" thickBot="1" x14ac:dyDescent="0.3">
      <c r="L78" s="32" t="s">
        <v>78</v>
      </c>
      <c r="M78" s="48">
        <f>SUM(V79/U79)</f>
        <v>1</v>
      </c>
      <c r="N78" s="57">
        <f>SUM(V80/U80)</f>
        <v>0.8</v>
      </c>
      <c r="O78" s="47">
        <f>AVERAGE(M78:N78)</f>
        <v>0.9</v>
      </c>
      <c r="T78" s="32" t="s">
        <v>84</v>
      </c>
      <c r="U78" s="30">
        <v>0</v>
      </c>
      <c r="V78" s="30">
        <v>0</v>
      </c>
    </row>
    <row r="79" spans="1:22" ht="15.75" thickBot="1" x14ac:dyDescent="0.3">
      <c r="B79" s="62" t="s">
        <v>55</v>
      </c>
      <c r="C79" s="63"/>
      <c r="D79" s="63"/>
      <c r="E79" s="63"/>
      <c r="F79" s="64"/>
      <c r="L79" s="32" t="s">
        <v>79</v>
      </c>
      <c r="M79" s="47">
        <f>SUM(V81/U81)</f>
        <v>0.9</v>
      </c>
      <c r="N79" s="30" t="e">
        <f>SUM(V82/U82)</f>
        <v>#DIV/0!</v>
      </c>
      <c r="O79" s="30" t="e">
        <f>AVERAGE(M79:N79)</f>
        <v>#DIV/0!</v>
      </c>
      <c r="T79" s="32" t="s">
        <v>85</v>
      </c>
      <c r="U79" s="30">
        <f>SUM(B15)</f>
        <v>53</v>
      </c>
      <c r="V79" s="30">
        <f>SUM(D15)</f>
        <v>53</v>
      </c>
    </row>
    <row r="80" spans="1:22" ht="15.75" thickBot="1" x14ac:dyDescent="0.3">
      <c r="B80" s="28" t="s">
        <v>35</v>
      </c>
      <c r="C80" s="24" t="s">
        <v>46</v>
      </c>
      <c r="D80" s="24" t="s">
        <v>47</v>
      </c>
      <c r="E80" s="24" t="s">
        <v>38</v>
      </c>
      <c r="F80" s="25" t="s">
        <v>39</v>
      </c>
      <c r="T80" s="32" t="s">
        <v>86</v>
      </c>
      <c r="U80" s="30">
        <f>SUM(C17:C18)</f>
        <v>5</v>
      </c>
      <c r="V80" s="30">
        <f>SUM(E17:E18)</f>
        <v>4</v>
      </c>
    </row>
    <row r="81" spans="1:22" ht="15.75" thickBot="1" x14ac:dyDescent="0.3">
      <c r="A81" s="29" t="s">
        <v>56</v>
      </c>
      <c r="B81" s="7">
        <f>SUM(B73+B77)</f>
        <v>174</v>
      </c>
      <c r="C81" s="7">
        <f>SUM(C73+C77)</f>
        <v>163</v>
      </c>
      <c r="D81" s="7">
        <f>SUM(D73+D77)</f>
        <v>11</v>
      </c>
      <c r="E81" s="53">
        <f>SUM(C81/B81)</f>
        <v>0.93678160919540232</v>
      </c>
      <c r="F81" s="54">
        <f>SUM(D81/B81)</f>
        <v>6.3218390804597707E-2</v>
      </c>
      <c r="T81" s="32" t="s">
        <v>87</v>
      </c>
      <c r="U81" s="30">
        <f>SUM(B16)</f>
        <v>70</v>
      </c>
      <c r="V81" s="30">
        <f>SUM(D16)</f>
        <v>63</v>
      </c>
    </row>
    <row r="82" spans="1:22" x14ac:dyDescent="0.25">
      <c r="T82" s="32" t="s">
        <v>88</v>
      </c>
      <c r="U82" s="30">
        <v>0</v>
      </c>
      <c r="V82" s="30">
        <v>0</v>
      </c>
    </row>
    <row r="85" spans="1:22" x14ac:dyDescent="0.25">
      <c r="C85" s="19" t="s">
        <v>41</v>
      </c>
      <c r="D85" s="19" t="s">
        <v>42</v>
      </c>
      <c r="E85" s="19" t="s">
        <v>41</v>
      </c>
      <c r="F85" s="19" t="s">
        <v>42</v>
      </c>
      <c r="G85" s="19" t="s">
        <v>41</v>
      </c>
      <c r="H85" s="19" t="s">
        <v>42</v>
      </c>
      <c r="I85" s="19" t="s">
        <v>41</v>
      </c>
      <c r="J85" s="19" t="s">
        <v>42</v>
      </c>
      <c r="K85" s="19" t="s">
        <v>56</v>
      </c>
    </row>
    <row r="86" spans="1:22" x14ac:dyDescent="0.25">
      <c r="A86" s="60" t="s">
        <v>72</v>
      </c>
      <c r="B86" s="61"/>
      <c r="C86" s="37" t="s">
        <v>35</v>
      </c>
      <c r="D86" s="37" t="s">
        <v>35</v>
      </c>
      <c r="E86" s="37" t="s">
        <v>36</v>
      </c>
      <c r="F86" s="37" t="s">
        <v>36</v>
      </c>
      <c r="G86" s="37" t="s">
        <v>37</v>
      </c>
      <c r="H86" s="37" t="s">
        <v>37</v>
      </c>
      <c r="I86" s="4" t="s">
        <v>49</v>
      </c>
      <c r="J86" s="4" t="s">
        <v>49</v>
      </c>
      <c r="K86" s="4" t="s">
        <v>49</v>
      </c>
      <c r="L86" s="38" t="s">
        <v>73</v>
      </c>
    </row>
    <row r="87" spans="1:22" x14ac:dyDescent="0.25">
      <c r="A87" s="58" t="s">
        <v>60</v>
      </c>
      <c r="B87" s="58"/>
      <c r="C87" s="30">
        <v>126</v>
      </c>
      <c r="D87" s="30">
        <v>0</v>
      </c>
      <c r="E87" s="30">
        <v>118</v>
      </c>
      <c r="F87" s="30">
        <v>0</v>
      </c>
      <c r="G87" s="30">
        <v>8</v>
      </c>
      <c r="H87" s="30">
        <v>0</v>
      </c>
      <c r="I87" s="48">
        <f t="shared" ref="I87:I98" si="10">SUM(E87/C87)</f>
        <v>0.93650793650793651</v>
      </c>
      <c r="J87" s="33" t="s">
        <v>99</v>
      </c>
      <c r="K87" s="48">
        <f>AVERAGE(I87:J87)</f>
        <v>0.93650793650793651</v>
      </c>
      <c r="L87" s="48">
        <f>AVERAGE(K87)</f>
        <v>0.93650793650793651</v>
      </c>
    </row>
    <row r="88" spans="1:22" x14ac:dyDescent="0.25">
      <c r="A88" s="58" t="s">
        <v>61</v>
      </c>
      <c r="B88" s="58"/>
      <c r="C88" s="30">
        <v>43</v>
      </c>
      <c r="D88" s="30">
        <v>5</v>
      </c>
      <c r="E88" s="30">
        <v>41</v>
      </c>
      <c r="F88" s="30">
        <v>4</v>
      </c>
      <c r="G88" s="30">
        <v>3</v>
      </c>
      <c r="H88" s="30">
        <v>1</v>
      </c>
      <c r="I88" s="48">
        <f>SUM(E88/C88)</f>
        <v>0.95348837209302328</v>
      </c>
      <c r="J88" s="87">
        <f>SUM(F88/D88)</f>
        <v>0.8</v>
      </c>
      <c r="K88" s="48">
        <f t="shared" ref="K88:K98" si="11">AVERAGE(I88:J88)</f>
        <v>0.87674418604651172</v>
      </c>
      <c r="L88" s="48">
        <f>AVERAGE(K87:K88)</f>
        <v>0.90662606127722412</v>
      </c>
    </row>
    <row r="89" spans="1:22" x14ac:dyDescent="0.25">
      <c r="A89" s="58" t="s">
        <v>62</v>
      </c>
      <c r="B89" s="58"/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3" t="e">
        <f t="shared" si="10"/>
        <v>#DIV/0!</v>
      </c>
      <c r="J89" s="33" t="e">
        <f t="shared" ref="J89:J98" si="12">SUM(F89/D89)</f>
        <v>#DIV/0!</v>
      </c>
      <c r="K89" s="33" t="e">
        <f t="shared" si="11"/>
        <v>#DIV/0!</v>
      </c>
      <c r="L89" s="48" t="e">
        <f>AVERAGE(K87:K89)</f>
        <v>#DIV/0!</v>
      </c>
    </row>
    <row r="90" spans="1:22" x14ac:dyDescent="0.25">
      <c r="A90" s="58" t="s">
        <v>63</v>
      </c>
      <c r="B90" s="58"/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3" t="e">
        <f t="shared" si="10"/>
        <v>#DIV/0!</v>
      </c>
      <c r="J90" s="33" t="e">
        <f t="shared" si="12"/>
        <v>#DIV/0!</v>
      </c>
      <c r="K90" s="33" t="e">
        <f t="shared" si="11"/>
        <v>#DIV/0!</v>
      </c>
      <c r="L90" s="48" t="e">
        <f>AVERAGE(K87:K90)</f>
        <v>#DIV/0!</v>
      </c>
    </row>
    <row r="91" spans="1:22" x14ac:dyDescent="0.25">
      <c r="A91" s="58" t="s">
        <v>64</v>
      </c>
      <c r="B91" s="58"/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3" t="e">
        <f t="shared" si="10"/>
        <v>#DIV/0!</v>
      </c>
      <c r="J91" s="33" t="e">
        <f t="shared" si="12"/>
        <v>#DIV/0!</v>
      </c>
      <c r="K91" s="33" t="e">
        <f t="shared" si="11"/>
        <v>#DIV/0!</v>
      </c>
      <c r="L91" s="48" t="e">
        <f>AVERAGE(K87:K91)</f>
        <v>#DIV/0!</v>
      </c>
    </row>
    <row r="92" spans="1:22" x14ac:dyDescent="0.25">
      <c r="A92" s="58" t="s">
        <v>65</v>
      </c>
      <c r="B92" s="58"/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3" t="e">
        <f t="shared" si="10"/>
        <v>#DIV/0!</v>
      </c>
      <c r="J92" s="33" t="e">
        <f t="shared" si="12"/>
        <v>#DIV/0!</v>
      </c>
      <c r="K92" s="33" t="e">
        <f t="shared" si="11"/>
        <v>#DIV/0!</v>
      </c>
      <c r="L92" s="48" t="e">
        <f>AVERAGE(K87:K92)</f>
        <v>#DIV/0!</v>
      </c>
    </row>
    <row r="93" spans="1:22" x14ac:dyDescent="0.25">
      <c r="A93" s="58" t="s">
        <v>66</v>
      </c>
      <c r="B93" s="58"/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3" t="e">
        <f t="shared" si="10"/>
        <v>#DIV/0!</v>
      </c>
      <c r="J93" s="33" t="e">
        <f t="shared" si="12"/>
        <v>#DIV/0!</v>
      </c>
      <c r="K93" s="33" t="e">
        <f t="shared" si="11"/>
        <v>#DIV/0!</v>
      </c>
      <c r="L93" s="48" t="e">
        <f>AVERAGE(K88:K93)</f>
        <v>#DIV/0!</v>
      </c>
    </row>
    <row r="94" spans="1:22" x14ac:dyDescent="0.25">
      <c r="A94" s="58" t="s">
        <v>67</v>
      </c>
      <c r="B94" s="58"/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3" t="e">
        <f t="shared" si="10"/>
        <v>#DIV/0!</v>
      </c>
      <c r="J94" s="33" t="e">
        <f t="shared" si="12"/>
        <v>#DIV/0!</v>
      </c>
      <c r="K94" s="33" t="e">
        <f t="shared" si="11"/>
        <v>#DIV/0!</v>
      </c>
      <c r="L94" s="48" t="e">
        <f t="shared" ref="L94:L98" si="13">AVERAGE(K89:K94)</f>
        <v>#DIV/0!</v>
      </c>
    </row>
    <row r="95" spans="1:22" x14ac:dyDescent="0.25">
      <c r="A95" s="58" t="s">
        <v>68</v>
      </c>
      <c r="B95" s="58"/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3" t="e">
        <f t="shared" si="10"/>
        <v>#DIV/0!</v>
      </c>
      <c r="J95" s="33" t="e">
        <f t="shared" si="12"/>
        <v>#DIV/0!</v>
      </c>
      <c r="K95" s="33" t="e">
        <f t="shared" si="11"/>
        <v>#DIV/0!</v>
      </c>
      <c r="L95" s="48" t="e">
        <f t="shared" si="13"/>
        <v>#DIV/0!</v>
      </c>
    </row>
    <row r="96" spans="1:22" x14ac:dyDescent="0.25">
      <c r="A96" s="58" t="s">
        <v>69</v>
      </c>
      <c r="B96" s="58"/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3" t="e">
        <f t="shared" si="10"/>
        <v>#DIV/0!</v>
      </c>
      <c r="J96" s="33" t="e">
        <f t="shared" si="12"/>
        <v>#DIV/0!</v>
      </c>
      <c r="K96" s="33" t="e">
        <f t="shared" si="11"/>
        <v>#DIV/0!</v>
      </c>
      <c r="L96" s="48" t="e">
        <f t="shared" si="13"/>
        <v>#DIV/0!</v>
      </c>
    </row>
    <row r="97" spans="1:13" x14ac:dyDescent="0.25">
      <c r="A97" s="58" t="s">
        <v>70</v>
      </c>
      <c r="B97" s="58"/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3" t="e">
        <f t="shared" si="10"/>
        <v>#DIV/0!</v>
      </c>
      <c r="J97" s="33" t="e">
        <f t="shared" si="12"/>
        <v>#DIV/0!</v>
      </c>
      <c r="K97" s="33" t="e">
        <f t="shared" si="11"/>
        <v>#DIV/0!</v>
      </c>
      <c r="L97" s="48" t="e">
        <f t="shared" si="13"/>
        <v>#DIV/0!</v>
      </c>
    </row>
    <row r="98" spans="1:13" x14ac:dyDescent="0.25">
      <c r="A98" s="58" t="s">
        <v>71</v>
      </c>
      <c r="B98" s="58"/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3" t="e">
        <f t="shared" si="10"/>
        <v>#DIV/0!</v>
      </c>
      <c r="J98" s="33" t="e">
        <f t="shared" si="12"/>
        <v>#DIV/0!</v>
      </c>
      <c r="K98" s="33" t="e">
        <f t="shared" si="11"/>
        <v>#DIV/0!</v>
      </c>
      <c r="L98" s="48" t="e">
        <f t="shared" si="13"/>
        <v>#DIV/0!</v>
      </c>
      <c r="M98" t="s">
        <v>109</v>
      </c>
    </row>
    <row r="99" spans="1:13" x14ac:dyDescent="0.25">
      <c r="A99" s="59" t="s">
        <v>56</v>
      </c>
      <c r="B99" s="59"/>
      <c r="C99" s="46">
        <f t="shared" ref="C99:H99" si="14">SUM(C87:C98)</f>
        <v>169</v>
      </c>
      <c r="D99" s="46">
        <f t="shared" si="14"/>
        <v>5</v>
      </c>
      <c r="E99" s="46">
        <f t="shared" si="14"/>
        <v>159</v>
      </c>
      <c r="F99" s="46">
        <f t="shared" si="14"/>
        <v>4</v>
      </c>
      <c r="G99" s="46">
        <f t="shared" si="14"/>
        <v>11</v>
      </c>
      <c r="H99" s="46">
        <f t="shared" si="14"/>
        <v>1</v>
      </c>
    </row>
  </sheetData>
  <mergeCells count="27">
    <mergeCell ref="A99:B99"/>
    <mergeCell ref="A86:B86"/>
    <mergeCell ref="B79:F79"/>
    <mergeCell ref="A2:K3"/>
    <mergeCell ref="B71:F71"/>
    <mergeCell ref="B75:F75"/>
    <mergeCell ref="H71:K71"/>
    <mergeCell ref="H72:I72"/>
    <mergeCell ref="H73:I73"/>
    <mergeCell ref="H74:I74"/>
    <mergeCell ref="H75:I75"/>
    <mergeCell ref="J72:K72"/>
    <mergeCell ref="J73:K73"/>
    <mergeCell ref="J74:K74"/>
    <mergeCell ref="J75:K75"/>
    <mergeCell ref="A87:B87"/>
    <mergeCell ref="A88:B88"/>
    <mergeCell ref="A89:B89"/>
    <mergeCell ref="A90:B90"/>
    <mergeCell ref="A91:B91"/>
    <mergeCell ref="A97:B97"/>
    <mergeCell ref="A98:B98"/>
    <mergeCell ref="A92:B92"/>
    <mergeCell ref="A93:B93"/>
    <mergeCell ref="A94:B94"/>
    <mergeCell ref="A95:B95"/>
    <mergeCell ref="A96:B96"/>
  </mergeCells>
  <phoneticPr fontId="5" type="noConversion"/>
  <conditionalFormatting sqref="E73">
    <cfRule type="cellIs" dxfId="20" priority="43" operator="between">
      <formula>0.9</formula>
      <formula>1</formula>
    </cfRule>
    <cfRule type="cellIs" dxfId="19" priority="44" operator="between">
      <formula>0.8</formula>
      <formula>0.89</formula>
    </cfRule>
    <cfRule type="cellIs" dxfId="18" priority="45" operator="between">
      <formula>0</formula>
      <formula>0.79</formula>
    </cfRule>
  </conditionalFormatting>
  <conditionalFormatting sqref="E77">
    <cfRule type="cellIs" dxfId="17" priority="37" operator="between">
      <formula>0.9</formula>
      <formula>1</formula>
    </cfRule>
    <cfRule type="cellIs" dxfId="16" priority="38" operator="between">
      <formula>0.8</formula>
      <formula>0.89</formula>
    </cfRule>
    <cfRule type="cellIs" dxfId="15" priority="39" operator="between">
      <formula>0</formula>
      <formula>0.79</formula>
    </cfRule>
  </conditionalFormatting>
  <conditionalFormatting sqref="F73">
    <cfRule type="cellIs" dxfId="14" priority="40" operator="between">
      <formula>0.1</formula>
      <formula>0</formula>
    </cfRule>
    <cfRule type="cellIs" dxfId="13" priority="41" operator="between">
      <formula>0.2</formula>
      <formula>0.11</formula>
    </cfRule>
    <cfRule type="cellIs" dxfId="12" priority="42" operator="between">
      <formula>1</formula>
      <formula>0.21</formula>
    </cfRule>
  </conditionalFormatting>
  <conditionalFormatting sqref="F77">
    <cfRule type="cellIs" dxfId="11" priority="34" operator="between">
      <formula>0.1</formula>
      <formula>0</formula>
    </cfRule>
    <cfRule type="cellIs" dxfId="10" priority="35" operator="between">
      <formula>0.2</formula>
      <formula>0.11</formula>
    </cfRule>
    <cfRule type="cellIs" dxfId="9" priority="36" operator="between">
      <formula>1</formula>
      <formula>0.21</formula>
    </cfRule>
  </conditionalFormatting>
  <conditionalFormatting sqref="H6:I69">
    <cfRule type="cellIs" dxfId="8" priority="25" operator="between">
      <formula>0.9</formula>
      <formula>1</formula>
    </cfRule>
    <cfRule type="cellIs" dxfId="7" priority="26" operator="between">
      <formula>0.8</formula>
      <formula>0.89</formula>
    </cfRule>
    <cfRule type="cellIs" dxfId="6" priority="27" operator="between">
      <formula>0</formula>
      <formula>0.79</formula>
    </cfRule>
  </conditionalFormatting>
  <conditionalFormatting sqref="J6:J69">
    <cfRule type="cellIs" dxfId="5" priority="31" operator="between">
      <formula>0.1</formula>
      <formula>0</formula>
    </cfRule>
    <cfRule type="cellIs" dxfId="4" priority="32" operator="between">
      <formula>0.2</formula>
      <formula>0.11</formula>
    </cfRule>
    <cfRule type="cellIs" dxfId="3" priority="33" operator="between">
      <formula>1</formula>
      <formula>0.21</formula>
    </cfRule>
  </conditionalFormatting>
  <conditionalFormatting sqref="K6:K17 K19:K69">
    <cfRule type="cellIs" dxfId="2" priority="46" operator="between">
      <formula>100%</formula>
      <formula>21%</formula>
    </cfRule>
    <cfRule type="cellIs" dxfId="1" priority="47" operator="between">
      <formula>20%</formula>
      <formula>11%</formula>
    </cfRule>
    <cfRule type="cellIs" dxfId="0" priority="48" operator="between">
      <formula>10%</formula>
      <formula>0%</formula>
    </cfRule>
  </conditionalFormatting>
  <pageMargins left="0.7" right="0.7" top="0.75" bottom="0.75" header="0.3" footer="0.3"/>
  <pageSetup paperSize="122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7A17-32F3-4565-82BE-2C77AF7879F6}">
  <dimension ref="A1:J42"/>
  <sheetViews>
    <sheetView workbookViewId="0">
      <selection activeCell="C4" sqref="C4:G4"/>
    </sheetView>
  </sheetViews>
  <sheetFormatPr defaultRowHeight="15" x14ac:dyDescent="0.25"/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77" t="s">
        <v>0</v>
      </c>
      <c r="B2" s="78"/>
      <c r="C2" s="78"/>
      <c r="D2" s="78"/>
      <c r="E2" s="78"/>
      <c r="F2" s="78"/>
      <c r="G2" s="78"/>
      <c r="H2" s="78"/>
      <c r="I2" s="79"/>
      <c r="J2" s="1"/>
    </row>
    <row r="3" spans="1:10" x14ac:dyDescent="0.25">
      <c r="A3" s="80"/>
      <c r="B3" s="81"/>
      <c r="C3" s="81"/>
      <c r="D3" s="81"/>
      <c r="E3" s="81"/>
      <c r="F3" s="81"/>
      <c r="G3" s="81"/>
      <c r="H3" s="81"/>
      <c r="I3" s="82"/>
    </row>
    <row r="4" spans="1:10" x14ac:dyDescent="0.25">
      <c r="C4" s="83" t="s">
        <v>33</v>
      </c>
      <c r="D4" s="84"/>
      <c r="E4" s="84"/>
      <c r="F4" s="84"/>
      <c r="G4" s="85"/>
    </row>
    <row r="6" spans="1:10" x14ac:dyDescent="0.25">
      <c r="A6" s="59" t="s">
        <v>30</v>
      </c>
      <c r="B6" s="59"/>
      <c r="C6" s="59"/>
      <c r="D6" s="59"/>
      <c r="E6" s="59"/>
      <c r="F6" s="59" t="s">
        <v>31</v>
      </c>
      <c r="G6" s="59"/>
      <c r="H6" s="59" t="s">
        <v>32</v>
      </c>
      <c r="I6" s="59"/>
    </row>
    <row r="7" spans="1:10" x14ac:dyDescent="0.25">
      <c r="A7" s="58" t="s">
        <v>1</v>
      </c>
      <c r="B7" s="58"/>
      <c r="C7" s="58"/>
      <c r="D7" s="58"/>
      <c r="E7" s="58"/>
      <c r="F7" s="58"/>
      <c r="G7" s="58"/>
      <c r="H7" s="58"/>
      <c r="I7" s="58"/>
    </row>
    <row r="8" spans="1:10" x14ac:dyDescent="0.25">
      <c r="A8" s="58" t="s">
        <v>2</v>
      </c>
      <c r="B8" s="58"/>
      <c r="C8" s="58"/>
      <c r="D8" s="58"/>
      <c r="E8" s="58"/>
      <c r="F8" s="58"/>
      <c r="G8" s="58"/>
      <c r="H8" s="58"/>
      <c r="I8" s="58"/>
    </row>
    <row r="9" spans="1:10" x14ac:dyDescent="0.25">
      <c r="A9" s="58" t="s">
        <v>3</v>
      </c>
      <c r="B9" s="58"/>
      <c r="C9" s="58"/>
      <c r="D9" s="58"/>
      <c r="E9" s="58"/>
      <c r="F9" s="58"/>
      <c r="G9" s="58"/>
      <c r="H9" s="58"/>
      <c r="I9" s="58"/>
    </row>
    <row r="10" spans="1:10" x14ac:dyDescent="0.25">
      <c r="A10" s="58" t="s">
        <v>4</v>
      </c>
      <c r="B10" s="58"/>
      <c r="C10" s="58"/>
      <c r="D10" s="58"/>
      <c r="E10" s="58"/>
      <c r="F10" s="58"/>
      <c r="G10" s="58"/>
      <c r="H10" s="58"/>
      <c r="I10" s="58"/>
    </row>
    <row r="11" spans="1:10" x14ac:dyDescent="0.25">
      <c r="A11" s="58" t="s">
        <v>5</v>
      </c>
      <c r="B11" s="58"/>
      <c r="C11" s="58"/>
      <c r="D11" s="58"/>
      <c r="E11" s="58"/>
      <c r="F11" s="58"/>
      <c r="G11" s="58"/>
      <c r="H11" s="58"/>
      <c r="I11" s="58"/>
    </row>
    <row r="12" spans="1:10" x14ac:dyDescent="0.25">
      <c r="A12" s="58" t="s">
        <v>6</v>
      </c>
      <c r="B12" s="58"/>
      <c r="C12" s="58"/>
      <c r="D12" s="58"/>
      <c r="E12" s="58"/>
      <c r="F12" s="58"/>
      <c r="G12" s="58"/>
      <c r="H12" s="58"/>
      <c r="I12" s="58"/>
    </row>
    <row r="13" spans="1:10" x14ac:dyDescent="0.25">
      <c r="A13" s="58" t="s">
        <v>7</v>
      </c>
      <c r="B13" s="58"/>
      <c r="C13" s="58"/>
      <c r="D13" s="58"/>
      <c r="E13" s="58"/>
      <c r="F13" s="58"/>
      <c r="G13" s="58"/>
      <c r="H13" s="58"/>
      <c r="I13" s="58"/>
    </row>
    <row r="14" spans="1:10" x14ac:dyDescent="0.25">
      <c r="A14" s="58" t="s">
        <v>8</v>
      </c>
      <c r="B14" s="58"/>
      <c r="C14" s="58"/>
      <c r="D14" s="58"/>
      <c r="E14" s="58"/>
      <c r="F14" s="58"/>
      <c r="G14" s="58"/>
      <c r="H14" s="58"/>
      <c r="I14" s="58"/>
    </row>
    <row r="15" spans="1:10" x14ac:dyDescent="0.25">
      <c r="A15" s="58" t="s">
        <v>9</v>
      </c>
      <c r="B15" s="58"/>
      <c r="C15" s="58"/>
      <c r="D15" s="58"/>
      <c r="E15" s="58"/>
      <c r="F15" s="58"/>
      <c r="G15" s="58"/>
      <c r="H15" s="58"/>
      <c r="I15" s="58"/>
    </row>
    <row r="16" spans="1:10" x14ac:dyDescent="0.25">
      <c r="A16" s="58" t="s">
        <v>19</v>
      </c>
      <c r="B16" s="58"/>
      <c r="C16" s="58"/>
      <c r="D16" s="58"/>
      <c r="E16" s="58"/>
      <c r="F16" s="58"/>
      <c r="G16" s="58"/>
      <c r="H16" s="58"/>
      <c r="I16" s="58"/>
    </row>
    <row r="17" spans="1:9" x14ac:dyDescent="0.25">
      <c r="A17" s="58" t="s">
        <v>10</v>
      </c>
      <c r="B17" s="58"/>
      <c r="C17" s="58"/>
      <c r="D17" s="58"/>
      <c r="E17" s="58"/>
      <c r="F17" s="58"/>
      <c r="G17" s="58"/>
      <c r="H17" s="58"/>
      <c r="I17" s="58"/>
    </row>
    <row r="18" spans="1:9" x14ac:dyDescent="0.25">
      <c r="A18" s="58" t="s">
        <v>20</v>
      </c>
      <c r="B18" s="58"/>
      <c r="C18" s="58"/>
      <c r="D18" s="58"/>
      <c r="E18" s="58"/>
      <c r="F18" s="58"/>
      <c r="G18" s="58"/>
      <c r="H18" s="58"/>
      <c r="I18" s="58"/>
    </row>
    <row r="19" spans="1:9" x14ac:dyDescent="0.25">
      <c r="A19" s="58" t="s">
        <v>11</v>
      </c>
      <c r="B19" s="58"/>
      <c r="C19" s="58"/>
      <c r="D19" s="58"/>
      <c r="E19" s="58"/>
      <c r="F19" s="58"/>
      <c r="G19" s="58"/>
      <c r="H19" s="58"/>
      <c r="I19" s="58"/>
    </row>
    <row r="20" spans="1:9" x14ac:dyDescent="0.25">
      <c r="A20" s="58" t="s">
        <v>12</v>
      </c>
      <c r="B20" s="58"/>
      <c r="C20" s="58"/>
      <c r="D20" s="58"/>
      <c r="E20" s="58"/>
      <c r="F20" s="58"/>
      <c r="G20" s="58"/>
      <c r="H20" s="58"/>
      <c r="I20" s="58"/>
    </row>
    <row r="21" spans="1:9" x14ac:dyDescent="0.25">
      <c r="A21" s="58" t="s">
        <v>23</v>
      </c>
      <c r="B21" s="58"/>
      <c r="C21" s="58"/>
      <c r="D21" s="58"/>
      <c r="E21" s="58"/>
      <c r="F21" s="58"/>
      <c r="G21" s="58"/>
      <c r="H21" s="58"/>
      <c r="I21" s="58"/>
    </row>
    <row r="22" spans="1:9" x14ac:dyDescent="0.25">
      <c r="A22" s="58" t="s">
        <v>13</v>
      </c>
      <c r="B22" s="58"/>
      <c r="C22" s="58"/>
      <c r="D22" s="58"/>
      <c r="E22" s="58"/>
      <c r="F22" s="58"/>
      <c r="G22" s="58"/>
      <c r="H22" s="58"/>
      <c r="I22" s="58"/>
    </row>
    <row r="23" spans="1:9" x14ac:dyDescent="0.25">
      <c r="A23" s="58" t="s">
        <v>14</v>
      </c>
      <c r="B23" s="58"/>
      <c r="C23" s="58"/>
      <c r="D23" s="58"/>
      <c r="E23" s="58"/>
      <c r="F23" s="58"/>
      <c r="G23" s="58"/>
      <c r="H23" s="58"/>
      <c r="I23" s="58"/>
    </row>
    <row r="24" spans="1:9" x14ac:dyDescent="0.25">
      <c r="A24" s="58" t="s">
        <v>15</v>
      </c>
      <c r="B24" s="58"/>
      <c r="C24" s="58"/>
      <c r="D24" s="58"/>
      <c r="E24" s="58"/>
      <c r="F24" s="58"/>
      <c r="G24" s="58"/>
      <c r="H24" s="58"/>
      <c r="I24" s="58"/>
    </row>
    <row r="25" spans="1:9" x14ac:dyDescent="0.25">
      <c r="A25" s="58" t="s">
        <v>16</v>
      </c>
      <c r="B25" s="58"/>
      <c r="C25" s="58"/>
      <c r="D25" s="58"/>
      <c r="E25" s="58"/>
      <c r="F25" s="58"/>
      <c r="G25" s="58"/>
      <c r="H25" s="58"/>
      <c r="I25" s="58"/>
    </row>
    <row r="26" spans="1:9" x14ac:dyDescent="0.25">
      <c r="A26" s="58" t="s">
        <v>17</v>
      </c>
      <c r="B26" s="58"/>
      <c r="C26" s="58"/>
      <c r="D26" s="58"/>
      <c r="E26" s="58"/>
      <c r="F26" s="58"/>
      <c r="G26" s="58"/>
      <c r="H26" s="58"/>
      <c r="I26" s="58"/>
    </row>
    <row r="27" spans="1:9" x14ac:dyDescent="0.25">
      <c r="A27" s="58" t="s">
        <v>21</v>
      </c>
      <c r="B27" s="58"/>
      <c r="C27" s="58"/>
      <c r="D27" s="58"/>
      <c r="E27" s="58"/>
      <c r="F27" s="58"/>
      <c r="G27" s="58"/>
      <c r="H27" s="58"/>
      <c r="I27" s="58"/>
    </row>
    <row r="28" spans="1:9" x14ac:dyDescent="0.25">
      <c r="A28" s="58" t="s">
        <v>18</v>
      </c>
      <c r="B28" s="58"/>
      <c r="C28" s="58"/>
      <c r="D28" s="58"/>
      <c r="E28" s="58"/>
      <c r="F28" s="58"/>
      <c r="G28" s="58"/>
      <c r="H28" s="58"/>
      <c r="I28" s="58"/>
    </row>
    <row r="29" spans="1:9" x14ac:dyDescent="0.25">
      <c r="A29" s="58" t="s">
        <v>22</v>
      </c>
      <c r="B29" s="58"/>
      <c r="C29" s="58"/>
      <c r="D29" s="58"/>
      <c r="E29" s="58"/>
      <c r="F29" s="58"/>
      <c r="G29" s="58"/>
      <c r="H29" s="58"/>
      <c r="I29" s="58"/>
    </row>
    <row r="30" spans="1:9" x14ac:dyDescent="0.25">
      <c r="A30" s="58" t="s">
        <v>24</v>
      </c>
      <c r="B30" s="58"/>
      <c r="C30" s="58"/>
      <c r="D30" s="58"/>
      <c r="E30" s="58"/>
      <c r="F30" s="58"/>
      <c r="G30" s="58"/>
      <c r="H30" s="58"/>
      <c r="I30" s="58"/>
    </row>
    <row r="31" spans="1:9" x14ac:dyDescent="0.25">
      <c r="A31" s="58" t="s">
        <v>25</v>
      </c>
      <c r="B31" s="58"/>
      <c r="C31" s="58"/>
      <c r="D31" s="58"/>
      <c r="E31" s="58"/>
      <c r="F31" s="58"/>
      <c r="G31" s="58"/>
      <c r="H31" s="58"/>
      <c r="I31" s="58"/>
    </row>
    <row r="32" spans="1:9" x14ac:dyDescent="0.25">
      <c r="A32" s="58" t="s">
        <v>26</v>
      </c>
      <c r="B32" s="58"/>
      <c r="C32" s="58"/>
      <c r="D32" s="58"/>
      <c r="E32" s="58"/>
      <c r="F32" s="58"/>
      <c r="G32" s="58"/>
      <c r="H32" s="58"/>
      <c r="I32" s="58"/>
    </row>
    <row r="33" spans="1:9" x14ac:dyDescent="0.25">
      <c r="A33" s="58" t="s">
        <v>27</v>
      </c>
      <c r="B33" s="58"/>
      <c r="C33" s="58"/>
      <c r="D33" s="58"/>
      <c r="E33" s="58"/>
      <c r="F33" s="58"/>
      <c r="G33" s="58"/>
      <c r="H33" s="58"/>
      <c r="I33" s="58"/>
    </row>
    <row r="34" spans="1:9" x14ac:dyDescent="0.25">
      <c r="A34" s="58" t="s">
        <v>28</v>
      </c>
      <c r="B34" s="58"/>
      <c r="C34" s="58"/>
      <c r="D34" s="58"/>
      <c r="E34" s="58"/>
      <c r="F34" s="58"/>
      <c r="G34" s="58"/>
      <c r="H34" s="58"/>
      <c r="I34" s="58"/>
    </row>
    <row r="35" spans="1:9" x14ac:dyDescent="0.25">
      <c r="A35" s="58" t="s">
        <v>29</v>
      </c>
      <c r="B35" s="58"/>
      <c r="C35" s="58"/>
      <c r="D35" s="58"/>
      <c r="E35" s="58"/>
      <c r="F35" s="58"/>
      <c r="G35" s="58"/>
      <c r="H35" s="58"/>
      <c r="I35" s="58"/>
    </row>
    <row r="36" spans="1:9" x14ac:dyDescent="0.25">
      <c r="A36" s="76"/>
      <c r="B36" s="76"/>
      <c r="C36" s="76"/>
      <c r="D36" s="76"/>
      <c r="E36" s="76"/>
      <c r="F36" s="76"/>
      <c r="G36" s="76"/>
      <c r="H36" s="76"/>
      <c r="I36" s="76"/>
    </row>
    <row r="37" spans="1:9" x14ac:dyDescent="0.25">
      <c r="A37" s="76"/>
      <c r="B37" s="76"/>
      <c r="C37" s="76"/>
      <c r="D37" s="76"/>
      <c r="E37" s="76"/>
      <c r="F37" s="76"/>
      <c r="G37" s="76"/>
      <c r="H37" s="76"/>
      <c r="I37" s="76"/>
    </row>
    <row r="38" spans="1:9" x14ac:dyDescent="0.25">
      <c r="A38" s="76"/>
      <c r="B38" s="76"/>
      <c r="C38" s="76"/>
      <c r="D38" s="76"/>
      <c r="E38" s="76"/>
      <c r="F38" s="76"/>
      <c r="G38" s="76"/>
      <c r="H38" s="76"/>
      <c r="I38" s="76"/>
    </row>
    <row r="39" spans="1:9" x14ac:dyDescent="0.25">
      <c r="A39" s="76"/>
      <c r="B39" s="76"/>
      <c r="C39" s="76"/>
      <c r="D39" s="76"/>
      <c r="E39" s="76"/>
      <c r="F39" s="76"/>
      <c r="G39" s="76"/>
      <c r="H39" s="76"/>
      <c r="I39" s="76"/>
    </row>
    <row r="40" spans="1:9" x14ac:dyDescent="0.25">
      <c r="A40" s="76"/>
      <c r="B40" s="76"/>
      <c r="C40" s="76"/>
      <c r="D40" s="76"/>
      <c r="E40" s="76"/>
      <c r="F40" s="76"/>
      <c r="G40" s="76"/>
      <c r="H40" s="76"/>
      <c r="I40" s="76"/>
    </row>
    <row r="41" spans="1:9" x14ac:dyDescent="0.25">
      <c r="A41" s="76"/>
      <c r="B41" s="76"/>
      <c r="C41" s="76"/>
      <c r="D41" s="76"/>
      <c r="E41" s="76"/>
      <c r="F41" s="76"/>
      <c r="G41" s="76"/>
      <c r="H41" s="76"/>
      <c r="I41" s="76"/>
    </row>
    <row r="42" spans="1:9" x14ac:dyDescent="0.25">
      <c r="A42" s="76"/>
      <c r="B42" s="76"/>
      <c r="C42" s="76"/>
      <c r="D42" s="76"/>
      <c r="E42" s="76"/>
      <c r="F42" s="76"/>
      <c r="G42" s="76"/>
      <c r="H42" s="76"/>
      <c r="I42" s="76"/>
    </row>
  </sheetData>
  <mergeCells count="113">
    <mergeCell ref="A2:I3"/>
    <mergeCell ref="C4:G4"/>
    <mergeCell ref="A6:E6"/>
    <mergeCell ref="F6:G6"/>
    <mergeCell ref="H6:I6"/>
    <mergeCell ref="A7:E7"/>
    <mergeCell ref="F7:G7"/>
    <mergeCell ref="H7:I7"/>
    <mergeCell ref="A10:E10"/>
    <mergeCell ref="F10:G10"/>
    <mergeCell ref="H10:I10"/>
    <mergeCell ref="A11:E11"/>
    <mergeCell ref="F11:G11"/>
    <mergeCell ref="H11:I11"/>
    <mergeCell ref="A8:E8"/>
    <mergeCell ref="F8:G8"/>
    <mergeCell ref="H8:I8"/>
    <mergeCell ref="A9:E9"/>
    <mergeCell ref="F9:G9"/>
    <mergeCell ref="H9:I9"/>
    <mergeCell ref="A14:E14"/>
    <mergeCell ref="F14:G14"/>
    <mergeCell ref="H14:I14"/>
    <mergeCell ref="A15:E15"/>
    <mergeCell ref="F15:G15"/>
    <mergeCell ref="H15:I15"/>
    <mergeCell ref="A12:E12"/>
    <mergeCell ref="F12:G12"/>
    <mergeCell ref="H12:I12"/>
    <mergeCell ref="A13:E13"/>
    <mergeCell ref="F13:G13"/>
    <mergeCell ref="H13:I13"/>
    <mergeCell ref="A18:E18"/>
    <mergeCell ref="F18:G18"/>
    <mergeCell ref="H18:I18"/>
    <mergeCell ref="A19:E19"/>
    <mergeCell ref="F19:G19"/>
    <mergeCell ref="H19:I19"/>
    <mergeCell ref="A16:E16"/>
    <mergeCell ref="F16:G16"/>
    <mergeCell ref="H16:I16"/>
    <mergeCell ref="A17:E17"/>
    <mergeCell ref="F17:G17"/>
    <mergeCell ref="H17:I17"/>
    <mergeCell ref="A22:E22"/>
    <mergeCell ref="F22:G22"/>
    <mergeCell ref="H22:I22"/>
    <mergeCell ref="A23:E23"/>
    <mergeCell ref="F23:G23"/>
    <mergeCell ref="H23:I23"/>
    <mergeCell ref="A20:E20"/>
    <mergeCell ref="F20:G20"/>
    <mergeCell ref="H20:I20"/>
    <mergeCell ref="A21:E21"/>
    <mergeCell ref="F21:G21"/>
    <mergeCell ref="H21:I21"/>
    <mergeCell ref="A26:E26"/>
    <mergeCell ref="F26:G26"/>
    <mergeCell ref="H26:I26"/>
    <mergeCell ref="A27:E27"/>
    <mergeCell ref="F27:G27"/>
    <mergeCell ref="H27:I27"/>
    <mergeCell ref="A24:E24"/>
    <mergeCell ref="F24:G24"/>
    <mergeCell ref="H24:I24"/>
    <mergeCell ref="A25:E25"/>
    <mergeCell ref="F25:G25"/>
    <mergeCell ref="H25:I25"/>
    <mergeCell ref="A30:E30"/>
    <mergeCell ref="F30:G30"/>
    <mergeCell ref="H30:I30"/>
    <mergeCell ref="A31:E31"/>
    <mergeCell ref="F31:G31"/>
    <mergeCell ref="H31:I31"/>
    <mergeCell ref="A28:E28"/>
    <mergeCell ref="F28:G28"/>
    <mergeCell ref="H28:I28"/>
    <mergeCell ref="A29:E29"/>
    <mergeCell ref="F29:G29"/>
    <mergeCell ref="H29:I29"/>
    <mergeCell ref="A34:E34"/>
    <mergeCell ref="F34:G34"/>
    <mergeCell ref="H34:I34"/>
    <mergeCell ref="A35:E35"/>
    <mergeCell ref="F35:G35"/>
    <mergeCell ref="H35:I35"/>
    <mergeCell ref="A32:E32"/>
    <mergeCell ref="F32:G32"/>
    <mergeCell ref="H32:I32"/>
    <mergeCell ref="A33:E33"/>
    <mergeCell ref="F33:G33"/>
    <mergeCell ref="H33:I33"/>
    <mergeCell ref="A38:E38"/>
    <mergeCell ref="F38:G38"/>
    <mergeCell ref="H38:I38"/>
    <mergeCell ref="A39:E39"/>
    <mergeCell ref="F39:G39"/>
    <mergeCell ref="H39:I39"/>
    <mergeCell ref="A36:E36"/>
    <mergeCell ref="F36:G36"/>
    <mergeCell ref="H36:I36"/>
    <mergeCell ref="A37:E37"/>
    <mergeCell ref="F37:G37"/>
    <mergeCell ref="H37:I37"/>
    <mergeCell ref="A42:E42"/>
    <mergeCell ref="F42:G42"/>
    <mergeCell ref="H42:I42"/>
    <mergeCell ref="A40:E40"/>
    <mergeCell ref="F40:G40"/>
    <mergeCell ref="H40:I40"/>
    <mergeCell ref="A41:E41"/>
    <mergeCell ref="F41:G41"/>
    <mergeCell ref="H41:I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Corwin</dc:creator>
  <cp:lastModifiedBy>John Corwin</cp:lastModifiedBy>
  <cp:lastPrinted>2024-08-22T19:19:13Z</cp:lastPrinted>
  <dcterms:created xsi:type="dcterms:W3CDTF">2015-06-05T18:17:20Z</dcterms:created>
  <dcterms:modified xsi:type="dcterms:W3CDTF">2026-02-23T15:45:57Z</dcterms:modified>
</cp:coreProperties>
</file>