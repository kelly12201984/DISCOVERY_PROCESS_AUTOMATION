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P:\Chris\"/>
    </mc:Choice>
  </mc:AlternateContent>
  <xr:revisionPtr revIDLastSave="0" documentId="8_{1DAFED9D-73E5-46CD-8F2B-E689A42A7AAB}" xr6:coauthVersionLast="47" xr6:coauthVersionMax="47" xr10:uidLastSave="{00000000-0000-0000-0000-000000000000}"/>
  <bookViews>
    <workbookView xWindow="-120" yWindow="-120" windowWidth="29040" windowHeight="15840" xr2:uid="{ACDE2CFE-FC19-4234-A8DD-22199EC49F64}"/>
  </bookViews>
  <sheets>
    <sheet name="Sheet1" sheetId="1" r:id="rId1"/>
  </sheets>
  <definedNames>
    <definedName name="_xlnm._FilterDatabase" localSheetId="0" hidden="1">Sheet1!$A$1:$C$1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32" i="1" l="1"/>
  <c r="C561" i="1"/>
  <c r="C948" i="1"/>
  <c r="C610" i="1"/>
  <c r="C585" i="1"/>
  <c r="C438" i="1"/>
  <c r="C809" i="1"/>
  <c r="C812" i="1"/>
  <c r="C969" i="1"/>
  <c r="C103" i="1"/>
  <c r="C102" i="1"/>
  <c r="C825" i="1"/>
  <c r="C932" i="1"/>
  <c r="C931" i="1"/>
  <c r="C1661" i="1"/>
  <c r="C1363" i="1"/>
  <c r="C1446" i="1"/>
  <c r="C891" i="1"/>
  <c r="C890" i="1"/>
  <c r="C959" i="1"/>
  <c r="C702" i="1"/>
  <c r="C667" i="1"/>
  <c r="C1373" i="1"/>
  <c r="C713" i="1"/>
  <c r="C683" i="1"/>
  <c r="C1507" i="1"/>
  <c r="C1518" i="1"/>
  <c r="C1427" i="1"/>
  <c r="C754" i="1"/>
  <c r="C753" i="1"/>
  <c r="C752" i="1"/>
  <c r="C751" i="1"/>
  <c r="C750" i="1"/>
  <c r="C749" i="1"/>
  <c r="C748" i="1"/>
  <c r="C747" i="1"/>
  <c r="C746" i="1"/>
  <c r="C745" i="1"/>
  <c r="C1504" i="1"/>
  <c r="C1410" i="1"/>
  <c r="C1312" i="1"/>
  <c r="C163" i="1"/>
  <c r="C611" i="1"/>
  <c r="C996" i="1"/>
  <c r="C928" i="1"/>
  <c r="C381" i="1"/>
  <c r="C1463" i="1"/>
  <c r="C1280" i="1"/>
  <c r="C1315" i="1"/>
  <c r="C1264" i="1"/>
  <c r="C1263" i="1"/>
  <c r="C1485" i="1"/>
  <c r="C375" i="1"/>
  <c r="C615" i="1"/>
  <c r="C1286" i="1"/>
  <c r="C244" i="1"/>
  <c r="C1262" i="1"/>
  <c r="C491" i="1"/>
  <c r="C772" i="1"/>
  <c r="C922" i="1"/>
  <c r="C1415" i="1"/>
  <c r="C1414" i="1"/>
  <c r="C941" i="1"/>
  <c r="C502" i="1"/>
  <c r="C1361" i="1"/>
  <c r="C409" i="1"/>
  <c r="C146" i="1"/>
  <c r="C1484" i="1"/>
  <c r="C930" i="1"/>
  <c r="C1331" i="1"/>
  <c r="C507" i="1"/>
  <c r="C233" i="1"/>
  <c r="C232" i="1"/>
  <c r="C68" i="1"/>
  <c r="C16" i="1"/>
  <c r="C165" i="1"/>
  <c r="C164" i="1"/>
  <c r="C117" i="1"/>
  <c r="C112" i="1"/>
  <c r="C1453" i="1"/>
  <c r="C1439" i="1"/>
  <c r="C1438" i="1"/>
  <c r="C1289" i="1"/>
  <c r="C760" i="1"/>
  <c r="C1308" i="1"/>
  <c r="C178" i="1"/>
  <c r="C177" i="1"/>
  <c r="C176" i="1"/>
  <c r="C217" i="1"/>
  <c r="C1492" i="1"/>
  <c r="C320" i="1"/>
  <c r="C319" i="1"/>
  <c r="C1584" i="1"/>
  <c r="C1550" i="1"/>
  <c r="C722" i="1"/>
  <c r="C721" i="1"/>
  <c r="C720" i="1"/>
  <c r="C457" i="1"/>
  <c r="C1574" i="1"/>
  <c r="C954" i="1"/>
  <c r="C182" i="1"/>
  <c r="C221" i="1"/>
  <c r="C489" i="1"/>
  <c r="C532" i="1"/>
  <c r="C531" i="1"/>
  <c r="C966" i="1"/>
  <c r="C1356" i="1"/>
  <c r="C1449" i="1"/>
  <c r="C1238" i="1"/>
  <c r="C499" i="1"/>
  <c r="C739" i="1"/>
  <c r="C802" i="1"/>
  <c r="C801" i="1"/>
  <c r="C800" i="1"/>
  <c r="C799" i="1"/>
  <c r="C798" i="1"/>
  <c r="C797" i="1"/>
  <c r="C140" i="1"/>
  <c r="C498" i="1"/>
  <c r="C44" i="1"/>
  <c r="C76" i="1"/>
  <c r="C1335" i="1"/>
  <c r="C984" i="1"/>
  <c r="C647" i="1"/>
  <c r="C886" i="1"/>
  <c r="C241" i="1"/>
  <c r="C652" i="1"/>
  <c r="C572" i="1"/>
  <c r="C736" i="1"/>
  <c r="C896" i="1"/>
  <c r="C971" i="1"/>
  <c r="C526" i="1"/>
  <c r="C525" i="1"/>
  <c r="C524" i="1"/>
  <c r="C523" i="1"/>
  <c r="C444" i="1"/>
  <c r="C443" i="1"/>
  <c r="C442" i="1"/>
  <c r="C441" i="1"/>
  <c r="C658" i="1"/>
  <c r="C976" i="1"/>
  <c r="C1583" i="1"/>
  <c r="C471" i="1"/>
  <c r="C470" i="1"/>
  <c r="C576" i="1"/>
  <c r="C553" i="1"/>
  <c r="C555" i="1"/>
  <c r="C483" i="1"/>
  <c r="C535" i="1"/>
  <c r="C426" i="1"/>
  <c r="C964" i="1"/>
  <c r="C711" i="1"/>
  <c r="C657" i="1"/>
  <c r="C578" i="1"/>
  <c r="C1465" i="1"/>
  <c r="C1464" i="1"/>
  <c r="C793" i="1"/>
  <c r="C1462" i="1"/>
  <c r="C1233" i="1"/>
  <c r="C1232" i="1"/>
  <c r="C1234" i="1"/>
  <c r="C1243" i="1"/>
  <c r="C999" i="1"/>
  <c r="C869" i="1"/>
  <c r="C823" i="1"/>
  <c r="C807" i="1"/>
  <c r="C504" i="1"/>
  <c r="C960" i="1"/>
  <c r="C422" i="1"/>
  <c r="C528" i="1"/>
  <c r="C496" i="1"/>
  <c r="C527" i="1"/>
  <c r="C495" i="1"/>
  <c r="C494" i="1"/>
  <c r="C1319" i="1"/>
  <c r="C733" i="1"/>
  <c r="C607" i="1"/>
  <c r="C199" i="1"/>
  <c r="C229" i="1"/>
  <c r="C228" i="1"/>
  <c r="C227" i="1"/>
  <c r="C1469" i="1"/>
  <c r="C796" i="1"/>
  <c r="C1440" i="1"/>
  <c r="C768" i="1"/>
  <c r="C662" i="1"/>
  <c r="C673" i="1"/>
  <c r="C520" i="1"/>
  <c r="C522" i="1"/>
  <c r="C676" i="1"/>
  <c r="C692" i="1"/>
  <c r="C589" i="1"/>
  <c r="C635" i="1"/>
  <c r="C588" i="1"/>
  <c r="C622" i="1"/>
  <c r="C621" i="1"/>
  <c r="C650" i="1"/>
  <c r="C669" i="1"/>
  <c r="C668" i="1"/>
  <c r="C865" i="1"/>
  <c r="C1381" i="1"/>
  <c r="C641" i="1"/>
  <c r="C427" i="1"/>
  <c r="C1562" i="1"/>
  <c r="C1559" i="1"/>
  <c r="C1277" i="1"/>
  <c r="C1553" i="1"/>
  <c r="C154" i="1"/>
  <c r="C153" i="1"/>
  <c r="C640" i="1"/>
  <c r="C672" i="1"/>
  <c r="C332" i="1"/>
  <c r="C566" i="1"/>
  <c r="C129" i="1"/>
  <c r="C43" i="1"/>
  <c r="C926" i="1"/>
  <c r="C530" i="1"/>
  <c r="C412" i="1"/>
  <c r="C437" i="1"/>
  <c r="C436" i="1"/>
  <c r="C1357" i="1"/>
  <c r="C1497" i="1"/>
  <c r="C1520" i="1"/>
  <c r="C1519" i="1"/>
  <c r="C1510" i="1"/>
  <c r="C1430" i="1"/>
  <c r="C1508" i="1"/>
  <c r="C1475" i="1"/>
  <c r="C1432" i="1"/>
  <c r="C595" i="1"/>
  <c r="C808" i="1"/>
  <c r="C1654" i="1"/>
  <c r="C1296" i="1"/>
  <c r="C456" i="1"/>
  <c r="C835" i="1"/>
  <c r="C834" i="1"/>
  <c r="C833" i="1"/>
  <c r="C831" i="1"/>
  <c r="C830" i="1"/>
  <c r="C287" i="1"/>
  <c r="C569" i="1"/>
  <c r="C675" i="1"/>
  <c r="C909" i="1"/>
  <c r="C919" i="1"/>
  <c r="C1499" i="1"/>
  <c r="C173" i="1"/>
  <c r="C12" i="1"/>
  <c r="C11" i="1"/>
  <c r="C1306" i="1"/>
  <c r="C1291" i="1"/>
  <c r="C836" i="1"/>
  <c r="C864" i="1"/>
  <c r="C612" i="1"/>
  <c r="C225" i="1"/>
  <c r="C224" i="1"/>
  <c r="C918" i="1"/>
  <c r="C213" i="1"/>
  <c r="C1326" i="1"/>
  <c r="C92" i="1"/>
  <c r="C54" i="1"/>
  <c r="C53" i="1"/>
  <c r="C52" i="1"/>
  <c r="C1490" i="1"/>
  <c r="C775" i="1"/>
  <c r="C707" i="1"/>
  <c r="C986" i="1"/>
  <c r="C1461" i="1"/>
  <c r="C965" i="1"/>
  <c r="C927" i="1"/>
  <c r="C196" i="1"/>
  <c r="C791" i="1"/>
  <c r="C468" i="1"/>
  <c r="C467" i="1"/>
  <c r="C466" i="1"/>
  <c r="C465" i="1"/>
  <c r="C397" i="1"/>
  <c r="C396" i="1"/>
  <c r="C490" i="1"/>
  <c r="C827" i="1"/>
  <c r="C497" i="1"/>
  <c r="C463" i="1"/>
  <c r="C36" i="1"/>
  <c r="C200" i="1"/>
  <c r="C575" i="1"/>
  <c r="C413" i="1"/>
  <c r="C9" i="1"/>
  <c r="C600" i="1"/>
  <c r="C906" i="1"/>
  <c r="C1231" i="1"/>
  <c r="C1249" i="1"/>
  <c r="C778" i="1"/>
  <c r="C98" i="1"/>
  <c r="C97" i="1"/>
  <c r="C487" i="1"/>
  <c r="C186" i="1"/>
  <c r="C860" i="1"/>
  <c r="C519" i="1"/>
  <c r="C1337" i="1"/>
  <c r="C49" i="1"/>
  <c r="C48" i="1"/>
  <c r="C59" i="1"/>
  <c r="C1403" i="1"/>
  <c r="C1402" i="1"/>
  <c r="C1401" i="1"/>
  <c r="C985" i="1"/>
  <c r="C694" i="1"/>
  <c r="C920" i="1"/>
  <c r="C884" i="1"/>
  <c r="C883" i="1"/>
  <c r="C765" i="1"/>
  <c r="C1325" i="1"/>
  <c r="C638" i="1"/>
  <c r="C637" i="1"/>
  <c r="C195" i="1"/>
  <c r="C252" i="1"/>
  <c r="C299" i="1"/>
  <c r="C130" i="1"/>
  <c r="C1442" i="1"/>
  <c r="C1328" i="1"/>
  <c r="C1379" i="1"/>
  <c r="C1378" i="1"/>
  <c r="C620" i="1"/>
  <c r="C599" i="1"/>
  <c r="C728" i="1"/>
  <c r="C1350" i="1"/>
  <c r="C1230" i="1"/>
  <c r="C1371" i="1"/>
  <c r="C1370" i="1"/>
  <c r="C1369" i="1"/>
  <c r="C1368" i="1"/>
  <c r="C1367" i="1"/>
  <c r="C1366" i="1"/>
  <c r="C565" i="1"/>
  <c r="C757" i="1"/>
  <c r="C776" i="1"/>
  <c r="C819" i="1"/>
  <c r="C574" i="1"/>
  <c r="C903" i="1"/>
  <c r="C534" i="1"/>
  <c r="C211" i="1"/>
  <c r="C210" i="1"/>
  <c r="C980" i="1"/>
  <c r="C623" i="1"/>
  <c r="C231" i="1"/>
  <c r="C469" i="1"/>
  <c r="C242" i="1"/>
  <c r="C149" i="1"/>
  <c r="C77" i="1"/>
  <c r="C64" i="1"/>
  <c r="C222" i="1"/>
  <c r="C216" i="1"/>
  <c r="C234" i="1"/>
  <c r="C557" i="1"/>
  <c r="C556" i="1"/>
  <c r="C570" i="1"/>
  <c r="C598" i="1"/>
  <c r="C60" i="1"/>
  <c r="C740" i="1"/>
  <c r="C267" i="1"/>
  <c r="C399" i="1"/>
  <c r="C405" i="1"/>
  <c r="C27" i="1"/>
  <c r="C482" i="1"/>
  <c r="C1418" i="1"/>
  <c r="C695" i="1"/>
  <c r="C876" i="1"/>
  <c r="C1300" i="1"/>
  <c r="C1299" i="1"/>
  <c r="C1342" i="1"/>
  <c r="C1341" i="1"/>
  <c r="C912" i="1"/>
  <c r="C516" i="1"/>
  <c r="C515" i="1"/>
  <c r="C859" i="1"/>
  <c r="C660" i="1"/>
  <c r="C659" i="1"/>
  <c r="C472" i="1"/>
  <c r="C1474" i="1"/>
  <c r="C1473" i="1"/>
  <c r="C383" i="1"/>
  <c r="C331" i="1"/>
  <c r="C1388" i="1"/>
  <c r="C1387" i="1"/>
  <c r="C1386" i="1"/>
  <c r="C145" i="1"/>
  <c r="C187" i="1"/>
  <c r="C550" i="1"/>
  <c r="C237" i="1"/>
  <c r="C28" i="1"/>
  <c r="C680" i="1"/>
  <c r="C679" i="1"/>
  <c r="C678" i="1"/>
  <c r="C677" i="1"/>
  <c r="C183" i="1"/>
  <c r="C1547" i="1"/>
  <c r="C933" i="1"/>
  <c r="C938" i="1"/>
  <c r="C1313" i="1"/>
  <c r="C718" i="1"/>
  <c r="C1228" i="1"/>
  <c r="C251" i="1"/>
  <c r="C328" i="1"/>
  <c r="C327" i="1"/>
  <c r="C881" i="1"/>
  <c r="C376" i="1"/>
  <c r="C369" i="1"/>
  <c r="C453" i="1"/>
  <c r="C452" i="1"/>
  <c r="C1333" i="1"/>
  <c r="C893" i="1"/>
  <c r="C892" i="1"/>
  <c r="C738" i="1"/>
  <c r="C737" i="1"/>
  <c r="C257" i="1"/>
  <c r="C374" i="1"/>
  <c r="C1426" i="1"/>
  <c r="C870" i="1"/>
  <c r="C1409" i="1"/>
  <c r="C1540" i="1"/>
  <c r="C1539" i="1"/>
  <c r="C1330" i="1"/>
  <c r="C1329" i="1"/>
  <c r="C872" i="1"/>
  <c r="C1311" i="1"/>
  <c r="C226" i="1"/>
  <c r="C1301" i="1"/>
  <c r="C560" i="1"/>
  <c r="C559" i="1"/>
  <c r="C137" i="1"/>
  <c r="C266" i="1"/>
  <c r="C521" i="1"/>
  <c r="C542" i="1"/>
  <c r="C541" i="1"/>
  <c r="C485" i="1"/>
  <c r="C1573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539" i="1"/>
  <c r="C538" i="1"/>
  <c r="C537" i="1"/>
  <c r="C674" i="1"/>
  <c r="C651" i="1"/>
  <c r="C1524" i="1"/>
  <c r="C815" i="1"/>
  <c r="C814" i="1"/>
  <c r="C378" i="1"/>
  <c r="C377" i="1"/>
  <c r="C207" i="1"/>
  <c r="C209" i="1"/>
  <c r="C1396" i="1"/>
  <c r="C1349" i="1"/>
  <c r="C353" i="1"/>
  <c r="C352" i="1"/>
  <c r="C666" i="1"/>
  <c r="C50" i="1"/>
  <c r="C929" i="1"/>
  <c r="C1477" i="1"/>
  <c r="C122" i="1"/>
  <c r="C844" i="1"/>
  <c r="C843" i="1"/>
  <c r="C693" i="1"/>
  <c r="C696" i="1"/>
  <c r="C563" i="1"/>
  <c r="C562" i="1"/>
  <c r="C648" i="1"/>
  <c r="C649" i="1"/>
  <c r="C688" i="1"/>
  <c r="C684" i="1"/>
  <c r="C350" i="1"/>
  <c r="C349" i="1"/>
  <c r="C33" i="1"/>
  <c r="C1450" i="1"/>
  <c r="C631" i="1"/>
  <c r="C15" i="1"/>
  <c r="C1309" i="1"/>
  <c r="C606" i="1"/>
  <c r="C75" i="1"/>
  <c r="C947" i="1"/>
  <c r="C296" i="1"/>
  <c r="C295" i="1"/>
  <c r="C1302" i="1"/>
  <c r="C1419" i="1"/>
  <c r="C759" i="1"/>
  <c r="C701" i="1"/>
  <c r="C1420" i="1"/>
  <c r="C1250" i="1"/>
  <c r="C464" i="1"/>
  <c r="C144" i="1"/>
  <c r="C142" i="1"/>
  <c r="C35" i="1"/>
  <c r="C618" i="1"/>
  <c r="C617" i="1"/>
  <c r="C763" i="1"/>
  <c r="C297" i="1"/>
  <c r="C8" i="1"/>
  <c r="C204" i="1"/>
  <c r="C7" i="1"/>
  <c r="C885" i="1"/>
  <c r="C786" i="1"/>
  <c r="C813" i="1"/>
  <c r="C810" i="1"/>
  <c r="C603" i="1"/>
  <c r="C602" i="1"/>
  <c r="C435" i="1"/>
  <c r="C492" i="1"/>
  <c r="C1276" i="1"/>
  <c r="C817" i="1"/>
  <c r="C816" i="1"/>
  <c r="C867" i="1"/>
  <c r="C877" i="1"/>
  <c r="C14" i="1"/>
  <c r="C55" i="1"/>
  <c r="C189" i="1"/>
  <c r="C188" i="1"/>
  <c r="C544" i="1"/>
  <c r="C543" i="1"/>
  <c r="C1270" i="1"/>
  <c r="C1318" i="1"/>
  <c r="C175" i="1"/>
  <c r="C481" i="1"/>
  <c r="C480" i="1"/>
  <c r="C479" i="1"/>
  <c r="C478" i="1"/>
  <c r="C477" i="1"/>
  <c r="C476" i="1"/>
  <c r="C365" i="1"/>
  <c r="C364" i="1"/>
  <c r="C363" i="1"/>
  <c r="C362" i="1"/>
  <c r="C361" i="1"/>
  <c r="C360" i="1"/>
  <c r="C359" i="1"/>
  <c r="C358" i="1"/>
  <c r="C357" i="1"/>
  <c r="C356" i="1"/>
  <c r="C509" i="1"/>
  <c r="C508" i="1"/>
  <c r="C265" i="1"/>
  <c r="C264" i="1"/>
  <c r="C263" i="1"/>
  <c r="C262" i="1"/>
  <c r="C475" i="1"/>
  <c r="C474" i="1"/>
  <c r="C347" i="1"/>
  <c r="C346" i="1"/>
  <c r="C345" i="1"/>
  <c r="C344" i="1"/>
  <c r="C355" i="1"/>
  <c r="C354" i="1"/>
  <c r="C41" i="1"/>
  <c r="C40" i="1"/>
  <c r="C39" i="1"/>
  <c r="C38" i="1"/>
  <c r="C781" i="1"/>
  <c r="C1428" i="1"/>
  <c r="C288" i="1"/>
  <c r="C239" i="1"/>
  <c r="C238" i="1"/>
  <c r="C642" i="1"/>
  <c r="C408" i="1"/>
  <c r="C407" i="1"/>
  <c r="C406" i="1"/>
  <c r="C247" i="1"/>
  <c r="C246" i="1"/>
  <c r="C245" i="1"/>
  <c r="C1268" i="1"/>
  <c r="C743" i="1"/>
  <c r="C313" i="1"/>
  <c r="C633" i="1"/>
  <c r="C866" i="1"/>
  <c r="C1412" i="1"/>
  <c r="C741" i="1"/>
  <c r="C1468" i="1"/>
  <c r="C1294" i="1"/>
  <c r="C1237" i="1"/>
  <c r="C1372" i="1"/>
  <c r="C1394" i="1"/>
  <c r="C416" i="1"/>
  <c r="C220" i="1"/>
  <c r="C219" i="1"/>
  <c r="C681" i="1"/>
  <c r="C1344" i="1"/>
  <c r="C820" i="1"/>
  <c r="C1323" i="1"/>
  <c r="C351" i="1"/>
  <c r="C256" i="1"/>
  <c r="C255" i="1"/>
  <c r="C946" i="1"/>
  <c r="C597" i="1"/>
  <c r="C596" i="1"/>
  <c r="C506" i="1"/>
  <c r="C484" i="1"/>
  <c r="C303" i="1"/>
  <c r="C302" i="1"/>
  <c r="C301" i="1"/>
  <c r="C300" i="1"/>
  <c r="C90" i="1"/>
  <c r="C37" i="1"/>
  <c r="C503" i="1"/>
  <c r="C414" i="1"/>
  <c r="C1546" i="1"/>
  <c r="C661" i="1"/>
  <c r="C22" i="1"/>
  <c r="C21" i="1"/>
  <c r="C19" i="1"/>
  <c r="C1590" i="1"/>
  <c r="C577" i="1"/>
  <c r="C699" i="1"/>
  <c r="C151" i="1"/>
  <c r="C150" i="1"/>
  <c r="C218" i="1"/>
  <c r="C293" i="1"/>
  <c r="C243" i="1"/>
  <c r="C114" i="1"/>
  <c r="C285" i="1"/>
  <c r="C314" i="1"/>
  <c r="C72" i="1"/>
  <c r="C71" i="1"/>
  <c r="C305" i="1"/>
  <c r="C101" i="1"/>
  <c r="C100" i="1"/>
  <c r="C99" i="1"/>
  <c r="C125" i="1"/>
  <c r="C714" i="1"/>
  <c r="C334" i="1"/>
  <c r="C333" i="1"/>
  <c r="C23" i="1"/>
  <c r="C961" i="1"/>
  <c r="C898" i="1"/>
  <c r="C795" i="1"/>
  <c r="C888" i="1"/>
  <c r="C821" i="1"/>
  <c r="C57" i="1"/>
  <c r="C194" i="1"/>
  <c r="C193" i="1"/>
  <c r="C671" i="1"/>
  <c r="C143" i="1"/>
  <c r="C63" i="1"/>
  <c r="C62" i="1"/>
  <c r="C253" i="1"/>
  <c r="C1521" i="1"/>
  <c r="C756" i="1"/>
  <c r="C755" i="1"/>
  <c r="C925" i="1"/>
  <c r="C697" i="1"/>
  <c r="C83" i="1"/>
  <c r="C82" i="1"/>
  <c r="C462" i="1"/>
  <c r="C461" i="1"/>
  <c r="C94" i="1"/>
  <c r="C65" i="1"/>
  <c r="C5" i="1"/>
  <c r="C203" i="1"/>
  <c r="C70" i="1"/>
  <c r="C206" i="1"/>
  <c r="C126" i="1"/>
  <c r="C20" i="1"/>
  <c r="C73" i="1"/>
  <c r="C45" i="1"/>
  <c r="C286" i="1"/>
  <c r="C106" i="1"/>
  <c r="C105" i="1"/>
  <c r="C104" i="1"/>
  <c r="C440" i="1"/>
  <c r="C439" i="1"/>
  <c r="C1406" i="1"/>
  <c r="C108" i="1"/>
  <c r="C107" i="1"/>
  <c r="C111" i="1"/>
  <c r="C110" i="1"/>
  <c r="C120" i="1"/>
  <c r="C119" i="1"/>
  <c r="C162" i="1"/>
  <c r="C161" i="1"/>
  <c r="C123" i="1"/>
  <c r="C67" i="1"/>
  <c r="C66" i="1"/>
  <c r="C46" i="1"/>
  <c r="C646" i="1"/>
  <c r="C141" i="1"/>
  <c r="C1500" i="1"/>
  <c r="C706" i="1"/>
  <c r="C975" i="1"/>
  <c r="C449" i="1"/>
  <c r="C871" i="1"/>
  <c r="C87" i="1"/>
  <c r="C86" i="1"/>
  <c r="C85" i="1"/>
  <c r="C58" i="1"/>
  <c r="C418" i="1"/>
  <c r="C326" i="1"/>
  <c r="C417" i="1"/>
  <c r="C325" i="1"/>
  <c r="C42" i="1"/>
  <c r="C51" i="1"/>
  <c r="C911" i="1"/>
  <c r="C10" i="1"/>
  <c r="C24" i="1"/>
  <c r="C139" i="1"/>
  <c r="C769" i="1"/>
  <c r="C533" i="1"/>
  <c r="C1530" i="1"/>
  <c r="C914" i="1"/>
  <c r="C782" i="1"/>
  <c r="C1502" i="1"/>
  <c r="C152" i="1"/>
  <c r="C169" i="1"/>
  <c r="C116" i="1"/>
  <c r="C958" i="1"/>
  <c r="C957" i="1"/>
  <c r="C787" i="1"/>
  <c r="C1423" i="1"/>
  <c r="C89" i="1"/>
  <c r="C172" i="1"/>
  <c r="C171" i="1"/>
  <c r="C124" i="1"/>
  <c r="C96" i="1"/>
  <c r="C61" i="1"/>
  <c r="C998" i="1"/>
  <c r="C2" i="1"/>
  <c r="C212" i="1"/>
  <c r="C321" i="1"/>
  <c r="C983" i="1"/>
  <c r="C689" i="1"/>
  <c r="C1374" i="1"/>
  <c r="C511" i="1"/>
  <c r="C306" i="1"/>
  <c r="C298" i="1"/>
  <c r="C547" i="1"/>
  <c r="C429" i="1"/>
  <c r="C510" i="1"/>
  <c r="C419" i="1"/>
  <c r="C317" i="1"/>
  <c r="C430" i="1"/>
  <c r="C488" i="1"/>
  <c r="C445" i="1"/>
  <c r="C343" i="1"/>
  <c r="C310" i="1"/>
  <c r="C1292" i="1"/>
  <c r="C150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Sherri Jones</author>
  </authors>
  <commentList>
    <comment ref="C114" authorId="0" shapeId="0" xr:uid="{BEAD7418-C32D-4245-B75E-2BDE46763886}">
      <text>
        <r>
          <rPr>
            <b/>
            <sz val="9"/>
            <color indexed="81"/>
            <rFont val="Tahoma"/>
            <family val="2"/>
          </rPr>
          <t>Sherri Jones:</t>
        </r>
        <r>
          <rPr>
            <sz val="9"/>
            <color indexed="81"/>
            <rFont val="Tahoma"/>
            <family val="2"/>
          </rPr>
          <t xml:space="preserve">
Credit adjustment given for $1,400 add'l freight</t>
        </r>
      </text>
    </comment>
  </commentList>
</comments>
</file>

<file path=xl/sharedStrings.xml><?xml version="1.0" encoding="utf-8"?>
<sst xmlns="http://schemas.openxmlformats.org/spreadsheetml/2006/main" count="1701" uniqueCount="303">
  <si>
    <t>po date</t>
  </si>
  <si>
    <t>contract amount</t>
  </si>
  <si>
    <t>Company</t>
  </si>
  <si>
    <t>US Sugar</t>
  </si>
  <si>
    <t>Thiele Kaolin Company</t>
  </si>
  <si>
    <t>Cytec Industries Inc</t>
  </si>
  <si>
    <t>Consolidated Design &amp; Machine</t>
  </si>
  <si>
    <t>Kimberly Clark</t>
  </si>
  <si>
    <t>Andritz</t>
  </si>
  <si>
    <t>Irving Tissue</t>
  </si>
  <si>
    <t>Ajay North America</t>
  </si>
  <si>
    <t>Zachary Group</t>
  </si>
  <si>
    <t>Nak Kiln Services</t>
  </si>
  <si>
    <t>INDUSTRIAL SUPPLIES COMPANY</t>
  </si>
  <si>
    <t>Ecopol</t>
  </si>
  <si>
    <t>Noah Industrial</t>
  </si>
  <si>
    <t>Pro Pipe</t>
  </si>
  <si>
    <t>Industrial Supplies Company</t>
  </si>
  <si>
    <t>Applied Industrial Technologies</t>
  </si>
  <si>
    <t>Yown's Boiler Service</t>
  </si>
  <si>
    <t>TIC (Kiewit)</t>
  </si>
  <si>
    <t>KRATON</t>
  </si>
  <si>
    <t>ANDRITZ</t>
  </si>
  <si>
    <t>CHROMASCAPE</t>
  </si>
  <si>
    <t>Airgas</t>
  </si>
  <si>
    <t>Reco Commercial Systems LLC</t>
  </si>
  <si>
    <t>Burke Industrial</t>
  </si>
  <si>
    <t>Kemira</t>
  </si>
  <si>
    <t>Epic Systems Group, LLC</t>
  </si>
  <si>
    <t>Domtar Paper Company, LLC</t>
  </si>
  <si>
    <t>Tom Henley</t>
  </si>
  <si>
    <t>Synthomer</t>
  </si>
  <si>
    <t>Atlas Minerals &amp; Chemicals</t>
  </si>
  <si>
    <t>Tellus</t>
  </si>
  <si>
    <t>Solvay Specialty Polymers</t>
  </si>
  <si>
    <t>CIL Isotope Separations, LLC.</t>
  </si>
  <si>
    <t>Valmet</t>
  </si>
  <si>
    <t>GAF Materials</t>
  </si>
  <si>
    <t>Symrise/AmeriTerpenes</t>
  </si>
  <si>
    <t>Symrise</t>
  </si>
  <si>
    <t>Milliken</t>
  </si>
  <si>
    <t>Coastal Technologies</t>
  </si>
  <si>
    <t>Harper Love</t>
  </si>
  <si>
    <t>Polynt Composites USA Inc.</t>
  </si>
  <si>
    <t>Merrick Industries, Inc.</t>
  </si>
  <si>
    <t>Vertiv</t>
  </si>
  <si>
    <t>Vertiv Corporation</t>
  </si>
  <si>
    <t>Liochem e-Materials, LLC</t>
  </si>
  <si>
    <t>PCS Phosphate (Nutrien)</t>
  </si>
  <si>
    <t>Bakelite Chemicals LLC</t>
  </si>
  <si>
    <t>Kemira Water Solutions, Inc.</t>
  </si>
  <si>
    <t>Cytec Industries INC</t>
  </si>
  <si>
    <t>Blue Oval</t>
  </si>
  <si>
    <t>Bernhard (Hankook Tire)</t>
  </si>
  <si>
    <t>Perdue Agribusiness LLC</t>
  </si>
  <si>
    <t>Kangwon N.T.S. Co. LTD</t>
  </si>
  <si>
    <t>Cannon USA</t>
  </si>
  <si>
    <t>Rosenblad</t>
  </si>
  <si>
    <t>Garrett Machine</t>
  </si>
  <si>
    <t>Nant Renewables</t>
  </si>
  <si>
    <t>First Place Fabrication</t>
  </si>
  <si>
    <t>Sherwin Williams</t>
  </si>
  <si>
    <t>Shimizu North America</t>
  </si>
  <si>
    <t>SNF Floquip</t>
  </si>
  <si>
    <t>Pistol's Industrial</t>
  </si>
  <si>
    <t>SYMS Engineering</t>
  </si>
  <si>
    <t>KAO</t>
  </si>
  <si>
    <t>Geocycle LLC</t>
  </si>
  <si>
    <t>GAF</t>
  </si>
  <si>
    <t>Holbrook Metal Fabrication</t>
  </si>
  <si>
    <t>LF Multicraft Inc</t>
  </si>
  <si>
    <t>Genera</t>
  </si>
  <si>
    <t>R2T Constructors</t>
  </si>
  <si>
    <t>Cannon</t>
  </si>
  <si>
    <t>Zachry Industrial Inc.</t>
  </si>
  <si>
    <t>Turner Construction</t>
  </si>
  <si>
    <t>Reichhold</t>
  </si>
  <si>
    <t>Kraton</t>
  </si>
  <si>
    <t>Colonial Chemical</t>
  </si>
  <si>
    <t>Lear West</t>
  </si>
  <si>
    <t>Solvay</t>
  </si>
  <si>
    <t>Indorama</t>
  </si>
  <si>
    <t>Corrocoat</t>
  </si>
  <si>
    <t>Con-Cret / Vireo</t>
  </si>
  <si>
    <t>Valmont</t>
  </si>
  <si>
    <t>Enchem</t>
  </si>
  <si>
    <t>Arxada</t>
  </si>
  <si>
    <t>Koch Modular</t>
  </si>
  <si>
    <t>Liochem</t>
  </si>
  <si>
    <t>AJAY North America</t>
  </si>
  <si>
    <t>Halocarbon</t>
  </si>
  <si>
    <t xml:space="preserve">Kiewit </t>
  </si>
  <si>
    <t>Vireo / Con-Cret</t>
  </si>
  <si>
    <t>SNF Flopam</t>
  </si>
  <si>
    <t>Enchem America</t>
  </si>
  <si>
    <t>CarlEric Johnson Co.</t>
  </si>
  <si>
    <t>BCR Environmental</t>
  </si>
  <si>
    <t>Motus</t>
  </si>
  <si>
    <t>Cytec Industries, Inc. (Solvay)</t>
  </si>
  <si>
    <t>IFF Chemical Holdings</t>
  </si>
  <si>
    <t>Pinova</t>
  </si>
  <si>
    <t>EPIC Systems</t>
  </si>
  <si>
    <t>LX Hausys America</t>
  </si>
  <si>
    <t>Tellus (VEI Global)</t>
  </si>
  <si>
    <t>International Paper (Savannah)</t>
  </si>
  <si>
    <t>Pistol's Industrial Service</t>
  </si>
  <si>
    <t>Action Contractors</t>
  </si>
  <si>
    <t>South Georgia Industrial Services</t>
  </si>
  <si>
    <t>Zachry Group</t>
  </si>
  <si>
    <t>Nant Renewables, LLC / Calcean</t>
  </si>
  <si>
    <t>InLine Engineers</t>
  </si>
  <si>
    <t>Thiele Kaolin</t>
  </si>
  <si>
    <t>W.W. Gay</t>
  </si>
  <si>
    <t>U.S. Sugar</t>
  </si>
  <si>
    <t>KAO Specialties / Perigon</t>
  </si>
  <si>
    <t>Nephron Nitrile</t>
  </si>
  <si>
    <t>Reagent Chemical</t>
  </si>
  <si>
    <t>AJAY</t>
  </si>
  <si>
    <t>Yesac</t>
  </si>
  <si>
    <t>Polynt</t>
  </si>
  <si>
    <t>Sabina Gold &amp; Silver</t>
  </si>
  <si>
    <t>Southgate Process Equipment</t>
  </si>
  <si>
    <t>Trico Mechanical</t>
  </si>
  <si>
    <t>The Mechanical Shop</t>
  </si>
  <si>
    <t>Nutrien</t>
  </si>
  <si>
    <t>Integrity Tank Services</t>
  </si>
  <si>
    <t>Dublin Construction Company</t>
  </si>
  <si>
    <t>Graywolf</t>
  </si>
  <si>
    <t>Irving Consumer Products</t>
  </si>
  <si>
    <t>Adhesives Research</t>
  </si>
  <si>
    <t>TCH Enterprises</t>
  </si>
  <si>
    <t>AlphaPet / Indorama</t>
  </si>
  <si>
    <t>Daybreak Industrial, Inc.</t>
  </si>
  <si>
    <t>SteelFab</t>
  </si>
  <si>
    <t>Versatile Equipment Co.</t>
  </si>
  <si>
    <t>St. Marks Powder</t>
  </si>
  <si>
    <t>BCR Env.</t>
  </si>
  <si>
    <t>PumpingSol</t>
  </si>
  <si>
    <t>SharperTek</t>
  </si>
  <si>
    <t>Tellus Products, LLC</t>
  </si>
  <si>
    <t>LioChem</t>
  </si>
  <si>
    <t>IMI Industrial</t>
  </si>
  <si>
    <t>Prysmian Group</t>
  </si>
  <si>
    <t>Okonite</t>
  </si>
  <si>
    <t>O'Neal</t>
  </si>
  <si>
    <t>Evergreen Packaging</t>
  </si>
  <si>
    <t>Daybreak Industrial</t>
  </si>
  <si>
    <t>International Paper</t>
  </si>
  <si>
    <t>Yates</t>
  </si>
  <si>
    <t>Magic Exteriors</t>
  </si>
  <si>
    <t>Nexans High Voltage</t>
  </si>
  <si>
    <t>BCR</t>
  </si>
  <si>
    <t>IMTT</t>
  </si>
  <si>
    <t>S&amp;S Technical</t>
  </si>
  <si>
    <t>Pye Barker Engineered Solutions</t>
  </si>
  <si>
    <t>HarperLove</t>
  </si>
  <si>
    <t>Tellus Products</t>
  </si>
  <si>
    <t>Eastern Industrial Supplies</t>
  </si>
  <si>
    <t>UGMS</t>
  </si>
  <si>
    <t>Pilgrim's Pride</t>
  </si>
  <si>
    <t>Auriga Polymers</t>
  </si>
  <si>
    <t>IFF</t>
  </si>
  <si>
    <t>Savannah Architectural Supply</t>
  </si>
  <si>
    <t>Coastal Air Compressor</t>
  </si>
  <si>
    <t>Salof Ltd</t>
  </si>
  <si>
    <t>SFC Contract Services</t>
  </si>
  <si>
    <t>Domtar</t>
  </si>
  <si>
    <t>Kemira Water Solutions Canada, Inc.</t>
  </si>
  <si>
    <t>Kraton Chemical</t>
  </si>
  <si>
    <t>Plastic Express</t>
  </si>
  <si>
    <t>Integrity Tank</t>
  </si>
  <si>
    <t>JWC Environmental</t>
  </si>
  <si>
    <t>International Paper - Port Wentworth</t>
  </si>
  <si>
    <t>Allnex</t>
  </si>
  <si>
    <t>AmbioPharm</t>
  </si>
  <si>
    <t>Harper/Love</t>
  </si>
  <si>
    <t>Action Electric</t>
  </si>
  <si>
    <t>Airco</t>
  </si>
  <si>
    <t>Trinity Manufacturing</t>
  </si>
  <si>
    <t>Rosenblad Design Group</t>
  </si>
  <si>
    <t>Fuji Vegetable Oil</t>
  </si>
  <si>
    <t>Domtar Paper Company, Inc.</t>
  </si>
  <si>
    <t>J.S. Construction</t>
  </si>
  <si>
    <t>Hammermills International</t>
  </si>
  <si>
    <t>Airco Industrial</t>
  </si>
  <si>
    <t>Versatile Equipment</t>
  </si>
  <si>
    <t>Industrial Metalworks, Inc.</t>
  </si>
  <si>
    <t>WestRock</t>
  </si>
  <si>
    <t>B &amp; Z Insulation</t>
  </si>
  <si>
    <t>Zachry Industrial</t>
  </si>
  <si>
    <t>Commonwealth Construction</t>
  </si>
  <si>
    <t>DS Smith</t>
  </si>
  <si>
    <t>Venator</t>
  </si>
  <si>
    <t>Bulk Chemical Services</t>
  </si>
  <si>
    <t>Stamtec</t>
  </si>
  <si>
    <t>Bushong/O'Neal</t>
  </si>
  <si>
    <t>Mid-Atlantic Environmental Equipment</t>
  </si>
  <si>
    <t>AMEC Foster Wheeler</t>
  </si>
  <si>
    <t>US Sugar Processing</t>
  </si>
  <si>
    <t>Ashland - Piedmont</t>
  </si>
  <si>
    <t>Coperion</t>
  </si>
  <si>
    <t>BCR / NuTerra</t>
  </si>
  <si>
    <t>PCS Nitrogen</t>
  </si>
  <si>
    <t>Wako</t>
  </si>
  <si>
    <t>Stepan</t>
  </si>
  <si>
    <t>Jord International</t>
  </si>
  <si>
    <t>Contract Packaging</t>
  </si>
  <si>
    <t>Lubrizol</t>
  </si>
  <si>
    <t>Georgia Pacific</t>
  </si>
  <si>
    <t>IFF / Ray Quinn</t>
  </si>
  <si>
    <t>Blue Cypress Condo Assoc</t>
  </si>
  <si>
    <t xml:space="preserve"> B&amp;Z Insulation</t>
  </si>
  <si>
    <t>Sys-Con, LLC</t>
  </si>
  <si>
    <t>Air Liquide</t>
  </si>
  <si>
    <t>DAK Americas</t>
  </si>
  <si>
    <t>Plasma Process</t>
  </si>
  <si>
    <t>Zachry</t>
  </si>
  <si>
    <t>360 Industrial</t>
  </si>
  <si>
    <t>Imperial Sugar</t>
  </si>
  <si>
    <t>Fitesa</t>
  </si>
  <si>
    <t>Mullins Mechanical</t>
  </si>
  <si>
    <t>SYS-CON</t>
  </si>
  <si>
    <t>Savannah Restoration inc</t>
  </si>
  <si>
    <t>McKenney's Inc</t>
  </si>
  <si>
    <t xml:space="preserve">IFF Chemical </t>
  </si>
  <si>
    <t>Armstrong Ceilings</t>
  </si>
  <si>
    <t>Arboris</t>
  </si>
  <si>
    <t>M-3 Construction Inc</t>
  </si>
  <si>
    <t>MasterSteel</t>
  </si>
  <si>
    <t>US Mechanical</t>
  </si>
  <si>
    <t>Dustex</t>
  </si>
  <si>
    <t>Floquip / Polychemie</t>
  </si>
  <si>
    <t>Clay county Utility Authority</t>
  </si>
  <si>
    <t>Tom Clayton</t>
  </si>
  <si>
    <t>Georgia-Pacific Alabama River Cellulose</t>
  </si>
  <si>
    <t>Gilbert Industries</t>
  </si>
  <si>
    <t>AZZ/SMS</t>
  </si>
  <si>
    <t>georgia Pacific</t>
  </si>
  <si>
    <t>Arizona Chemical</t>
  </si>
  <si>
    <t>Allied Universal Corp</t>
  </si>
  <si>
    <t>Ashland</t>
  </si>
  <si>
    <t>PCS Phosphate</t>
  </si>
  <si>
    <t>MP Equipment</t>
  </si>
  <si>
    <t>SI Group</t>
  </si>
  <si>
    <t>Polynt Composites</t>
  </si>
  <si>
    <t>Gerdau</t>
  </si>
  <si>
    <t>Solenis LLC</t>
  </si>
  <si>
    <t>Airgas Nitrous Oxide</t>
  </si>
  <si>
    <t>Archroma</t>
  </si>
  <si>
    <t>Wako Chemicals</t>
  </si>
  <si>
    <t>U.S. Sugar Processing</t>
  </si>
  <si>
    <t>Pender Brothers</t>
  </si>
  <si>
    <t>ITS</t>
  </si>
  <si>
    <t>Aerotech</t>
  </si>
  <si>
    <t>Potters</t>
  </si>
  <si>
    <t>Rayonier</t>
  </si>
  <si>
    <t>Johns Manville</t>
  </si>
  <si>
    <t>Bay State Milling</t>
  </si>
  <si>
    <t>MRV</t>
  </si>
  <si>
    <t>AMEC / Foster Wheeler</t>
  </si>
  <si>
    <t>Albertville AL Utilities Board</t>
  </si>
  <si>
    <t>Herty</t>
  </si>
  <si>
    <t>Good Harvest</t>
  </si>
  <si>
    <t>Wildcat Fabricators</t>
  </si>
  <si>
    <t>Grimberg</t>
  </si>
  <si>
    <t>Solenis</t>
  </si>
  <si>
    <t>Newell Recycling</t>
  </si>
  <si>
    <t>BCR / NuTerra Management</t>
  </si>
  <si>
    <t>Meridian Chemicals</t>
  </si>
  <si>
    <t>PPT Florida</t>
  </si>
  <si>
    <t>Robins &amp; Morton</t>
  </si>
  <si>
    <t>Nutrasweet</t>
  </si>
  <si>
    <t>Newell recycling</t>
  </si>
  <si>
    <t xml:space="preserve">Roger Burdette </t>
  </si>
  <si>
    <t>Florida Crystals</t>
  </si>
  <si>
    <t>Indusco</t>
  </si>
  <si>
    <t>Interstate Paper</t>
  </si>
  <si>
    <t>W. W. Gay</t>
  </si>
  <si>
    <t>Continental</t>
  </si>
  <si>
    <t>Kapstone</t>
  </si>
  <si>
    <t>Elkayam Metal</t>
  </si>
  <si>
    <t>John C. Grimberg</t>
  </si>
  <si>
    <t>ITS (for Dulaney Ind./Savannah, Ga.)</t>
  </si>
  <si>
    <t>Pipe Solutions (for Vopak/Savannah, Ga)</t>
  </si>
  <si>
    <t>Southern Ionics</t>
  </si>
  <si>
    <t>Renessenz</t>
  </si>
  <si>
    <t>Foster Wheeler</t>
  </si>
  <si>
    <t>IP</t>
  </si>
  <si>
    <t>Voltaix</t>
  </si>
  <si>
    <t>O'Neal - changed to CCC Group 7/22/2014</t>
  </si>
  <si>
    <t>Acuren</t>
  </si>
  <si>
    <t>Charles Lane Constr.</t>
  </si>
  <si>
    <t>Randy Wood</t>
  </si>
  <si>
    <t>Georgia Southern/Herty</t>
  </si>
  <si>
    <t>B&amp;Z Insulation</t>
  </si>
  <si>
    <t>Flopam</t>
  </si>
  <si>
    <t>U.S. Mechanical</t>
  </si>
  <si>
    <t>Plasmine Technology</t>
  </si>
  <si>
    <t>KAO Specialities</t>
  </si>
  <si>
    <t>Universal Steel</t>
  </si>
  <si>
    <t>CDSC</t>
  </si>
  <si>
    <t>Skid Solutions</t>
  </si>
  <si>
    <t>Lakeside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</si>
</sst>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&quot;$&quot;#,##0.00"/>
    <numFmt numFmtId="169" formatCode="[$-409]d\-mmm\-yy;@"/>
  </numFmts>
  <fonts count="4" x14ac:knownFonts="1">
    <font>
      <sz val="11"/>
      <color theme="1"/>
      <name val="Aptos Narrow"/>
      <family val="2"/>
      <scheme val="minor"/>
    </font>
    <font>
      <b/>
      <sz val="1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166" fontId="1" fillId="0" borderId="0" xfId="0" applyNumberFormat="1" applyFont="1" applyAlignment="1">
      <alignment horizontal="center"/>
    </xf>
    <xf numFmtId="166" fontId="0" fillId="0" borderId="0" xfId="0" applyNumberFormat="1"/>
    <xf numFmtId="169" fontId="0" fillId="0" borderId="0" xfId="0" applyNumberFormat="1"/>
    <xf numFmtId="169" fontId="1" fillId="0" borderId="0" xfId="0" applyNumberFormat="1" applyFont="1" applyAlignment="1">
      <alignment horizontal="center"/>
    </xf>
    <xf numFmtId="169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EEDD3-8FE5-4EA0-9918-2F49F1355431}">
  <dimension ref="A1:C1699"/>
  <sheetViews>
    <sheetView tabSelected="1" workbookViewId="0">
      <selection activeCell="A1700" sqref="A1700:XFD1705"/>
    </sheetView>
  </sheetViews>
  <sheetFormatPr defaultRowHeight="15" x14ac:dyDescent="0.25"/>
  <cols>
    <col min="1" max="1" width="11.140625" style="4" bestFit="1" customWidth="1"/>
    <col min="2" max="2" width="37.28515625" bestFit="1" customWidth="1"/>
    <col min="3" max="3" width="15.7109375" style="3" bestFit="1" customWidth="1"/>
  </cols>
  <sheetData>
    <row r="1" spans="1:3" x14ac:dyDescent="0.25">
      <c r="A1" s="4" t="s">
        <v>0</v>
      </c>
      <c r="B1" t="s">
        <v>2</v>
      </c>
      <c r="C1" s="3" t="s">
        <v>1</v>
      </c>
    </row>
    <row r="2" spans="1:3" x14ac:dyDescent="0.25">
      <c r="A2" s="5">
        <v>45721</v>
      </c>
      <c r="B2" s="1" t="s">
        <v>12</v>
      </c>
      <c r="C2" s="2">
        <f>1120000+5000</f>
        <v>1125000</v>
      </c>
    </row>
    <row r="3" spans="1:3" x14ac:dyDescent="0.25">
      <c r="A3" s="6">
        <v>45891</v>
      </c>
      <c r="B3" s="1" t="s">
        <v>36</v>
      </c>
      <c r="C3" s="2">
        <v>835000</v>
      </c>
    </row>
    <row r="4" spans="1:3" x14ac:dyDescent="0.25">
      <c r="A4" s="5">
        <v>45980</v>
      </c>
      <c r="B4" s="1" t="s">
        <v>8</v>
      </c>
      <c r="C4" s="2">
        <v>815000</v>
      </c>
    </row>
    <row r="5" spans="1:3" x14ac:dyDescent="0.25">
      <c r="A5" s="5">
        <v>45007</v>
      </c>
      <c r="B5" s="1" t="s">
        <v>39</v>
      </c>
      <c r="C5" s="2">
        <f>603000+17750+93000-4500</f>
        <v>709250</v>
      </c>
    </row>
    <row r="6" spans="1:3" x14ac:dyDescent="0.25">
      <c r="A6" s="5">
        <v>44785</v>
      </c>
      <c r="B6" s="1" t="s">
        <v>87</v>
      </c>
      <c r="C6" s="2">
        <v>706014</v>
      </c>
    </row>
    <row r="7" spans="1:3" x14ac:dyDescent="0.25">
      <c r="A7" s="5">
        <v>44552</v>
      </c>
      <c r="B7" s="1" t="s">
        <v>144</v>
      </c>
      <c r="C7" s="2">
        <f>530000+16500+99150+8344+45250</f>
        <v>699244</v>
      </c>
    </row>
    <row r="8" spans="1:3" x14ac:dyDescent="0.25">
      <c r="A8" s="5">
        <v>44552</v>
      </c>
      <c r="B8" s="1" t="s">
        <v>144</v>
      </c>
      <c r="C8" s="2">
        <f>528500+1000+16367+43250</f>
        <v>589117</v>
      </c>
    </row>
    <row r="9" spans="1:3" x14ac:dyDescent="0.25">
      <c r="A9" s="5">
        <v>43230</v>
      </c>
      <c r="B9" s="1" t="s">
        <v>8</v>
      </c>
      <c r="C9" s="2">
        <f>480000+25050</f>
        <v>505050</v>
      </c>
    </row>
    <row r="10" spans="1:3" x14ac:dyDescent="0.25">
      <c r="A10" s="5">
        <v>45335</v>
      </c>
      <c r="B10" s="1" t="s">
        <v>50</v>
      </c>
      <c r="C10" s="2">
        <f>485000+11750</f>
        <v>496750</v>
      </c>
    </row>
    <row r="11" spans="1:3" x14ac:dyDescent="0.25">
      <c r="A11" s="5">
        <v>43420</v>
      </c>
      <c r="B11" s="1" t="s">
        <v>8</v>
      </c>
      <c r="C11" s="2">
        <f>482000+5000+2800</f>
        <v>489800</v>
      </c>
    </row>
    <row r="12" spans="1:3" x14ac:dyDescent="0.25">
      <c r="A12" s="5">
        <v>43420</v>
      </c>
      <c r="B12" s="1" t="s">
        <v>8</v>
      </c>
      <c r="C12" s="2">
        <f>482000+5000+2800</f>
        <v>489800</v>
      </c>
    </row>
    <row r="13" spans="1:3" x14ac:dyDescent="0.25">
      <c r="A13" s="5">
        <v>43703</v>
      </c>
      <c r="B13" s="1" t="s">
        <v>8</v>
      </c>
      <c r="C13" s="2">
        <v>432750</v>
      </c>
    </row>
    <row r="14" spans="1:3" x14ac:dyDescent="0.25">
      <c r="A14" s="5">
        <v>44537</v>
      </c>
      <c r="B14" s="1" t="s">
        <v>144</v>
      </c>
      <c r="C14" s="2">
        <f>287500+78750+43250</f>
        <v>409500</v>
      </c>
    </row>
    <row r="15" spans="1:3" x14ac:dyDescent="0.25">
      <c r="A15" s="5">
        <v>43903</v>
      </c>
      <c r="B15" s="1" t="s">
        <v>27</v>
      </c>
      <c r="C15" s="2">
        <f>343400+22500+36998</f>
        <v>402898</v>
      </c>
    </row>
    <row r="16" spans="1:3" x14ac:dyDescent="0.25">
      <c r="A16" s="5">
        <v>42187</v>
      </c>
      <c r="B16" s="1" t="s">
        <v>8</v>
      </c>
      <c r="C16" s="2">
        <f>366080+5155+3822-3822+10000</f>
        <v>381235</v>
      </c>
    </row>
    <row r="17" spans="1:3" x14ac:dyDescent="0.25">
      <c r="A17" s="5">
        <v>44837</v>
      </c>
      <c r="B17" s="1" t="s">
        <v>114</v>
      </c>
      <c r="C17" s="2">
        <v>362100</v>
      </c>
    </row>
    <row r="18" spans="1:3" x14ac:dyDescent="0.25">
      <c r="A18" s="5">
        <v>45954</v>
      </c>
      <c r="B18" s="1" t="s">
        <v>42</v>
      </c>
      <c r="C18" s="2">
        <v>357000</v>
      </c>
    </row>
    <row r="19" spans="1:3" x14ac:dyDescent="0.25">
      <c r="A19" s="5">
        <v>44267</v>
      </c>
      <c r="B19" s="1" t="s">
        <v>80</v>
      </c>
      <c r="C19" s="2">
        <f>301500+23500+9925+4500-7237.4+10993.65+1000</f>
        <v>344181.25</v>
      </c>
    </row>
    <row r="20" spans="1:3" x14ac:dyDescent="0.25">
      <c r="A20" s="5">
        <v>44985</v>
      </c>
      <c r="B20" s="1" t="s">
        <v>78</v>
      </c>
      <c r="C20" s="2">
        <f>359000+4500-20000</f>
        <v>343500</v>
      </c>
    </row>
    <row r="21" spans="1:3" x14ac:dyDescent="0.25">
      <c r="A21" s="5">
        <v>44264</v>
      </c>
      <c r="B21" s="1" t="s">
        <v>124</v>
      </c>
      <c r="C21" s="2">
        <f>312500+12100+18650-4275</f>
        <v>338975</v>
      </c>
    </row>
    <row r="22" spans="1:3" x14ac:dyDescent="0.25">
      <c r="A22" s="5">
        <v>44264</v>
      </c>
      <c r="B22" s="1" t="s">
        <v>124</v>
      </c>
      <c r="C22" s="2">
        <f>312500+12100+18650-4275</f>
        <v>338975</v>
      </c>
    </row>
    <row r="23" spans="1:3" x14ac:dyDescent="0.25">
      <c r="A23" s="5">
        <v>45149</v>
      </c>
      <c r="B23" s="1" t="s">
        <v>80</v>
      </c>
      <c r="C23" s="2">
        <f>322000+10000+5300</f>
        <v>337300</v>
      </c>
    </row>
    <row r="24" spans="1:3" x14ac:dyDescent="0.25">
      <c r="A24" s="5">
        <v>45335</v>
      </c>
      <c r="B24" s="1" t="s">
        <v>50</v>
      </c>
      <c r="C24" s="2">
        <f>248000+65000</f>
        <v>313000</v>
      </c>
    </row>
    <row r="25" spans="1:3" x14ac:dyDescent="0.25">
      <c r="A25" s="5">
        <v>44581</v>
      </c>
      <c r="B25" s="1" t="s">
        <v>80</v>
      </c>
      <c r="C25" s="2">
        <v>311295</v>
      </c>
    </row>
    <row r="26" spans="1:3" x14ac:dyDescent="0.25">
      <c r="A26" s="5">
        <v>44882</v>
      </c>
      <c r="B26" s="1" t="s">
        <v>119</v>
      </c>
      <c r="C26" s="2">
        <v>288850</v>
      </c>
    </row>
    <row r="27" spans="1:3" x14ac:dyDescent="0.25">
      <c r="A27" s="5">
        <v>43679</v>
      </c>
      <c r="B27" s="1" t="s">
        <v>27</v>
      </c>
      <c r="C27" s="2">
        <f>282750+6000</f>
        <v>288750</v>
      </c>
    </row>
    <row r="28" spans="1:3" x14ac:dyDescent="0.25">
      <c r="A28" s="5">
        <v>43581</v>
      </c>
      <c r="B28" s="1" t="s">
        <v>167</v>
      </c>
      <c r="C28" s="2">
        <f>278000+8350</f>
        <v>286350</v>
      </c>
    </row>
    <row r="29" spans="1:3" x14ac:dyDescent="0.25">
      <c r="A29" s="5">
        <v>44838</v>
      </c>
      <c r="B29" s="1" t="s">
        <v>115</v>
      </c>
      <c r="C29" s="2">
        <v>280437.5</v>
      </c>
    </row>
    <row r="30" spans="1:3" x14ac:dyDescent="0.25">
      <c r="A30" s="5">
        <v>44838</v>
      </c>
      <c r="B30" s="1" t="s">
        <v>115</v>
      </c>
      <c r="C30" s="2">
        <v>280437.5</v>
      </c>
    </row>
    <row r="31" spans="1:3" x14ac:dyDescent="0.25">
      <c r="A31" s="5">
        <v>44838</v>
      </c>
      <c r="B31" s="1" t="s">
        <v>115</v>
      </c>
      <c r="C31" s="2">
        <v>274137.5</v>
      </c>
    </row>
    <row r="32" spans="1:3" x14ac:dyDescent="0.25">
      <c r="A32" s="5">
        <v>44838</v>
      </c>
      <c r="B32" s="1" t="s">
        <v>115</v>
      </c>
      <c r="C32" s="2">
        <v>274137.5</v>
      </c>
    </row>
    <row r="33" spans="1:3" x14ac:dyDescent="0.25">
      <c r="A33" s="5">
        <v>43913</v>
      </c>
      <c r="B33" s="1" t="s">
        <v>8</v>
      </c>
      <c r="C33" s="2">
        <f>247000+15200</f>
        <v>262200</v>
      </c>
    </row>
    <row r="34" spans="1:3" x14ac:dyDescent="0.25">
      <c r="A34" s="5">
        <v>42116</v>
      </c>
      <c r="B34" s="1" t="s">
        <v>80</v>
      </c>
      <c r="C34" s="2">
        <v>260582</v>
      </c>
    </row>
    <row r="35" spans="1:3" x14ac:dyDescent="0.25">
      <c r="A35" s="5">
        <v>44552</v>
      </c>
      <c r="B35" s="1" t="s">
        <v>144</v>
      </c>
      <c r="C35" s="2">
        <f>200000+15100+16000+22420+4500</f>
        <v>258020</v>
      </c>
    </row>
    <row r="36" spans="1:3" x14ac:dyDescent="0.25">
      <c r="A36" s="5">
        <v>43242</v>
      </c>
      <c r="B36" s="1" t="s">
        <v>179</v>
      </c>
      <c r="C36" s="2">
        <f>190000+67700</f>
        <v>257700</v>
      </c>
    </row>
    <row r="37" spans="1:3" x14ac:dyDescent="0.25">
      <c r="A37" s="5">
        <v>44302</v>
      </c>
      <c r="B37" s="1" t="s">
        <v>127</v>
      </c>
      <c r="C37" s="2">
        <f>225500+23500+5500</f>
        <v>254500</v>
      </c>
    </row>
    <row r="38" spans="1:3" x14ac:dyDescent="0.25">
      <c r="A38" s="5">
        <v>44439</v>
      </c>
      <c r="B38" s="1" t="s">
        <v>138</v>
      </c>
      <c r="C38" s="2">
        <f>232400+14345+785+5400</f>
        <v>252930</v>
      </c>
    </row>
    <row r="39" spans="1:3" x14ac:dyDescent="0.25">
      <c r="A39" s="5">
        <v>44439</v>
      </c>
      <c r="B39" s="1" t="s">
        <v>138</v>
      </c>
      <c r="C39" s="2">
        <f>232400+14345+785+5400</f>
        <v>252930</v>
      </c>
    </row>
    <row r="40" spans="1:3" x14ac:dyDescent="0.25">
      <c r="A40" s="5">
        <v>44439</v>
      </c>
      <c r="B40" s="1" t="s">
        <v>138</v>
      </c>
      <c r="C40" s="2">
        <f>232400+14345+785+5400</f>
        <v>252930</v>
      </c>
    </row>
    <row r="41" spans="1:3" x14ac:dyDescent="0.25">
      <c r="A41" s="5">
        <v>44439</v>
      </c>
      <c r="B41" s="1" t="s">
        <v>138</v>
      </c>
      <c r="C41" s="2">
        <f>232400+14345+785+5400</f>
        <v>252930</v>
      </c>
    </row>
    <row r="42" spans="1:3" x14ac:dyDescent="0.25">
      <c r="A42" s="5">
        <v>45366</v>
      </c>
      <c r="B42" s="1" t="s">
        <v>53</v>
      </c>
      <c r="C42" s="2">
        <f>225500+22150</f>
        <v>247650</v>
      </c>
    </row>
    <row r="43" spans="1:3" x14ac:dyDescent="0.25">
      <c r="A43" s="5">
        <v>42899</v>
      </c>
      <c r="B43" s="1" t="s">
        <v>205</v>
      </c>
      <c r="C43" s="2">
        <f>196500+15150+35601</f>
        <v>247251</v>
      </c>
    </row>
    <row r="44" spans="1:3" x14ac:dyDescent="0.25">
      <c r="A44" s="5">
        <v>42664</v>
      </c>
      <c r="B44" s="1" t="s">
        <v>244</v>
      </c>
      <c r="C44" s="2">
        <f>209500+4125*4-3310+19348+4295</f>
        <v>246333</v>
      </c>
    </row>
    <row r="45" spans="1:3" x14ac:dyDescent="0.25">
      <c r="A45" s="5">
        <v>44974</v>
      </c>
      <c r="B45" s="1" t="s">
        <v>76</v>
      </c>
      <c r="C45" s="2">
        <f>211000+21500+1820</f>
        <v>234320</v>
      </c>
    </row>
    <row r="46" spans="1:3" x14ac:dyDescent="0.25">
      <c r="A46" s="5">
        <v>45526</v>
      </c>
      <c r="B46" s="1" t="s">
        <v>67</v>
      </c>
      <c r="C46" s="2">
        <f>194500+700+16000+6000+9200</f>
        <v>226400</v>
      </c>
    </row>
    <row r="47" spans="1:3" x14ac:dyDescent="0.25">
      <c r="A47" s="5">
        <v>41878</v>
      </c>
      <c r="B47" s="1" t="s">
        <v>297</v>
      </c>
      <c r="C47" s="2">
        <v>226190</v>
      </c>
    </row>
    <row r="48" spans="1:3" x14ac:dyDescent="0.25">
      <c r="A48" s="5">
        <v>43178</v>
      </c>
      <c r="B48" s="1" t="s">
        <v>63</v>
      </c>
      <c r="C48" s="2">
        <f>165000+14850+36450+7900</f>
        <v>224200</v>
      </c>
    </row>
    <row r="49" spans="1:3" x14ac:dyDescent="0.25">
      <c r="A49" s="5">
        <v>43178</v>
      </c>
      <c r="B49" s="1" t="s">
        <v>63</v>
      </c>
      <c r="C49" s="2">
        <f>165000+14850+36450+7900</f>
        <v>224200</v>
      </c>
    </row>
    <row r="50" spans="1:3" x14ac:dyDescent="0.25">
      <c r="A50" s="5">
        <v>43944</v>
      </c>
      <c r="B50" s="1" t="s">
        <v>40</v>
      </c>
      <c r="C50" s="2">
        <f>194950+28500+525</f>
        <v>223975</v>
      </c>
    </row>
    <row r="51" spans="1:3" x14ac:dyDescent="0.25">
      <c r="A51" s="5">
        <v>45366</v>
      </c>
      <c r="B51" s="1" t="s">
        <v>53</v>
      </c>
      <c r="C51" s="2">
        <f>202500+19750</f>
        <v>222250</v>
      </c>
    </row>
    <row r="52" spans="1:3" x14ac:dyDescent="0.25">
      <c r="A52" s="5">
        <v>43340</v>
      </c>
      <c r="B52" s="1" t="s">
        <v>7</v>
      </c>
      <c r="C52" s="2">
        <f>163850+1000+20687.5+34750</f>
        <v>220287.5</v>
      </c>
    </row>
    <row r="53" spans="1:3" x14ac:dyDescent="0.25">
      <c r="A53" s="5">
        <v>43340</v>
      </c>
      <c r="B53" s="1" t="s">
        <v>7</v>
      </c>
      <c r="C53" s="2">
        <f>163850+1000+20687.5+34750</f>
        <v>220287.5</v>
      </c>
    </row>
    <row r="54" spans="1:3" x14ac:dyDescent="0.25">
      <c r="A54" s="5">
        <v>43340</v>
      </c>
      <c r="B54" s="1" t="s">
        <v>7</v>
      </c>
      <c r="C54" s="2">
        <f>163850+1000+20687.5+34750</f>
        <v>220287.5</v>
      </c>
    </row>
    <row r="55" spans="1:3" x14ac:dyDescent="0.25">
      <c r="A55" s="5">
        <v>44509</v>
      </c>
      <c r="B55" s="1" t="s">
        <v>143</v>
      </c>
      <c r="C55" s="2">
        <f>212750+7100</f>
        <v>219850</v>
      </c>
    </row>
    <row r="56" spans="1:3" x14ac:dyDescent="0.25">
      <c r="A56" s="5">
        <v>42116</v>
      </c>
      <c r="B56" s="1" t="s">
        <v>80</v>
      </c>
      <c r="C56" s="2">
        <v>219334</v>
      </c>
    </row>
    <row r="57" spans="1:3" x14ac:dyDescent="0.25">
      <c r="A57" s="5">
        <v>45126</v>
      </c>
      <c r="B57" s="1" t="s">
        <v>89</v>
      </c>
      <c r="C57" s="2">
        <f>204000+14500</f>
        <v>218500</v>
      </c>
    </row>
    <row r="58" spans="1:3" x14ac:dyDescent="0.25">
      <c r="A58" s="5">
        <v>45366</v>
      </c>
      <c r="B58" s="1" t="s">
        <v>53</v>
      </c>
      <c r="C58" s="2">
        <f>152000+750+64750</f>
        <v>217500</v>
      </c>
    </row>
    <row r="59" spans="1:3" x14ac:dyDescent="0.25">
      <c r="A59" s="5">
        <v>43178</v>
      </c>
      <c r="B59" s="1" t="s">
        <v>63</v>
      </c>
      <c r="C59" s="2">
        <f>165000+36450+14850</f>
        <v>216300</v>
      </c>
    </row>
    <row r="60" spans="1:3" x14ac:dyDescent="0.25">
      <c r="A60" s="5">
        <v>43698</v>
      </c>
      <c r="B60" s="1" t="s">
        <v>173</v>
      </c>
      <c r="C60" s="2">
        <f>195975+2000+13250</f>
        <v>211225</v>
      </c>
    </row>
    <row r="61" spans="1:3" x14ac:dyDescent="0.25">
      <c r="A61" s="5">
        <v>45748</v>
      </c>
      <c r="B61" s="1" t="s">
        <v>15</v>
      </c>
      <c r="C61" s="2">
        <f>197000+10400+2900</f>
        <v>210300</v>
      </c>
    </row>
    <row r="62" spans="1:3" x14ac:dyDescent="0.25">
      <c r="A62" s="5">
        <v>45079</v>
      </c>
      <c r="B62" s="1" t="s">
        <v>85</v>
      </c>
      <c r="C62" s="2">
        <f>201500+6750</f>
        <v>208250</v>
      </c>
    </row>
    <row r="63" spans="1:3" x14ac:dyDescent="0.25">
      <c r="A63" s="5">
        <v>45079</v>
      </c>
      <c r="B63" s="1" t="s">
        <v>85</v>
      </c>
      <c r="C63" s="2">
        <f>201500+6750</f>
        <v>208250</v>
      </c>
    </row>
    <row r="64" spans="1:3" x14ac:dyDescent="0.25">
      <c r="A64" s="5">
        <v>43727</v>
      </c>
      <c r="B64" s="1" t="s">
        <v>148</v>
      </c>
      <c r="C64" s="2">
        <f>123950+57050+24600</f>
        <v>205600</v>
      </c>
    </row>
    <row r="65" spans="1:3" x14ac:dyDescent="0.25">
      <c r="A65" s="5">
        <v>45020</v>
      </c>
      <c r="B65" s="1" t="s">
        <v>80</v>
      </c>
      <c r="C65" s="2">
        <f>180870+-11975+-2395+39000</f>
        <v>205500</v>
      </c>
    </row>
    <row r="66" spans="1:3" x14ac:dyDescent="0.25">
      <c r="A66" s="5">
        <v>45526</v>
      </c>
      <c r="B66" s="1" t="s">
        <v>67</v>
      </c>
      <c r="C66" s="2">
        <f>194500+700+9200</f>
        <v>204400</v>
      </c>
    </row>
    <row r="67" spans="1:3" x14ac:dyDescent="0.25">
      <c r="A67" s="5">
        <v>45526</v>
      </c>
      <c r="B67" s="1" t="s">
        <v>67</v>
      </c>
      <c r="C67" s="2">
        <f>194500+700+9200</f>
        <v>204400</v>
      </c>
    </row>
    <row r="68" spans="1:3" x14ac:dyDescent="0.25">
      <c r="A68" s="5">
        <v>42194</v>
      </c>
      <c r="B68" s="1" t="s">
        <v>173</v>
      </c>
      <c r="C68" s="2">
        <f>200134+3624</f>
        <v>203758</v>
      </c>
    </row>
    <row r="69" spans="1:3" x14ac:dyDescent="0.25">
      <c r="A69" s="5">
        <v>44621</v>
      </c>
      <c r="B69" s="1" t="s">
        <v>77</v>
      </c>
      <c r="C69" s="2">
        <v>199650</v>
      </c>
    </row>
    <row r="70" spans="1:3" x14ac:dyDescent="0.25">
      <c r="A70" s="5">
        <v>44999</v>
      </c>
      <c r="B70" s="1" t="s">
        <v>65</v>
      </c>
      <c r="C70" s="2">
        <f>145500+15250+38750</f>
        <v>199500</v>
      </c>
    </row>
    <row r="71" spans="1:3" x14ac:dyDescent="0.25">
      <c r="A71" s="5">
        <v>45210</v>
      </c>
      <c r="B71" s="1" t="s">
        <v>67</v>
      </c>
      <c r="C71" s="2">
        <f>193250+5500</f>
        <v>198750</v>
      </c>
    </row>
    <row r="72" spans="1:3" x14ac:dyDescent="0.25">
      <c r="A72" s="5">
        <v>45210</v>
      </c>
      <c r="B72" s="1" t="s">
        <v>67</v>
      </c>
      <c r="C72" s="2">
        <f>193250+5500</f>
        <v>198750</v>
      </c>
    </row>
    <row r="73" spans="1:3" x14ac:dyDescent="0.25">
      <c r="A73" s="5">
        <v>44974</v>
      </c>
      <c r="B73" s="1" t="s">
        <v>77</v>
      </c>
      <c r="C73" s="2">
        <f>179650+18000</f>
        <v>197650</v>
      </c>
    </row>
    <row r="74" spans="1:3" x14ac:dyDescent="0.25">
      <c r="A74" s="5">
        <v>45519</v>
      </c>
      <c r="B74" s="1" t="s">
        <v>65</v>
      </c>
      <c r="C74" s="2">
        <v>197500</v>
      </c>
    </row>
    <row r="75" spans="1:3" x14ac:dyDescent="0.25">
      <c r="A75" s="5">
        <v>43882</v>
      </c>
      <c r="B75" s="1" t="s">
        <v>27</v>
      </c>
      <c r="C75" s="2">
        <f>167400+31500-1750</f>
        <v>197150</v>
      </c>
    </row>
    <row r="76" spans="1:3" x14ac:dyDescent="0.25">
      <c r="A76" s="5">
        <v>42664</v>
      </c>
      <c r="B76" s="1" t="s">
        <v>244</v>
      </c>
      <c r="C76" s="2">
        <f>199120-5485+2500</f>
        <v>196135</v>
      </c>
    </row>
    <row r="77" spans="1:3" x14ac:dyDescent="0.25">
      <c r="A77" s="5">
        <v>43727</v>
      </c>
      <c r="B77" s="1" t="s">
        <v>148</v>
      </c>
      <c r="C77" s="2">
        <f>104950+60375+30600</f>
        <v>195925</v>
      </c>
    </row>
    <row r="78" spans="1:3" x14ac:dyDescent="0.25">
      <c r="A78" s="5">
        <v>45519</v>
      </c>
      <c r="B78" s="1" t="s">
        <v>65</v>
      </c>
      <c r="C78" s="2">
        <v>195750</v>
      </c>
    </row>
    <row r="79" spans="1:3" x14ac:dyDescent="0.25">
      <c r="A79" s="5">
        <v>45519</v>
      </c>
      <c r="B79" s="1" t="s">
        <v>65</v>
      </c>
      <c r="C79" s="2">
        <v>195750</v>
      </c>
    </row>
    <row r="80" spans="1:3" x14ac:dyDescent="0.25">
      <c r="A80" s="5">
        <v>42116</v>
      </c>
      <c r="B80" s="1" t="s">
        <v>80</v>
      </c>
      <c r="C80" s="2">
        <v>195409</v>
      </c>
    </row>
    <row r="81" spans="1:3" x14ac:dyDescent="0.25">
      <c r="A81" s="5">
        <v>44837</v>
      </c>
      <c r="B81" s="1" t="s">
        <v>114</v>
      </c>
      <c r="C81" s="2">
        <v>193400</v>
      </c>
    </row>
    <row r="82" spans="1:3" x14ac:dyDescent="0.25">
      <c r="A82" s="5">
        <v>45028</v>
      </c>
      <c r="B82" s="1" t="s">
        <v>65</v>
      </c>
      <c r="C82" s="2">
        <f>151000+16000+26000</f>
        <v>193000</v>
      </c>
    </row>
    <row r="83" spans="1:3" x14ac:dyDescent="0.25">
      <c r="A83" s="5">
        <v>45028</v>
      </c>
      <c r="B83" s="1" t="s">
        <v>65</v>
      </c>
      <c r="C83" s="2">
        <f>151000+16000+26000</f>
        <v>193000</v>
      </c>
    </row>
    <row r="84" spans="1:3" x14ac:dyDescent="0.25">
      <c r="A84" s="5">
        <v>44733</v>
      </c>
      <c r="B84" s="1" t="s">
        <v>102</v>
      </c>
      <c r="C84" s="2">
        <v>191550</v>
      </c>
    </row>
    <row r="85" spans="1:3" x14ac:dyDescent="0.25">
      <c r="A85" s="5">
        <v>45366</v>
      </c>
      <c r="B85" s="1" t="s">
        <v>54</v>
      </c>
      <c r="C85" s="2">
        <f>178000+12500</f>
        <v>190500</v>
      </c>
    </row>
    <row r="86" spans="1:3" x14ac:dyDescent="0.25">
      <c r="A86" s="5">
        <v>45366</v>
      </c>
      <c r="B86" s="1" t="s">
        <v>54</v>
      </c>
      <c r="C86" s="2">
        <f>178000+12500</f>
        <v>190500</v>
      </c>
    </row>
    <row r="87" spans="1:3" x14ac:dyDescent="0.25">
      <c r="A87" s="5">
        <v>45366</v>
      </c>
      <c r="B87" s="1" t="s">
        <v>54</v>
      </c>
      <c r="C87" s="2">
        <f>178000+12500</f>
        <v>190500</v>
      </c>
    </row>
    <row r="88" spans="1:3" x14ac:dyDescent="0.25">
      <c r="A88" s="5">
        <v>44973</v>
      </c>
      <c r="B88" s="1" t="s">
        <v>75</v>
      </c>
      <c r="C88" s="2">
        <v>190200</v>
      </c>
    </row>
    <row r="89" spans="1:3" x14ac:dyDescent="0.25">
      <c r="A89" s="5">
        <v>45824</v>
      </c>
      <c r="B89" s="1" t="s">
        <v>27</v>
      </c>
      <c r="C89" s="2">
        <f>183350+5700</f>
        <v>189050</v>
      </c>
    </row>
    <row r="90" spans="1:3" x14ac:dyDescent="0.25">
      <c r="A90" s="5">
        <v>44316</v>
      </c>
      <c r="B90" s="1" t="s">
        <v>76</v>
      </c>
      <c r="C90" s="2">
        <f>159500+8100+21000</f>
        <v>188600</v>
      </c>
    </row>
    <row r="91" spans="1:3" x14ac:dyDescent="0.25">
      <c r="A91" s="5">
        <v>44568</v>
      </c>
      <c r="B91" s="1" t="s">
        <v>15</v>
      </c>
      <c r="C91" s="2">
        <v>186800</v>
      </c>
    </row>
    <row r="92" spans="1:3" x14ac:dyDescent="0.25">
      <c r="A92" s="5">
        <v>43340</v>
      </c>
      <c r="B92" s="1" t="s">
        <v>7</v>
      </c>
      <c r="C92" s="2">
        <f>131250+20687.5+34750</f>
        <v>186687.5</v>
      </c>
    </row>
    <row r="93" spans="1:3" x14ac:dyDescent="0.25">
      <c r="A93" s="5">
        <v>42635</v>
      </c>
      <c r="B93" s="1" t="s">
        <v>238</v>
      </c>
      <c r="C93" s="2">
        <v>185450</v>
      </c>
    </row>
    <row r="94" spans="1:3" x14ac:dyDescent="0.25">
      <c r="A94" s="5">
        <v>45026</v>
      </c>
      <c r="B94" s="1" t="s">
        <v>65</v>
      </c>
      <c r="C94" s="2">
        <f>146500+16000+22500</f>
        <v>185000</v>
      </c>
    </row>
    <row r="95" spans="1:3" x14ac:dyDescent="0.25">
      <c r="A95" s="5">
        <v>44736</v>
      </c>
      <c r="B95" s="1" t="s">
        <v>100</v>
      </c>
      <c r="C95" s="2">
        <v>183600</v>
      </c>
    </row>
    <row r="96" spans="1:3" x14ac:dyDescent="0.25">
      <c r="A96" s="5">
        <v>45796</v>
      </c>
      <c r="B96" s="1" t="s">
        <v>21</v>
      </c>
      <c r="C96" s="2">
        <f>178500+5100</f>
        <v>183600</v>
      </c>
    </row>
    <row r="97" spans="1:3" x14ac:dyDescent="0.25">
      <c r="A97" s="5">
        <v>43186</v>
      </c>
      <c r="B97" s="1" t="s">
        <v>42</v>
      </c>
      <c r="C97" s="2">
        <f>171950+2185+2000+1200+850</f>
        <v>178185</v>
      </c>
    </row>
    <row r="98" spans="1:3" x14ac:dyDescent="0.25">
      <c r="A98" s="5">
        <v>43186</v>
      </c>
      <c r="B98" s="1" t="s">
        <v>42</v>
      </c>
      <c r="C98" s="2">
        <f>171950+2185+2000+1200+850</f>
        <v>178185</v>
      </c>
    </row>
    <row r="99" spans="1:3" x14ac:dyDescent="0.25">
      <c r="A99" s="5">
        <v>45182</v>
      </c>
      <c r="B99" s="1" t="s">
        <v>65</v>
      </c>
      <c r="C99" s="2">
        <f>175000+1900</f>
        <v>176900</v>
      </c>
    </row>
    <row r="100" spans="1:3" x14ac:dyDescent="0.25">
      <c r="A100" s="5">
        <v>45182</v>
      </c>
      <c r="B100" s="1" t="s">
        <v>65</v>
      </c>
      <c r="C100" s="2">
        <f>175000+1900</f>
        <v>176900</v>
      </c>
    </row>
    <row r="101" spans="1:3" x14ac:dyDescent="0.25">
      <c r="A101" s="5">
        <v>45182</v>
      </c>
      <c r="B101" s="1" t="s">
        <v>65</v>
      </c>
      <c r="C101" s="2">
        <f>175000+1900</f>
        <v>176900</v>
      </c>
    </row>
    <row r="102" spans="1:3" x14ac:dyDescent="0.25">
      <c r="A102" s="5">
        <v>41878</v>
      </c>
      <c r="B102" s="1" t="s">
        <v>298</v>
      </c>
      <c r="C102" s="2">
        <f>171344+4275.5</f>
        <v>175619.5</v>
      </c>
    </row>
    <row r="103" spans="1:3" x14ac:dyDescent="0.25">
      <c r="A103" s="5">
        <v>41878</v>
      </c>
      <c r="B103" s="1" t="s">
        <v>298</v>
      </c>
      <c r="C103" s="2">
        <f>171344+4275.5</f>
        <v>175619.5</v>
      </c>
    </row>
    <row r="104" spans="1:3" x14ac:dyDescent="0.25">
      <c r="A104" s="5">
        <v>44958</v>
      </c>
      <c r="B104" s="1" t="s">
        <v>65</v>
      </c>
      <c r="C104" s="2">
        <f>145500+16000+13000</f>
        <v>174500</v>
      </c>
    </row>
    <row r="105" spans="1:3" x14ac:dyDescent="0.25">
      <c r="A105" s="5">
        <v>44958</v>
      </c>
      <c r="B105" s="1" t="s">
        <v>65</v>
      </c>
      <c r="C105" s="2">
        <f>145500+16000+13000</f>
        <v>174500</v>
      </c>
    </row>
    <row r="106" spans="1:3" x14ac:dyDescent="0.25">
      <c r="A106" s="5">
        <v>44958</v>
      </c>
      <c r="B106" s="1" t="s">
        <v>65</v>
      </c>
      <c r="C106" s="2">
        <f>145500+16000+13000</f>
        <v>174500</v>
      </c>
    </row>
    <row r="107" spans="1:3" x14ac:dyDescent="0.25">
      <c r="A107" s="5">
        <v>45643</v>
      </c>
      <c r="B107" s="1" t="s">
        <v>72</v>
      </c>
      <c r="C107" s="2">
        <f>124500+4700+44770</f>
        <v>173970</v>
      </c>
    </row>
    <row r="108" spans="1:3" x14ac:dyDescent="0.25">
      <c r="A108" s="5">
        <v>45643</v>
      </c>
      <c r="B108" s="1" t="s">
        <v>72</v>
      </c>
      <c r="C108" s="2">
        <f>124500+4700+44770</f>
        <v>173970</v>
      </c>
    </row>
    <row r="109" spans="1:3" x14ac:dyDescent="0.25">
      <c r="A109" s="5">
        <v>44735</v>
      </c>
      <c r="B109" s="1" t="s">
        <v>103</v>
      </c>
      <c r="C109" s="2">
        <v>173850</v>
      </c>
    </row>
    <row r="110" spans="1:3" x14ac:dyDescent="0.25">
      <c r="A110" s="5">
        <v>45643</v>
      </c>
      <c r="B110" s="1" t="s">
        <v>72</v>
      </c>
      <c r="C110" s="2">
        <f>124500+4700+40400</f>
        <v>169600</v>
      </c>
    </row>
    <row r="111" spans="1:3" x14ac:dyDescent="0.25">
      <c r="A111" s="5">
        <v>45643</v>
      </c>
      <c r="B111" s="1" t="s">
        <v>72</v>
      </c>
      <c r="C111" s="2">
        <f>124500+4700+40400</f>
        <v>169600</v>
      </c>
    </row>
    <row r="112" spans="1:3" x14ac:dyDescent="0.25">
      <c r="A112" s="5">
        <v>42167</v>
      </c>
      <c r="B112" s="1" t="s">
        <v>240</v>
      </c>
      <c r="C112" s="2">
        <f>157249+11343</f>
        <v>168592</v>
      </c>
    </row>
    <row r="113" spans="1:3" x14ac:dyDescent="0.25">
      <c r="A113" s="5">
        <v>42145</v>
      </c>
      <c r="B113" s="1" t="s">
        <v>262</v>
      </c>
      <c r="C113" s="2">
        <v>165000</v>
      </c>
    </row>
    <row r="114" spans="1:3" x14ac:dyDescent="0.25">
      <c r="A114" s="5">
        <v>45252</v>
      </c>
      <c r="B114" s="1" t="s">
        <v>91</v>
      </c>
      <c r="C114" s="2">
        <f>124750+23200-805+16500+772+1400-1400</f>
        <v>164417</v>
      </c>
    </row>
    <row r="115" spans="1:3" x14ac:dyDescent="0.25">
      <c r="A115" s="5">
        <v>45685</v>
      </c>
      <c r="B115" s="1" t="s">
        <v>7</v>
      </c>
      <c r="C115" s="2">
        <v>164000</v>
      </c>
    </row>
    <row r="116" spans="1:3" x14ac:dyDescent="0.25">
      <c r="A116" s="5">
        <v>45853</v>
      </c>
      <c r="B116" s="1" t="s">
        <v>31</v>
      </c>
      <c r="C116" s="2">
        <f>146500+2200+15000</f>
        <v>163700</v>
      </c>
    </row>
    <row r="117" spans="1:3" x14ac:dyDescent="0.25">
      <c r="A117" s="5">
        <v>42167</v>
      </c>
      <c r="B117" s="1" t="s">
        <v>240</v>
      </c>
      <c r="C117" s="2">
        <f>152131+11343</f>
        <v>163474</v>
      </c>
    </row>
    <row r="118" spans="1:3" x14ac:dyDescent="0.25">
      <c r="A118" s="5">
        <v>45082</v>
      </c>
      <c r="B118" s="1" t="s">
        <v>86</v>
      </c>
      <c r="C118" s="2">
        <v>162500</v>
      </c>
    </row>
    <row r="119" spans="1:3" x14ac:dyDescent="0.25">
      <c r="A119" s="5">
        <v>45643</v>
      </c>
      <c r="B119" s="1" t="s">
        <v>72</v>
      </c>
      <c r="C119" s="2">
        <f>124500+4700+32400</f>
        <v>161600</v>
      </c>
    </row>
    <row r="120" spans="1:3" x14ac:dyDescent="0.25">
      <c r="A120" s="5">
        <v>45643</v>
      </c>
      <c r="B120" s="1" t="s">
        <v>72</v>
      </c>
      <c r="C120" s="2">
        <f>124500+4700+32400</f>
        <v>161600</v>
      </c>
    </row>
    <row r="121" spans="1:3" x14ac:dyDescent="0.25">
      <c r="A121" s="5">
        <v>44830</v>
      </c>
      <c r="B121" s="1" t="s">
        <v>113</v>
      </c>
      <c r="C121" s="2">
        <v>161000</v>
      </c>
    </row>
    <row r="122" spans="1:3" x14ac:dyDescent="0.25">
      <c r="A122" s="5">
        <v>43916</v>
      </c>
      <c r="B122" s="1" t="s">
        <v>63</v>
      </c>
      <c r="C122" s="2">
        <f>156750+4150</f>
        <v>160900</v>
      </c>
    </row>
    <row r="123" spans="1:3" x14ac:dyDescent="0.25">
      <c r="A123" s="5">
        <v>45635</v>
      </c>
      <c r="B123" s="1" t="s">
        <v>6</v>
      </c>
      <c r="C123" s="2">
        <f>132000+2000+4250+2500+19150</f>
        <v>159900</v>
      </c>
    </row>
    <row r="124" spans="1:3" x14ac:dyDescent="0.25">
      <c r="A124" s="5">
        <v>45810</v>
      </c>
      <c r="B124" s="1" t="s">
        <v>23</v>
      </c>
      <c r="C124" s="2">
        <f>157000+2500</f>
        <v>159500</v>
      </c>
    </row>
    <row r="125" spans="1:3" x14ac:dyDescent="0.25">
      <c r="A125" s="5">
        <v>45182</v>
      </c>
      <c r="B125" s="1" t="s">
        <v>65</v>
      </c>
      <c r="C125" s="2">
        <f>127000+30000+1900+5500-5500</f>
        <v>158900</v>
      </c>
    </row>
    <row r="126" spans="1:3" x14ac:dyDescent="0.25">
      <c r="A126" s="5">
        <v>44985</v>
      </c>
      <c r="B126" s="1" t="s">
        <v>78</v>
      </c>
      <c r="C126" s="2">
        <f>150000+6000+2700</f>
        <v>158700</v>
      </c>
    </row>
    <row r="127" spans="1:3" x14ac:dyDescent="0.25">
      <c r="A127" s="5">
        <v>45685</v>
      </c>
      <c r="B127" s="1" t="s">
        <v>7</v>
      </c>
      <c r="C127" s="2">
        <v>158500</v>
      </c>
    </row>
    <row r="128" spans="1:3" x14ac:dyDescent="0.25">
      <c r="A128" s="5">
        <v>44837</v>
      </c>
      <c r="B128" s="1" t="s">
        <v>114</v>
      </c>
      <c r="C128" s="2">
        <v>157750</v>
      </c>
    </row>
    <row r="129" spans="1:3" x14ac:dyDescent="0.25">
      <c r="A129" s="5">
        <v>42899</v>
      </c>
      <c r="B129" s="1" t="s">
        <v>206</v>
      </c>
      <c r="C129" s="2">
        <f>144075+13500</f>
        <v>157575</v>
      </c>
    </row>
    <row r="130" spans="1:3" x14ac:dyDescent="0.25">
      <c r="A130" s="5">
        <v>43112</v>
      </c>
      <c r="B130" s="1" t="s">
        <v>179</v>
      </c>
      <c r="C130" s="2">
        <f>144725+11900</f>
        <v>156625</v>
      </c>
    </row>
    <row r="131" spans="1:3" x14ac:dyDescent="0.25">
      <c r="A131" s="5">
        <v>45082</v>
      </c>
      <c r="B131" s="1" t="s">
        <v>86</v>
      </c>
      <c r="C131" s="2">
        <v>155000</v>
      </c>
    </row>
    <row r="132" spans="1:3" x14ac:dyDescent="0.25">
      <c r="A132" s="5">
        <v>45082</v>
      </c>
      <c r="B132" s="1" t="s">
        <v>86</v>
      </c>
      <c r="C132" s="2">
        <v>155000</v>
      </c>
    </row>
    <row r="133" spans="1:3" x14ac:dyDescent="0.25">
      <c r="A133" s="5">
        <v>45082</v>
      </c>
      <c r="B133" s="1" t="s">
        <v>86</v>
      </c>
      <c r="C133" s="2">
        <v>155000</v>
      </c>
    </row>
    <row r="134" spans="1:3" x14ac:dyDescent="0.25">
      <c r="A134" s="5">
        <v>45082</v>
      </c>
      <c r="B134" s="1" t="s">
        <v>86</v>
      </c>
      <c r="C134" s="2">
        <v>155000</v>
      </c>
    </row>
    <row r="135" spans="1:3" x14ac:dyDescent="0.25">
      <c r="A135" s="5">
        <v>44578</v>
      </c>
      <c r="B135" s="1" t="s">
        <v>92</v>
      </c>
      <c r="C135" s="2">
        <v>154000</v>
      </c>
    </row>
    <row r="136" spans="1:3" x14ac:dyDescent="0.25">
      <c r="A136" s="5">
        <v>44783</v>
      </c>
      <c r="B136" s="1" t="s">
        <v>99</v>
      </c>
      <c r="C136" s="2">
        <v>153500</v>
      </c>
    </row>
    <row r="137" spans="1:3" x14ac:dyDescent="0.25">
      <c r="A137" s="5">
        <v>44091</v>
      </c>
      <c r="B137" s="1" t="s">
        <v>113</v>
      </c>
      <c r="C137" s="2">
        <f>112500+15150+25000</f>
        <v>152650</v>
      </c>
    </row>
    <row r="138" spans="1:3" x14ac:dyDescent="0.25">
      <c r="A138" s="5">
        <v>45966</v>
      </c>
      <c r="B138" s="1" t="s">
        <v>43</v>
      </c>
      <c r="C138" s="2">
        <v>151500</v>
      </c>
    </row>
    <row r="139" spans="1:3" x14ac:dyDescent="0.25">
      <c r="A139" s="5">
        <v>45316</v>
      </c>
      <c r="B139" s="1" t="s">
        <v>49</v>
      </c>
      <c r="C139" s="2">
        <f>145000+6250</f>
        <v>151250</v>
      </c>
    </row>
    <row r="140" spans="1:3" x14ac:dyDescent="0.25">
      <c r="A140" s="5">
        <v>42702</v>
      </c>
      <c r="B140" s="1" t="s">
        <v>63</v>
      </c>
      <c r="C140" s="2">
        <f>119900+31000</f>
        <v>150900</v>
      </c>
    </row>
    <row r="141" spans="1:3" x14ac:dyDescent="0.25">
      <c r="A141" s="5">
        <v>45526</v>
      </c>
      <c r="B141" s="1" t="s">
        <v>50</v>
      </c>
      <c r="C141" s="2">
        <f>130250+20000</f>
        <v>150250</v>
      </c>
    </row>
    <row r="142" spans="1:3" x14ac:dyDescent="0.25">
      <c r="A142" s="5">
        <v>44553</v>
      </c>
      <c r="B142" s="1" t="s">
        <v>92</v>
      </c>
      <c r="C142" s="2">
        <f>131000+19000</f>
        <v>150000</v>
      </c>
    </row>
    <row r="143" spans="1:3" x14ac:dyDescent="0.25">
      <c r="A143" s="5">
        <v>45099</v>
      </c>
      <c r="B143" s="1" t="s">
        <v>87</v>
      </c>
      <c r="C143" s="2">
        <f>144000+5400</f>
        <v>149400</v>
      </c>
    </row>
    <row r="144" spans="1:3" x14ac:dyDescent="0.25">
      <c r="A144" s="5">
        <v>44559</v>
      </c>
      <c r="B144" s="1" t="s">
        <v>113</v>
      </c>
      <c r="C144" s="2">
        <f>136750+7950+3455</f>
        <v>148155</v>
      </c>
    </row>
    <row r="145" spans="1:3" x14ac:dyDescent="0.25">
      <c r="A145" s="5">
        <v>43600</v>
      </c>
      <c r="B145" s="1" t="s">
        <v>40</v>
      </c>
      <c r="C145" s="2">
        <f>140500+7500</f>
        <v>148000</v>
      </c>
    </row>
    <row r="146" spans="1:3" x14ac:dyDescent="0.25">
      <c r="A146" s="5">
        <v>42341</v>
      </c>
      <c r="B146" s="1" t="s">
        <v>161</v>
      </c>
      <c r="C146" s="2">
        <f>137314+8585+1585</f>
        <v>147484</v>
      </c>
    </row>
    <row r="147" spans="1:3" x14ac:dyDescent="0.25">
      <c r="A147" s="5">
        <v>44680</v>
      </c>
      <c r="B147" s="1" t="s">
        <v>63</v>
      </c>
      <c r="C147" s="2">
        <v>147300</v>
      </c>
    </row>
    <row r="148" spans="1:3" x14ac:dyDescent="0.25">
      <c r="A148" s="5">
        <v>45176</v>
      </c>
      <c r="B148" s="1" t="s">
        <v>85</v>
      </c>
      <c r="C148" s="2">
        <v>146000</v>
      </c>
    </row>
    <row r="149" spans="1:3" x14ac:dyDescent="0.25">
      <c r="A149" s="5">
        <v>43727</v>
      </c>
      <c r="B149" s="1" t="s">
        <v>148</v>
      </c>
      <c r="C149" s="2">
        <f>89150+26325+29300</f>
        <v>144775</v>
      </c>
    </row>
    <row r="150" spans="1:3" x14ac:dyDescent="0.25">
      <c r="A150" s="5">
        <v>45252</v>
      </c>
      <c r="B150" s="1" t="s">
        <v>91</v>
      </c>
      <c r="C150" s="2">
        <f>123750+14500+6500</f>
        <v>144750</v>
      </c>
    </row>
    <row r="151" spans="1:3" x14ac:dyDescent="0.25">
      <c r="A151" s="5">
        <v>45252</v>
      </c>
      <c r="B151" s="1" t="s">
        <v>91</v>
      </c>
      <c r="C151" s="2">
        <f>123750+14500+6500</f>
        <v>144750</v>
      </c>
    </row>
    <row r="152" spans="1:3" x14ac:dyDescent="0.25">
      <c r="A152" s="5">
        <v>45860</v>
      </c>
      <c r="B152" s="1" t="s">
        <v>15</v>
      </c>
      <c r="C152" s="2">
        <f>136000+3000+4900</f>
        <v>143900</v>
      </c>
    </row>
    <row r="153" spans="1:3" x14ac:dyDescent="0.25">
      <c r="A153" s="5">
        <v>42927</v>
      </c>
      <c r="B153" s="1" t="s">
        <v>63</v>
      </c>
      <c r="C153" s="2">
        <f>119900+23500</f>
        <v>143400</v>
      </c>
    </row>
    <row r="154" spans="1:3" x14ac:dyDescent="0.25">
      <c r="A154" s="5">
        <v>42927</v>
      </c>
      <c r="B154" s="1" t="s">
        <v>63</v>
      </c>
      <c r="C154" s="2">
        <f>119900+23500</f>
        <v>143400</v>
      </c>
    </row>
    <row r="155" spans="1:3" x14ac:dyDescent="0.25">
      <c r="A155" s="5">
        <v>44776</v>
      </c>
      <c r="B155" s="1" t="s">
        <v>109</v>
      </c>
      <c r="C155" s="2">
        <v>143300</v>
      </c>
    </row>
    <row r="156" spans="1:3" x14ac:dyDescent="0.25">
      <c r="A156" s="5">
        <v>44776</v>
      </c>
      <c r="B156" s="1" t="s">
        <v>109</v>
      </c>
      <c r="C156" s="2">
        <v>142300</v>
      </c>
    </row>
    <row r="157" spans="1:3" x14ac:dyDescent="0.25">
      <c r="A157" s="5">
        <v>44776</v>
      </c>
      <c r="B157" s="1" t="s">
        <v>109</v>
      </c>
      <c r="C157" s="2">
        <v>142300</v>
      </c>
    </row>
    <row r="158" spans="1:3" x14ac:dyDescent="0.25">
      <c r="A158" s="5">
        <v>44776</v>
      </c>
      <c r="B158" s="1" t="s">
        <v>109</v>
      </c>
      <c r="C158" s="2">
        <v>142300</v>
      </c>
    </row>
    <row r="159" spans="1:3" x14ac:dyDescent="0.25">
      <c r="A159" s="5">
        <v>44559</v>
      </c>
      <c r="B159" s="1" t="s">
        <v>113</v>
      </c>
      <c r="C159" s="2">
        <v>140000</v>
      </c>
    </row>
    <row r="160" spans="1:3" x14ac:dyDescent="0.25">
      <c r="A160" s="5">
        <v>42669</v>
      </c>
      <c r="B160" s="1" t="s">
        <v>241</v>
      </c>
      <c r="C160" s="2">
        <v>139670</v>
      </c>
    </row>
    <row r="161" spans="1:3" x14ac:dyDescent="0.25">
      <c r="A161" s="5">
        <v>45643</v>
      </c>
      <c r="B161" s="1" t="s">
        <v>72</v>
      </c>
      <c r="C161" s="2">
        <f>109500+2750+26030</f>
        <v>138280</v>
      </c>
    </row>
    <row r="162" spans="1:3" x14ac:dyDescent="0.25">
      <c r="A162" s="5">
        <v>45643</v>
      </c>
      <c r="B162" s="1" t="s">
        <v>72</v>
      </c>
      <c r="C162" s="2">
        <f>109500+2750+26030</f>
        <v>138280</v>
      </c>
    </row>
    <row r="163" spans="1:3" x14ac:dyDescent="0.25">
      <c r="A163" s="5">
        <v>41794</v>
      </c>
      <c r="B163" s="1" t="s">
        <v>93</v>
      </c>
      <c r="C163" s="2">
        <f>114520+22866</f>
        <v>137386</v>
      </c>
    </row>
    <row r="164" spans="1:3" x14ac:dyDescent="0.25">
      <c r="A164" s="5">
        <v>42170</v>
      </c>
      <c r="B164" s="1" t="s">
        <v>178</v>
      </c>
      <c r="C164" s="2">
        <f>127507+8996</f>
        <v>136503</v>
      </c>
    </row>
    <row r="165" spans="1:3" x14ac:dyDescent="0.25">
      <c r="A165" s="5">
        <v>42170</v>
      </c>
      <c r="B165" s="1" t="s">
        <v>178</v>
      </c>
      <c r="C165" s="2">
        <f>127507+8996</f>
        <v>136503</v>
      </c>
    </row>
    <row r="166" spans="1:3" x14ac:dyDescent="0.25">
      <c r="A166" s="5">
        <v>45820</v>
      </c>
      <c r="B166" s="1" t="s">
        <v>24</v>
      </c>
      <c r="C166" s="2">
        <v>136000</v>
      </c>
    </row>
    <row r="167" spans="1:3" x14ac:dyDescent="0.25">
      <c r="A167" s="5">
        <v>42825</v>
      </c>
      <c r="B167" s="1" t="s">
        <v>199</v>
      </c>
      <c r="C167" s="2">
        <v>135505</v>
      </c>
    </row>
    <row r="168" spans="1:3" x14ac:dyDescent="0.25">
      <c r="A168" s="5">
        <v>42825</v>
      </c>
      <c r="B168" s="1" t="s">
        <v>199</v>
      </c>
      <c r="C168" s="2">
        <v>135505</v>
      </c>
    </row>
    <row r="169" spans="1:3" x14ac:dyDescent="0.25">
      <c r="A169" s="5">
        <v>45856</v>
      </c>
      <c r="B169" s="1" t="s">
        <v>32</v>
      </c>
      <c r="C169" s="2">
        <f>96000+39500</f>
        <v>135500</v>
      </c>
    </row>
    <row r="170" spans="1:3" x14ac:dyDescent="0.25">
      <c r="A170" s="5">
        <v>45995</v>
      </c>
      <c r="B170" s="1" t="s">
        <v>7</v>
      </c>
      <c r="C170" s="2">
        <v>135500</v>
      </c>
    </row>
    <row r="171" spans="1:3" x14ac:dyDescent="0.25">
      <c r="A171" s="5">
        <v>45824</v>
      </c>
      <c r="B171" s="1" t="s">
        <v>26</v>
      </c>
      <c r="C171" s="2">
        <f>126750+8500</f>
        <v>135250</v>
      </c>
    </row>
    <row r="172" spans="1:3" x14ac:dyDescent="0.25">
      <c r="A172" s="5">
        <v>45824</v>
      </c>
      <c r="B172" s="1" t="s">
        <v>26</v>
      </c>
      <c r="C172" s="2">
        <f>126750+8500</f>
        <v>135250</v>
      </c>
    </row>
    <row r="173" spans="1:3" x14ac:dyDescent="0.25">
      <c r="A173" s="5">
        <v>43431</v>
      </c>
      <c r="B173" s="1" t="s">
        <v>40</v>
      </c>
      <c r="C173" s="2">
        <f>132750+1100</f>
        <v>133850</v>
      </c>
    </row>
    <row r="174" spans="1:3" x14ac:dyDescent="0.25">
      <c r="A174" s="5">
        <v>45082</v>
      </c>
      <c r="B174" s="1" t="s">
        <v>86</v>
      </c>
      <c r="C174" s="2">
        <v>133750</v>
      </c>
    </row>
    <row r="175" spans="1:3" x14ac:dyDescent="0.25">
      <c r="A175" s="5">
        <v>44463</v>
      </c>
      <c r="B175" s="1" t="s">
        <v>77</v>
      </c>
      <c r="C175" s="2">
        <f>124500+8500</f>
        <v>133000</v>
      </c>
    </row>
    <row r="176" spans="1:3" x14ac:dyDescent="0.25">
      <c r="A176" s="5">
        <v>42104</v>
      </c>
      <c r="B176" s="1" t="s">
        <v>180</v>
      </c>
      <c r="C176" s="2">
        <f>123942+8671</f>
        <v>132613</v>
      </c>
    </row>
    <row r="177" spans="1:3" x14ac:dyDescent="0.25">
      <c r="A177" s="5">
        <v>42104</v>
      </c>
      <c r="B177" s="1" t="s">
        <v>180</v>
      </c>
      <c r="C177" s="2">
        <f>123942+8671</f>
        <v>132613</v>
      </c>
    </row>
    <row r="178" spans="1:3" x14ac:dyDescent="0.25">
      <c r="A178" s="5">
        <v>42104</v>
      </c>
      <c r="B178" s="1" t="s">
        <v>180</v>
      </c>
      <c r="C178" s="2">
        <f>123942+8671</f>
        <v>132613</v>
      </c>
    </row>
    <row r="179" spans="1:3" x14ac:dyDescent="0.25">
      <c r="A179" s="5">
        <v>43732</v>
      </c>
      <c r="B179" s="1" t="s">
        <v>57</v>
      </c>
      <c r="C179" s="2">
        <v>131350</v>
      </c>
    </row>
    <row r="180" spans="1:3" x14ac:dyDescent="0.25">
      <c r="A180" s="5">
        <v>45685</v>
      </c>
      <c r="B180" s="1" t="s">
        <v>7</v>
      </c>
      <c r="C180" s="2">
        <v>130500</v>
      </c>
    </row>
    <row r="181" spans="1:3" x14ac:dyDescent="0.25">
      <c r="A181" s="5">
        <v>44775</v>
      </c>
      <c r="B181" s="1" t="s">
        <v>108</v>
      </c>
      <c r="C181" s="2">
        <v>130250</v>
      </c>
    </row>
    <row r="182" spans="1:3" x14ac:dyDescent="0.25">
      <c r="A182" s="5">
        <v>42028</v>
      </c>
      <c r="B182" s="1" t="s">
        <v>118</v>
      </c>
      <c r="C182" s="2">
        <f>115000+11076+4172</f>
        <v>130248</v>
      </c>
    </row>
    <row r="183" spans="1:3" x14ac:dyDescent="0.25">
      <c r="A183" s="5">
        <v>43593</v>
      </c>
      <c r="B183" s="1" t="s">
        <v>10</v>
      </c>
      <c r="C183" s="2">
        <f>121250+7675+700</f>
        <v>129625</v>
      </c>
    </row>
    <row r="184" spans="1:3" x14ac:dyDescent="0.25">
      <c r="A184" s="5">
        <v>44680</v>
      </c>
      <c r="B184" s="1" t="s">
        <v>63</v>
      </c>
      <c r="C184" s="2">
        <v>129550</v>
      </c>
    </row>
    <row r="185" spans="1:3" x14ac:dyDescent="0.25">
      <c r="A185" s="5">
        <v>44817</v>
      </c>
      <c r="B185" s="1" t="s">
        <v>112</v>
      </c>
      <c r="C185" s="2">
        <v>128935</v>
      </c>
    </row>
    <row r="186" spans="1:3" x14ac:dyDescent="0.25">
      <c r="A186" s="5">
        <v>43182</v>
      </c>
      <c r="B186" s="1" t="s">
        <v>147</v>
      </c>
      <c r="C186" s="2">
        <f>119750+975+600+6250</f>
        <v>127575</v>
      </c>
    </row>
    <row r="187" spans="1:3" x14ac:dyDescent="0.25">
      <c r="A187" s="5">
        <v>43600</v>
      </c>
      <c r="B187" s="1" t="s">
        <v>40</v>
      </c>
      <c r="C187" s="2">
        <f>119950+7500</f>
        <v>127450</v>
      </c>
    </row>
    <row r="188" spans="1:3" x14ac:dyDescent="0.25">
      <c r="A188" s="5">
        <v>44490</v>
      </c>
      <c r="B188" s="1" t="s">
        <v>142</v>
      </c>
      <c r="C188" s="2">
        <f>121500+4750</f>
        <v>126250</v>
      </c>
    </row>
    <row r="189" spans="1:3" x14ac:dyDescent="0.25">
      <c r="A189" s="5">
        <v>44490</v>
      </c>
      <c r="B189" s="1" t="s">
        <v>142</v>
      </c>
      <c r="C189" s="2">
        <f>121500+4750</f>
        <v>126250</v>
      </c>
    </row>
    <row r="190" spans="1:3" x14ac:dyDescent="0.25">
      <c r="A190" s="5">
        <v>44865</v>
      </c>
      <c r="B190" s="1" t="s">
        <v>117</v>
      </c>
      <c r="C190" s="2">
        <v>126200</v>
      </c>
    </row>
    <row r="191" spans="1:3" x14ac:dyDescent="0.25">
      <c r="A191" s="5">
        <v>45968</v>
      </c>
      <c r="B191" s="1" t="s">
        <v>44</v>
      </c>
      <c r="C191" s="2">
        <v>125500</v>
      </c>
    </row>
    <row r="192" spans="1:3" x14ac:dyDescent="0.25">
      <c r="A192" s="5">
        <v>45968</v>
      </c>
      <c r="B192" s="1" t="s">
        <v>44</v>
      </c>
      <c r="C192" s="2">
        <v>125500</v>
      </c>
    </row>
    <row r="193" spans="1:3" x14ac:dyDescent="0.25">
      <c r="A193" s="5">
        <v>45121</v>
      </c>
      <c r="B193" s="1" t="s">
        <v>88</v>
      </c>
      <c r="C193" s="2">
        <f>107000+18250</f>
        <v>125250</v>
      </c>
    </row>
    <row r="194" spans="1:3" x14ac:dyDescent="0.25">
      <c r="A194" s="5">
        <v>45121</v>
      </c>
      <c r="B194" s="1" t="s">
        <v>88</v>
      </c>
      <c r="C194" s="2">
        <f>107000+18250</f>
        <v>125250</v>
      </c>
    </row>
    <row r="195" spans="1:3" x14ac:dyDescent="0.25">
      <c r="A195" s="5">
        <v>43112</v>
      </c>
      <c r="B195" s="1" t="s">
        <v>179</v>
      </c>
      <c r="C195" s="2">
        <f>111725+8950+4000</f>
        <v>124675</v>
      </c>
    </row>
    <row r="196" spans="1:3" x14ac:dyDescent="0.25">
      <c r="A196" s="5">
        <v>43300</v>
      </c>
      <c r="B196" s="1" t="s">
        <v>144</v>
      </c>
      <c r="C196" s="2">
        <f>117950+6250</f>
        <v>124200</v>
      </c>
    </row>
    <row r="197" spans="1:3" x14ac:dyDescent="0.25">
      <c r="A197" s="5">
        <v>44677</v>
      </c>
      <c r="B197" s="1" t="s">
        <v>100</v>
      </c>
      <c r="C197" s="2">
        <v>123600</v>
      </c>
    </row>
    <row r="198" spans="1:3" x14ac:dyDescent="0.25">
      <c r="A198" s="5">
        <v>45685</v>
      </c>
      <c r="B198" s="1" t="s">
        <v>7</v>
      </c>
      <c r="C198" s="2">
        <v>122750</v>
      </c>
    </row>
    <row r="199" spans="1:3" x14ac:dyDescent="0.25">
      <c r="A199" s="5">
        <v>42387</v>
      </c>
      <c r="B199" s="1" t="s">
        <v>221</v>
      </c>
      <c r="C199" s="2">
        <f>88987+33500</f>
        <v>122487</v>
      </c>
    </row>
    <row r="200" spans="1:3" x14ac:dyDescent="0.25">
      <c r="A200" s="5">
        <v>43238</v>
      </c>
      <c r="B200" s="1" t="s">
        <v>153</v>
      </c>
      <c r="C200" s="2">
        <f>77925+24575+19500</f>
        <v>122000</v>
      </c>
    </row>
    <row r="201" spans="1:3" x14ac:dyDescent="0.25">
      <c r="A201" s="5">
        <v>44910</v>
      </c>
      <c r="B201" s="1" t="s">
        <v>120</v>
      </c>
      <c r="C201" s="2">
        <v>122000</v>
      </c>
    </row>
    <row r="202" spans="1:3" x14ac:dyDescent="0.25">
      <c r="A202" s="5">
        <v>44910</v>
      </c>
      <c r="B202" s="1" t="s">
        <v>120</v>
      </c>
      <c r="C202" s="2">
        <v>122000</v>
      </c>
    </row>
    <row r="203" spans="1:3" x14ac:dyDescent="0.25">
      <c r="A203" s="5">
        <v>44999</v>
      </c>
      <c r="B203" s="1" t="s">
        <v>65</v>
      </c>
      <c r="C203" s="2">
        <f>93500+15250+13250</f>
        <v>122000</v>
      </c>
    </row>
    <row r="204" spans="1:3" x14ac:dyDescent="0.25">
      <c r="A204" s="5">
        <v>44552</v>
      </c>
      <c r="B204" s="1" t="s">
        <v>144</v>
      </c>
      <c r="C204" s="2">
        <f>95500+8250+7700+9374+750</f>
        <v>121574</v>
      </c>
    </row>
    <row r="205" spans="1:3" x14ac:dyDescent="0.25">
      <c r="A205" s="5">
        <v>44858</v>
      </c>
      <c r="B205" s="1" t="s">
        <v>116</v>
      </c>
      <c r="C205" s="2">
        <v>121175</v>
      </c>
    </row>
    <row r="206" spans="1:3" x14ac:dyDescent="0.25">
      <c r="A206" s="5">
        <v>44992</v>
      </c>
      <c r="B206" s="1" t="s">
        <v>74</v>
      </c>
      <c r="C206" s="2">
        <f>98500+8900+13750</f>
        <v>121150</v>
      </c>
    </row>
    <row r="207" spans="1:3" x14ac:dyDescent="0.25">
      <c r="A207" s="5">
        <v>44008</v>
      </c>
      <c r="B207" s="1" t="s">
        <v>8</v>
      </c>
      <c r="C207" s="2">
        <f>99950+19650+700</f>
        <v>120300</v>
      </c>
    </row>
    <row r="208" spans="1:3" x14ac:dyDescent="0.25">
      <c r="A208" s="5">
        <v>45995</v>
      </c>
      <c r="B208" s="1" t="s">
        <v>7</v>
      </c>
      <c r="C208" s="2">
        <v>120000</v>
      </c>
    </row>
    <row r="209" spans="1:3" x14ac:dyDescent="0.25">
      <c r="A209" s="5">
        <v>44008</v>
      </c>
      <c r="B209" s="1" t="s">
        <v>39</v>
      </c>
      <c r="C209" s="2">
        <f>118750+1200</f>
        <v>119950</v>
      </c>
    </row>
    <row r="210" spans="1:3" x14ac:dyDescent="0.25">
      <c r="A210" s="5">
        <v>43727</v>
      </c>
      <c r="B210" s="1" t="s">
        <v>148</v>
      </c>
      <c r="C210" s="2">
        <f>68425+46325+5100</f>
        <v>119850</v>
      </c>
    </row>
    <row r="211" spans="1:3" x14ac:dyDescent="0.25">
      <c r="A211" s="5">
        <v>43727</v>
      </c>
      <c r="B211" s="1" t="s">
        <v>148</v>
      </c>
      <c r="C211" s="2">
        <f>68425+46325+5100</f>
        <v>119850</v>
      </c>
    </row>
    <row r="212" spans="1:3" x14ac:dyDescent="0.25">
      <c r="A212" s="5">
        <v>45714</v>
      </c>
      <c r="B212" s="1" t="s">
        <v>11</v>
      </c>
      <c r="C212" s="2">
        <f>112500+7050</f>
        <v>119550</v>
      </c>
    </row>
    <row r="213" spans="1:3" x14ac:dyDescent="0.25">
      <c r="A213" s="5">
        <v>43361</v>
      </c>
      <c r="B213" s="1" t="s">
        <v>80</v>
      </c>
      <c r="C213" s="2">
        <f>110000+250+3750+5500</f>
        <v>119500</v>
      </c>
    </row>
    <row r="214" spans="1:3" x14ac:dyDescent="0.25">
      <c r="A214" s="5">
        <v>44776</v>
      </c>
      <c r="B214" s="1" t="s">
        <v>109</v>
      </c>
      <c r="C214" s="2">
        <v>118600</v>
      </c>
    </row>
    <row r="215" spans="1:3" x14ac:dyDescent="0.25">
      <c r="A215" s="5">
        <v>44776</v>
      </c>
      <c r="B215" s="1" t="s">
        <v>109</v>
      </c>
      <c r="C215" s="2">
        <v>118600</v>
      </c>
    </row>
    <row r="216" spans="1:3" x14ac:dyDescent="0.25">
      <c r="A216" s="5">
        <v>43705</v>
      </c>
      <c r="B216" s="1" t="s">
        <v>57</v>
      </c>
      <c r="C216" s="2">
        <f>90750+26837.5</f>
        <v>117587.5</v>
      </c>
    </row>
    <row r="217" spans="1:3" x14ac:dyDescent="0.25">
      <c r="A217" s="5">
        <v>42097</v>
      </c>
      <c r="B217" s="1" t="s">
        <v>80</v>
      </c>
      <c r="C217" s="2">
        <f>113902+3611</f>
        <v>117513</v>
      </c>
    </row>
    <row r="218" spans="1:3" x14ac:dyDescent="0.25">
      <c r="A218" s="5">
        <v>45252</v>
      </c>
      <c r="B218" s="1" t="s">
        <v>91</v>
      </c>
      <c r="C218" s="2">
        <f>107000+10500</f>
        <v>117500</v>
      </c>
    </row>
    <row r="219" spans="1:3" x14ac:dyDescent="0.25">
      <c r="A219" s="5">
        <v>44361</v>
      </c>
      <c r="B219" s="1" t="s">
        <v>93</v>
      </c>
      <c r="C219" s="2">
        <f>113500+3850</f>
        <v>117350</v>
      </c>
    </row>
    <row r="220" spans="1:3" x14ac:dyDescent="0.25">
      <c r="A220" s="5">
        <v>44361</v>
      </c>
      <c r="B220" s="1" t="s">
        <v>93</v>
      </c>
      <c r="C220" s="2">
        <f>113500+3850</f>
        <v>117350</v>
      </c>
    </row>
    <row r="221" spans="1:3" x14ac:dyDescent="0.25">
      <c r="A221" s="5">
        <v>42028</v>
      </c>
      <c r="B221" s="1" t="s">
        <v>118</v>
      </c>
      <c r="C221" s="2">
        <f>112000+4734+325</f>
        <v>117059</v>
      </c>
    </row>
    <row r="222" spans="1:3" x14ac:dyDescent="0.25">
      <c r="A222" s="5">
        <v>43705</v>
      </c>
      <c r="B222" s="1" t="s">
        <v>57</v>
      </c>
      <c r="C222" s="2">
        <f>90350+26552.5</f>
        <v>116902.5</v>
      </c>
    </row>
    <row r="223" spans="1:3" x14ac:dyDescent="0.25">
      <c r="A223" s="5">
        <v>45685</v>
      </c>
      <c r="B223" s="1" t="s">
        <v>7</v>
      </c>
      <c r="C223" s="2">
        <v>116750</v>
      </c>
    </row>
    <row r="224" spans="1:3" x14ac:dyDescent="0.25">
      <c r="A224" s="5">
        <v>43420</v>
      </c>
      <c r="B224" s="1" t="s">
        <v>3</v>
      </c>
      <c r="C224" s="2">
        <f>90500+22275+3750-400</f>
        <v>116125</v>
      </c>
    </row>
    <row r="225" spans="1:3" x14ac:dyDescent="0.25">
      <c r="A225" s="5">
        <v>43420</v>
      </c>
      <c r="B225" s="1" t="s">
        <v>3</v>
      </c>
      <c r="C225" s="2">
        <f>90500+22275+3750-400</f>
        <v>116125</v>
      </c>
    </row>
    <row r="226" spans="1:3" x14ac:dyDescent="0.25">
      <c r="A226" s="5">
        <v>44117</v>
      </c>
      <c r="B226" s="1" t="s">
        <v>27</v>
      </c>
      <c r="C226" s="2">
        <f>109350+6000</f>
        <v>115350</v>
      </c>
    </row>
    <row r="227" spans="1:3" x14ac:dyDescent="0.25">
      <c r="A227" s="5">
        <v>42387</v>
      </c>
      <c r="B227" s="1" t="s">
        <v>221</v>
      </c>
      <c r="C227" s="2">
        <f>75872+8845+30000</f>
        <v>114717</v>
      </c>
    </row>
    <row r="228" spans="1:3" x14ac:dyDescent="0.25">
      <c r="A228" s="5">
        <v>42387</v>
      </c>
      <c r="B228" s="1" t="s">
        <v>221</v>
      </c>
      <c r="C228" s="2">
        <f>75872+8845+30000</f>
        <v>114717</v>
      </c>
    </row>
    <row r="229" spans="1:3" x14ac:dyDescent="0.25">
      <c r="A229" s="5">
        <v>42387</v>
      </c>
      <c r="B229" s="1" t="s">
        <v>221</v>
      </c>
      <c r="C229" s="2">
        <f>75872+8845+30000</f>
        <v>114717</v>
      </c>
    </row>
    <row r="230" spans="1:3" x14ac:dyDescent="0.25">
      <c r="A230" s="5">
        <v>44666</v>
      </c>
      <c r="B230" s="1" t="s">
        <v>99</v>
      </c>
      <c r="C230" s="2">
        <v>114500</v>
      </c>
    </row>
    <row r="231" spans="1:3" x14ac:dyDescent="0.25">
      <c r="A231" s="5">
        <v>43727</v>
      </c>
      <c r="B231" s="1" t="s">
        <v>148</v>
      </c>
      <c r="C231" s="2">
        <f>53425+58575+1950</f>
        <v>113950</v>
      </c>
    </row>
    <row r="232" spans="1:3" x14ac:dyDescent="0.25">
      <c r="A232" s="5">
        <v>42227</v>
      </c>
      <c r="B232" s="1" t="s">
        <v>240</v>
      </c>
      <c r="C232" s="2">
        <f>104840+2875+4786</f>
        <v>112501</v>
      </c>
    </row>
    <row r="233" spans="1:3" x14ac:dyDescent="0.25">
      <c r="A233" s="5">
        <v>42227</v>
      </c>
      <c r="B233" s="1" t="s">
        <v>240</v>
      </c>
      <c r="C233" s="2">
        <f>104840+2875+4786</f>
        <v>112501</v>
      </c>
    </row>
    <row r="234" spans="1:3" x14ac:dyDescent="0.25">
      <c r="A234" s="5">
        <v>43705</v>
      </c>
      <c r="B234" s="1" t="s">
        <v>57</v>
      </c>
      <c r="C234" s="2">
        <f>90150+21992.5</f>
        <v>112142.5</v>
      </c>
    </row>
    <row r="235" spans="1:3" x14ac:dyDescent="0.25">
      <c r="A235" s="5">
        <v>44701</v>
      </c>
      <c r="B235" s="1" t="s">
        <v>39</v>
      </c>
      <c r="C235" s="2">
        <v>112000</v>
      </c>
    </row>
    <row r="236" spans="1:3" x14ac:dyDescent="0.25">
      <c r="A236" s="5">
        <v>44837</v>
      </c>
      <c r="B236" s="1" t="s">
        <v>114</v>
      </c>
      <c r="C236" s="2">
        <v>111150</v>
      </c>
    </row>
    <row r="237" spans="1:3" x14ac:dyDescent="0.25">
      <c r="A237" s="5">
        <v>43592</v>
      </c>
      <c r="B237" s="1" t="s">
        <v>168</v>
      </c>
      <c r="C237" s="2">
        <f>102000+2250+6850</f>
        <v>111100</v>
      </c>
    </row>
    <row r="238" spans="1:3" x14ac:dyDescent="0.25">
      <c r="A238" s="5">
        <v>44428</v>
      </c>
      <c r="B238" s="1" t="s">
        <v>136</v>
      </c>
      <c r="C238" s="2">
        <f>104950+5300</f>
        <v>110250</v>
      </c>
    </row>
    <row r="239" spans="1:3" x14ac:dyDescent="0.25">
      <c r="A239" s="5">
        <v>44428</v>
      </c>
      <c r="B239" s="1" t="s">
        <v>136</v>
      </c>
      <c r="C239" s="2">
        <f>104950+5300</f>
        <v>110250</v>
      </c>
    </row>
    <row r="240" spans="1:3" x14ac:dyDescent="0.25">
      <c r="A240" s="5">
        <v>44680</v>
      </c>
      <c r="B240" s="1" t="s">
        <v>63</v>
      </c>
      <c r="C240" s="2">
        <v>109950</v>
      </c>
    </row>
    <row r="241" spans="1:3" x14ac:dyDescent="0.25">
      <c r="A241" s="5">
        <v>42655</v>
      </c>
      <c r="B241" s="1" t="s">
        <v>241</v>
      </c>
      <c r="C241" s="2">
        <f>89975+16570+2455</f>
        <v>109000</v>
      </c>
    </row>
    <row r="242" spans="1:3" x14ac:dyDescent="0.25">
      <c r="A242" s="5">
        <v>43727</v>
      </c>
      <c r="B242" s="1" t="s">
        <v>148</v>
      </c>
      <c r="C242" s="2">
        <f>100775+6500</f>
        <v>107275</v>
      </c>
    </row>
    <row r="243" spans="1:3" x14ac:dyDescent="0.25">
      <c r="A243" s="5">
        <v>45252</v>
      </c>
      <c r="B243" s="1" t="s">
        <v>91</v>
      </c>
      <c r="C243" s="2">
        <f>97000+10700-805</f>
        <v>106895</v>
      </c>
    </row>
    <row r="244" spans="1:3" x14ac:dyDescent="0.25">
      <c r="A244" s="5">
        <v>41702</v>
      </c>
      <c r="B244" s="1" t="s">
        <v>8</v>
      </c>
      <c r="C244" s="2">
        <f>103972+2850</f>
        <v>106822</v>
      </c>
    </row>
    <row r="245" spans="1:3" x14ac:dyDescent="0.25">
      <c r="A245" s="5">
        <v>44418</v>
      </c>
      <c r="B245" s="1" t="s">
        <v>119</v>
      </c>
      <c r="C245" s="2">
        <f>101000+6200-400</f>
        <v>106800</v>
      </c>
    </row>
    <row r="246" spans="1:3" x14ac:dyDescent="0.25">
      <c r="A246" s="5">
        <v>44418</v>
      </c>
      <c r="B246" s="1" t="s">
        <v>119</v>
      </c>
      <c r="C246" s="2">
        <f>101000+6200-400</f>
        <v>106800</v>
      </c>
    </row>
    <row r="247" spans="1:3" x14ac:dyDescent="0.25">
      <c r="A247" s="5">
        <v>44418</v>
      </c>
      <c r="B247" s="1" t="s">
        <v>119</v>
      </c>
      <c r="C247" s="2">
        <f>101000+6200-400</f>
        <v>106800</v>
      </c>
    </row>
    <row r="248" spans="1:3" x14ac:dyDescent="0.25">
      <c r="A248" s="5">
        <v>45685</v>
      </c>
      <c r="B248" s="1" t="s">
        <v>7</v>
      </c>
      <c r="C248" s="2">
        <v>106000</v>
      </c>
    </row>
    <row r="249" spans="1:3" x14ac:dyDescent="0.25">
      <c r="A249" s="5">
        <v>45910</v>
      </c>
      <c r="B249" s="1" t="s">
        <v>38</v>
      </c>
      <c r="C249" s="2">
        <v>106000</v>
      </c>
    </row>
    <row r="250" spans="1:3" x14ac:dyDescent="0.25">
      <c r="A250" s="5">
        <v>45910</v>
      </c>
      <c r="B250" s="1" t="s">
        <v>39</v>
      </c>
      <c r="C250" s="2">
        <v>106000</v>
      </c>
    </row>
    <row r="251" spans="1:3" x14ac:dyDescent="0.25">
      <c r="A251" s="5">
        <v>43545</v>
      </c>
      <c r="B251" s="1" t="s">
        <v>164</v>
      </c>
      <c r="C251" s="2">
        <f>80650+8700+14500+2100</f>
        <v>105950</v>
      </c>
    </row>
    <row r="252" spans="1:3" x14ac:dyDescent="0.25">
      <c r="A252" s="5">
        <v>43112</v>
      </c>
      <c r="B252" s="1" t="s">
        <v>179</v>
      </c>
      <c r="C252" s="2">
        <f>93700+10300+1600</f>
        <v>105600</v>
      </c>
    </row>
    <row r="253" spans="1:3" x14ac:dyDescent="0.25">
      <c r="A253" s="5">
        <v>45076</v>
      </c>
      <c r="B253" s="1" t="s">
        <v>84</v>
      </c>
      <c r="C253" s="2">
        <f>102250+2900</f>
        <v>105150</v>
      </c>
    </row>
    <row r="254" spans="1:3" x14ac:dyDescent="0.25">
      <c r="A254" s="5">
        <v>44602</v>
      </c>
      <c r="B254" s="1" t="s">
        <v>94</v>
      </c>
      <c r="C254" s="2">
        <v>104750</v>
      </c>
    </row>
    <row r="255" spans="1:3" x14ac:dyDescent="0.25">
      <c r="A255" s="5">
        <v>44344</v>
      </c>
      <c r="B255" s="1" t="s">
        <v>27</v>
      </c>
      <c r="C255" s="2">
        <f>96750+550+7250</f>
        <v>104550</v>
      </c>
    </row>
    <row r="256" spans="1:3" x14ac:dyDescent="0.25">
      <c r="A256" s="5">
        <v>44344</v>
      </c>
      <c r="B256" s="1" t="s">
        <v>27</v>
      </c>
      <c r="C256" s="2">
        <f>96750+550+7250</f>
        <v>104550</v>
      </c>
    </row>
    <row r="257" spans="1:3" x14ac:dyDescent="0.25">
      <c r="A257" s="5">
        <v>44155</v>
      </c>
      <c r="B257" s="1" t="s">
        <v>148</v>
      </c>
      <c r="C257" s="2">
        <f>98500+5800</f>
        <v>104300</v>
      </c>
    </row>
    <row r="258" spans="1:3" x14ac:dyDescent="0.25">
      <c r="A258" s="5">
        <v>45824</v>
      </c>
      <c r="B258" s="1" t="s">
        <v>27</v>
      </c>
      <c r="C258" s="2">
        <v>104000</v>
      </c>
    </row>
    <row r="259" spans="1:3" x14ac:dyDescent="0.25">
      <c r="A259" s="5">
        <v>44635</v>
      </c>
      <c r="B259" s="1" t="s">
        <v>96</v>
      </c>
      <c r="C259" s="2">
        <v>103500</v>
      </c>
    </row>
    <row r="260" spans="1:3" x14ac:dyDescent="0.25">
      <c r="A260" s="5">
        <v>44635</v>
      </c>
      <c r="B260" s="1" t="s">
        <v>96</v>
      </c>
      <c r="C260" s="2">
        <v>103500</v>
      </c>
    </row>
    <row r="261" spans="1:3" x14ac:dyDescent="0.25">
      <c r="A261" s="5">
        <v>44858</v>
      </c>
      <c r="B261" s="1" t="s">
        <v>116</v>
      </c>
      <c r="C261" s="2">
        <v>103175</v>
      </c>
    </row>
    <row r="262" spans="1:3" x14ac:dyDescent="0.25">
      <c r="A262" s="5">
        <v>44447</v>
      </c>
      <c r="B262" s="1" t="s">
        <v>139</v>
      </c>
      <c r="C262" s="2">
        <f>85750+17250</f>
        <v>103000</v>
      </c>
    </row>
    <row r="263" spans="1:3" x14ac:dyDescent="0.25">
      <c r="A263" s="5">
        <v>44447</v>
      </c>
      <c r="B263" s="1" t="s">
        <v>139</v>
      </c>
      <c r="C263" s="2">
        <f>85750+17250</f>
        <v>103000</v>
      </c>
    </row>
    <row r="264" spans="1:3" x14ac:dyDescent="0.25">
      <c r="A264" s="5">
        <v>44447</v>
      </c>
      <c r="B264" s="1" t="s">
        <v>139</v>
      </c>
      <c r="C264" s="2">
        <f>85750+17250</f>
        <v>103000</v>
      </c>
    </row>
    <row r="265" spans="1:3" x14ac:dyDescent="0.25">
      <c r="A265" s="5">
        <v>44447</v>
      </c>
      <c r="B265" s="1" t="s">
        <v>139</v>
      </c>
      <c r="C265" s="2">
        <f>85750+17250</f>
        <v>103000</v>
      </c>
    </row>
    <row r="266" spans="1:3" x14ac:dyDescent="0.25">
      <c r="A266" s="5">
        <v>44088</v>
      </c>
      <c r="B266" s="1" t="s">
        <v>119</v>
      </c>
      <c r="C266" s="2">
        <f>69500+22350+11000</f>
        <v>102850</v>
      </c>
    </row>
    <row r="267" spans="1:3" x14ac:dyDescent="0.25">
      <c r="A267" s="5">
        <v>43682</v>
      </c>
      <c r="B267" s="1" t="s">
        <v>172</v>
      </c>
      <c r="C267" s="2">
        <f>95500+4300+2600</f>
        <v>102400</v>
      </c>
    </row>
    <row r="268" spans="1:3" x14ac:dyDescent="0.25">
      <c r="A268" s="5">
        <v>45685</v>
      </c>
      <c r="B268" s="1" t="s">
        <v>7</v>
      </c>
      <c r="C268" s="2">
        <v>102250</v>
      </c>
    </row>
    <row r="269" spans="1:3" x14ac:dyDescent="0.25">
      <c r="A269" s="5">
        <v>45821</v>
      </c>
      <c r="B269" s="1" t="s">
        <v>25</v>
      </c>
      <c r="C269" s="2">
        <v>102250</v>
      </c>
    </row>
    <row r="270" spans="1:3" x14ac:dyDescent="0.25">
      <c r="A270" s="5">
        <v>45821</v>
      </c>
      <c r="B270" s="1" t="s">
        <v>25</v>
      </c>
      <c r="C270" s="2">
        <v>102250</v>
      </c>
    </row>
    <row r="271" spans="1:3" x14ac:dyDescent="0.25">
      <c r="A271" s="5">
        <v>45821</v>
      </c>
      <c r="B271" s="1" t="s">
        <v>25</v>
      </c>
      <c r="C271" s="2">
        <v>102250</v>
      </c>
    </row>
    <row r="272" spans="1:3" x14ac:dyDescent="0.25">
      <c r="A272" s="5">
        <v>45821</v>
      </c>
      <c r="B272" s="1" t="s">
        <v>25</v>
      </c>
      <c r="C272" s="2">
        <v>102250</v>
      </c>
    </row>
    <row r="273" spans="1:3" x14ac:dyDescent="0.25">
      <c r="A273" s="5">
        <v>45821</v>
      </c>
      <c r="B273" s="1" t="s">
        <v>25</v>
      </c>
      <c r="C273" s="2">
        <v>102250</v>
      </c>
    </row>
    <row r="274" spans="1:3" x14ac:dyDescent="0.25">
      <c r="A274" s="5">
        <v>45821</v>
      </c>
      <c r="B274" s="1" t="s">
        <v>25</v>
      </c>
      <c r="C274" s="2">
        <v>102250</v>
      </c>
    </row>
    <row r="275" spans="1:3" x14ac:dyDescent="0.25">
      <c r="A275" s="5">
        <v>45821</v>
      </c>
      <c r="B275" s="1" t="s">
        <v>25</v>
      </c>
      <c r="C275" s="2">
        <v>102250</v>
      </c>
    </row>
    <row r="276" spans="1:3" x14ac:dyDescent="0.25">
      <c r="A276" s="5">
        <v>45821</v>
      </c>
      <c r="B276" s="1" t="s">
        <v>25</v>
      </c>
      <c r="C276" s="2">
        <v>102250</v>
      </c>
    </row>
    <row r="277" spans="1:3" x14ac:dyDescent="0.25">
      <c r="A277" s="5">
        <v>45821</v>
      </c>
      <c r="B277" s="1" t="s">
        <v>25</v>
      </c>
      <c r="C277" s="2">
        <v>102250</v>
      </c>
    </row>
    <row r="278" spans="1:3" x14ac:dyDescent="0.25">
      <c r="A278" s="5">
        <v>45821</v>
      </c>
      <c r="B278" s="1" t="s">
        <v>25</v>
      </c>
      <c r="C278" s="2">
        <v>102250</v>
      </c>
    </row>
    <row r="279" spans="1:3" x14ac:dyDescent="0.25">
      <c r="A279" s="5">
        <v>45821</v>
      </c>
      <c r="B279" s="1" t="s">
        <v>25</v>
      </c>
      <c r="C279" s="2">
        <v>102250</v>
      </c>
    </row>
    <row r="280" spans="1:3" x14ac:dyDescent="0.25">
      <c r="A280" s="5">
        <v>45821</v>
      </c>
      <c r="B280" s="1" t="s">
        <v>25</v>
      </c>
      <c r="C280" s="2">
        <v>102250</v>
      </c>
    </row>
    <row r="281" spans="1:3" x14ac:dyDescent="0.25">
      <c r="A281" s="5">
        <v>45821</v>
      </c>
      <c r="B281" s="1" t="s">
        <v>25</v>
      </c>
      <c r="C281" s="2">
        <v>102250</v>
      </c>
    </row>
    <row r="282" spans="1:3" x14ac:dyDescent="0.25">
      <c r="A282" s="5">
        <v>45821</v>
      </c>
      <c r="B282" s="1" t="s">
        <v>25</v>
      </c>
      <c r="C282" s="2">
        <v>102250</v>
      </c>
    </row>
    <row r="283" spans="1:3" x14ac:dyDescent="0.25">
      <c r="A283" s="5">
        <v>45821</v>
      </c>
      <c r="B283" s="1" t="s">
        <v>25</v>
      </c>
      <c r="C283" s="2">
        <v>102250</v>
      </c>
    </row>
    <row r="284" spans="1:3" x14ac:dyDescent="0.25">
      <c r="A284" s="5">
        <v>45821</v>
      </c>
      <c r="B284" s="1" t="s">
        <v>25</v>
      </c>
      <c r="C284" s="2">
        <v>102250</v>
      </c>
    </row>
    <row r="285" spans="1:3" x14ac:dyDescent="0.25">
      <c r="A285" s="5">
        <v>45252</v>
      </c>
      <c r="B285" s="1" t="s">
        <v>91</v>
      </c>
      <c r="C285" s="2">
        <f>94250+7800</f>
        <v>102050</v>
      </c>
    </row>
    <row r="286" spans="1:3" x14ac:dyDescent="0.25">
      <c r="A286" s="5">
        <v>44970</v>
      </c>
      <c r="B286" s="1" t="s">
        <v>74</v>
      </c>
      <c r="C286" s="2">
        <f>88000+13750</f>
        <v>101750</v>
      </c>
    </row>
    <row r="287" spans="1:3" x14ac:dyDescent="0.25">
      <c r="A287" s="5">
        <v>43444</v>
      </c>
      <c r="B287" s="1" t="s">
        <v>40</v>
      </c>
      <c r="C287" s="2">
        <f>96600+3975</f>
        <v>100575</v>
      </c>
    </row>
    <row r="288" spans="1:3" x14ac:dyDescent="0.25">
      <c r="A288" s="5">
        <v>44419</v>
      </c>
      <c r="B288" s="1" t="s">
        <v>137</v>
      </c>
      <c r="C288" s="2">
        <f>96000+4350</f>
        <v>100350</v>
      </c>
    </row>
    <row r="289" spans="1:3" x14ac:dyDescent="0.25">
      <c r="A289" s="5">
        <v>45247</v>
      </c>
      <c r="B289" s="1" t="s">
        <v>75</v>
      </c>
      <c r="C289" s="2">
        <v>100050</v>
      </c>
    </row>
    <row r="290" spans="1:3" x14ac:dyDescent="0.25">
      <c r="A290" s="5">
        <v>45247</v>
      </c>
      <c r="B290" s="1" t="s">
        <v>75</v>
      </c>
      <c r="C290" s="2">
        <v>100050</v>
      </c>
    </row>
    <row r="291" spans="1:3" x14ac:dyDescent="0.25">
      <c r="A291" s="5">
        <v>44910</v>
      </c>
      <c r="B291" s="1" t="s">
        <v>120</v>
      </c>
      <c r="C291" s="2">
        <v>100000</v>
      </c>
    </row>
    <row r="292" spans="1:3" x14ac:dyDescent="0.25">
      <c r="A292" s="5">
        <v>42856</v>
      </c>
      <c r="B292" s="1" t="s">
        <v>80</v>
      </c>
      <c r="C292" s="2">
        <v>99965</v>
      </c>
    </row>
    <row r="293" spans="1:3" x14ac:dyDescent="0.25">
      <c r="A293" s="5">
        <v>45252</v>
      </c>
      <c r="B293" s="1" t="s">
        <v>91</v>
      </c>
      <c r="C293" s="2">
        <f>92000+8700-806</f>
        <v>99894</v>
      </c>
    </row>
    <row r="294" spans="1:3" x14ac:dyDescent="0.25">
      <c r="A294" s="5">
        <v>44582</v>
      </c>
      <c r="B294" s="1" t="s">
        <v>33</v>
      </c>
      <c r="C294" s="2">
        <v>99500</v>
      </c>
    </row>
    <row r="295" spans="1:3" x14ac:dyDescent="0.25">
      <c r="A295" s="5">
        <v>43864</v>
      </c>
      <c r="B295" s="1" t="s">
        <v>151</v>
      </c>
      <c r="C295" s="2">
        <f>94525+4200</f>
        <v>98725</v>
      </c>
    </row>
    <row r="296" spans="1:3" x14ac:dyDescent="0.25">
      <c r="A296" s="5">
        <v>43864</v>
      </c>
      <c r="B296" s="1" t="s">
        <v>151</v>
      </c>
      <c r="C296" s="2">
        <f>94525+4200</f>
        <v>98725</v>
      </c>
    </row>
    <row r="297" spans="1:3" x14ac:dyDescent="0.25">
      <c r="A297" s="5">
        <v>44552</v>
      </c>
      <c r="B297" s="1" t="s">
        <v>144</v>
      </c>
      <c r="C297" s="2">
        <f>89250+2500+5000+1950</f>
        <v>98700</v>
      </c>
    </row>
    <row r="298" spans="1:3" x14ac:dyDescent="0.25">
      <c r="A298" s="5">
        <v>45693</v>
      </c>
      <c r="B298" s="1" t="s">
        <v>9</v>
      </c>
      <c r="C298" s="2">
        <f>93750+4900</f>
        <v>98650</v>
      </c>
    </row>
    <row r="299" spans="1:3" x14ac:dyDescent="0.25">
      <c r="A299" s="5">
        <v>43112</v>
      </c>
      <c r="B299" s="1" t="s">
        <v>179</v>
      </c>
      <c r="C299" s="2">
        <f>85250+9100+1000+1500</f>
        <v>96850</v>
      </c>
    </row>
    <row r="300" spans="1:3" x14ac:dyDescent="0.25">
      <c r="A300" s="5">
        <v>44326</v>
      </c>
      <c r="B300" s="1" t="s">
        <v>40</v>
      </c>
      <c r="C300" s="2">
        <f>90475+6250</f>
        <v>96725</v>
      </c>
    </row>
    <row r="301" spans="1:3" x14ac:dyDescent="0.25">
      <c r="A301" s="5">
        <v>44326</v>
      </c>
      <c r="B301" s="1" t="s">
        <v>40</v>
      </c>
      <c r="C301" s="2">
        <f>90475+6250</f>
        <v>96725</v>
      </c>
    </row>
    <row r="302" spans="1:3" x14ac:dyDescent="0.25">
      <c r="A302" s="5">
        <v>44326</v>
      </c>
      <c r="B302" s="1" t="s">
        <v>40</v>
      </c>
      <c r="C302" s="2">
        <f>90475+6250</f>
        <v>96725</v>
      </c>
    </row>
    <row r="303" spans="1:3" x14ac:dyDescent="0.25">
      <c r="A303" s="5">
        <v>44326</v>
      </c>
      <c r="B303" s="1" t="s">
        <v>40</v>
      </c>
      <c r="C303" s="2">
        <f>90475+6250</f>
        <v>96725</v>
      </c>
    </row>
    <row r="304" spans="1:3" x14ac:dyDescent="0.25">
      <c r="A304" s="5">
        <v>42787</v>
      </c>
      <c r="B304" s="1" t="s">
        <v>90</v>
      </c>
      <c r="C304" s="2">
        <v>96690</v>
      </c>
    </row>
    <row r="305" spans="1:3" x14ac:dyDescent="0.25">
      <c r="A305" s="5">
        <v>45198</v>
      </c>
      <c r="B305" s="1" t="s">
        <v>88</v>
      </c>
      <c r="C305" s="2">
        <f>88250+8100</f>
        <v>96350</v>
      </c>
    </row>
    <row r="306" spans="1:3" x14ac:dyDescent="0.25">
      <c r="A306" s="5">
        <v>45693</v>
      </c>
      <c r="B306" s="1" t="s">
        <v>9</v>
      </c>
      <c r="C306" s="2">
        <f>90500+4900</f>
        <v>95400</v>
      </c>
    </row>
    <row r="307" spans="1:3" x14ac:dyDescent="0.25">
      <c r="A307" s="5">
        <v>42116</v>
      </c>
      <c r="B307" s="1" t="s">
        <v>80</v>
      </c>
      <c r="C307" s="2">
        <v>95017</v>
      </c>
    </row>
    <row r="308" spans="1:3" x14ac:dyDescent="0.25">
      <c r="A308" s="5">
        <v>42116</v>
      </c>
      <c r="B308" s="1" t="s">
        <v>80</v>
      </c>
      <c r="C308" s="2">
        <v>95017</v>
      </c>
    </row>
    <row r="309" spans="1:3" x14ac:dyDescent="0.25">
      <c r="A309" s="5">
        <v>45995</v>
      </c>
      <c r="B309" s="1" t="s">
        <v>7</v>
      </c>
      <c r="C309" s="2">
        <v>94500</v>
      </c>
    </row>
    <row r="310" spans="1:3" x14ac:dyDescent="0.25">
      <c r="A310" s="5">
        <v>45674</v>
      </c>
      <c r="B310" s="1" t="s">
        <v>4</v>
      </c>
      <c r="C310" s="2">
        <f>93500+400</f>
        <v>93900</v>
      </c>
    </row>
    <row r="311" spans="1:3" x14ac:dyDescent="0.25">
      <c r="A311" s="5">
        <v>44648</v>
      </c>
      <c r="B311" s="1" t="s">
        <v>40</v>
      </c>
      <c r="C311" s="2">
        <v>92900</v>
      </c>
    </row>
    <row r="312" spans="1:3" x14ac:dyDescent="0.25">
      <c r="A312" s="5">
        <v>45685</v>
      </c>
      <c r="B312" s="1" t="s">
        <v>7</v>
      </c>
      <c r="C312" s="2">
        <v>92750</v>
      </c>
    </row>
    <row r="313" spans="1:3" x14ac:dyDescent="0.25">
      <c r="A313" s="5">
        <v>44391</v>
      </c>
      <c r="B313" s="1" t="s">
        <v>119</v>
      </c>
      <c r="C313" s="2">
        <f>86500+6200</f>
        <v>92700</v>
      </c>
    </row>
    <row r="314" spans="1:3" x14ac:dyDescent="0.25">
      <c r="A314" s="5">
        <v>45252</v>
      </c>
      <c r="B314" s="1" t="s">
        <v>91</v>
      </c>
      <c r="C314" s="2">
        <f>84500+7800</f>
        <v>92300</v>
      </c>
    </row>
    <row r="315" spans="1:3" x14ac:dyDescent="0.25">
      <c r="A315" s="5">
        <v>44776</v>
      </c>
      <c r="B315" s="1" t="s">
        <v>109</v>
      </c>
      <c r="C315" s="2">
        <v>92250</v>
      </c>
    </row>
    <row r="316" spans="1:3" x14ac:dyDescent="0.25">
      <c r="A316" s="5">
        <v>44776</v>
      </c>
      <c r="B316" s="1" t="s">
        <v>109</v>
      </c>
      <c r="C316" s="2">
        <v>92250</v>
      </c>
    </row>
    <row r="317" spans="1:3" x14ac:dyDescent="0.25">
      <c r="A317" s="5">
        <v>45693</v>
      </c>
      <c r="B317" s="1" t="s">
        <v>9</v>
      </c>
      <c r="C317" s="2">
        <f>88500+3750</f>
        <v>92250</v>
      </c>
    </row>
    <row r="318" spans="1:3" x14ac:dyDescent="0.25">
      <c r="A318" s="5">
        <v>42443</v>
      </c>
      <c r="B318" s="1" t="s">
        <v>177</v>
      </c>
      <c r="C318" s="2">
        <v>92247</v>
      </c>
    </row>
    <row r="319" spans="1:3" x14ac:dyDescent="0.25">
      <c r="A319" s="5">
        <v>42081</v>
      </c>
      <c r="B319" s="1" t="s">
        <v>260</v>
      </c>
      <c r="C319" s="2">
        <f>88000+4152</f>
        <v>92152</v>
      </c>
    </row>
    <row r="320" spans="1:3" x14ac:dyDescent="0.25">
      <c r="A320" s="5">
        <v>42081</v>
      </c>
      <c r="B320" s="1" t="s">
        <v>260</v>
      </c>
      <c r="C320" s="2">
        <f>88000+4152</f>
        <v>92152</v>
      </c>
    </row>
    <row r="321" spans="1:3" x14ac:dyDescent="0.25">
      <c r="A321" s="5">
        <v>45693</v>
      </c>
      <c r="B321" s="1" t="s">
        <v>9</v>
      </c>
      <c r="C321" s="2">
        <f>88500+3500</f>
        <v>92000</v>
      </c>
    </row>
    <row r="322" spans="1:3" x14ac:dyDescent="0.25">
      <c r="A322" s="5">
        <v>42249</v>
      </c>
      <c r="B322" s="1" t="s">
        <v>267</v>
      </c>
      <c r="C322" s="2">
        <v>91767</v>
      </c>
    </row>
    <row r="323" spans="1:3" x14ac:dyDescent="0.25">
      <c r="A323" s="5">
        <v>42249</v>
      </c>
      <c r="B323" s="1" t="s">
        <v>267</v>
      </c>
      <c r="C323" s="2">
        <v>91767</v>
      </c>
    </row>
    <row r="324" spans="1:3" x14ac:dyDescent="0.25">
      <c r="A324" s="5">
        <v>42249</v>
      </c>
      <c r="B324" s="1" t="s">
        <v>267</v>
      </c>
      <c r="C324" s="2">
        <v>91767</v>
      </c>
    </row>
    <row r="325" spans="1:3" x14ac:dyDescent="0.25">
      <c r="A325" s="5">
        <v>45366</v>
      </c>
      <c r="B325" s="1" t="s">
        <v>53</v>
      </c>
      <c r="C325" s="2">
        <f>88000+3750</f>
        <v>91750</v>
      </c>
    </row>
    <row r="326" spans="1:3" x14ac:dyDescent="0.25">
      <c r="A326" s="5">
        <v>45366</v>
      </c>
      <c r="B326" s="1" t="s">
        <v>53</v>
      </c>
      <c r="C326" s="2">
        <f>88000+3750</f>
        <v>91750</v>
      </c>
    </row>
    <row r="327" spans="1:3" x14ac:dyDescent="0.25">
      <c r="A327" s="5">
        <v>43532</v>
      </c>
      <c r="B327" s="1" t="s">
        <v>96</v>
      </c>
      <c r="C327" s="2">
        <f>86500+950+3800</f>
        <v>91250</v>
      </c>
    </row>
    <row r="328" spans="1:3" x14ac:dyDescent="0.25">
      <c r="A328" s="5">
        <v>43532</v>
      </c>
      <c r="B328" s="1" t="s">
        <v>96</v>
      </c>
      <c r="C328" s="2">
        <f>86500+950+3800</f>
        <v>91250</v>
      </c>
    </row>
    <row r="329" spans="1:3" x14ac:dyDescent="0.25">
      <c r="A329" s="5">
        <v>44749</v>
      </c>
      <c r="B329" s="1" t="s">
        <v>56</v>
      </c>
      <c r="C329" s="2">
        <v>91125</v>
      </c>
    </row>
    <row r="330" spans="1:3" x14ac:dyDescent="0.25">
      <c r="A330" s="5">
        <v>44749</v>
      </c>
      <c r="B330" s="1" t="s">
        <v>56</v>
      </c>
      <c r="C330" s="2">
        <v>91125</v>
      </c>
    </row>
    <row r="331" spans="1:3" x14ac:dyDescent="0.25">
      <c r="A331" s="5">
        <v>43615</v>
      </c>
      <c r="B331" s="1" t="s">
        <v>159</v>
      </c>
      <c r="C331" s="2">
        <f>86400+4500</f>
        <v>90900</v>
      </c>
    </row>
    <row r="332" spans="1:3" x14ac:dyDescent="0.25">
      <c r="A332" s="5">
        <v>42908</v>
      </c>
      <c r="B332" s="1" t="s">
        <v>207</v>
      </c>
      <c r="C332" s="2">
        <f>88700+2170-750</f>
        <v>90120</v>
      </c>
    </row>
    <row r="333" spans="1:3" x14ac:dyDescent="0.25">
      <c r="A333" s="5">
        <v>45149</v>
      </c>
      <c r="B333" s="1" t="s">
        <v>80</v>
      </c>
      <c r="C333" s="2">
        <f>61500+27000+1500</f>
        <v>90000</v>
      </c>
    </row>
    <row r="334" spans="1:3" x14ac:dyDescent="0.25">
      <c r="A334" s="5">
        <v>45149</v>
      </c>
      <c r="B334" s="1" t="s">
        <v>80</v>
      </c>
      <c r="C334" s="2">
        <f>72750+15750+1500</f>
        <v>90000</v>
      </c>
    </row>
    <row r="335" spans="1:3" x14ac:dyDescent="0.25">
      <c r="A335" s="5">
        <v>41682</v>
      </c>
      <c r="B335" s="1" t="s">
        <v>93</v>
      </c>
      <c r="C335" s="2">
        <v>89661.61</v>
      </c>
    </row>
    <row r="336" spans="1:3" x14ac:dyDescent="0.25">
      <c r="A336" s="5">
        <v>41682</v>
      </c>
      <c r="B336" s="1" t="s">
        <v>93</v>
      </c>
      <c r="C336" s="2">
        <v>89661.61</v>
      </c>
    </row>
    <row r="337" spans="1:3" x14ac:dyDescent="0.25">
      <c r="A337" s="5">
        <v>41682</v>
      </c>
      <c r="B337" s="1" t="s">
        <v>93</v>
      </c>
      <c r="C337" s="2">
        <v>89661.61</v>
      </c>
    </row>
    <row r="338" spans="1:3" x14ac:dyDescent="0.25">
      <c r="A338" s="5">
        <v>41682</v>
      </c>
      <c r="B338" s="1" t="s">
        <v>93</v>
      </c>
      <c r="C338" s="2">
        <v>89661.61</v>
      </c>
    </row>
    <row r="339" spans="1:3" x14ac:dyDescent="0.25">
      <c r="A339" s="5">
        <v>41682</v>
      </c>
      <c r="B339" s="1" t="s">
        <v>93</v>
      </c>
      <c r="C339" s="2">
        <v>89661.61</v>
      </c>
    </row>
    <row r="340" spans="1:3" x14ac:dyDescent="0.25">
      <c r="A340" s="5">
        <v>41682</v>
      </c>
      <c r="B340" s="1" t="s">
        <v>93</v>
      </c>
      <c r="C340" s="2">
        <v>89661.61</v>
      </c>
    </row>
    <row r="341" spans="1:3" x14ac:dyDescent="0.25">
      <c r="A341" s="5">
        <v>44837</v>
      </c>
      <c r="B341" s="1" t="s">
        <v>114</v>
      </c>
      <c r="C341" s="2">
        <v>89400</v>
      </c>
    </row>
    <row r="342" spans="1:3" x14ac:dyDescent="0.25">
      <c r="A342" s="5">
        <v>44837</v>
      </c>
      <c r="B342" s="1" t="s">
        <v>114</v>
      </c>
      <c r="C342" s="2">
        <v>89400</v>
      </c>
    </row>
    <row r="343" spans="1:3" x14ac:dyDescent="0.25">
      <c r="A343" s="5">
        <v>45674</v>
      </c>
      <c r="B343" s="1" t="s">
        <v>4</v>
      </c>
      <c r="C343" s="2">
        <f>88750+400</f>
        <v>89150</v>
      </c>
    </row>
    <row r="344" spans="1:3" x14ac:dyDescent="0.25">
      <c r="A344" s="5">
        <v>44439</v>
      </c>
      <c r="B344" s="1" t="s">
        <v>138</v>
      </c>
      <c r="C344" s="2">
        <f>81250+5655+785+1125</f>
        <v>88815</v>
      </c>
    </row>
    <row r="345" spans="1:3" x14ac:dyDescent="0.25">
      <c r="A345" s="5">
        <v>44439</v>
      </c>
      <c r="B345" s="1" t="s">
        <v>138</v>
      </c>
      <c r="C345" s="2">
        <f>81250+5655+785+1125</f>
        <v>88815</v>
      </c>
    </row>
    <row r="346" spans="1:3" x14ac:dyDescent="0.25">
      <c r="A346" s="5">
        <v>44439</v>
      </c>
      <c r="B346" s="1" t="s">
        <v>138</v>
      </c>
      <c r="C346" s="2">
        <f>81250+5655+785+1125</f>
        <v>88815</v>
      </c>
    </row>
    <row r="347" spans="1:3" x14ac:dyDescent="0.25">
      <c r="A347" s="5">
        <v>44439</v>
      </c>
      <c r="B347" s="1" t="s">
        <v>138</v>
      </c>
      <c r="C347" s="2">
        <f>81250+5655+785+1125</f>
        <v>88815</v>
      </c>
    </row>
    <row r="348" spans="1:3" x14ac:dyDescent="0.25">
      <c r="A348" s="5">
        <v>44669</v>
      </c>
      <c r="B348" s="1" t="s">
        <v>100</v>
      </c>
      <c r="C348" s="2">
        <v>88300</v>
      </c>
    </row>
    <row r="349" spans="1:3" x14ac:dyDescent="0.25">
      <c r="A349" s="5">
        <v>43913</v>
      </c>
      <c r="B349" s="1" t="s">
        <v>124</v>
      </c>
      <c r="C349" s="2">
        <f>85500+2250</f>
        <v>87750</v>
      </c>
    </row>
    <row r="350" spans="1:3" x14ac:dyDescent="0.25">
      <c r="A350" s="5">
        <v>43913</v>
      </c>
      <c r="B350" s="1" t="s">
        <v>124</v>
      </c>
      <c r="C350" s="2">
        <f>85500+2250</f>
        <v>87750</v>
      </c>
    </row>
    <row r="351" spans="1:3" x14ac:dyDescent="0.25">
      <c r="A351" s="5">
        <v>44349</v>
      </c>
      <c r="B351" s="1" t="s">
        <v>79</v>
      </c>
      <c r="C351" s="2">
        <f>97750-10000</f>
        <v>87750</v>
      </c>
    </row>
    <row r="352" spans="1:3" x14ac:dyDescent="0.25">
      <c r="A352" s="5">
        <v>43971</v>
      </c>
      <c r="B352" s="1" t="s">
        <v>124</v>
      </c>
      <c r="C352" s="2">
        <f>85625+2100</f>
        <v>87725</v>
      </c>
    </row>
    <row r="353" spans="1:3" x14ac:dyDescent="0.25">
      <c r="A353" s="5">
        <v>43971</v>
      </c>
      <c r="B353" s="1" t="s">
        <v>124</v>
      </c>
      <c r="C353" s="2">
        <f>85625+2100</f>
        <v>87725</v>
      </c>
    </row>
    <row r="354" spans="1:3" x14ac:dyDescent="0.25">
      <c r="A354" s="5">
        <v>44439</v>
      </c>
      <c r="B354" s="1" t="s">
        <v>138</v>
      </c>
      <c r="C354" s="2">
        <f>81250+5655+785</f>
        <v>87690</v>
      </c>
    </row>
    <row r="355" spans="1:3" x14ac:dyDescent="0.25">
      <c r="A355" s="5">
        <v>44439</v>
      </c>
      <c r="B355" s="1" t="s">
        <v>138</v>
      </c>
      <c r="C355" s="2">
        <f>81250+5655+785</f>
        <v>87690</v>
      </c>
    </row>
    <row r="356" spans="1:3" x14ac:dyDescent="0.25">
      <c r="A356" s="5">
        <v>44463</v>
      </c>
      <c r="B356" s="1" t="s">
        <v>138</v>
      </c>
      <c r="C356" s="2">
        <f>81250+5655+785</f>
        <v>87690</v>
      </c>
    </row>
    <row r="357" spans="1:3" x14ac:dyDescent="0.25">
      <c r="A357" s="5">
        <v>44463</v>
      </c>
      <c r="B357" s="1" t="s">
        <v>138</v>
      </c>
      <c r="C357" s="2">
        <f>81250+5655+785</f>
        <v>87690</v>
      </c>
    </row>
    <row r="358" spans="1:3" x14ac:dyDescent="0.25">
      <c r="A358" s="5">
        <v>44463</v>
      </c>
      <c r="B358" s="1" t="s">
        <v>138</v>
      </c>
      <c r="C358" s="2">
        <f>81250+5655+785</f>
        <v>87690</v>
      </c>
    </row>
    <row r="359" spans="1:3" x14ac:dyDescent="0.25">
      <c r="A359" s="5">
        <v>44463</v>
      </c>
      <c r="B359" s="1" t="s">
        <v>138</v>
      </c>
      <c r="C359" s="2">
        <f>81250+5655+785</f>
        <v>87690</v>
      </c>
    </row>
    <row r="360" spans="1:3" x14ac:dyDescent="0.25">
      <c r="A360" s="5">
        <v>44463</v>
      </c>
      <c r="B360" s="1" t="s">
        <v>138</v>
      </c>
      <c r="C360" s="2">
        <f>81250+5655+785</f>
        <v>87690</v>
      </c>
    </row>
    <row r="361" spans="1:3" x14ac:dyDescent="0.25">
      <c r="A361" s="5">
        <v>44463</v>
      </c>
      <c r="B361" s="1" t="s">
        <v>138</v>
      </c>
      <c r="C361" s="2">
        <f>81250+5655+785</f>
        <v>87690</v>
      </c>
    </row>
    <row r="362" spans="1:3" x14ac:dyDescent="0.25">
      <c r="A362" s="5">
        <v>44463</v>
      </c>
      <c r="B362" s="1" t="s">
        <v>138</v>
      </c>
      <c r="C362" s="2">
        <f>81250+5655+785</f>
        <v>87690</v>
      </c>
    </row>
    <row r="363" spans="1:3" x14ac:dyDescent="0.25">
      <c r="A363" s="5">
        <v>44463</v>
      </c>
      <c r="B363" s="1" t="s">
        <v>138</v>
      </c>
      <c r="C363" s="2">
        <f>81250+5655+785</f>
        <v>87690</v>
      </c>
    </row>
    <row r="364" spans="1:3" x14ac:dyDescent="0.25">
      <c r="A364" s="5">
        <v>44463</v>
      </c>
      <c r="B364" s="1" t="s">
        <v>138</v>
      </c>
      <c r="C364" s="2">
        <f>81250+5655+785</f>
        <v>87690</v>
      </c>
    </row>
    <row r="365" spans="1:3" x14ac:dyDescent="0.25">
      <c r="A365" s="5">
        <v>44463</v>
      </c>
      <c r="B365" s="1" t="s">
        <v>138</v>
      </c>
      <c r="C365" s="2">
        <f>81250+5655+785</f>
        <v>87690</v>
      </c>
    </row>
    <row r="366" spans="1:3" x14ac:dyDescent="0.25">
      <c r="A366" s="5">
        <v>45247</v>
      </c>
      <c r="B366" s="1" t="s">
        <v>75</v>
      </c>
      <c r="C366" s="2">
        <v>87500</v>
      </c>
    </row>
    <row r="367" spans="1:3" x14ac:dyDescent="0.25">
      <c r="A367" s="5">
        <v>45247</v>
      </c>
      <c r="B367" s="1" t="s">
        <v>75</v>
      </c>
      <c r="C367" s="2">
        <v>87500</v>
      </c>
    </row>
    <row r="368" spans="1:3" x14ac:dyDescent="0.25">
      <c r="A368" s="5">
        <v>45247</v>
      </c>
      <c r="B368" s="1" t="s">
        <v>75</v>
      </c>
      <c r="C368" s="2">
        <v>87500</v>
      </c>
    </row>
    <row r="369" spans="1:3" x14ac:dyDescent="0.25">
      <c r="A369" s="5">
        <v>43480</v>
      </c>
      <c r="B369" s="1" t="s">
        <v>116</v>
      </c>
      <c r="C369" s="2">
        <f>79975-1000+1150+7200</f>
        <v>87325</v>
      </c>
    </row>
    <row r="370" spans="1:3" x14ac:dyDescent="0.25">
      <c r="A370" s="5">
        <v>44586</v>
      </c>
      <c r="B370" s="1" t="s">
        <v>93</v>
      </c>
      <c r="C370" s="2">
        <v>87150</v>
      </c>
    </row>
    <row r="371" spans="1:3" x14ac:dyDescent="0.25">
      <c r="A371" s="5">
        <v>44586</v>
      </c>
      <c r="B371" s="1" t="s">
        <v>93</v>
      </c>
      <c r="C371" s="2">
        <v>87150</v>
      </c>
    </row>
    <row r="372" spans="1:3" x14ac:dyDescent="0.25">
      <c r="A372" s="5">
        <v>44586</v>
      </c>
      <c r="B372" s="1" t="s">
        <v>93</v>
      </c>
      <c r="C372" s="2">
        <v>87150</v>
      </c>
    </row>
    <row r="373" spans="1:3" x14ac:dyDescent="0.25">
      <c r="A373" s="5">
        <v>44586</v>
      </c>
      <c r="B373" s="1" t="s">
        <v>93</v>
      </c>
      <c r="C373" s="2">
        <v>87150</v>
      </c>
    </row>
    <row r="374" spans="1:3" x14ac:dyDescent="0.25">
      <c r="A374" s="5">
        <v>44153</v>
      </c>
      <c r="B374" s="1" t="s">
        <v>63</v>
      </c>
      <c r="C374" s="2">
        <f>85250+1300</f>
        <v>86550</v>
      </c>
    </row>
    <row r="375" spans="1:3" x14ac:dyDescent="0.25">
      <c r="A375" s="5">
        <v>41751</v>
      </c>
      <c r="B375" s="1" t="s">
        <v>240</v>
      </c>
      <c r="C375" s="2">
        <f>78425+3733+4235</f>
        <v>86393</v>
      </c>
    </row>
    <row r="376" spans="1:3" x14ac:dyDescent="0.25">
      <c r="A376" s="5">
        <v>43480</v>
      </c>
      <c r="B376" s="1" t="s">
        <v>116</v>
      </c>
      <c r="C376" s="2">
        <f>79975-1000+7200</f>
        <v>86175</v>
      </c>
    </row>
    <row r="377" spans="1:3" x14ac:dyDescent="0.25">
      <c r="A377" s="5">
        <v>44026</v>
      </c>
      <c r="B377" s="1" t="s">
        <v>156</v>
      </c>
      <c r="C377" s="2">
        <f>73800+7550+4800</f>
        <v>86150</v>
      </c>
    </row>
    <row r="378" spans="1:3" x14ac:dyDescent="0.25">
      <c r="A378" s="5">
        <v>44026</v>
      </c>
      <c r="B378" s="1" t="s">
        <v>156</v>
      </c>
      <c r="C378" s="2">
        <f>73800+7350+4800</f>
        <v>85950</v>
      </c>
    </row>
    <row r="379" spans="1:3" x14ac:dyDescent="0.25">
      <c r="A379" s="5">
        <v>44837</v>
      </c>
      <c r="B379" s="1" t="s">
        <v>114</v>
      </c>
      <c r="C379" s="2">
        <v>85600</v>
      </c>
    </row>
    <row r="380" spans="1:3" x14ac:dyDescent="0.25">
      <c r="A380" s="5">
        <v>44880</v>
      </c>
      <c r="B380" s="1" t="s">
        <v>80</v>
      </c>
      <c r="C380" s="2">
        <v>85500</v>
      </c>
    </row>
    <row r="381" spans="1:3" x14ac:dyDescent="0.25">
      <c r="A381" s="5">
        <v>41788</v>
      </c>
      <c r="B381" s="1" t="s">
        <v>63</v>
      </c>
      <c r="C381" s="2">
        <f>75000+10466</f>
        <v>85466</v>
      </c>
    </row>
    <row r="382" spans="1:3" x14ac:dyDescent="0.25">
      <c r="A382" s="5">
        <v>42570</v>
      </c>
      <c r="B382" s="1" t="s">
        <v>224</v>
      </c>
      <c r="C382" s="2">
        <v>84995</v>
      </c>
    </row>
    <row r="383" spans="1:3" x14ac:dyDescent="0.25">
      <c r="A383" s="5">
        <v>43615</v>
      </c>
      <c r="B383" s="1" t="s">
        <v>159</v>
      </c>
      <c r="C383" s="2">
        <f>80250+4500</f>
        <v>84750</v>
      </c>
    </row>
    <row r="384" spans="1:3" x14ac:dyDescent="0.25">
      <c r="A384" s="5">
        <v>44463</v>
      </c>
      <c r="B384" s="1" t="s">
        <v>138</v>
      </c>
      <c r="C384" s="2">
        <v>83940</v>
      </c>
    </row>
    <row r="385" spans="1:3" x14ac:dyDescent="0.25">
      <c r="A385" s="5">
        <v>44463</v>
      </c>
      <c r="B385" s="1" t="s">
        <v>138</v>
      </c>
      <c r="C385" s="2">
        <v>83940</v>
      </c>
    </row>
    <row r="386" spans="1:3" x14ac:dyDescent="0.25">
      <c r="A386" s="5">
        <v>44463</v>
      </c>
      <c r="B386" s="1" t="s">
        <v>138</v>
      </c>
      <c r="C386" s="2">
        <v>83940</v>
      </c>
    </row>
    <row r="387" spans="1:3" x14ac:dyDescent="0.25">
      <c r="A387" s="5">
        <v>44463</v>
      </c>
      <c r="B387" s="1" t="s">
        <v>138</v>
      </c>
      <c r="C387" s="2">
        <v>83940</v>
      </c>
    </row>
    <row r="388" spans="1:3" x14ac:dyDescent="0.25">
      <c r="A388" s="5">
        <v>44463</v>
      </c>
      <c r="B388" s="1" t="s">
        <v>138</v>
      </c>
      <c r="C388" s="2">
        <v>83940</v>
      </c>
    </row>
    <row r="389" spans="1:3" x14ac:dyDescent="0.25">
      <c r="A389" s="5">
        <v>44463</v>
      </c>
      <c r="B389" s="1" t="s">
        <v>138</v>
      </c>
      <c r="C389" s="2">
        <v>83940</v>
      </c>
    </row>
    <row r="390" spans="1:3" x14ac:dyDescent="0.25">
      <c r="A390" s="5">
        <v>44463</v>
      </c>
      <c r="B390" s="1" t="s">
        <v>138</v>
      </c>
      <c r="C390" s="2">
        <v>83940</v>
      </c>
    </row>
    <row r="391" spans="1:3" x14ac:dyDescent="0.25">
      <c r="A391" s="5">
        <v>44463</v>
      </c>
      <c r="B391" s="1" t="s">
        <v>138</v>
      </c>
      <c r="C391" s="2">
        <v>83940</v>
      </c>
    </row>
    <row r="392" spans="1:3" x14ac:dyDescent="0.25">
      <c r="A392" s="5">
        <v>44463</v>
      </c>
      <c r="B392" s="1" t="s">
        <v>138</v>
      </c>
      <c r="C392" s="2">
        <v>83940</v>
      </c>
    </row>
    <row r="393" spans="1:3" x14ac:dyDescent="0.25">
      <c r="A393" s="5">
        <v>44463</v>
      </c>
      <c r="B393" s="1" t="s">
        <v>138</v>
      </c>
      <c r="C393" s="2">
        <v>83940</v>
      </c>
    </row>
    <row r="394" spans="1:3" x14ac:dyDescent="0.25">
      <c r="A394" s="5">
        <v>44463</v>
      </c>
      <c r="B394" s="1" t="s">
        <v>138</v>
      </c>
      <c r="C394" s="2">
        <v>83940</v>
      </c>
    </row>
    <row r="395" spans="1:3" x14ac:dyDescent="0.25">
      <c r="A395" s="5">
        <v>44463</v>
      </c>
      <c r="B395" s="1" t="s">
        <v>138</v>
      </c>
      <c r="C395" s="2">
        <v>83940</v>
      </c>
    </row>
    <row r="396" spans="1:3" x14ac:dyDescent="0.25">
      <c r="A396" s="5">
        <v>43300</v>
      </c>
      <c r="B396" s="1" t="s">
        <v>144</v>
      </c>
      <c r="C396" s="2">
        <f>79500+4000</f>
        <v>83500</v>
      </c>
    </row>
    <row r="397" spans="1:3" x14ac:dyDescent="0.25">
      <c r="A397" s="5">
        <v>43300</v>
      </c>
      <c r="B397" s="1" t="s">
        <v>144</v>
      </c>
      <c r="C397" s="2">
        <f>79500+4000</f>
        <v>83500</v>
      </c>
    </row>
    <row r="398" spans="1:3" x14ac:dyDescent="0.25">
      <c r="A398" s="5">
        <v>44579</v>
      </c>
      <c r="B398" s="1" t="s">
        <v>39</v>
      </c>
      <c r="C398" s="2">
        <v>83400</v>
      </c>
    </row>
    <row r="399" spans="1:3" x14ac:dyDescent="0.25">
      <c r="A399" s="5">
        <v>43682</v>
      </c>
      <c r="B399" s="1" t="s">
        <v>172</v>
      </c>
      <c r="C399" s="2">
        <f>74950+3250+5100</f>
        <v>83300</v>
      </c>
    </row>
    <row r="400" spans="1:3" x14ac:dyDescent="0.25">
      <c r="A400" s="5">
        <v>45685</v>
      </c>
      <c r="B400" s="1" t="s">
        <v>7</v>
      </c>
      <c r="C400" s="2">
        <v>83250</v>
      </c>
    </row>
    <row r="401" spans="1:3" x14ac:dyDescent="0.25">
      <c r="A401" s="5">
        <v>42116</v>
      </c>
      <c r="B401" s="1" t="s">
        <v>80</v>
      </c>
      <c r="C401" s="2">
        <v>83159</v>
      </c>
    </row>
    <row r="402" spans="1:3" x14ac:dyDescent="0.25">
      <c r="A402" s="5">
        <v>42116</v>
      </c>
      <c r="B402" s="1" t="s">
        <v>80</v>
      </c>
      <c r="C402" s="2">
        <v>83159</v>
      </c>
    </row>
    <row r="403" spans="1:3" x14ac:dyDescent="0.25">
      <c r="A403" s="5">
        <v>42116</v>
      </c>
      <c r="B403" s="1" t="s">
        <v>80</v>
      </c>
      <c r="C403" s="2">
        <v>83159</v>
      </c>
    </row>
    <row r="404" spans="1:3" x14ac:dyDescent="0.25">
      <c r="A404" s="5">
        <v>42116</v>
      </c>
      <c r="B404" s="1" t="s">
        <v>80</v>
      </c>
      <c r="C404" s="2">
        <v>83159</v>
      </c>
    </row>
    <row r="405" spans="1:3" x14ac:dyDescent="0.25">
      <c r="A405" s="5">
        <v>43682</v>
      </c>
      <c r="B405" s="1" t="s">
        <v>172</v>
      </c>
      <c r="C405" s="2">
        <f>73950+5200+3750</f>
        <v>82900</v>
      </c>
    </row>
    <row r="406" spans="1:3" x14ac:dyDescent="0.25">
      <c r="A406" s="5">
        <v>44418</v>
      </c>
      <c r="B406" s="1" t="s">
        <v>119</v>
      </c>
      <c r="C406" s="2">
        <f>78500+4200-400</f>
        <v>82300</v>
      </c>
    </row>
    <row r="407" spans="1:3" x14ac:dyDescent="0.25">
      <c r="A407" s="5">
        <v>44418</v>
      </c>
      <c r="B407" s="1" t="s">
        <v>119</v>
      </c>
      <c r="C407" s="2">
        <f>78500+4200-400</f>
        <v>82300</v>
      </c>
    </row>
    <row r="408" spans="1:3" x14ac:dyDescent="0.25">
      <c r="A408" s="5">
        <v>44418</v>
      </c>
      <c r="B408" s="1" t="s">
        <v>119</v>
      </c>
      <c r="C408" s="2">
        <f>78500+4200-400</f>
        <v>82300</v>
      </c>
    </row>
    <row r="409" spans="1:3" x14ac:dyDescent="0.25">
      <c r="A409" s="5">
        <v>42353</v>
      </c>
      <c r="B409" s="1" t="s">
        <v>221</v>
      </c>
      <c r="C409" s="2">
        <f>78695+3400</f>
        <v>82095</v>
      </c>
    </row>
    <row r="410" spans="1:3" x14ac:dyDescent="0.25">
      <c r="A410" s="5">
        <v>45810</v>
      </c>
      <c r="B410" s="1" t="s">
        <v>22</v>
      </c>
      <c r="C410" s="2">
        <v>82000</v>
      </c>
    </row>
    <row r="411" spans="1:3" x14ac:dyDescent="0.25">
      <c r="A411" s="5">
        <v>44743</v>
      </c>
      <c r="B411" s="1" t="s">
        <v>104</v>
      </c>
      <c r="C411" s="2">
        <v>81725</v>
      </c>
    </row>
    <row r="412" spans="1:3" x14ac:dyDescent="0.25">
      <c r="A412" s="5">
        <v>42891</v>
      </c>
      <c r="B412" s="1" t="s">
        <v>204</v>
      </c>
      <c r="C412" s="2">
        <f>61700+15675+1790+435+975</f>
        <v>80575</v>
      </c>
    </row>
    <row r="413" spans="1:3" x14ac:dyDescent="0.25">
      <c r="A413" s="5">
        <v>43234</v>
      </c>
      <c r="B413" s="1" t="s">
        <v>189</v>
      </c>
      <c r="C413" s="2">
        <f>74000+6500</f>
        <v>80500</v>
      </c>
    </row>
    <row r="414" spans="1:3" x14ac:dyDescent="0.25">
      <c r="A414" s="5">
        <v>44286</v>
      </c>
      <c r="B414" s="1" t="s">
        <v>3</v>
      </c>
      <c r="C414" s="2">
        <f>74150+6300</f>
        <v>80450</v>
      </c>
    </row>
    <row r="415" spans="1:3" x14ac:dyDescent="0.25">
      <c r="A415" s="5">
        <v>42082</v>
      </c>
      <c r="B415" s="1" t="s">
        <v>80</v>
      </c>
      <c r="C415" s="2">
        <v>80297</v>
      </c>
    </row>
    <row r="416" spans="1:3" x14ac:dyDescent="0.25">
      <c r="A416" s="5">
        <v>44362</v>
      </c>
      <c r="B416" s="1" t="s">
        <v>93</v>
      </c>
      <c r="C416" s="2">
        <f>76500+3750</f>
        <v>80250</v>
      </c>
    </row>
    <row r="417" spans="1:3" x14ac:dyDescent="0.25">
      <c r="A417" s="5">
        <v>45366</v>
      </c>
      <c r="B417" s="1" t="s">
        <v>53</v>
      </c>
      <c r="C417" s="2">
        <f>77000+3200</f>
        <v>80200</v>
      </c>
    </row>
    <row r="418" spans="1:3" x14ac:dyDescent="0.25">
      <c r="A418" s="5">
        <v>45366</v>
      </c>
      <c r="B418" s="1" t="s">
        <v>53</v>
      </c>
      <c r="C418" s="2">
        <f>77000+3200</f>
        <v>80200</v>
      </c>
    </row>
    <row r="419" spans="1:3" x14ac:dyDescent="0.25">
      <c r="A419" s="5">
        <v>45693</v>
      </c>
      <c r="B419" s="1" t="s">
        <v>9</v>
      </c>
      <c r="C419" s="2">
        <f>73500+6000</f>
        <v>79500</v>
      </c>
    </row>
    <row r="420" spans="1:3" x14ac:dyDescent="0.25">
      <c r="A420" s="5">
        <v>44665</v>
      </c>
      <c r="B420" s="1" t="s">
        <v>98</v>
      </c>
      <c r="C420" s="2">
        <v>78750</v>
      </c>
    </row>
    <row r="421" spans="1:3" x14ac:dyDescent="0.25">
      <c r="A421" s="5">
        <v>43098</v>
      </c>
      <c r="B421" s="1" t="s">
        <v>220</v>
      </c>
      <c r="C421" s="2">
        <v>78500</v>
      </c>
    </row>
    <row r="422" spans="1:3" x14ac:dyDescent="0.25">
      <c r="A422" s="5">
        <v>42415</v>
      </c>
      <c r="B422" s="1" t="s">
        <v>144</v>
      </c>
      <c r="C422" s="2">
        <f>65044+6898+6146</f>
        <v>78088</v>
      </c>
    </row>
    <row r="423" spans="1:3" x14ac:dyDescent="0.25">
      <c r="A423" s="5">
        <v>45643</v>
      </c>
      <c r="B423" s="1" t="s">
        <v>72</v>
      </c>
      <c r="C423" s="2">
        <v>77824</v>
      </c>
    </row>
    <row r="424" spans="1:3" x14ac:dyDescent="0.25">
      <c r="A424" s="5">
        <v>45685</v>
      </c>
      <c r="B424" s="1" t="s">
        <v>7</v>
      </c>
      <c r="C424" s="2">
        <v>77750</v>
      </c>
    </row>
    <row r="425" spans="1:3" x14ac:dyDescent="0.25">
      <c r="A425" s="5">
        <v>45961</v>
      </c>
      <c r="B425" s="1" t="s">
        <v>28</v>
      </c>
      <c r="C425" s="2">
        <v>77500</v>
      </c>
    </row>
    <row r="426" spans="1:3" x14ac:dyDescent="0.25">
      <c r="A426" s="5">
        <v>42502</v>
      </c>
      <c r="B426" s="1" t="s">
        <v>227</v>
      </c>
      <c r="C426" s="2">
        <f>64800+12300</f>
        <v>77100</v>
      </c>
    </row>
    <row r="427" spans="1:3" x14ac:dyDescent="0.25">
      <c r="A427" s="5">
        <v>43017</v>
      </c>
      <c r="B427" s="1" t="s">
        <v>80</v>
      </c>
      <c r="C427" s="2">
        <f>54500+12500+10075</f>
        <v>77075</v>
      </c>
    </row>
    <row r="428" spans="1:3" x14ac:dyDescent="0.25">
      <c r="A428" s="5">
        <v>45685</v>
      </c>
      <c r="B428" s="1" t="s">
        <v>7</v>
      </c>
      <c r="C428" s="2">
        <v>77000</v>
      </c>
    </row>
    <row r="429" spans="1:3" x14ac:dyDescent="0.25">
      <c r="A429" s="5">
        <v>45693</v>
      </c>
      <c r="B429" s="1" t="s">
        <v>9</v>
      </c>
      <c r="C429" s="2">
        <f>72250+4500</f>
        <v>76750</v>
      </c>
    </row>
    <row r="430" spans="1:3" x14ac:dyDescent="0.25">
      <c r="A430" s="5">
        <v>45693</v>
      </c>
      <c r="B430" s="1" t="s">
        <v>9</v>
      </c>
      <c r="C430" s="2">
        <f>73500+3000</f>
        <v>76500</v>
      </c>
    </row>
    <row r="431" spans="1:3" x14ac:dyDescent="0.25">
      <c r="A431" s="5">
        <v>45961</v>
      </c>
      <c r="B431" s="1" t="s">
        <v>28</v>
      </c>
      <c r="C431" s="2">
        <v>76500</v>
      </c>
    </row>
    <row r="432" spans="1:3" x14ac:dyDescent="0.25">
      <c r="A432" s="5">
        <v>41955</v>
      </c>
      <c r="B432" s="1" t="s">
        <v>208</v>
      </c>
      <c r="C432" s="2">
        <f>47719+13955+14786</f>
        <v>76460</v>
      </c>
    </row>
    <row r="433" spans="1:3" x14ac:dyDescent="0.25">
      <c r="A433" s="5">
        <v>42184</v>
      </c>
      <c r="B433" s="1" t="s">
        <v>40</v>
      </c>
      <c r="C433" s="2">
        <v>76455</v>
      </c>
    </row>
    <row r="434" spans="1:3" x14ac:dyDescent="0.25">
      <c r="A434" s="5">
        <v>42184</v>
      </c>
      <c r="B434" s="1" t="s">
        <v>40</v>
      </c>
      <c r="C434" s="2">
        <v>76017</v>
      </c>
    </row>
    <row r="435" spans="1:3" x14ac:dyDescent="0.25">
      <c r="A435" s="5">
        <v>44552</v>
      </c>
      <c r="B435" s="1" t="s">
        <v>144</v>
      </c>
      <c r="C435" s="2">
        <f>58250+11900+3852+1950</f>
        <v>75952</v>
      </c>
    </row>
    <row r="436" spans="1:3" x14ac:dyDescent="0.25">
      <c r="A436" s="5">
        <v>42873</v>
      </c>
      <c r="B436" s="1" t="s">
        <v>201</v>
      </c>
      <c r="C436" s="2">
        <f>73250+2500</f>
        <v>75750</v>
      </c>
    </row>
    <row r="437" spans="1:3" x14ac:dyDescent="0.25">
      <c r="A437" s="5">
        <v>42873</v>
      </c>
      <c r="B437" s="1" t="s">
        <v>201</v>
      </c>
      <c r="C437" s="2">
        <f>73250+2500</f>
        <v>75750</v>
      </c>
    </row>
    <row r="438" spans="1:3" x14ac:dyDescent="0.25">
      <c r="A438" s="5">
        <v>41912</v>
      </c>
      <c r="B438" s="1" t="s">
        <v>93</v>
      </c>
      <c r="C438" s="2">
        <f>70000+5480</f>
        <v>75480</v>
      </c>
    </row>
    <row r="439" spans="1:3" x14ac:dyDescent="0.25">
      <c r="A439" s="5">
        <v>44950</v>
      </c>
      <c r="B439" s="1" t="s">
        <v>73</v>
      </c>
      <c r="C439" s="2">
        <f>62500+12750</f>
        <v>75250</v>
      </c>
    </row>
    <row r="440" spans="1:3" x14ac:dyDescent="0.25">
      <c r="A440" s="5">
        <v>44950</v>
      </c>
      <c r="B440" s="1" t="s">
        <v>73</v>
      </c>
      <c r="C440" s="2">
        <f>62500+12750</f>
        <v>75250</v>
      </c>
    </row>
    <row r="441" spans="1:3" x14ac:dyDescent="0.25">
      <c r="A441" s="5">
        <v>42626</v>
      </c>
      <c r="B441" s="1" t="s">
        <v>238</v>
      </c>
      <c r="C441" s="2">
        <f>70000+5245</f>
        <v>75245</v>
      </c>
    </row>
    <row r="442" spans="1:3" x14ac:dyDescent="0.25">
      <c r="A442" s="5">
        <v>42626</v>
      </c>
      <c r="B442" s="1" t="s">
        <v>238</v>
      </c>
      <c r="C442" s="2">
        <f>70000+5245</f>
        <v>75245</v>
      </c>
    </row>
    <row r="443" spans="1:3" x14ac:dyDescent="0.25">
      <c r="A443" s="5">
        <v>42626</v>
      </c>
      <c r="B443" s="1" t="s">
        <v>238</v>
      </c>
      <c r="C443" s="2">
        <f>70000+5245</f>
        <v>75245</v>
      </c>
    </row>
    <row r="444" spans="1:3" x14ac:dyDescent="0.25">
      <c r="A444" s="5">
        <v>42626</v>
      </c>
      <c r="B444" s="1" t="s">
        <v>238</v>
      </c>
      <c r="C444" s="2">
        <f>70000+5245</f>
        <v>75245</v>
      </c>
    </row>
    <row r="445" spans="1:3" x14ac:dyDescent="0.25">
      <c r="A445" s="5">
        <v>45678</v>
      </c>
      <c r="B445" s="1" t="s">
        <v>5</v>
      </c>
      <c r="C445" s="2">
        <f>68750+4650+1650</f>
        <v>75050</v>
      </c>
    </row>
    <row r="446" spans="1:3" x14ac:dyDescent="0.25">
      <c r="A446" s="5">
        <v>45247</v>
      </c>
      <c r="B446" s="1" t="s">
        <v>75</v>
      </c>
      <c r="C446" s="2">
        <v>75000</v>
      </c>
    </row>
    <row r="447" spans="1:3" x14ac:dyDescent="0.25">
      <c r="A447" s="5">
        <v>45247</v>
      </c>
      <c r="B447" s="1" t="s">
        <v>75</v>
      </c>
      <c r="C447" s="2">
        <v>75000</v>
      </c>
    </row>
    <row r="448" spans="1:3" x14ac:dyDescent="0.25">
      <c r="A448" s="5">
        <v>45961</v>
      </c>
      <c r="B448" s="1" t="s">
        <v>28</v>
      </c>
      <c r="C448" s="2">
        <v>74000</v>
      </c>
    </row>
    <row r="449" spans="1:3" x14ac:dyDescent="0.25">
      <c r="A449" s="5">
        <v>45489</v>
      </c>
      <c r="B449" s="1" t="s">
        <v>61</v>
      </c>
      <c r="C449" s="2">
        <f>60250+4850+5800+3000</f>
        <v>73900</v>
      </c>
    </row>
    <row r="450" spans="1:3" x14ac:dyDescent="0.25">
      <c r="A450" s="5">
        <v>44602</v>
      </c>
      <c r="B450" s="1" t="s">
        <v>94</v>
      </c>
      <c r="C450" s="2">
        <v>73750</v>
      </c>
    </row>
    <row r="451" spans="1:3" x14ac:dyDescent="0.25">
      <c r="A451" s="5">
        <v>44602</v>
      </c>
      <c r="B451" s="1" t="s">
        <v>94</v>
      </c>
      <c r="C451" s="2">
        <v>73750</v>
      </c>
    </row>
    <row r="452" spans="1:3" x14ac:dyDescent="0.25">
      <c r="A452" s="5">
        <v>44193</v>
      </c>
      <c r="B452" s="1" t="s">
        <v>159</v>
      </c>
      <c r="C452" s="2">
        <f>61175+3400+5500+3600</f>
        <v>73675</v>
      </c>
    </row>
    <row r="453" spans="1:3" x14ac:dyDescent="0.25">
      <c r="A453" s="5">
        <v>44193</v>
      </c>
      <c r="B453" s="1" t="s">
        <v>159</v>
      </c>
      <c r="C453" s="2">
        <f>61175+3400+5500+3600</f>
        <v>73675</v>
      </c>
    </row>
    <row r="454" spans="1:3" x14ac:dyDescent="0.25">
      <c r="A454" s="5">
        <v>44799</v>
      </c>
      <c r="B454" s="1" t="s">
        <v>87</v>
      </c>
      <c r="C454" s="2">
        <v>73625</v>
      </c>
    </row>
    <row r="455" spans="1:3" x14ac:dyDescent="0.25">
      <c r="A455" s="5">
        <v>42312</v>
      </c>
      <c r="B455" s="1" t="s">
        <v>268</v>
      </c>
      <c r="C455" s="2">
        <v>73556</v>
      </c>
    </row>
    <row r="456" spans="1:3" x14ac:dyDescent="0.25">
      <c r="A456" s="5">
        <v>42746</v>
      </c>
      <c r="B456" s="1" t="s">
        <v>197</v>
      </c>
      <c r="C456" s="2">
        <f>47975+21715+2990+800</f>
        <v>73480</v>
      </c>
    </row>
    <row r="457" spans="1:3" x14ac:dyDescent="0.25">
      <c r="A457" s="5">
        <v>42048</v>
      </c>
      <c r="B457" s="1" t="s">
        <v>256</v>
      </c>
      <c r="C457" s="2">
        <f>60985+7800+4670</f>
        <v>73455</v>
      </c>
    </row>
    <row r="458" spans="1:3" x14ac:dyDescent="0.25">
      <c r="A458" s="5">
        <v>44628</v>
      </c>
      <c r="B458" s="1" t="s">
        <v>40</v>
      </c>
      <c r="C458" s="2">
        <v>73150</v>
      </c>
    </row>
    <row r="459" spans="1:3" x14ac:dyDescent="0.25">
      <c r="A459" s="5">
        <v>46006</v>
      </c>
      <c r="B459" s="1" t="s">
        <v>46</v>
      </c>
      <c r="C459" s="2">
        <v>72600</v>
      </c>
    </row>
    <row r="460" spans="1:3" x14ac:dyDescent="0.25">
      <c r="A460" s="5">
        <v>44910</v>
      </c>
      <c r="B460" s="1" t="s">
        <v>120</v>
      </c>
      <c r="C460" s="2">
        <v>72500</v>
      </c>
    </row>
    <row r="461" spans="1:3" x14ac:dyDescent="0.25">
      <c r="A461" s="5">
        <v>45027</v>
      </c>
      <c r="B461" s="1" t="s">
        <v>78</v>
      </c>
      <c r="C461" s="2">
        <f>54500+17000+925</f>
        <v>72425</v>
      </c>
    </row>
    <row r="462" spans="1:3" x14ac:dyDescent="0.25">
      <c r="A462" s="5">
        <v>45027</v>
      </c>
      <c r="B462" s="1" t="s">
        <v>78</v>
      </c>
      <c r="C462" s="2">
        <f>54500+17000+925</f>
        <v>72425</v>
      </c>
    </row>
    <row r="463" spans="1:3" x14ac:dyDescent="0.25">
      <c r="A463" s="5">
        <v>43270</v>
      </c>
      <c r="B463" s="1" t="s">
        <v>191</v>
      </c>
      <c r="C463" s="2">
        <f>67350+4850</f>
        <v>72200</v>
      </c>
    </row>
    <row r="464" spans="1:3" x14ac:dyDescent="0.25">
      <c r="A464" s="5">
        <v>43832</v>
      </c>
      <c r="B464" s="1" t="s">
        <v>145</v>
      </c>
      <c r="C464" s="2">
        <f>64950+7250</f>
        <v>72200</v>
      </c>
    </row>
    <row r="465" spans="1:3" x14ac:dyDescent="0.25">
      <c r="A465" s="5">
        <v>43300</v>
      </c>
      <c r="B465" s="1" t="s">
        <v>144</v>
      </c>
      <c r="C465" s="2">
        <f>68150+4000</f>
        <v>72150</v>
      </c>
    </row>
    <row r="466" spans="1:3" x14ac:dyDescent="0.25">
      <c r="A466" s="5">
        <v>43300</v>
      </c>
      <c r="B466" s="1" t="s">
        <v>144</v>
      </c>
      <c r="C466" s="2">
        <f>68150+4000</f>
        <v>72150</v>
      </c>
    </row>
    <row r="467" spans="1:3" x14ac:dyDescent="0.25">
      <c r="A467" s="5">
        <v>43300</v>
      </c>
      <c r="B467" s="1" t="s">
        <v>144</v>
      </c>
      <c r="C467" s="2">
        <f>68150+4000</f>
        <v>72150</v>
      </c>
    </row>
    <row r="468" spans="1:3" x14ac:dyDescent="0.25">
      <c r="A468" s="5">
        <v>43300</v>
      </c>
      <c r="B468" s="1" t="s">
        <v>144</v>
      </c>
      <c r="C468" s="2">
        <f>68150+4000</f>
        <v>72150</v>
      </c>
    </row>
    <row r="469" spans="1:3" x14ac:dyDescent="0.25">
      <c r="A469" s="5">
        <v>43727</v>
      </c>
      <c r="B469" s="1" t="s">
        <v>148</v>
      </c>
      <c r="C469" s="2">
        <f>52250+17075+2800</f>
        <v>72125</v>
      </c>
    </row>
    <row r="470" spans="1:3" x14ac:dyDescent="0.25">
      <c r="A470" s="5">
        <v>42604</v>
      </c>
      <c r="B470" s="1" t="s">
        <v>230</v>
      </c>
      <c r="C470" s="2">
        <f>59980+12000</f>
        <v>71980</v>
      </c>
    </row>
    <row r="471" spans="1:3" x14ac:dyDescent="0.25">
      <c r="A471" s="5">
        <v>42604</v>
      </c>
      <c r="B471" s="1" t="s">
        <v>230</v>
      </c>
      <c r="C471" s="2">
        <f>59980+12000</f>
        <v>71980</v>
      </c>
    </row>
    <row r="472" spans="1:3" x14ac:dyDescent="0.25">
      <c r="A472" s="5">
        <v>43640</v>
      </c>
      <c r="B472" s="1" t="s">
        <v>63</v>
      </c>
      <c r="C472" s="2">
        <f>61550+1500+8750</f>
        <v>71800</v>
      </c>
    </row>
    <row r="473" spans="1:3" x14ac:dyDescent="0.25">
      <c r="A473" s="5">
        <v>45961</v>
      </c>
      <c r="B473" s="1" t="s">
        <v>28</v>
      </c>
      <c r="C473" s="2">
        <v>71500</v>
      </c>
    </row>
    <row r="474" spans="1:3" x14ac:dyDescent="0.25">
      <c r="A474" s="5">
        <v>44439</v>
      </c>
      <c r="B474" s="1" t="s">
        <v>138</v>
      </c>
      <c r="C474" s="2">
        <f>66875+5795+785+-2250</f>
        <v>71205</v>
      </c>
    </row>
    <row r="475" spans="1:3" x14ac:dyDescent="0.25">
      <c r="A475" s="5">
        <v>44439</v>
      </c>
      <c r="B475" s="1" t="s">
        <v>138</v>
      </c>
      <c r="C475" s="2">
        <f>66875+5795+785+-2250</f>
        <v>71205</v>
      </c>
    </row>
    <row r="476" spans="1:3" x14ac:dyDescent="0.25">
      <c r="A476" s="5">
        <v>44463</v>
      </c>
      <c r="B476" s="1" t="s">
        <v>138</v>
      </c>
      <c r="C476" s="2">
        <f>66875+5795+785+-2250</f>
        <v>71205</v>
      </c>
    </row>
    <row r="477" spans="1:3" x14ac:dyDescent="0.25">
      <c r="A477" s="5">
        <v>44463</v>
      </c>
      <c r="B477" s="1" t="s">
        <v>138</v>
      </c>
      <c r="C477" s="2">
        <f>66875+5795+785+-2250</f>
        <v>71205</v>
      </c>
    </row>
    <row r="478" spans="1:3" x14ac:dyDescent="0.25">
      <c r="A478" s="5">
        <v>44463</v>
      </c>
      <c r="B478" s="1" t="s">
        <v>138</v>
      </c>
      <c r="C478" s="2">
        <f>66875+5795+785+-2250</f>
        <v>71205</v>
      </c>
    </row>
    <row r="479" spans="1:3" x14ac:dyDescent="0.25">
      <c r="A479" s="5">
        <v>44463</v>
      </c>
      <c r="B479" s="1" t="s">
        <v>138</v>
      </c>
      <c r="C479" s="2">
        <f>66875+5795+785+-2250</f>
        <v>71205</v>
      </c>
    </row>
    <row r="480" spans="1:3" x14ac:dyDescent="0.25">
      <c r="A480" s="5">
        <v>44463</v>
      </c>
      <c r="B480" s="1" t="s">
        <v>138</v>
      </c>
      <c r="C480" s="2">
        <f>66875+5795+785+-2250</f>
        <v>71205</v>
      </c>
    </row>
    <row r="481" spans="1:3" x14ac:dyDescent="0.25">
      <c r="A481" s="5">
        <v>44463</v>
      </c>
      <c r="B481" s="1" t="s">
        <v>138</v>
      </c>
      <c r="C481" s="2">
        <f>66875+5795+785+-2250</f>
        <v>71205</v>
      </c>
    </row>
    <row r="482" spans="1:3" x14ac:dyDescent="0.25">
      <c r="A482" s="5">
        <v>43678</v>
      </c>
      <c r="B482" s="1" t="s">
        <v>100</v>
      </c>
      <c r="C482" s="2">
        <f>65850+1250+4000</f>
        <v>71100</v>
      </c>
    </row>
    <row r="483" spans="1:3" x14ac:dyDescent="0.25">
      <c r="A483" s="5">
        <v>42516</v>
      </c>
      <c r="B483" s="1" t="s">
        <v>230</v>
      </c>
      <c r="C483" s="2">
        <f>49980+9000+12000</f>
        <v>70980</v>
      </c>
    </row>
    <row r="484" spans="1:3" x14ac:dyDescent="0.25">
      <c r="A484" s="5">
        <v>44328</v>
      </c>
      <c r="B484" s="1" t="s">
        <v>63</v>
      </c>
      <c r="C484" s="2">
        <f>62150+1000+7500</f>
        <v>70650</v>
      </c>
    </row>
    <row r="485" spans="1:3" x14ac:dyDescent="0.25">
      <c r="A485" s="5">
        <v>44064</v>
      </c>
      <c r="B485" s="1" t="s">
        <v>39</v>
      </c>
      <c r="C485" s="2">
        <f>63650+2475+4500</f>
        <v>70625</v>
      </c>
    </row>
    <row r="486" spans="1:3" x14ac:dyDescent="0.25">
      <c r="A486" s="5">
        <v>45385</v>
      </c>
      <c r="B486" s="1" t="s">
        <v>75</v>
      </c>
      <c r="C486" s="2">
        <v>70425</v>
      </c>
    </row>
    <row r="487" spans="1:3" x14ac:dyDescent="0.25">
      <c r="A487" s="5">
        <v>43182</v>
      </c>
      <c r="B487" s="1" t="s">
        <v>147</v>
      </c>
      <c r="C487" s="2">
        <f>66875+650+600+2250</f>
        <v>70375</v>
      </c>
    </row>
    <row r="488" spans="1:3" x14ac:dyDescent="0.25">
      <c r="A488" s="5">
        <v>45685</v>
      </c>
      <c r="B488" s="1" t="s">
        <v>7</v>
      </c>
      <c r="C488" s="2">
        <f>67750+2100</f>
        <v>69850</v>
      </c>
    </row>
    <row r="489" spans="1:3" x14ac:dyDescent="0.25">
      <c r="A489" s="5">
        <v>42028</v>
      </c>
      <c r="B489" s="1" t="s">
        <v>118</v>
      </c>
      <c r="C489" s="2">
        <f>67843+1900</f>
        <v>69743</v>
      </c>
    </row>
    <row r="490" spans="1:3" x14ac:dyDescent="0.25">
      <c r="A490" s="5">
        <v>43297</v>
      </c>
      <c r="B490" s="1" t="s">
        <v>144</v>
      </c>
      <c r="C490" s="2">
        <f>67750+1750</f>
        <v>69500</v>
      </c>
    </row>
    <row r="491" spans="1:3" x14ac:dyDescent="0.25">
      <c r="A491" s="5">
        <v>41649</v>
      </c>
      <c r="B491" s="1" t="s">
        <v>270</v>
      </c>
      <c r="C491" s="2">
        <f>67900+1500</f>
        <v>69400</v>
      </c>
    </row>
    <row r="492" spans="1:3" x14ac:dyDescent="0.25">
      <c r="A492" s="5">
        <v>44547</v>
      </c>
      <c r="B492" s="1" t="s">
        <v>140</v>
      </c>
      <c r="C492" s="2">
        <f>64000+5250</f>
        <v>69250</v>
      </c>
    </row>
    <row r="493" spans="1:3" x14ac:dyDescent="0.25">
      <c r="A493" s="5">
        <v>45835</v>
      </c>
      <c r="B493" s="1" t="s">
        <v>29</v>
      </c>
      <c r="C493" s="2">
        <v>69000</v>
      </c>
    </row>
    <row r="494" spans="1:3" x14ac:dyDescent="0.25">
      <c r="A494" s="5">
        <v>42415</v>
      </c>
      <c r="B494" s="1" t="s">
        <v>144</v>
      </c>
      <c r="C494" s="2">
        <f>64270+6012-1000-350</f>
        <v>68932</v>
      </c>
    </row>
    <row r="495" spans="1:3" x14ac:dyDescent="0.25">
      <c r="A495" s="5">
        <v>42415</v>
      </c>
      <c r="B495" s="1" t="s">
        <v>144</v>
      </c>
      <c r="C495" s="2">
        <f>64270+3832+520</f>
        <v>68622</v>
      </c>
    </row>
    <row r="496" spans="1:3" x14ac:dyDescent="0.25">
      <c r="A496" s="5">
        <v>42415</v>
      </c>
      <c r="B496" s="1" t="s">
        <v>144</v>
      </c>
      <c r="C496" s="2">
        <f>64270+5434-1082</f>
        <v>68622</v>
      </c>
    </row>
    <row r="497" spans="1:3" x14ac:dyDescent="0.25">
      <c r="A497" s="5">
        <v>43271</v>
      </c>
      <c r="B497" s="1" t="s">
        <v>124</v>
      </c>
      <c r="C497" s="2">
        <f>63850+4650</f>
        <v>68500</v>
      </c>
    </row>
    <row r="498" spans="1:3" x14ac:dyDescent="0.25">
      <c r="A498" s="5">
        <v>42691</v>
      </c>
      <c r="B498" s="1" t="s">
        <v>247</v>
      </c>
      <c r="C498" s="2">
        <f>68450</f>
        <v>68450</v>
      </c>
    </row>
    <row r="499" spans="1:3" x14ac:dyDescent="0.25">
      <c r="A499" s="5">
        <v>42723</v>
      </c>
      <c r="B499" s="1" t="s">
        <v>173</v>
      </c>
      <c r="C499" s="2">
        <f>67250+1115</f>
        <v>68365</v>
      </c>
    </row>
    <row r="500" spans="1:3" x14ac:dyDescent="0.25">
      <c r="A500" s="5">
        <v>44876</v>
      </c>
      <c r="B500" s="1" t="s">
        <v>118</v>
      </c>
      <c r="C500" s="2">
        <v>68250</v>
      </c>
    </row>
    <row r="501" spans="1:3" x14ac:dyDescent="0.25">
      <c r="A501" s="5">
        <v>44876</v>
      </c>
      <c r="B501" s="1" t="s">
        <v>118</v>
      </c>
      <c r="C501" s="2">
        <v>68250</v>
      </c>
    </row>
    <row r="502" spans="1:3" x14ac:dyDescent="0.25">
      <c r="A502" s="5">
        <v>42353</v>
      </c>
      <c r="B502" s="1" t="s">
        <v>221</v>
      </c>
      <c r="C502" s="2">
        <f>61493+6220</f>
        <v>67713</v>
      </c>
    </row>
    <row r="503" spans="1:3" x14ac:dyDescent="0.25">
      <c r="A503" s="5">
        <v>44291</v>
      </c>
      <c r="B503" s="1" t="s">
        <v>126</v>
      </c>
      <c r="C503" s="2">
        <f>64500+2900</f>
        <v>67400</v>
      </c>
    </row>
    <row r="504" spans="1:3" x14ac:dyDescent="0.25">
      <c r="A504" s="5">
        <v>42415</v>
      </c>
      <c r="B504" s="1" t="s">
        <v>144</v>
      </c>
      <c r="C504" s="2">
        <f>62149+1392+3645</f>
        <v>67186</v>
      </c>
    </row>
    <row r="505" spans="1:3" x14ac:dyDescent="0.25">
      <c r="A505" s="5">
        <v>41926</v>
      </c>
      <c r="B505" s="1" t="s">
        <v>297</v>
      </c>
      <c r="C505" s="2">
        <v>67126</v>
      </c>
    </row>
    <row r="506" spans="1:3" x14ac:dyDescent="0.25">
      <c r="A506" s="5">
        <v>44328</v>
      </c>
      <c r="B506" s="1" t="s">
        <v>63</v>
      </c>
      <c r="C506" s="2">
        <f>58125+1400+7500</f>
        <v>67025</v>
      </c>
    </row>
    <row r="507" spans="1:3" x14ac:dyDescent="0.25">
      <c r="A507" s="5">
        <v>42241</v>
      </c>
      <c r="B507" s="1" t="s">
        <v>202</v>
      </c>
      <c r="C507" s="2">
        <f>62723+4260</f>
        <v>66983</v>
      </c>
    </row>
    <row r="508" spans="1:3" x14ac:dyDescent="0.25">
      <c r="A508" s="5">
        <v>44447</v>
      </c>
      <c r="B508" s="1" t="s">
        <v>140</v>
      </c>
      <c r="C508" s="2">
        <f>61000+5250+425</f>
        <v>66675</v>
      </c>
    </row>
    <row r="509" spans="1:3" x14ac:dyDescent="0.25">
      <c r="A509" s="5">
        <v>44447</v>
      </c>
      <c r="B509" s="1" t="s">
        <v>140</v>
      </c>
      <c r="C509" s="2">
        <f>61000+5250+425</f>
        <v>66675</v>
      </c>
    </row>
    <row r="510" spans="1:3" x14ac:dyDescent="0.25">
      <c r="A510" s="5">
        <v>45693</v>
      </c>
      <c r="B510" s="1" t="s">
        <v>9</v>
      </c>
      <c r="C510" s="2">
        <f>62000+4500</f>
        <v>66500</v>
      </c>
    </row>
    <row r="511" spans="1:3" x14ac:dyDescent="0.25">
      <c r="A511" s="5">
        <v>45693</v>
      </c>
      <c r="B511" s="1" t="s">
        <v>9</v>
      </c>
      <c r="C511" s="2">
        <f>62000+4300</f>
        <v>66300</v>
      </c>
    </row>
    <row r="512" spans="1:3" x14ac:dyDescent="0.25">
      <c r="A512" s="5">
        <v>43040</v>
      </c>
      <c r="B512" s="1" t="s">
        <v>218</v>
      </c>
      <c r="C512" s="2">
        <v>66200</v>
      </c>
    </row>
    <row r="513" spans="1:3" x14ac:dyDescent="0.25">
      <c r="A513" s="5">
        <v>43861</v>
      </c>
      <c r="B513" s="1" t="s">
        <v>128</v>
      </c>
      <c r="C513" s="2">
        <v>66100</v>
      </c>
    </row>
    <row r="514" spans="1:3" x14ac:dyDescent="0.25">
      <c r="A514" s="5">
        <v>45924</v>
      </c>
      <c r="B514" s="1" t="s">
        <v>41</v>
      </c>
      <c r="C514" s="2">
        <v>66000</v>
      </c>
    </row>
    <row r="515" spans="1:3" x14ac:dyDescent="0.25">
      <c r="A515" s="5">
        <v>43664</v>
      </c>
      <c r="B515" s="1" t="s">
        <v>171</v>
      </c>
      <c r="C515" s="2">
        <f>63000+1225+1750</f>
        <v>65975</v>
      </c>
    </row>
    <row r="516" spans="1:3" x14ac:dyDescent="0.25">
      <c r="A516" s="5">
        <v>43664</v>
      </c>
      <c r="B516" s="1" t="s">
        <v>171</v>
      </c>
      <c r="C516" s="2">
        <f>63000+1225+1750</f>
        <v>65975</v>
      </c>
    </row>
    <row r="517" spans="1:3" x14ac:dyDescent="0.25">
      <c r="A517" s="5">
        <v>43861</v>
      </c>
      <c r="B517" s="1" t="s">
        <v>128</v>
      </c>
      <c r="C517" s="2">
        <v>65850</v>
      </c>
    </row>
    <row r="518" spans="1:3" x14ac:dyDescent="0.25">
      <c r="A518" s="5">
        <v>43861</v>
      </c>
      <c r="B518" s="1" t="s">
        <v>128</v>
      </c>
      <c r="C518" s="2">
        <v>65750</v>
      </c>
    </row>
    <row r="519" spans="1:3" x14ac:dyDescent="0.25">
      <c r="A519" s="5">
        <v>43182</v>
      </c>
      <c r="B519" s="1" t="s">
        <v>128</v>
      </c>
      <c r="C519" s="2">
        <f>62975+800+1700</f>
        <v>65475</v>
      </c>
    </row>
    <row r="520" spans="1:3" x14ac:dyDescent="0.25">
      <c r="A520" s="5">
        <v>43088</v>
      </c>
      <c r="B520" s="1" t="s">
        <v>128</v>
      </c>
      <c r="C520" s="2">
        <f>63035+2275</f>
        <v>65310</v>
      </c>
    </row>
    <row r="521" spans="1:3" x14ac:dyDescent="0.25">
      <c r="A521" s="5">
        <v>44077</v>
      </c>
      <c r="B521" s="1" t="s">
        <v>119</v>
      </c>
      <c r="C521" s="2">
        <f>58500+6800</f>
        <v>65300</v>
      </c>
    </row>
    <row r="522" spans="1:3" x14ac:dyDescent="0.25">
      <c r="A522" s="5">
        <v>43088</v>
      </c>
      <c r="B522" s="1" t="s">
        <v>128</v>
      </c>
      <c r="C522" s="2">
        <f>63035+2200</f>
        <v>65235</v>
      </c>
    </row>
    <row r="523" spans="1:3" x14ac:dyDescent="0.25">
      <c r="A523" s="5">
        <v>42634</v>
      </c>
      <c r="B523" s="1" t="s">
        <v>239</v>
      </c>
      <c r="C523" s="2">
        <f>48500+4725+11960</f>
        <v>65185</v>
      </c>
    </row>
    <row r="524" spans="1:3" x14ac:dyDescent="0.25">
      <c r="A524" s="5">
        <v>42634</v>
      </c>
      <c r="B524" s="1" t="s">
        <v>239</v>
      </c>
      <c r="C524" s="2">
        <f>48500+4725+11960</f>
        <v>65185</v>
      </c>
    </row>
    <row r="525" spans="1:3" x14ac:dyDescent="0.25">
      <c r="A525" s="5">
        <v>42634</v>
      </c>
      <c r="B525" s="1" t="s">
        <v>239</v>
      </c>
      <c r="C525" s="2">
        <f>48500+4725+11960</f>
        <v>65185</v>
      </c>
    </row>
    <row r="526" spans="1:3" x14ac:dyDescent="0.25">
      <c r="A526" s="5">
        <v>42634</v>
      </c>
      <c r="B526" s="1" t="s">
        <v>239</v>
      </c>
      <c r="C526" s="2">
        <f>48500+4725+11960</f>
        <v>65185</v>
      </c>
    </row>
    <row r="527" spans="1:3" x14ac:dyDescent="0.25">
      <c r="A527" s="5">
        <v>42415</v>
      </c>
      <c r="B527" s="1" t="s">
        <v>144</v>
      </c>
      <c r="C527" s="2">
        <f>64270+138+725</f>
        <v>65133</v>
      </c>
    </row>
    <row r="528" spans="1:3" x14ac:dyDescent="0.25">
      <c r="A528" s="5">
        <v>42415</v>
      </c>
      <c r="B528" s="1" t="s">
        <v>144</v>
      </c>
      <c r="C528" s="2">
        <f>64270+1740-877</f>
        <v>65133</v>
      </c>
    </row>
    <row r="529" spans="1:3" x14ac:dyDescent="0.25">
      <c r="A529" s="5">
        <v>42919</v>
      </c>
      <c r="B529" s="1" t="s">
        <v>208</v>
      </c>
      <c r="C529" s="2">
        <v>64970</v>
      </c>
    </row>
    <row r="530" spans="1:3" x14ac:dyDescent="0.25">
      <c r="A530" s="5">
        <v>42892</v>
      </c>
      <c r="B530" s="1" t="s">
        <v>199</v>
      </c>
      <c r="C530" s="2">
        <f>64790</f>
        <v>64790</v>
      </c>
    </row>
    <row r="531" spans="1:3" x14ac:dyDescent="0.25">
      <c r="A531" s="5">
        <v>42028</v>
      </c>
      <c r="B531" s="1" t="s">
        <v>118</v>
      </c>
      <c r="C531" s="2">
        <f>62843+1900</f>
        <v>64743</v>
      </c>
    </row>
    <row r="532" spans="1:3" x14ac:dyDescent="0.25">
      <c r="A532" s="5">
        <v>42028</v>
      </c>
      <c r="B532" s="1" t="s">
        <v>118</v>
      </c>
      <c r="C532" s="2">
        <f>62843+1900</f>
        <v>64743</v>
      </c>
    </row>
    <row r="533" spans="1:3" x14ac:dyDescent="0.25">
      <c r="A533" s="5">
        <v>45961</v>
      </c>
      <c r="B533" s="1" t="s">
        <v>28</v>
      </c>
      <c r="C533" s="2">
        <f>58000+6500</f>
        <v>64500</v>
      </c>
    </row>
    <row r="534" spans="1:3" x14ac:dyDescent="0.25">
      <c r="A534" s="5">
        <v>43727</v>
      </c>
      <c r="B534" s="1" t="s">
        <v>148</v>
      </c>
      <c r="C534" s="2">
        <f>41575+19400+3400</f>
        <v>64375</v>
      </c>
    </row>
    <row r="535" spans="1:3" x14ac:dyDescent="0.25">
      <c r="A535" s="5">
        <v>42502</v>
      </c>
      <c r="B535" s="1" t="s">
        <v>227</v>
      </c>
      <c r="C535" s="2">
        <f>52850+11250</f>
        <v>64100</v>
      </c>
    </row>
    <row r="536" spans="1:3" x14ac:dyDescent="0.25">
      <c r="A536" s="5">
        <v>44609</v>
      </c>
      <c r="B536" s="1" t="s">
        <v>95</v>
      </c>
      <c r="C536" s="2">
        <v>63750</v>
      </c>
    </row>
    <row r="537" spans="1:3" x14ac:dyDescent="0.25">
      <c r="A537" s="5">
        <v>44054</v>
      </c>
      <c r="B537" s="1" t="s">
        <v>159</v>
      </c>
      <c r="C537" s="2">
        <f>56625+500+5900</f>
        <v>63025</v>
      </c>
    </row>
    <row r="538" spans="1:3" x14ac:dyDescent="0.25">
      <c r="A538" s="5">
        <v>44054</v>
      </c>
      <c r="B538" s="1" t="s">
        <v>159</v>
      </c>
      <c r="C538" s="2">
        <f>56625+500+5900</f>
        <v>63025</v>
      </c>
    </row>
    <row r="539" spans="1:3" x14ac:dyDescent="0.25">
      <c r="A539" s="5">
        <v>44054</v>
      </c>
      <c r="B539" s="1" t="s">
        <v>159</v>
      </c>
      <c r="C539" s="2">
        <f>56625+500+5900</f>
        <v>63025</v>
      </c>
    </row>
    <row r="540" spans="1:3" x14ac:dyDescent="0.25">
      <c r="A540" s="5">
        <v>45685</v>
      </c>
      <c r="B540" s="1" t="s">
        <v>7</v>
      </c>
      <c r="C540" s="2">
        <v>63000</v>
      </c>
    </row>
    <row r="541" spans="1:3" x14ac:dyDescent="0.25">
      <c r="A541" s="5">
        <v>44076</v>
      </c>
      <c r="B541" s="1" t="s">
        <v>159</v>
      </c>
      <c r="C541" s="2">
        <f>55975+7000</f>
        <v>62975</v>
      </c>
    </row>
    <row r="542" spans="1:3" x14ac:dyDescent="0.25">
      <c r="A542" s="5">
        <v>44076</v>
      </c>
      <c r="B542" s="1" t="s">
        <v>159</v>
      </c>
      <c r="C542" s="2">
        <f>55975+7000</f>
        <v>62975</v>
      </c>
    </row>
    <row r="543" spans="1:3" x14ac:dyDescent="0.25">
      <c r="A543" s="5">
        <v>44489</v>
      </c>
      <c r="B543" s="1" t="s">
        <v>141</v>
      </c>
      <c r="C543" s="2">
        <f>56000+6600</f>
        <v>62600</v>
      </c>
    </row>
    <row r="544" spans="1:3" x14ac:dyDescent="0.25">
      <c r="A544" s="5">
        <v>44489</v>
      </c>
      <c r="B544" s="1" t="s">
        <v>141</v>
      </c>
      <c r="C544" s="2">
        <f>56000+6600</f>
        <v>62600</v>
      </c>
    </row>
    <row r="545" spans="1:3" x14ac:dyDescent="0.25">
      <c r="A545" s="5">
        <v>44837</v>
      </c>
      <c r="B545" s="1" t="s">
        <v>114</v>
      </c>
      <c r="C545" s="2">
        <v>62550</v>
      </c>
    </row>
    <row r="546" spans="1:3" x14ac:dyDescent="0.25">
      <c r="A546" s="5">
        <v>42534</v>
      </c>
      <c r="B546" s="1" t="s">
        <v>232</v>
      </c>
      <c r="C546" s="2">
        <v>62250</v>
      </c>
    </row>
    <row r="547" spans="1:3" x14ac:dyDescent="0.25">
      <c r="A547" s="5">
        <v>45693</v>
      </c>
      <c r="B547" s="1" t="s">
        <v>9</v>
      </c>
      <c r="C547" s="2">
        <f>61000+1000</f>
        <v>62000</v>
      </c>
    </row>
    <row r="548" spans="1:3" x14ac:dyDescent="0.25">
      <c r="A548" s="5">
        <v>44776</v>
      </c>
      <c r="B548" s="1" t="s">
        <v>109</v>
      </c>
      <c r="C548" s="2">
        <v>61600</v>
      </c>
    </row>
    <row r="549" spans="1:3" x14ac:dyDescent="0.25">
      <c r="A549" s="5">
        <v>44837</v>
      </c>
      <c r="B549" s="1" t="s">
        <v>114</v>
      </c>
      <c r="C549" s="2">
        <v>61550</v>
      </c>
    </row>
    <row r="550" spans="1:3" x14ac:dyDescent="0.25">
      <c r="A550" s="5">
        <v>43593</v>
      </c>
      <c r="B550" s="1" t="s">
        <v>10</v>
      </c>
      <c r="C550" s="2">
        <f>60500+700</f>
        <v>61200</v>
      </c>
    </row>
    <row r="551" spans="1:3" x14ac:dyDescent="0.25">
      <c r="A551" s="5">
        <v>45685</v>
      </c>
      <c r="B551" s="1" t="s">
        <v>7</v>
      </c>
      <c r="C551" s="2">
        <v>61000</v>
      </c>
    </row>
    <row r="552" spans="1:3" x14ac:dyDescent="0.25">
      <c r="A552" s="5">
        <v>41746</v>
      </c>
      <c r="B552" s="1" t="s">
        <v>8</v>
      </c>
      <c r="C552" s="2">
        <v>60775</v>
      </c>
    </row>
    <row r="553" spans="1:3" x14ac:dyDescent="0.25">
      <c r="A553" s="5">
        <v>42527</v>
      </c>
      <c r="B553" s="1" t="s">
        <v>231</v>
      </c>
      <c r="C553" s="2">
        <f>54053+6590</f>
        <v>60643</v>
      </c>
    </row>
    <row r="554" spans="1:3" x14ac:dyDescent="0.25">
      <c r="A554" s="5">
        <v>45007</v>
      </c>
      <c r="B554" s="1" t="s">
        <v>8</v>
      </c>
      <c r="C554" s="2">
        <v>60500</v>
      </c>
    </row>
    <row r="555" spans="1:3" x14ac:dyDescent="0.25">
      <c r="A555" s="5">
        <v>42527</v>
      </c>
      <c r="B555" s="1" t="s">
        <v>231</v>
      </c>
      <c r="C555" s="2">
        <f>53493+6590</f>
        <v>60083</v>
      </c>
    </row>
    <row r="556" spans="1:3" x14ac:dyDescent="0.25">
      <c r="A556" s="5">
        <v>43704</v>
      </c>
      <c r="B556" s="1" t="s">
        <v>124</v>
      </c>
      <c r="C556" s="2">
        <f>57875+2200</f>
        <v>60075</v>
      </c>
    </row>
    <row r="557" spans="1:3" x14ac:dyDescent="0.25">
      <c r="A557" s="5">
        <v>43704</v>
      </c>
      <c r="B557" s="1" t="s">
        <v>124</v>
      </c>
      <c r="C557" s="2">
        <f>57875+2200</f>
        <v>60075</v>
      </c>
    </row>
    <row r="558" spans="1:3" x14ac:dyDescent="0.25">
      <c r="A558" s="5">
        <v>44766</v>
      </c>
      <c r="B558" s="1" t="s">
        <v>106</v>
      </c>
      <c r="C558" s="2">
        <v>60000</v>
      </c>
    </row>
    <row r="559" spans="1:3" x14ac:dyDescent="0.25">
      <c r="A559" s="5">
        <v>44096</v>
      </c>
      <c r="B559" s="1" t="s">
        <v>124</v>
      </c>
      <c r="C559" s="2">
        <f>55975+2300+1250</f>
        <v>59525</v>
      </c>
    </row>
    <row r="560" spans="1:3" x14ac:dyDescent="0.25">
      <c r="A560" s="5">
        <v>44096</v>
      </c>
      <c r="B560" s="1" t="s">
        <v>124</v>
      </c>
      <c r="C560" s="2">
        <f>55975+2300+1250</f>
        <v>59525</v>
      </c>
    </row>
    <row r="561" spans="1:3" x14ac:dyDescent="0.25">
      <c r="A561" s="5">
        <v>41955</v>
      </c>
      <c r="B561" s="1" t="s">
        <v>208</v>
      </c>
      <c r="C561" s="2">
        <f>49458+9694</f>
        <v>59152</v>
      </c>
    </row>
    <row r="562" spans="1:3" x14ac:dyDescent="0.25">
      <c r="A562" s="5">
        <v>43913</v>
      </c>
      <c r="B562" s="1" t="s">
        <v>124</v>
      </c>
      <c r="C562" s="2">
        <f>58500+525</f>
        <v>59025</v>
      </c>
    </row>
    <row r="563" spans="1:3" x14ac:dyDescent="0.25">
      <c r="A563" s="5">
        <v>43913</v>
      </c>
      <c r="B563" s="1" t="s">
        <v>124</v>
      </c>
      <c r="C563" s="2">
        <f>58500+525</f>
        <v>59025</v>
      </c>
    </row>
    <row r="564" spans="1:3" x14ac:dyDescent="0.25">
      <c r="A564" s="5">
        <v>42716</v>
      </c>
      <c r="B564" s="1" t="s">
        <v>249</v>
      </c>
      <c r="C564" s="2">
        <v>58975</v>
      </c>
    </row>
    <row r="565" spans="1:3" x14ac:dyDescent="0.25">
      <c r="A565" s="5">
        <v>43727</v>
      </c>
      <c r="B565" s="1" t="s">
        <v>148</v>
      </c>
      <c r="C565" s="2">
        <f>43325+10600+5000</f>
        <v>58925</v>
      </c>
    </row>
    <row r="566" spans="1:3" x14ac:dyDescent="0.25">
      <c r="A566" s="5">
        <v>42908</v>
      </c>
      <c r="B566" s="1" t="s">
        <v>207</v>
      </c>
      <c r="C566" s="2">
        <f>58100+1400-750</f>
        <v>58750</v>
      </c>
    </row>
    <row r="567" spans="1:3" x14ac:dyDescent="0.25">
      <c r="A567" s="5">
        <v>44662</v>
      </c>
      <c r="B567" s="1" t="s">
        <v>98</v>
      </c>
      <c r="C567" s="2">
        <v>58650</v>
      </c>
    </row>
    <row r="568" spans="1:3" x14ac:dyDescent="0.25">
      <c r="A568" s="5">
        <v>45685</v>
      </c>
      <c r="B568" s="1" t="s">
        <v>7</v>
      </c>
      <c r="C568" s="2">
        <v>58500</v>
      </c>
    </row>
    <row r="569" spans="1:3" x14ac:dyDescent="0.25">
      <c r="A569" s="5">
        <v>43441</v>
      </c>
      <c r="B569" s="1" t="s">
        <v>180</v>
      </c>
      <c r="C569" s="2">
        <f>52975+5400</f>
        <v>58375</v>
      </c>
    </row>
    <row r="570" spans="1:3" x14ac:dyDescent="0.25">
      <c r="A570" s="5">
        <v>43698</v>
      </c>
      <c r="B570" s="1" t="s">
        <v>174</v>
      </c>
      <c r="C570" s="2">
        <f>56675+1100</f>
        <v>57775</v>
      </c>
    </row>
    <row r="571" spans="1:3" x14ac:dyDescent="0.25">
      <c r="A571" s="5">
        <v>45961</v>
      </c>
      <c r="B571" s="1" t="s">
        <v>28</v>
      </c>
      <c r="C571" s="2">
        <v>57750</v>
      </c>
    </row>
    <row r="572" spans="1:3" x14ac:dyDescent="0.25">
      <c r="A572" s="5">
        <v>42648</v>
      </c>
      <c r="B572" s="1" t="s">
        <v>156</v>
      </c>
      <c r="C572" s="2">
        <f>45050+12495</f>
        <v>57545</v>
      </c>
    </row>
    <row r="573" spans="1:3" x14ac:dyDescent="0.25">
      <c r="A573" s="5">
        <v>45961</v>
      </c>
      <c r="B573" s="1" t="s">
        <v>28</v>
      </c>
      <c r="C573" s="2">
        <v>57500</v>
      </c>
    </row>
    <row r="574" spans="1:3" x14ac:dyDescent="0.25">
      <c r="A574" s="5">
        <v>43727</v>
      </c>
      <c r="B574" s="1" t="s">
        <v>148</v>
      </c>
      <c r="C574" s="2">
        <f>45825+7300+4250</f>
        <v>57375</v>
      </c>
    </row>
    <row r="575" spans="1:3" x14ac:dyDescent="0.25">
      <c r="A575" s="5">
        <v>43235</v>
      </c>
      <c r="B575" s="1" t="s">
        <v>181</v>
      </c>
      <c r="C575" s="2">
        <f>50500+2500+2500+1750</f>
        <v>57250</v>
      </c>
    </row>
    <row r="576" spans="1:3" x14ac:dyDescent="0.25">
      <c r="A576" s="5">
        <v>42545</v>
      </c>
      <c r="B576" s="1" t="s">
        <v>234</v>
      </c>
      <c r="C576" s="2">
        <f>56200+800-800</f>
        <v>56200</v>
      </c>
    </row>
    <row r="577" spans="1:3" x14ac:dyDescent="0.25">
      <c r="A577" s="5">
        <v>44239</v>
      </c>
      <c r="B577" s="1" t="s">
        <v>24</v>
      </c>
      <c r="C577" s="2">
        <f>48500+4500+2650</f>
        <v>55650</v>
      </c>
    </row>
    <row r="578" spans="1:3" x14ac:dyDescent="0.25">
      <c r="A578" s="5">
        <v>42415</v>
      </c>
      <c r="B578" s="1" t="s">
        <v>144</v>
      </c>
      <c r="C578" s="2">
        <f>51962+3953-496</f>
        <v>55419</v>
      </c>
    </row>
    <row r="579" spans="1:3" x14ac:dyDescent="0.25">
      <c r="A579" s="5">
        <v>41983</v>
      </c>
      <c r="B579" s="1" t="s">
        <v>285</v>
      </c>
      <c r="C579" s="2">
        <v>55393</v>
      </c>
    </row>
    <row r="580" spans="1:3" x14ac:dyDescent="0.25">
      <c r="A580" s="5">
        <v>41983</v>
      </c>
      <c r="B580" s="1" t="s">
        <v>285</v>
      </c>
      <c r="C580" s="2">
        <v>55393</v>
      </c>
    </row>
    <row r="581" spans="1:3" x14ac:dyDescent="0.25">
      <c r="A581" s="5">
        <v>43861</v>
      </c>
      <c r="B581" s="1" t="s">
        <v>128</v>
      </c>
      <c r="C581" s="2">
        <v>55250</v>
      </c>
    </row>
    <row r="582" spans="1:3" x14ac:dyDescent="0.25">
      <c r="A582" s="5">
        <v>43861</v>
      </c>
      <c r="B582" s="1" t="s">
        <v>128</v>
      </c>
      <c r="C582" s="2">
        <v>55250</v>
      </c>
    </row>
    <row r="583" spans="1:3" x14ac:dyDescent="0.25">
      <c r="A583" s="5">
        <v>45961</v>
      </c>
      <c r="B583" s="1" t="s">
        <v>28</v>
      </c>
      <c r="C583" s="2">
        <v>55250</v>
      </c>
    </row>
    <row r="584" spans="1:3" x14ac:dyDescent="0.25">
      <c r="A584" s="5">
        <v>45961</v>
      </c>
      <c r="B584" s="1" t="s">
        <v>28</v>
      </c>
      <c r="C584" s="2">
        <v>55250</v>
      </c>
    </row>
    <row r="585" spans="1:3" x14ac:dyDescent="0.25">
      <c r="A585" s="5">
        <v>41942</v>
      </c>
      <c r="B585" s="1" t="s">
        <v>282</v>
      </c>
      <c r="C585" s="2">
        <f>51405+3728</f>
        <v>55133</v>
      </c>
    </row>
    <row r="586" spans="1:3" x14ac:dyDescent="0.25">
      <c r="A586" s="5">
        <v>45359</v>
      </c>
      <c r="B586" s="1" t="s">
        <v>52</v>
      </c>
      <c r="C586" s="2">
        <v>55000</v>
      </c>
    </row>
    <row r="587" spans="1:3" x14ac:dyDescent="0.25">
      <c r="A587" s="5">
        <v>45247</v>
      </c>
      <c r="B587" s="1" t="s">
        <v>75</v>
      </c>
      <c r="C587" s="2">
        <v>54950</v>
      </c>
    </row>
    <row r="588" spans="1:3" x14ac:dyDescent="0.25">
      <c r="A588" s="5">
        <v>43088</v>
      </c>
      <c r="B588" s="1" t="s">
        <v>128</v>
      </c>
      <c r="C588" s="2">
        <f>50235+4700</f>
        <v>54935</v>
      </c>
    </row>
    <row r="589" spans="1:3" x14ac:dyDescent="0.25">
      <c r="A589" s="5">
        <v>43088</v>
      </c>
      <c r="B589" s="1" t="s">
        <v>128</v>
      </c>
      <c r="C589" s="2">
        <f>50235+4700</f>
        <v>54935</v>
      </c>
    </row>
    <row r="590" spans="1:3" x14ac:dyDescent="0.25">
      <c r="A590" s="5">
        <v>42716</v>
      </c>
      <c r="B590" s="1" t="s">
        <v>249</v>
      </c>
      <c r="C590" s="2">
        <v>54800</v>
      </c>
    </row>
    <row r="591" spans="1:3" x14ac:dyDescent="0.25">
      <c r="A591" s="5">
        <v>44680</v>
      </c>
      <c r="B591" s="1" t="s">
        <v>63</v>
      </c>
      <c r="C591" s="2">
        <v>54610</v>
      </c>
    </row>
    <row r="592" spans="1:3" x14ac:dyDescent="0.25">
      <c r="A592" s="5">
        <v>44680</v>
      </c>
      <c r="B592" s="1" t="s">
        <v>63</v>
      </c>
      <c r="C592" s="2">
        <v>54610</v>
      </c>
    </row>
    <row r="593" spans="1:3" x14ac:dyDescent="0.25">
      <c r="A593" s="5">
        <v>44680</v>
      </c>
      <c r="B593" s="1" t="s">
        <v>63</v>
      </c>
      <c r="C593" s="2">
        <v>54610</v>
      </c>
    </row>
    <row r="594" spans="1:3" x14ac:dyDescent="0.25">
      <c r="A594" s="5">
        <v>44837</v>
      </c>
      <c r="B594" s="1" t="s">
        <v>114</v>
      </c>
      <c r="C594" s="2">
        <v>54600</v>
      </c>
    </row>
    <row r="595" spans="1:3" x14ac:dyDescent="0.25">
      <c r="A595" s="5">
        <v>42810</v>
      </c>
      <c r="B595" s="1" t="s">
        <v>198</v>
      </c>
      <c r="C595" s="2">
        <f>23775+15850+14900</f>
        <v>54525</v>
      </c>
    </row>
    <row r="596" spans="1:3" x14ac:dyDescent="0.25">
      <c r="A596" s="5">
        <v>44335</v>
      </c>
      <c r="B596" s="1" t="s">
        <v>116</v>
      </c>
      <c r="C596" s="2">
        <f>53650+725</f>
        <v>54375</v>
      </c>
    </row>
    <row r="597" spans="1:3" x14ac:dyDescent="0.25">
      <c r="A597" s="5">
        <v>44335</v>
      </c>
      <c r="B597" s="1" t="s">
        <v>116</v>
      </c>
      <c r="C597" s="2">
        <f>53650+725</f>
        <v>54375</v>
      </c>
    </row>
    <row r="598" spans="1:3" x14ac:dyDescent="0.25">
      <c r="A598" s="5">
        <v>43698</v>
      </c>
      <c r="B598" s="1" t="s">
        <v>174</v>
      </c>
      <c r="C598" s="2">
        <f>52725+1100</f>
        <v>53825</v>
      </c>
    </row>
    <row r="599" spans="1:3" x14ac:dyDescent="0.25">
      <c r="A599" s="5">
        <v>43769</v>
      </c>
      <c r="B599" s="1" t="s">
        <v>148</v>
      </c>
      <c r="C599" s="2">
        <f>33150+6625+1750+2500+9750</f>
        <v>53775</v>
      </c>
    </row>
    <row r="600" spans="1:3" x14ac:dyDescent="0.25">
      <c r="A600" s="5">
        <v>43229</v>
      </c>
      <c r="B600" s="1" t="s">
        <v>187</v>
      </c>
      <c r="C600" s="2">
        <f>50500+3250</f>
        <v>53750</v>
      </c>
    </row>
    <row r="601" spans="1:3" x14ac:dyDescent="0.25">
      <c r="A601" s="5">
        <v>42716</v>
      </c>
      <c r="B601" s="1" t="s">
        <v>249</v>
      </c>
      <c r="C601" s="2">
        <v>53575</v>
      </c>
    </row>
    <row r="602" spans="1:3" x14ac:dyDescent="0.25">
      <c r="A602" s="5">
        <v>44552</v>
      </c>
      <c r="B602" s="1" t="s">
        <v>144</v>
      </c>
      <c r="C602" s="2">
        <f>42375+4250+5884+1050</f>
        <v>53559</v>
      </c>
    </row>
    <row r="603" spans="1:3" x14ac:dyDescent="0.25">
      <c r="A603" s="5">
        <v>44552</v>
      </c>
      <c r="B603" s="1" t="s">
        <v>144</v>
      </c>
      <c r="C603" s="2">
        <f>42375+4250+5884+1050</f>
        <v>53559</v>
      </c>
    </row>
    <row r="604" spans="1:3" x14ac:dyDescent="0.25">
      <c r="A604" s="5">
        <v>42716</v>
      </c>
      <c r="B604" s="1" t="s">
        <v>249</v>
      </c>
      <c r="C604" s="2">
        <v>53425</v>
      </c>
    </row>
    <row r="605" spans="1:3" x14ac:dyDescent="0.25">
      <c r="A605" s="5">
        <v>42716</v>
      </c>
      <c r="B605" s="1" t="s">
        <v>249</v>
      </c>
      <c r="C605" s="2">
        <v>53425</v>
      </c>
    </row>
    <row r="606" spans="1:3" x14ac:dyDescent="0.25">
      <c r="A606" s="5">
        <v>43882</v>
      </c>
      <c r="B606" s="1" t="s">
        <v>140</v>
      </c>
      <c r="C606" s="2">
        <f>48850+4500</f>
        <v>53350</v>
      </c>
    </row>
    <row r="607" spans="1:3" x14ac:dyDescent="0.25">
      <c r="A607" s="5">
        <v>42397</v>
      </c>
      <c r="B607" s="1" t="s">
        <v>223</v>
      </c>
      <c r="C607" s="2">
        <f>50530+2500</f>
        <v>53030</v>
      </c>
    </row>
    <row r="608" spans="1:3" x14ac:dyDescent="0.25">
      <c r="A608" s="5">
        <v>46006</v>
      </c>
      <c r="B608" s="1" t="s">
        <v>46</v>
      </c>
      <c r="C608" s="2">
        <v>52800</v>
      </c>
    </row>
    <row r="609" spans="1:3" x14ac:dyDescent="0.25">
      <c r="A609" s="5">
        <v>46006</v>
      </c>
      <c r="B609" s="1" t="s">
        <v>46</v>
      </c>
      <c r="C609" s="2">
        <v>52800</v>
      </c>
    </row>
    <row r="610" spans="1:3" x14ac:dyDescent="0.25">
      <c r="A610" s="5">
        <v>41942</v>
      </c>
      <c r="B610" s="1" t="s">
        <v>282</v>
      </c>
      <c r="C610" s="2">
        <f>51405+1180</f>
        <v>52585</v>
      </c>
    </row>
    <row r="611" spans="1:3" x14ac:dyDescent="0.25">
      <c r="A611" s="5">
        <v>41788</v>
      </c>
      <c r="B611" s="1" t="s">
        <v>63</v>
      </c>
      <c r="C611" s="2">
        <f>52000+501</f>
        <v>52501</v>
      </c>
    </row>
    <row r="612" spans="1:3" x14ac:dyDescent="0.25">
      <c r="A612" s="5">
        <v>43416</v>
      </c>
      <c r="B612" s="1" t="s">
        <v>195</v>
      </c>
      <c r="C612" s="2">
        <f>55075-3000+300</f>
        <v>52375</v>
      </c>
    </row>
    <row r="613" spans="1:3" x14ac:dyDescent="0.25">
      <c r="A613" s="5">
        <v>43434</v>
      </c>
      <c r="B613" s="1" t="s">
        <v>124</v>
      </c>
      <c r="C613" s="2">
        <v>52350</v>
      </c>
    </row>
    <row r="614" spans="1:3" x14ac:dyDescent="0.25">
      <c r="A614" s="5">
        <v>42716</v>
      </c>
      <c r="B614" s="1" t="s">
        <v>249</v>
      </c>
      <c r="C614" s="2">
        <v>52250</v>
      </c>
    </row>
    <row r="615" spans="1:3" x14ac:dyDescent="0.25">
      <c r="A615" s="5">
        <v>41718</v>
      </c>
      <c r="B615" s="1" t="s">
        <v>276</v>
      </c>
      <c r="C615" s="2">
        <f>47300+4415.88</f>
        <v>51715.88</v>
      </c>
    </row>
    <row r="616" spans="1:3" x14ac:dyDescent="0.25">
      <c r="A616" s="5">
        <v>42167</v>
      </c>
      <c r="B616" s="1" t="s">
        <v>240</v>
      </c>
      <c r="C616" s="2">
        <v>51511</v>
      </c>
    </row>
    <row r="617" spans="1:3" x14ac:dyDescent="0.25">
      <c r="A617" s="5">
        <v>44552</v>
      </c>
      <c r="B617" s="1" t="s">
        <v>144</v>
      </c>
      <c r="C617" s="2">
        <f>47500+2475+1000</f>
        <v>50975</v>
      </c>
    </row>
    <row r="618" spans="1:3" x14ac:dyDescent="0.25">
      <c r="A618" s="5">
        <v>44552</v>
      </c>
      <c r="B618" s="1" t="s">
        <v>144</v>
      </c>
      <c r="C618" s="2">
        <f>47500+2475+1000</f>
        <v>50975</v>
      </c>
    </row>
    <row r="619" spans="1:3" x14ac:dyDescent="0.25">
      <c r="A619" s="5">
        <v>43861</v>
      </c>
      <c r="B619" s="1" t="s">
        <v>128</v>
      </c>
      <c r="C619" s="2">
        <v>50950</v>
      </c>
    </row>
    <row r="620" spans="1:3" x14ac:dyDescent="0.25">
      <c r="A620" s="5">
        <v>43769</v>
      </c>
      <c r="B620" s="1" t="s">
        <v>148</v>
      </c>
      <c r="C620" s="2">
        <f>27500+6625+2500+13975</f>
        <v>50600</v>
      </c>
    </row>
    <row r="621" spans="1:3" x14ac:dyDescent="0.25">
      <c r="A621" s="5">
        <v>43088</v>
      </c>
      <c r="B621" s="1" t="s">
        <v>128</v>
      </c>
      <c r="C621" s="2">
        <f>47965+2370</f>
        <v>50335</v>
      </c>
    </row>
    <row r="622" spans="1:3" x14ac:dyDescent="0.25">
      <c r="A622" s="5">
        <v>43088</v>
      </c>
      <c r="B622" s="1" t="s">
        <v>128</v>
      </c>
      <c r="C622" s="2">
        <f>47965+2370</f>
        <v>50335</v>
      </c>
    </row>
    <row r="623" spans="1:3" x14ac:dyDescent="0.25">
      <c r="A623" s="5">
        <v>43727</v>
      </c>
      <c r="B623" s="1" t="s">
        <v>148</v>
      </c>
      <c r="C623" s="2">
        <f>27350+21225+1700</f>
        <v>50275</v>
      </c>
    </row>
    <row r="624" spans="1:3" x14ac:dyDescent="0.25">
      <c r="A624" s="5">
        <v>43861</v>
      </c>
      <c r="B624" s="1" t="s">
        <v>128</v>
      </c>
      <c r="C624" s="2">
        <v>50250</v>
      </c>
    </row>
    <row r="625" spans="1:3" x14ac:dyDescent="0.25">
      <c r="A625" s="5">
        <v>44973</v>
      </c>
      <c r="B625" s="1" t="s">
        <v>75</v>
      </c>
      <c r="C625" s="2">
        <v>50250</v>
      </c>
    </row>
    <row r="626" spans="1:3" x14ac:dyDescent="0.25">
      <c r="A626" s="5">
        <v>44973</v>
      </c>
      <c r="B626" s="1" t="s">
        <v>75</v>
      </c>
      <c r="C626" s="2">
        <v>50250</v>
      </c>
    </row>
    <row r="627" spans="1:3" x14ac:dyDescent="0.25">
      <c r="A627" s="5">
        <v>44973</v>
      </c>
      <c r="B627" s="1" t="s">
        <v>75</v>
      </c>
      <c r="C627" s="2">
        <v>50250</v>
      </c>
    </row>
    <row r="628" spans="1:3" x14ac:dyDescent="0.25">
      <c r="A628" s="5">
        <v>44973</v>
      </c>
      <c r="B628" s="1" t="s">
        <v>75</v>
      </c>
      <c r="C628" s="2">
        <v>50250</v>
      </c>
    </row>
    <row r="629" spans="1:3" x14ac:dyDescent="0.25">
      <c r="A629" s="5">
        <v>44776</v>
      </c>
      <c r="B629" s="1" t="s">
        <v>109</v>
      </c>
      <c r="C629" s="2">
        <v>50000</v>
      </c>
    </row>
    <row r="630" spans="1:3" x14ac:dyDescent="0.25">
      <c r="A630" s="5">
        <v>43861</v>
      </c>
      <c r="B630" s="1" t="s">
        <v>128</v>
      </c>
      <c r="C630" s="2">
        <v>49950</v>
      </c>
    </row>
    <row r="631" spans="1:3" x14ac:dyDescent="0.25">
      <c r="A631" s="5">
        <v>43910</v>
      </c>
      <c r="B631" s="1" t="s">
        <v>148</v>
      </c>
      <c r="C631" s="2">
        <f>45650+4250</f>
        <v>49900</v>
      </c>
    </row>
    <row r="632" spans="1:3" x14ac:dyDescent="0.25">
      <c r="A632" s="5">
        <v>42716</v>
      </c>
      <c r="B632" s="1" t="s">
        <v>249</v>
      </c>
      <c r="C632" s="2">
        <v>49850</v>
      </c>
    </row>
    <row r="633" spans="1:3" x14ac:dyDescent="0.25">
      <c r="A633" s="5">
        <v>44389</v>
      </c>
      <c r="B633" s="1" t="s">
        <v>93</v>
      </c>
      <c r="C633" s="2">
        <f>18950+30875</f>
        <v>49825</v>
      </c>
    </row>
    <row r="634" spans="1:3" x14ac:dyDescent="0.25">
      <c r="A634" s="5">
        <v>41954</v>
      </c>
      <c r="B634" s="1" t="s">
        <v>280</v>
      </c>
      <c r="C634" s="2">
        <v>49338</v>
      </c>
    </row>
    <row r="635" spans="1:3" x14ac:dyDescent="0.25">
      <c r="A635" s="5">
        <v>43088</v>
      </c>
      <c r="B635" s="1" t="s">
        <v>128</v>
      </c>
      <c r="C635" s="2">
        <f>44600+4700</f>
        <v>49300</v>
      </c>
    </row>
    <row r="636" spans="1:3" x14ac:dyDescent="0.25">
      <c r="A636" s="5">
        <v>41794</v>
      </c>
      <c r="B636" s="1" t="s">
        <v>285</v>
      </c>
      <c r="C636" s="2">
        <v>49284</v>
      </c>
    </row>
    <row r="637" spans="1:3" x14ac:dyDescent="0.25">
      <c r="A637" s="5">
        <v>43139</v>
      </c>
      <c r="B637" s="1" t="s">
        <v>34</v>
      </c>
      <c r="C637" s="2">
        <f>44975+3425+650</f>
        <v>49050</v>
      </c>
    </row>
    <row r="638" spans="1:3" x14ac:dyDescent="0.25">
      <c r="A638" s="5">
        <v>43139</v>
      </c>
      <c r="B638" s="1" t="s">
        <v>80</v>
      </c>
      <c r="C638" s="2">
        <f>44975+3425+650</f>
        <v>49050</v>
      </c>
    </row>
    <row r="639" spans="1:3" x14ac:dyDescent="0.25">
      <c r="A639" s="5">
        <v>45247</v>
      </c>
      <c r="B639" s="1" t="s">
        <v>75</v>
      </c>
      <c r="C639" s="2">
        <v>48900</v>
      </c>
    </row>
    <row r="640" spans="1:3" x14ac:dyDescent="0.25">
      <c r="A640" s="5">
        <v>42915</v>
      </c>
      <c r="B640" s="1" t="s">
        <v>210</v>
      </c>
      <c r="C640" s="2">
        <f>46900+1975</f>
        <v>48875</v>
      </c>
    </row>
    <row r="641" spans="1:3" x14ac:dyDescent="0.25">
      <c r="A641" s="5">
        <v>43038</v>
      </c>
      <c r="B641" s="1" t="s">
        <v>153</v>
      </c>
      <c r="C641" s="2">
        <f>41090+3800+3885</f>
        <v>48775</v>
      </c>
    </row>
    <row r="642" spans="1:3" x14ac:dyDescent="0.25">
      <c r="A642" s="5">
        <v>44418</v>
      </c>
      <c r="B642" s="1" t="s">
        <v>119</v>
      </c>
      <c r="C642" s="2">
        <f>47250+1500</f>
        <v>48750</v>
      </c>
    </row>
    <row r="643" spans="1:3" x14ac:dyDescent="0.25">
      <c r="A643" s="5">
        <v>45247</v>
      </c>
      <c r="B643" s="1" t="s">
        <v>75</v>
      </c>
      <c r="C643" s="2">
        <v>48300</v>
      </c>
    </row>
    <row r="644" spans="1:3" x14ac:dyDescent="0.25">
      <c r="A644" s="5">
        <v>45247</v>
      </c>
      <c r="B644" s="1" t="s">
        <v>75</v>
      </c>
      <c r="C644" s="2">
        <v>48150</v>
      </c>
    </row>
    <row r="645" spans="1:3" x14ac:dyDescent="0.25">
      <c r="A645" s="5">
        <v>42983</v>
      </c>
      <c r="B645" s="1" t="s">
        <v>216</v>
      </c>
      <c r="C645" s="2">
        <v>47960</v>
      </c>
    </row>
    <row r="646" spans="1:3" x14ac:dyDescent="0.25">
      <c r="A646" s="5">
        <v>45526</v>
      </c>
      <c r="B646" s="1" t="s">
        <v>50</v>
      </c>
      <c r="C646" s="2">
        <f>45000+2750</f>
        <v>47750</v>
      </c>
    </row>
    <row r="647" spans="1:3" x14ac:dyDescent="0.25">
      <c r="A647" s="5">
        <v>42676</v>
      </c>
      <c r="B647" s="1" t="s">
        <v>156</v>
      </c>
      <c r="C647" s="2">
        <f>40620+6975</f>
        <v>47595</v>
      </c>
    </row>
    <row r="648" spans="1:3" x14ac:dyDescent="0.25">
      <c r="A648" s="5">
        <v>43913</v>
      </c>
      <c r="B648" s="1" t="s">
        <v>124</v>
      </c>
      <c r="C648" s="2">
        <f>46750+525</f>
        <v>47275</v>
      </c>
    </row>
    <row r="649" spans="1:3" x14ac:dyDescent="0.25">
      <c r="A649" s="5">
        <v>43913</v>
      </c>
      <c r="B649" s="1" t="s">
        <v>124</v>
      </c>
      <c r="C649" s="2">
        <f>46750+475</f>
        <v>47225</v>
      </c>
    </row>
    <row r="650" spans="1:3" x14ac:dyDescent="0.25">
      <c r="A650" s="5">
        <v>43068</v>
      </c>
      <c r="B650" s="1" t="s">
        <v>180</v>
      </c>
      <c r="C650" s="2">
        <f>45000+1000+1000</f>
        <v>47000</v>
      </c>
    </row>
    <row r="651" spans="1:3" x14ac:dyDescent="0.25">
      <c r="A651" s="5">
        <v>44048</v>
      </c>
      <c r="B651" s="1" t="s">
        <v>158</v>
      </c>
      <c r="C651" s="2">
        <f>45450+1500</f>
        <v>46950</v>
      </c>
    </row>
    <row r="652" spans="1:3" x14ac:dyDescent="0.25">
      <c r="A652" s="5">
        <v>42648</v>
      </c>
      <c r="B652" s="1" t="s">
        <v>156</v>
      </c>
      <c r="C652" s="2">
        <f>31350+15410</f>
        <v>46760</v>
      </c>
    </row>
    <row r="653" spans="1:3" x14ac:dyDescent="0.25">
      <c r="A653" s="5">
        <v>43861</v>
      </c>
      <c r="B653" s="1" t="s">
        <v>128</v>
      </c>
      <c r="C653" s="2">
        <v>46750</v>
      </c>
    </row>
    <row r="654" spans="1:3" x14ac:dyDescent="0.25">
      <c r="A654" s="5">
        <v>44837</v>
      </c>
      <c r="B654" s="1" t="s">
        <v>114</v>
      </c>
      <c r="C654" s="2">
        <v>46550</v>
      </c>
    </row>
    <row r="655" spans="1:3" x14ac:dyDescent="0.25">
      <c r="A655" s="5">
        <v>44776</v>
      </c>
      <c r="B655" s="1" t="s">
        <v>109</v>
      </c>
      <c r="C655" s="2">
        <v>46450</v>
      </c>
    </row>
    <row r="656" spans="1:3" x14ac:dyDescent="0.25">
      <c r="A656" s="5">
        <v>45247</v>
      </c>
      <c r="B656" s="1" t="s">
        <v>75</v>
      </c>
      <c r="C656" s="2">
        <v>46400</v>
      </c>
    </row>
    <row r="657" spans="1:3" x14ac:dyDescent="0.25">
      <c r="A657" s="5">
        <v>42445</v>
      </c>
      <c r="B657" s="1" t="s">
        <v>177</v>
      </c>
      <c r="C657" s="2">
        <f>43443+2900</f>
        <v>46343</v>
      </c>
    </row>
    <row r="658" spans="1:3" x14ac:dyDescent="0.25">
      <c r="A658" s="5">
        <v>42600</v>
      </c>
      <c r="B658" s="1" t="s">
        <v>236</v>
      </c>
      <c r="C658" s="2">
        <f>44985+1276</f>
        <v>46261</v>
      </c>
    </row>
    <row r="659" spans="1:3" x14ac:dyDescent="0.25">
      <c r="A659" s="5">
        <v>43644</v>
      </c>
      <c r="B659" s="1" t="s">
        <v>169</v>
      </c>
      <c r="C659" s="2">
        <f>45000+1250</f>
        <v>46250</v>
      </c>
    </row>
    <row r="660" spans="1:3" x14ac:dyDescent="0.25">
      <c r="A660" s="5">
        <v>43644</v>
      </c>
      <c r="B660" s="1" t="s">
        <v>169</v>
      </c>
      <c r="C660" s="2">
        <f>45000+1250</f>
        <v>46250</v>
      </c>
    </row>
    <row r="661" spans="1:3" x14ac:dyDescent="0.25">
      <c r="A661" s="5">
        <v>44273</v>
      </c>
      <c r="B661" s="1" t="s">
        <v>93</v>
      </c>
      <c r="C661" s="2">
        <f>39975+2000+4250</f>
        <v>46225</v>
      </c>
    </row>
    <row r="662" spans="1:3" x14ac:dyDescent="0.25">
      <c r="A662" s="5">
        <v>43088</v>
      </c>
      <c r="B662" s="1" t="s">
        <v>128</v>
      </c>
      <c r="C662" s="2">
        <f>42160+4050</f>
        <v>46210</v>
      </c>
    </row>
    <row r="663" spans="1:3" x14ac:dyDescent="0.25">
      <c r="A663" s="5">
        <v>44973</v>
      </c>
      <c r="B663" s="1" t="s">
        <v>75</v>
      </c>
      <c r="C663" s="2">
        <v>46200</v>
      </c>
    </row>
    <row r="664" spans="1:3" x14ac:dyDescent="0.25">
      <c r="A664" s="5">
        <v>46006</v>
      </c>
      <c r="B664" s="1" t="s">
        <v>46</v>
      </c>
      <c r="C664" s="2">
        <v>46200</v>
      </c>
    </row>
    <row r="665" spans="1:3" x14ac:dyDescent="0.25">
      <c r="A665" s="5">
        <v>46006</v>
      </c>
      <c r="B665" s="1" t="s">
        <v>46</v>
      </c>
      <c r="C665" s="2">
        <v>46200</v>
      </c>
    </row>
    <row r="666" spans="1:3" x14ac:dyDescent="0.25">
      <c r="A666" s="5">
        <v>43965</v>
      </c>
      <c r="B666" s="1" t="s">
        <v>8</v>
      </c>
      <c r="C666" s="2">
        <f>43875+2250</f>
        <v>46125</v>
      </c>
    </row>
    <row r="667" spans="1:3" x14ac:dyDescent="0.25">
      <c r="A667" s="5">
        <v>41806</v>
      </c>
      <c r="B667" s="1" t="s">
        <v>289</v>
      </c>
      <c r="C667" s="2">
        <f>45069+992</f>
        <v>46061</v>
      </c>
    </row>
    <row r="668" spans="1:3" x14ac:dyDescent="0.25">
      <c r="A668" s="5">
        <v>43068</v>
      </c>
      <c r="B668" s="1" t="s">
        <v>180</v>
      </c>
      <c r="C668" s="2">
        <f>45000+1000</f>
        <v>46000</v>
      </c>
    </row>
    <row r="669" spans="1:3" x14ac:dyDescent="0.25">
      <c r="A669" s="5">
        <v>43068</v>
      </c>
      <c r="B669" s="1" t="s">
        <v>180</v>
      </c>
      <c r="C669" s="2">
        <f>45000+1000</f>
        <v>46000</v>
      </c>
    </row>
    <row r="670" spans="1:3" x14ac:dyDescent="0.25">
      <c r="A670" s="5">
        <v>42716</v>
      </c>
      <c r="B670" s="1" t="s">
        <v>249</v>
      </c>
      <c r="C670" s="2">
        <v>45975</v>
      </c>
    </row>
    <row r="671" spans="1:3" x14ac:dyDescent="0.25">
      <c r="A671" s="5">
        <v>45099</v>
      </c>
      <c r="B671" s="1" t="s">
        <v>87</v>
      </c>
      <c r="C671" s="2">
        <f>43000+2900</f>
        <v>45900</v>
      </c>
    </row>
    <row r="672" spans="1:3" x14ac:dyDescent="0.25">
      <c r="A672" s="5">
        <v>42913</v>
      </c>
      <c r="B672" s="1" t="s">
        <v>209</v>
      </c>
      <c r="C672" s="2">
        <f>44600+1200</f>
        <v>45800</v>
      </c>
    </row>
    <row r="673" spans="1:3" x14ac:dyDescent="0.25">
      <c r="A673" s="5">
        <v>43088</v>
      </c>
      <c r="B673" s="1" t="s">
        <v>128</v>
      </c>
      <c r="C673" s="2">
        <f>5837.5+11675+11675+11675+11675+5837.5-12598.94</f>
        <v>45776.06</v>
      </c>
    </row>
    <row r="674" spans="1:3" x14ac:dyDescent="0.25">
      <c r="A674" s="5">
        <v>44048</v>
      </c>
      <c r="B674" s="1" t="s">
        <v>158</v>
      </c>
      <c r="C674" s="2">
        <f>44250+1500</f>
        <v>45750</v>
      </c>
    </row>
    <row r="675" spans="1:3" x14ac:dyDescent="0.25">
      <c r="A675" s="5">
        <v>43441</v>
      </c>
      <c r="B675" s="1" t="s">
        <v>180</v>
      </c>
      <c r="C675" s="2">
        <f>41975+600+3050</f>
        <v>45625</v>
      </c>
    </row>
    <row r="676" spans="1:3" x14ac:dyDescent="0.25">
      <c r="A676" s="5">
        <v>43088</v>
      </c>
      <c r="B676" s="1" t="s">
        <v>128</v>
      </c>
      <c r="C676" s="2">
        <f>41120+4450</f>
        <v>45570</v>
      </c>
    </row>
    <row r="677" spans="1:3" x14ac:dyDescent="0.25">
      <c r="A677" s="5">
        <v>43563</v>
      </c>
      <c r="B677" s="1" t="s">
        <v>63</v>
      </c>
      <c r="C677" s="2">
        <f>40775+4000+775</f>
        <v>45550</v>
      </c>
    </row>
    <row r="678" spans="1:3" x14ac:dyDescent="0.25">
      <c r="A678" s="5">
        <v>43563</v>
      </c>
      <c r="B678" s="1" t="s">
        <v>63</v>
      </c>
      <c r="C678" s="2">
        <f>40775+4000+775</f>
        <v>45550</v>
      </c>
    </row>
    <row r="679" spans="1:3" x14ac:dyDescent="0.25">
      <c r="A679" s="5">
        <v>43563</v>
      </c>
      <c r="B679" s="1" t="s">
        <v>63</v>
      </c>
      <c r="C679" s="2">
        <f>40775+4000+775</f>
        <v>45550</v>
      </c>
    </row>
    <row r="680" spans="1:3" x14ac:dyDescent="0.25">
      <c r="A680" s="5">
        <v>43563</v>
      </c>
      <c r="B680" s="1" t="s">
        <v>63</v>
      </c>
      <c r="C680" s="2">
        <f>40775+4000+775</f>
        <v>45550</v>
      </c>
    </row>
    <row r="681" spans="1:3" x14ac:dyDescent="0.25">
      <c r="A681" s="5">
        <v>44350</v>
      </c>
      <c r="B681" s="1" t="s">
        <v>129</v>
      </c>
      <c r="C681" s="2">
        <f>44500+950</f>
        <v>45450</v>
      </c>
    </row>
    <row r="682" spans="1:3" x14ac:dyDescent="0.25">
      <c r="A682" s="5">
        <v>44700</v>
      </c>
      <c r="B682" s="1" t="s">
        <v>101</v>
      </c>
      <c r="C682" s="2">
        <v>45400</v>
      </c>
    </row>
    <row r="683" spans="1:3" x14ac:dyDescent="0.25">
      <c r="A683" s="5">
        <v>41806</v>
      </c>
      <c r="B683" s="1" t="s">
        <v>289</v>
      </c>
      <c r="C683" s="2">
        <f>41536+3843</f>
        <v>45379</v>
      </c>
    </row>
    <row r="684" spans="1:3" x14ac:dyDescent="0.25">
      <c r="A684" s="5">
        <v>43913</v>
      </c>
      <c r="B684" s="1" t="s">
        <v>124</v>
      </c>
      <c r="C684" s="2">
        <f>44500+525</f>
        <v>45025</v>
      </c>
    </row>
    <row r="685" spans="1:3" x14ac:dyDescent="0.25">
      <c r="A685" s="5">
        <v>42145</v>
      </c>
      <c r="B685" s="1" t="s">
        <v>262</v>
      </c>
      <c r="C685" s="2">
        <v>45000</v>
      </c>
    </row>
    <row r="686" spans="1:3" x14ac:dyDescent="0.25">
      <c r="A686" s="5">
        <v>43644</v>
      </c>
      <c r="B686" s="1" t="s">
        <v>169</v>
      </c>
      <c r="C686" s="2">
        <v>45000</v>
      </c>
    </row>
    <row r="687" spans="1:3" x14ac:dyDescent="0.25">
      <c r="A687" s="5">
        <v>43644</v>
      </c>
      <c r="B687" s="1" t="s">
        <v>169</v>
      </c>
      <c r="C687" s="2">
        <v>45000</v>
      </c>
    </row>
    <row r="688" spans="1:3" x14ac:dyDescent="0.25">
      <c r="A688" s="5">
        <v>43913</v>
      </c>
      <c r="B688" s="1" t="s">
        <v>124</v>
      </c>
      <c r="C688" s="2">
        <f>44500+475</f>
        <v>44975</v>
      </c>
    </row>
    <row r="689" spans="1:3" x14ac:dyDescent="0.25">
      <c r="A689" s="5">
        <v>45693</v>
      </c>
      <c r="B689" s="1" t="s">
        <v>9</v>
      </c>
      <c r="C689" s="2">
        <f>44250+400</f>
        <v>44650</v>
      </c>
    </row>
    <row r="690" spans="1:3" x14ac:dyDescent="0.25">
      <c r="A690" s="5">
        <v>43861</v>
      </c>
      <c r="B690" s="1" t="s">
        <v>128</v>
      </c>
      <c r="C690" s="2">
        <v>44350</v>
      </c>
    </row>
    <row r="691" spans="1:3" x14ac:dyDescent="0.25">
      <c r="A691" s="5">
        <v>44816</v>
      </c>
      <c r="B691" s="1" t="s">
        <v>111</v>
      </c>
      <c r="C691" s="2">
        <v>44325</v>
      </c>
    </row>
    <row r="692" spans="1:3" x14ac:dyDescent="0.25">
      <c r="A692" s="5">
        <v>43088</v>
      </c>
      <c r="B692" s="1" t="s">
        <v>128</v>
      </c>
      <c r="C692" s="2">
        <f>41935+1825</f>
        <v>43760</v>
      </c>
    </row>
    <row r="693" spans="1:3" x14ac:dyDescent="0.25">
      <c r="A693" s="5">
        <v>43913</v>
      </c>
      <c r="B693" s="1" t="s">
        <v>124</v>
      </c>
      <c r="C693" s="2">
        <f>43000+600</f>
        <v>43600</v>
      </c>
    </row>
    <row r="694" spans="1:3" x14ac:dyDescent="0.25">
      <c r="A694" s="5">
        <v>43147</v>
      </c>
      <c r="B694" s="1" t="s">
        <v>181</v>
      </c>
      <c r="C694" s="2">
        <f>37975+4600+1000</f>
        <v>43575</v>
      </c>
    </row>
    <row r="695" spans="1:3" x14ac:dyDescent="0.25">
      <c r="A695" s="5">
        <v>43668</v>
      </c>
      <c r="B695" s="1" t="s">
        <v>160</v>
      </c>
      <c r="C695" s="2">
        <f>42500+1050</f>
        <v>43550</v>
      </c>
    </row>
    <row r="696" spans="1:3" x14ac:dyDescent="0.25">
      <c r="A696" s="5">
        <v>43913</v>
      </c>
      <c r="B696" s="1" t="s">
        <v>124</v>
      </c>
      <c r="C696" s="2">
        <f>43000+525</f>
        <v>43525</v>
      </c>
    </row>
    <row r="697" spans="1:3" x14ac:dyDescent="0.25">
      <c r="A697" s="5">
        <v>45043</v>
      </c>
      <c r="B697" s="1" t="s">
        <v>80</v>
      </c>
      <c r="C697" s="2">
        <f>42000+1500</f>
        <v>43500</v>
      </c>
    </row>
    <row r="698" spans="1:3" x14ac:dyDescent="0.25">
      <c r="A698" s="5">
        <v>42716</v>
      </c>
      <c r="B698" s="1" t="s">
        <v>249</v>
      </c>
      <c r="C698" s="2">
        <v>43263</v>
      </c>
    </row>
    <row r="699" spans="1:3" x14ac:dyDescent="0.25">
      <c r="A699" s="5">
        <v>44218</v>
      </c>
      <c r="B699" s="1" t="s">
        <v>121</v>
      </c>
      <c r="C699" s="2">
        <f>36250+5500+1500</f>
        <v>43250</v>
      </c>
    </row>
    <row r="700" spans="1:3" x14ac:dyDescent="0.25">
      <c r="A700" s="5">
        <v>44799</v>
      </c>
      <c r="B700" s="1" t="s">
        <v>87</v>
      </c>
      <c r="C700" s="2">
        <v>43125</v>
      </c>
    </row>
    <row r="701" spans="1:3" x14ac:dyDescent="0.25">
      <c r="A701" s="5">
        <v>43854</v>
      </c>
      <c r="B701" s="1" t="s">
        <v>148</v>
      </c>
      <c r="C701" s="2">
        <f>39450+3500</f>
        <v>42950</v>
      </c>
    </row>
    <row r="702" spans="1:3" x14ac:dyDescent="0.25">
      <c r="A702" s="5">
        <v>41806</v>
      </c>
      <c r="B702" s="1" t="s">
        <v>289</v>
      </c>
      <c r="C702" s="2">
        <f>41149+1666</f>
        <v>42815</v>
      </c>
    </row>
    <row r="703" spans="1:3" x14ac:dyDescent="0.25">
      <c r="A703" s="5">
        <v>41955</v>
      </c>
      <c r="B703" s="1" t="s">
        <v>208</v>
      </c>
      <c r="C703" s="2">
        <v>42705</v>
      </c>
    </row>
    <row r="704" spans="1:3" x14ac:dyDescent="0.25">
      <c r="A704" s="5">
        <v>42065</v>
      </c>
      <c r="B704" s="1" t="s">
        <v>259</v>
      </c>
      <c r="C704" s="2">
        <v>42622</v>
      </c>
    </row>
    <row r="705" spans="1:3" x14ac:dyDescent="0.25">
      <c r="A705" s="5">
        <v>44837</v>
      </c>
      <c r="B705" s="1" t="s">
        <v>114</v>
      </c>
      <c r="C705" s="2">
        <v>42500</v>
      </c>
    </row>
    <row r="706" spans="1:3" x14ac:dyDescent="0.25">
      <c r="A706" s="5">
        <v>45519</v>
      </c>
      <c r="B706" s="1" t="s">
        <v>64</v>
      </c>
      <c r="C706" s="2">
        <f>41500+900</f>
        <v>42400</v>
      </c>
    </row>
    <row r="707" spans="1:3" x14ac:dyDescent="0.25">
      <c r="A707" s="5">
        <v>43339</v>
      </c>
      <c r="B707" s="1" t="s">
        <v>128</v>
      </c>
      <c r="C707" s="2">
        <f>41975+400</f>
        <v>42375</v>
      </c>
    </row>
    <row r="708" spans="1:3" x14ac:dyDescent="0.25">
      <c r="A708" s="5">
        <v>45082</v>
      </c>
      <c r="B708" s="1" t="s">
        <v>86</v>
      </c>
      <c r="C708" s="2">
        <v>42300</v>
      </c>
    </row>
    <row r="709" spans="1:3" x14ac:dyDescent="0.25">
      <c r="A709" s="5">
        <v>43543</v>
      </c>
      <c r="B709" s="1" t="s">
        <v>166</v>
      </c>
      <c r="C709" s="2">
        <v>42150</v>
      </c>
    </row>
    <row r="710" spans="1:3" x14ac:dyDescent="0.25">
      <c r="A710" s="5">
        <v>44676</v>
      </c>
      <c r="B710" s="1" t="s">
        <v>98</v>
      </c>
      <c r="C710" s="2">
        <v>42150</v>
      </c>
    </row>
    <row r="711" spans="1:3" x14ac:dyDescent="0.25">
      <c r="A711" s="5">
        <v>42454</v>
      </c>
      <c r="B711" s="1" t="s">
        <v>226</v>
      </c>
      <c r="C711" s="2">
        <f>40732+1415</f>
        <v>42147</v>
      </c>
    </row>
    <row r="712" spans="1:3" x14ac:dyDescent="0.25">
      <c r="A712" s="5">
        <v>44799</v>
      </c>
      <c r="B712" s="1" t="s">
        <v>87</v>
      </c>
      <c r="C712" s="2">
        <v>42125</v>
      </c>
    </row>
    <row r="713" spans="1:3" x14ac:dyDescent="0.25">
      <c r="A713" s="5">
        <v>41806</v>
      </c>
      <c r="B713" s="1" t="s">
        <v>289</v>
      </c>
      <c r="C713" s="2">
        <f>41964+53</f>
        <v>42017</v>
      </c>
    </row>
    <row r="714" spans="1:3" x14ac:dyDescent="0.25">
      <c r="A714" s="5">
        <v>45176</v>
      </c>
      <c r="B714" s="1" t="s">
        <v>90</v>
      </c>
      <c r="C714" s="2">
        <f>41250+700</f>
        <v>41950</v>
      </c>
    </row>
    <row r="715" spans="1:3" x14ac:dyDescent="0.25">
      <c r="A715" s="5">
        <v>41789</v>
      </c>
      <c r="B715" s="1" t="s">
        <v>284</v>
      </c>
      <c r="C715" s="2">
        <v>41913</v>
      </c>
    </row>
    <row r="716" spans="1:3" x14ac:dyDescent="0.25">
      <c r="A716" s="5">
        <v>42716</v>
      </c>
      <c r="B716" s="1" t="s">
        <v>249</v>
      </c>
      <c r="C716" s="2">
        <v>41700</v>
      </c>
    </row>
    <row r="717" spans="1:3" x14ac:dyDescent="0.25">
      <c r="A717" s="5">
        <v>42716</v>
      </c>
      <c r="B717" s="1" t="s">
        <v>249</v>
      </c>
      <c r="C717" s="2">
        <v>41475</v>
      </c>
    </row>
    <row r="718" spans="1:3" x14ac:dyDescent="0.25">
      <c r="A718" s="5">
        <v>43532</v>
      </c>
      <c r="B718" s="1" t="s">
        <v>100</v>
      </c>
      <c r="C718" s="2">
        <f>40550+650+210</f>
        <v>41410</v>
      </c>
    </row>
    <row r="719" spans="1:3" x14ac:dyDescent="0.25">
      <c r="A719" s="5">
        <v>44910</v>
      </c>
      <c r="B719" s="1" t="s">
        <v>120</v>
      </c>
      <c r="C719" s="2">
        <v>41250</v>
      </c>
    </row>
    <row r="720" spans="1:3" x14ac:dyDescent="0.25">
      <c r="A720" s="5">
        <v>42053</v>
      </c>
      <c r="B720" s="1" t="s">
        <v>257</v>
      </c>
      <c r="C720" s="2">
        <f>39456+1600</f>
        <v>41056</v>
      </c>
    </row>
    <row r="721" spans="1:3" x14ac:dyDescent="0.25">
      <c r="A721" s="5">
        <v>42053</v>
      </c>
      <c r="B721" s="1" t="s">
        <v>257</v>
      </c>
      <c r="C721" s="2">
        <f>39456+1600</f>
        <v>41056</v>
      </c>
    </row>
    <row r="722" spans="1:3" x14ac:dyDescent="0.25">
      <c r="A722" s="5">
        <v>42053</v>
      </c>
      <c r="B722" s="1" t="s">
        <v>257</v>
      </c>
      <c r="C722" s="2">
        <f>39456+1600</f>
        <v>41056</v>
      </c>
    </row>
    <row r="723" spans="1:3" x14ac:dyDescent="0.25">
      <c r="A723" s="5">
        <v>42691</v>
      </c>
      <c r="B723" s="1" t="s">
        <v>246</v>
      </c>
      <c r="C723" s="2">
        <v>40845</v>
      </c>
    </row>
    <row r="724" spans="1:3" x14ac:dyDescent="0.25">
      <c r="A724" s="5">
        <v>42885</v>
      </c>
      <c r="B724" s="1" t="s">
        <v>202</v>
      </c>
      <c r="C724" s="2">
        <v>40775</v>
      </c>
    </row>
    <row r="725" spans="1:3" x14ac:dyDescent="0.25">
      <c r="A725" s="5">
        <v>42312</v>
      </c>
      <c r="B725" s="1" t="s">
        <v>268</v>
      </c>
      <c r="C725" s="2">
        <v>40749</v>
      </c>
    </row>
    <row r="726" spans="1:3" x14ac:dyDescent="0.25">
      <c r="A726" s="5">
        <v>42312</v>
      </c>
      <c r="B726" s="1" t="s">
        <v>268</v>
      </c>
      <c r="C726" s="2">
        <v>40749</v>
      </c>
    </row>
    <row r="727" spans="1:3" x14ac:dyDescent="0.25">
      <c r="A727" s="5">
        <v>42312</v>
      </c>
      <c r="B727" s="1" t="s">
        <v>268</v>
      </c>
      <c r="C727" s="2">
        <v>40749</v>
      </c>
    </row>
    <row r="728" spans="1:3" x14ac:dyDescent="0.25">
      <c r="A728" s="5">
        <v>43754</v>
      </c>
      <c r="B728" s="1" t="s">
        <v>176</v>
      </c>
      <c r="C728" s="2">
        <f>34750+400+1000+1000+3100</f>
        <v>40250</v>
      </c>
    </row>
    <row r="729" spans="1:3" x14ac:dyDescent="0.25">
      <c r="A729" s="5">
        <v>44858</v>
      </c>
      <c r="B729" s="1" t="s">
        <v>77</v>
      </c>
      <c r="C729" s="2">
        <v>40200</v>
      </c>
    </row>
    <row r="730" spans="1:3" x14ac:dyDescent="0.25">
      <c r="A730" s="5">
        <v>42065</v>
      </c>
      <c r="B730" s="1" t="s">
        <v>259</v>
      </c>
      <c r="C730" s="2">
        <v>40198</v>
      </c>
    </row>
    <row r="731" spans="1:3" x14ac:dyDescent="0.25">
      <c r="A731" s="5">
        <v>44907</v>
      </c>
      <c r="B731" s="1" t="s">
        <v>81</v>
      </c>
      <c r="C731" s="2">
        <v>39850</v>
      </c>
    </row>
    <row r="732" spans="1:3" x14ac:dyDescent="0.25">
      <c r="A732" s="5">
        <v>45247</v>
      </c>
      <c r="B732" s="1" t="s">
        <v>75</v>
      </c>
      <c r="C732" s="2">
        <v>39750</v>
      </c>
    </row>
    <row r="733" spans="1:3" x14ac:dyDescent="0.25">
      <c r="A733" s="5">
        <v>42411</v>
      </c>
      <c r="B733" s="1" t="s">
        <v>224</v>
      </c>
      <c r="C733" s="2">
        <f>24483+13938+1200</f>
        <v>39621</v>
      </c>
    </row>
    <row r="734" spans="1:3" x14ac:dyDescent="0.25">
      <c r="A734" s="5">
        <v>46006</v>
      </c>
      <c r="B734" s="1" t="s">
        <v>46</v>
      </c>
      <c r="C734" s="2">
        <v>39600</v>
      </c>
    </row>
    <row r="735" spans="1:3" x14ac:dyDescent="0.25">
      <c r="A735" s="5">
        <v>46006</v>
      </c>
      <c r="B735" s="1" t="s">
        <v>46</v>
      </c>
      <c r="C735" s="2">
        <v>39600</v>
      </c>
    </row>
    <row r="736" spans="1:3" x14ac:dyDescent="0.25">
      <c r="A736" s="5">
        <v>42648</v>
      </c>
      <c r="B736" s="1" t="s">
        <v>156</v>
      </c>
      <c r="C736" s="2">
        <f>38730+685</f>
        <v>39415</v>
      </c>
    </row>
    <row r="737" spans="1:3" x14ac:dyDescent="0.25">
      <c r="A737" s="5">
        <v>44174</v>
      </c>
      <c r="B737" s="1" t="s">
        <v>61</v>
      </c>
      <c r="C737" s="2">
        <f>38500+750</f>
        <v>39250</v>
      </c>
    </row>
    <row r="738" spans="1:3" x14ac:dyDescent="0.25">
      <c r="A738" s="5">
        <v>44174</v>
      </c>
      <c r="B738" s="1" t="s">
        <v>61</v>
      </c>
      <c r="C738" s="2">
        <f>38500+750</f>
        <v>39250</v>
      </c>
    </row>
    <row r="739" spans="1:3" x14ac:dyDescent="0.25">
      <c r="A739" s="5">
        <v>42716</v>
      </c>
      <c r="B739" s="1" t="s">
        <v>249</v>
      </c>
      <c r="C739" s="2">
        <f>36775+2290</f>
        <v>39065</v>
      </c>
    </row>
    <row r="740" spans="1:3" x14ac:dyDescent="0.25">
      <c r="A740" s="5">
        <v>43697</v>
      </c>
      <c r="B740" s="1" t="s">
        <v>100</v>
      </c>
      <c r="C740" s="2">
        <f>37750+1250</f>
        <v>39000</v>
      </c>
    </row>
    <row r="741" spans="1:3" x14ac:dyDescent="0.25">
      <c r="A741" s="5">
        <v>44371</v>
      </c>
      <c r="B741" s="1" t="s">
        <v>63</v>
      </c>
      <c r="C741" s="2">
        <f>37975+1000</f>
        <v>38975</v>
      </c>
    </row>
    <row r="742" spans="1:3" x14ac:dyDescent="0.25">
      <c r="A742" s="5">
        <v>45247</v>
      </c>
      <c r="B742" s="1" t="s">
        <v>75</v>
      </c>
      <c r="C742" s="2">
        <v>38700</v>
      </c>
    </row>
    <row r="743" spans="1:3" x14ac:dyDescent="0.25">
      <c r="A743" s="5">
        <v>44412</v>
      </c>
      <c r="B743" s="1" t="s">
        <v>135</v>
      </c>
      <c r="C743" s="2">
        <f>37150+1500</f>
        <v>38650</v>
      </c>
    </row>
    <row r="744" spans="1:3" x14ac:dyDescent="0.25">
      <c r="A744" s="5">
        <v>45752</v>
      </c>
      <c r="B744" s="1" t="s">
        <v>16</v>
      </c>
      <c r="C744" s="2">
        <v>38525</v>
      </c>
    </row>
    <row r="745" spans="1:3" x14ac:dyDescent="0.25">
      <c r="A745" s="5">
        <v>41796</v>
      </c>
      <c r="B745" s="1" t="s">
        <v>286</v>
      </c>
      <c r="C745" s="2">
        <f>38228+213</f>
        <v>38441</v>
      </c>
    </row>
    <row r="746" spans="1:3" x14ac:dyDescent="0.25">
      <c r="A746" s="5">
        <v>41796</v>
      </c>
      <c r="B746" s="1" t="s">
        <v>286</v>
      </c>
      <c r="C746" s="2">
        <f>38228+213</f>
        <v>38441</v>
      </c>
    </row>
    <row r="747" spans="1:3" x14ac:dyDescent="0.25">
      <c r="A747" s="5">
        <v>41796</v>
      </c>
      <c r="B747" s="1" t="s">
        <v>286</v>
      </c>
      <c r="C747" s="2">
        <f>38228+213</f>
        <v>38441</v>
      </c>
    </row>
    <row r="748" spans="1:3" x14ac:dyDescent="0.25">
      <c r="A748" s="5">
        <v>41796</v>
      </c>
      <c r="B748" s="1" t="s">
        <v>286</v>
      </c>
      <c r="C748" s="2">
        <f>38228+213</f>
        <v>38441</v>
      </c>
    </row>
    <row r="749" spans="1:3" x14ac:dyDescent="0.25">
      <c r="A749" s="5">
        <v>41796</v>
      </c>
      <c r="B749" s="1" t="s">
        <v>286</v>
      </c>
      <c r="C749" s="2">
        <f>38228+213</f>
        <v>38441</v>
      </c>
    </row>
    <row r="750" spans="1:3" x14ac:dyDescent="0.25">
      <c r="A750" s="5">
        <v>41796</v>
      </c>
      <c r="B750" s="1" t="s">
        <v>286</v>
      </c>
      <c r="C750" s="2">
        <f>38228+213</f>
        <v>38441</v>
      </c>
    </row>
    <row r="751" spans="1:3" x14ac:dyDescent="0.25">
      <c r="A751" s="5">
        <v>41796</v>
      </c>
      <c r="B751" s="1" t="s">
        <v>286</v>
      </c>
      <c r="C751" s="2">
        <f>38228+213</f>
        <v>38441</v>
      </c>
    </row>
    <row r="752" spans="1:3" x14ac:dyDescent="0.25">
      <c r="A752" s="5">
        <v>41796</v>
      </c>
      <c r="B752" s="1" t="s">
        <v>286</v>
      </c>
      <c r="C752" s="2">
        <f>38228+213</f>
        <v>38441</v>
      </c>
    </row>
    <row r="753" spans="1:3" x14ac:dyDescent="0.25">
      <c r="A753" s="5">
        <v>41796</v>
      </c>
      <c r="B753" s="1" t="s">
        <v>286</v>
      </c>
      <c r="C753" s="2">
        <f>38228+213</f>
        <v>38441</v>
      </c>
    </row>
    <row r="754" spans="1:3" x14ac:dyDescent="0.25">
      <c r="A754" s="5">
        <v>41796</v>
      </c>
      <c r="B754" s="1" t="s">
        <v>286</v>
      </c>
      <c r="C754" s="2">
        <f>38228+213</f>
        <v>38441</v>
      </c>
    </row>
    <row r="755" spans="1:3" x14ac:dyDescent="0.25">
      <c r="A755" s="5">
        <v>45068</v>
      </c>
      <c r="B755" s="1" t="s">
        <v>81</v>
      </c>
      <c r="C755" s="2">
        <f>37500+900</f>
        <v>38400</v>
      </c>
    </row>
    <row r="756" spans="1:3" x14ac:dyDescent="0.25">
      <c r="A756" s="5">
        <v>45068</v>
      </c>
      <c r="B756" s="1" t="s">
        <v>81</v>
      </c>
      <c r="C756" s="2">
        <f>37500+900</f>
        <v>38400</v>
      </c>
    </row>
    <row r="757" spans="1:3" x14ac:dyDescent="0.25">
      <c r="A757" s="5">
        <v>43727</v>
      </c>
      <c r="B757" s="1" t="s">
        <v>148</v>
      </c>
      <c r="C757" s="2">
        <f>22525+2450+12425+850</f>
        <v>38250</v>
      </c>
    </row>
    <row r="758" spans="1:3" x14ac:dyDescent="0.25">
      <c r="A758" s="5">
        <v>42716</v>
      </c>
      <c r="B758" s="1" t="s">
        <v>249</v>
      </c>
      <c r="C758" s="2">
        <v>38225</v>
      </c>
    </row>
    <row r="759" spans="1:3" x14ac:dyDescent="0.25">
      <c r="A759" s="5">
        <v>43857</v>
      </c>
      <c r="B759" s="1" t="s">
        <v>150</v>
      </c>
      <c r="C759" s="2">
        <f>37000+850</f>
        <v>37850</v>
      </c>
    </row>
    <row r="760" spans="1:3" x14ac:dyDescent="0.25">
      <c r="A760" s="5">
        <v>42131</v>
      </c>
      <c r="B760" s="1" t="s">
        <v>40</v>
      </c>
      <c r="C760" s="2">
        <f>35582+2178</f>
        <v>37760</v>
      </c>
    </row>
    <row r="761" spans="1:3" x14ac:dyDescent="0.25">
      <c r="A761" s="5">
        <v>44652</v>
      </c>
      <c r="B761" s="1" t="s">
        <v>97</v>
      </c>
      <c r="C761" s="2">
        <v>37750</v>
      </c>
    </row>
    <row r="762" spans="1:3" x14ac:dyDescent="0.25">
      <c r="A762" s="5">
        <v>44652</v>
      </c>
      <c r="B762" s="1" t="s">
        <v>97</v>
      </c>
      <c r="C762" s="2">
        <v>37750</v>
      </c>
    </row>
    <row r="763" spans="1:3" x14ac:dyDescent="0.25">
      <c r="A763" s="5">
        <v>44552</v>
      </c>
      <c r="B763" s="1" t="s">
        <v>144</v>
      </c>
      <c r="C763" s="2">
        <f>30750+2000+4206+750</f>
        <v>37706</v>
      </c>
    </row>
    <row r="764" spans="1:3" x14ac:dyDescent="0.25">
      <c r="A764" s="5">
        <v>41926</v>
      </c>
      <c r="B764" s="1" t="s">
        <v>297</v>
      </c>
      <c r="C764" s="2">
        <v>37694</v>
      </c>
    </row>
    <row r="765" spans="1:3" x14ac:dyDescent="0.25">
      <c r="A765" s="5">
        <v>43145</v>
      </c>
      <c r="B765" s="1" t="s">
        <v>100</v>
      </c>
      <c r="C765" s="2">
        <f>27850+7400+500+1550</f>
        <v>37300</v>
      </c>
    </row>
    <row r="766" spans="1:3" x14ac:dyDescent="0.25">
      <c r="A766" s="5">
        <v>45247</v>
      </c>
      <c r="B766" s="1" t="s">
        <v>75</v>
      </c>
      <c r="C766" s="2">
        <v>37200</v>
      </c>
    </row>
    <row r="767" spans="1:3" x14ac:dyDescent="0.25">
      <c r="A767" s="5">
        <v>41898</v>
      </c>
      <c r="B767" s="1" t="s">
        <v>255</v>
      </c>
      <c r="C767" s="2">
        <v>36954</v>
      </c>
    </row>
    <row r="768" spans="1:3" x14ac:dyDescent="0.25">
      <c r="A768" s="5">
        <v>43088</v>
      </c>
      <c r="B768" s="1" t="s">
        <v>128</v>
      </c>
      <c r="C768" s="2">
        <f>31285+5550</f>
        <v>36835</v>
      </c>
    </row>
    <row r="769" spans="1:3" x14ac:dyDescent="0.25">
      <c r="A769" s="5">
        <v>45315</v>
      </c>
      <c r="B769" s="1" t="s">
        <v>48</v>
      </c>
      <c r="C769" s="2">
        <f>31000+4000+1500</f>
        <v>36500</v>
      </c>
    </row>
    <row r="770" spans="1:3" x14ac:dyDescent="0.25">
      <c r="A770" s="5">
        <v>43727</v>
      </c>
      <c r="B770" s="1" t="s">
        <v>148</v>
      </c>
      <c r="C770" s="2">
        <v>36300</v>
      </c>
    </row>
    <row r="771" spans="1:3" x14ac:dyDescent="0.25">
      <c r="A771" s="5">
        <v>44700</v>
      </c>
      <c r="B771" s="1" t="s">
        <v>101</v>
      </c>
      <c r="C771" s="2">
        <v>36200</v>
      </c>
    </row>
    <row r="772" spans="1:3" x14ac:dyDescent="0.25">
      <c r="A772" s="5">
        <v>41649</v>
      </c>
      <c r="B772" s="1" t="s">
        <v>270</v>
      </c>
      <c r="C772" s="2">
        <f>34900+1100</f>
        <v>36000</v>
      </c>
    </row>
    <row r="773" spans="1:3" x14ac:dyDescent="0.25">
      <c r="A773" s="5">
        <v>42058</v>
      </c>
      <c r="B773" s="1" t="s">
        <v>258</v>
      </c>
      <c r="C773" s="2">
        <v>35948</v>
      </c>
    </row>
    <row r="774" spans="1:3" x14ac:dyDescent="0.25">
      <c r="A774" s="5">
        <v>42058</v>
      </c>
      <c r="B774" s="1" t="s">
        <v>258</v>
      </c>
      <c r="C774" s="2">
        <v>35948</v>
      </c>
    </row>
    <row r="775" spans="1:3" x14ac:dyDescent="0.25">
      <c r="A775" s="5">
        <v>43339</v>
      </c>
      <c r="B775" s="1" t="s">
        <v>128</v>
      </c>
      <c r="C775" s="2">
        <f>35400+400</f>
        <v>35800</v>
      </c>
    </row>
    <row r="776" spans="1:3" x14ac:dyDescent="0.25">
      <c r="A776" s="5">
        <v>43727</v>
      </c>
      <c r="B776" s="1" t="s">
        <v>148</v>
      </c>
      <c r="C776" s="2">
        <f>25725+9150+925</f>
        <v>35800</v>
      </c>
    </row>
    <row r="777" spans="1:3" x14ac:dyDescent="0.25">
      <c r="A777" s="5">
        <v>45359</v>
      </c>
      <c r="B777" s="1" t="s">
        <v>52</v>
      </c>
      <c r="C777" s="2">
        <v>35750</v>
      </c>
    </row>
    <row r="778" spans="1:3" x14ac:dyDescent="0.25">
      <c r="A778" s="5">
        <v>43186</v>
      </c>
      <c r="B778" s="1" t="s">
        <v>42</v>
      </c>
      <c r="C778" s="2">
        <f>30250+1250+2000+1200+850</f>
        <v>35550</v>
      </c>
    </row>
    <row r="779" spans="1:3" x14ac:dyDescent="0.25">
      <c r="A779" s="5">
        <v>42718</v>
      </c>
      <c r="B779" s="1" t="s">
        <v>250</v>
      </c>
      <c r="C779" s="2">
        <v>35420</v>
      </c>
    </row>
    <row r="780" spans="1:3" x14ac:dyDescent="0.25">
      <c r="A780" s="5">
        <v>44183</v>
      </c>
      <c r="B780" s="1" t="s">
        <v>162</v>
      </c>
      <c r="C780" s="2">
        <v>35325</v>
      </c>
    </row>
    <row r="781" spans="1:3" x14ac:dyDescent="0.25">
      <c r="A781" s="5">
        <v>44431</v>
      </c>
      <c r="B781" s="1" t="s">
        <v>119</v>
      </c>
      <c r="C781" s="2">
        <f>34000+1250</f>
        <v>35250</v>
      </c>
    </row>
    <row r="782" spans="1:3" x14ac:dyDescent="0.25">
      <c r="A782" s="5">
        <v>45876</v>
      </c>
      <c r="B782" s="1" t="s">
        <v>34</v>
      </c>
      <c r="C782" s="2">
        <f>34500+675</f>
        <v>35175</v>
      </c>
    </row>
    <row r="783" spans="1:3" x14ac:dyDescent="0.25">
      <c r="A783" s="5">
        <v>41647</v>
      </c>
      <c r="B783" s="1" t="s">
        <v>113</v>
      </c>
      <c r="C783" s="2">
        <v>35167</v>
      </c>
    </row>
    <row r="784" spans="1:3" x14ac:dyDescent="0.25">
      <c r="A784" s="5">
        <v>42716</v>
      </c>
      <c r="B784" s="1" t="s">
        <v>249</v>
      </c>
      <c r="C784" s="2">
        <v>34932</v>
      </c>
    </row>
    <row r="785" spans="1:3" x14ac:dyDescent="0.25">
      <c r="A785" s="5">
        <v>42716</v>
      </c>
      <c r="B785" s="1" t="s">
        <v>249</v>
      </c>
      <c r="C785" s="2">
        <v>34925</v>
      </c>
    </row>
    <row r="786" spans="1:3" x14ac:dyDescent="0.25">
      <c r="A786" s="5">
        <v>44552</v>
      </c>
      <c r="B786" s="1" t="s">
        <v>144</v>
      </c>
      <c r="C786" s="2">
        <f>19375+8750+3300+2921+575</f>
        <v>34921</v>
      </c>
    </row>
    <row r="787" spans="1:3" x14ac:dyDescent="0.25">
      <c r="A787" s="5">
        <v>45833</v>
      </c>
      <c r="B787" s="1" t="s">
        <v>28</v>
      </c>
      <c r="C787" s="2">
        <f>34000+900</f>
        <v>34900</v>
      </c>
    </row>
    <row r="788" spans="1:3" x14ac:dyDescent="0.25">
      <c r="A788" s="5">
        <v>44823</v>
      </c>
      <c r="B788" s="1" t="s">
        <v>92</v>
      </c>
      <c r="C788" s="2">
        <v>34750</v>
      </c>
    </row>
    <row r="789" spans="1:3" x14ac:dyDescent="0.25">
      <c r="A789" s="5">
        <v>42131</v>
      </c>
      <c r="B789" s="1" t="s">
        <v>40</v>
      </c>
      <c r="C789" s="2">
        <v>34514</v>
      </c>
    </row>
    <row r="790" spans="1:3" x14ac:dyDescent="0.25">
      <c r="A790" s="5">
        <v>45443</v>
      </c>
      <c r="B790" s="1" t="s">
        <v>59</v>
      </c>
      <c r="C790" s="2">
        <v>34500</v>
      </c>
    </row>
    <row r="791" spans="1:3" x14ac:dyDescent="0.25">
      <c r="A791" s="5">
        <v>43300</v>
      </c>
      <c r="B791" s="1" t="s">
        <v>144</v>
      </c>
      <c r="C791" s="2">
        <f>32500+1950</f>
        <v>34450</v>
      </c>
    </row>
    <row r="792" spans="1:3" x14ac:dyDescent="0.25">
      <c r="A792" s="5">
        <v>43861</v>
      </c>
      <c r="B792" s="1" t="s">
        <v>128</v>
      </c>
      <c r="C792" s="2">
        <v>34450</v>
      </c>
    </row>
    <row r="793" spans="1:3" x14ac:dyDescent="0.25">
      <c r="A793" s="5">
        <v>42415</v>
      </c>
      <c r="B793" s="1" t="s">
        <v>144</v>
      </c>
      <c r="C793" s="2">
        <f>27520+5875+1004</f>
        <v>34399</v>
      </c>
    </row>
    <row r="794" spans="1:3" x14ac:dyDescent="0.25">
      <c r="A794" s="5">
        <v>42716</v>
      </c>
      <c r="B794" s="1" t="s">
        <v>249</v>
      </c>
      <c r="C794" s="2">
        <v>34380</v>
      </c>
    </row>
    <row r="795" spans="1:3" x14ac:dyDescent="0.25">
      <c r="A795" s="5">
        <v>45146</v>
      </c>
      <c r="B795" s="1" t="s">
        <v>28</v>
      </c>
      <c r="C795" s="2">
        <f>33500+800</f>
        <v>34300</v>
      </c>
    </row>
    <row r="796" spans="1:3" x14ac:dyDescent="0.25">
      <c r="A796" s="5">
        <v>43088</v>
      </c>
      <c r="B796" s="1" t="s">
        <v>128</v>
      </c>
      <c r="C796" s="2">
        <f>11915+22375</f>
        <v>34290</v>
      </c>
    </row>
    <row r="797" spans="1:3" x14ac:dyDescent="0.25">
      <c r="A797" s="5">
        <v>42704</v>
      </c>
      <c r="B797" s="1" t="s">
        <v>219</v>
      </c>
      <c r="C797" s="2">
        <f>31680+2600</f>
        <v>34280</v>
      </c>
    </row>
    <row r="798" spans="1:3" x14ac:dyDescent="0.25">
      <c r="A798" s="5">
        <v>42704</v>
      </c>
      <c r="B798" s="1" t="s">
        <v>219</v>
      </c>
      <c r="C798" s="2">
        <f>31680+2600</f>
        <v>34280</v>
      </c>
    </row>
    <row r="799" spans="1:3" x14ac:dyDescent="0.25">
      <c r="A799" s="5">
        <v>42704</v>
      </c>
      <c r="B799" s="1" t="s">
        <v>219</v>
      </c>
      <c r="C799" s="2">
        <f>31680+2600</f>
        <v>34280</v>
      </c>
    </row>
    <row r="800" spans="1:3" x14ac:dyDescent="0.25">
      <c r="A800" s="5">
        <v>42704</v>
      </c>
      <c r="B800" s="1" t="s">
        <v>219</v>
      </c>
      <c r="C800" s="2">
        <f>31680+2600</f>
        <v>34280</v>
      </c>
    </row>
    <row r="801" spans="1:3" x14ac:dyDescent="0.25">
      <c r="A801" s="5">
        <v>42704</v>
      </c>
      <c r="B801" s="1" t="s">
        <v>219</v>
      </c>
      <c r="C801" s="2">
        <f>31680+2600</f>
        <v>34280</v>
      </c>
    </row>
    <row r="802" spans="1:3" x14ac:dyDescent="0.25">
      <c r="A802" s="5">
        <v>42704</v>
      </c>
      <c r="B802" s="1" t="s">
        <v>219</v>
      </c>
      <c r="C802" s="2">
        <f>31680+2600</f>
        <v>34280</v>
      </c>
    </row>
    <row r="803" spans="1:3" x14ac:dyDescent="0.25">
      <c r="A803" s="5">
        <v>42116</v>
      </c>
      <c r="B803" s="1" t="s">
        <v>80</v>
      </c>
      <c r="C803" s="2">
        <v>34254</v>
      </c>
    </row>
    <row r="804" spans="1:3" x14ac:dyDescent="0.25">
      <c r="A804" s="5">
        <v>44799</v>
      </c>
      <c r="B804" s="1" t="s">
        <v>87</v>
      </c>
      <c r="C804" s="2">
        <v>34225</v>
      </c>
    </row>
    <row r="805" spans="1:3" x14ac:dyDescent="0.25">
      <c r="A805" s="5">
        <v>44837</v>
      </c>
      <c r="B805" s="1" t="s">
        <v>114</v>
      </c>
      <c r="C805" s="2">
        <v>34050</v>
      </c>
    </row>
    <row r="806" spans="1:3" x14ac:dyDescent="0.25">
      <c r="A806" s="5">
        <v>42923</v>
      </c>
      <c r="B806" s="1" t="s">
        <v>203</v>
      </c>
      <c r="C806" s="2">
        <v>33950</v>
      </c>
    </row>
    <row r="807" spans="1:3" x14ac:dyDescent="0.25">
      <c r="A807" s="5">
        <v>42415</v>
      </c>
      <c r="B807" s="1" t="s">
        <v>144</v>
      </c>
      <c r="C807" s="2">
        <f>27980+6913-984</f>
        <v>33909</v>
      </c>
    </row>
    <row r="808" spans="1:3" x14ac:dyDescent="0.25">
      <c r="A808" s="5">
        <v>42801</v>
      </c>
      <c r="B808" s="1" t="s">
        <v>111</v>
      </c>
      <c r="C808" s="2">
        <f>31330+2545</f>
        <v>33875</v>
      </c>
    </row>
    <row r="809" spans="1:3" x14ac:dyDescent="0.25">
      <c r="A809" s="5">
        <v>41891</v>
      </c>
      <c r="B809" s="1" t="s">
        <v>286</v>
      </c>
      <c r="C809" s="2">
        <f>30635+3110</f>
        <v>33745</v>
      </c>
    </row>
    <row r="810" spans="1:3" x14ac:dyDescent="0.25">
      <c r="A810" s="5">
        <v>44552</v>
      </c>
      <c r="B810" s="1" t="s">
        <v>144</v>
      </c>
      <c r="C810" s="2">
        <f>28625+750+3591+750</f>
        <v>33716</v>
      </c>
    </row>
    <row r="811" spans="1:3" x14ac:dyDescent="0.25">
      <c r="A811" s="5">
        <v>42270</v>
      </c>
      <c r="B811" s="1" t="s">
        <v>90</v>
      </c>
      <c r="C811" s="2">
        <v>33627</v>
      </c>
    </row>
    <row r="812" spans="1:3" x14ac:dyDescent="0.25">
      <c r="A812" s="5">
        <v>41890</v>
      </c>
      <c r="B812" s="1" t="s">
        <v>286</v>
      </c>
      <c r="C812" s="2">
        <f>27104+6503</f>
        <v>33607</v>
      </c>
    </row>
    <row r="813" spans="1:3" x14ac:dyDescent="0.25">
      <c r="A813" s="5">
        <v>44552</v>
      </c>
      <c r="B813" s="1" t="s">
        <v>144</v>
      </c>
      <c r="C813" s="2">
        <f>28625+750+3591+575</f>
        <v>33541</v>
      </c>
    </row>
    <row r="814" spans="1:3" x14ac:dyDescent="0.25">
      <c r="A814" s="5">
        <v>44029</v>
      </c>
      <c r="B814" s="1" t="s">
        <v>124</v>
      </c>
      <c r="C814" s="2">
        <f>32950+475</f>
        <v>33425</v>
      </c>
    </row>
    <row r="815" spans="1:3" x14ac:dyDescent="0.25">
      <c r="A815" s="5">
        <v>44029</v>
      </c>
      <c r="B815" s="1" t="s">
        <v>124</v>
      </c>
      <c r="C815" s="2">
        <f>32950+475</f>
        <v>33425</v>
      </c>
    </row>
    <row r="816" spans="1:3" x14ac:dyDescent="0.25">
      <c r="A816" s="5">
        <v>44537</v>
      </c>
      <c r="B816" s="1" t="s">
        <v>144</v>
      </c>
      <c r="C816" s="2">
        <f>29500+2850+1050</f>
        <v>33400</v>
      </c>
    </row>
    <row r="817" spans="1:3" x14ac:dyDescent="0.25">
      <c r="A817" s="5">
        <v>44537</v>
      </c>
      <c r="B817" s="1" t="s">
        <v>144</v>
      </c>
      <c r="C817" s="2">
        <f>29500+2850+1050</f>
        <v>33400</v>
      </c>
    </row>
    <row r="818" spans="1:3" x14ac:dyDescent="0.25">
      <c r="A818" s="5">
        <v>42716</v>
      </c>
      <c r="B818" s="1" t="s">
        <v>249</v>
      </c>
      <c r="C818" s="2">
        <v>33270</v>
      </c>
    </row>
    <row r="819" spans="1:3" x14ac:dyDescent="0.25">
      <c r="A819" s="5">
        <v>43727</v>
      </c>
      <c r="B819" s="1" t="s">
        <v>148</v>
      </c>
      <c r="C819" s="2">
        <f>33325-2475+2250</f>
        <v>33100</v>
      </c>
    </row>
    <row r="820" spans="1:3" x14ac:dyDescent="0.25">
      <c r="A820" s="5">
        <v>44350</v>
      </c>
      <c r="B820" s="1" t="s">
        <v>129</v>
      </c>
      <c r="C820" s="2">
        <f>32000+950</f>
        <v>32950</v>
      </c>
    </row>
    <row r="821" spans="1:3" x14ac:dyDescent="0.25">
      <c r="A821" s="5">
        <v>45146</v>
      </c>
      <c r="B821" s="1" t="s">
        <v>28</v>
      </c>
      <c r="C821" s="2">
        <f>32000+800</f>
        <v>32800</v>
      </c>
    </row>
    <row r="822" spans="1:3" x14ac:dyDescent="0.25">
      <c r="A822" s="5">
        <v>41702</v>
      </c>
      <c r="B822" s="1" t="s">
        <v>8</v>
      </c>
      <c r="C822" s="2">
        <v>32776</v>
      </c>
    </row>
    <row r="823" spans="1:3" x14ac:dyDescent="0.25">
      <c r="A823" s="5">
        <v>42415</v>
      </c>
      <c r="B823" s="1" t="s">
        <v>144</v>
      </c>
      <c r="C823" s="2">
        <f>27980+5751-1026</f>
        <v>32705</v>
      </c>
    </row>
    <row r="824" spans="1:3" x14ac:dyDescent="0.25">
      <c r="A824" s="5">
        <v>44652</v>
      </c>
      <c r="B824" s="1" t="s">
        <v>97</v>
      </c>
      <c r="C824" s="2">
        <v>32500</v>
      </c>
    </row>
    <row r="825" spans="1:3" x14ac:dyDescent="0.25">
      <c r="A825" s="5">
        <v>41870</v>
      </c>
      <c r="B825" s="1" t="s">
        <v>295</v>
      </c>
      <c r="C825" s="2">
        <f>19563+11395+1400</f>
        <v>32358</v>
      </c>
    </row>
    <row r="826" spans="1:3" x14ac:dyDescent="0.25">
      <c r="A826" s="5">
        <v>42655</v>
      </c>
      <c r="B826" s="1" t="s">
        <v>153</v>
      </c>
      <c r="C826" s="2">
        <v>32320</v>
      </c>
    </row>
    <row r="827" spans="1:3" x14ac:dyDescent="0.25">
      <c r="A827" s="5">
        <v>43277</v>
      </c>
      <c r="B827" s="1" t="s">
        <v>113</v>
      </c>
      <c r="C827" s="2">
        <f>30350+1950</f>
        <v>32300</v>
      </c>
    </row>
    <row r="828" spans="1:3" x14ac:dyDescent="0.25">
      <c r="A828" s="5">
        <v>44734</v>
      </c>
      <c r="B828" s="1" t="s">
        <v>81</v>
      </c>
      <c r="C828" s="2">
        <v>32250</v>
      </c>
    </row>
    <row r="829" spans="1:3" x14ac:dyDescent="0.25">
      <c r="A829" s="5">
        <v>45247</v>
      </c>
      <c r="B829" s="1" t="s">
        <v>75</v>
      </c>
      <c r="C829" s="2">
        <v>32250</v>
      </c>
    </row>
    <row r="830" spans="1:3" x14ac:dyDescent="0.25">
      <c r="A830" s="5">
        <v>42746</v>
      </c>
      <c r="B830" s="1" t="s">
        <v>197</v>
      </c>
      <c r="C830" s="2">
        <f>29115+1915+1175</f>
        <v>32205</v>
      </c>
    </row>
    <row r="831" spans="1:3" x14ac:dyDescent="0.25">
      <c r="A831" s="5">
        <v>42746</v>
      </c>
      <c r="B831" s="1" t="s">
        <v>197</v>
      </c>
      <c r="C831" s="2">
        <f>29115+1915+1175</f>
        <v>32205</v>
      </c>
    </row>
    <row r="832" spans="1:3" x14ac:dyDescent="0.25">
      <c r="A832" s="5">
        <v>44602</v>
      </c>
      <c r="B832" s="1" t="s">
        <v>94</v>
      </c>
      <c r="C832" s="2">
        <v>32000</v>
      </c>
    </row>
    <row r="833" spans="1:3" x14ac:dyDescent="0.25">
      <c r="A833" s="5">
        <v>42746</v>
      </c>
      <c r="B833" s="1" t="s">
        <v>197</v>
      </c>
      <c r="C833" s="2">
        <f>28690+1915+1175</f>
        <v>31780</v>
      </c>
    </row>
    <row r="834" spans="1:3" x14ac:dyDescent="0.25">
      <c r="A834" s="5">
        <v>42746</v>
      </c>
      <c r="B834" s="1" t="s">
        <v>197</v>
      </c>
      <c r="C834" s="2">
        <f>28690+1915+1175</f>
        <v>31780</v>
      </c>
    </row>
    <row r="835" spans="1:3" x14ac:dyDescent="0.25">
      <c r="A835" s="5">
        <v>42746</v>
      </c>
      <c r="B835" s="1" t="s">
        <v>197</v>
      </c>
      <c r="C835" s="2">
        <f>28690+1915+1175</f>
        <v>31780</v>
      </c>
    </row>
    <row r="836" spans="1:3" x14ac:dyDescent="0.25">
      <c r="A836" s="5">
        <v>43416</v>
      </c>
      <c r="B836" s="1" t="s">
        <v>195</v>
      </c>
      <c r="C836" s="2">
        <f>30675+300+800</f>
        <v>31775</v>
      </c>
    </row>
    <row r="837" spans="1:3" x14ac:dyDescent="0.25">
      <c r="A837" s="5">
        <v>45932</v>
      </c>
      <c r="B837" s="1" t="s">
        <v>26</v>
      </c>
      <c r="C837" s="2">
        <v>31750</v>
      </c>
    </row>
    <row r="838" spans="1:3" x14ac:dyDescent="0.25">
      <c r="A838" s="5">
        <v>42019</v>
      </c>
      <c r="B838" s="1" t="s">
        <v>166</v>
      </c>
      <c r="C838" s="2">
        <v>31664</v>
      </c>
    </row>
    <row r="839" spans="1:3" x14ac:dyDescent="0.25">
      <c r="A839" s="5">
        <v>42507</v>
      </c>
      <c r="B839" s="1" t="s">
        <v>144</v>
      </c>
      <c r="C839" s="2">
        <v>31645</v>
      </c>
    </row>
    <row r="840" spans="1:3" x14ac:dyDescent="0.25">
      <c r="A840" s="5">
        <v>44837</v>
      </c>
      <c r="B840" s="1" t="s">
        <v>114</v>
      </c>
      <c r="C840" s="2">
        <v>31600</v>
      </c>
    </row>
    <row r="841" spans="1:3" x14ac:dyDescent="0.25">
      <c r="A841" s="5">
        <v>42716</v>
      </c>
      <c r="B841" s="1" t="s">
        <v>249</v>
      </c>
      <c r="C841" s="2">
        <v>31450</v>
      </c>
    </row>
    <row r="842" spans="1:3" x14ac:dyDescent="0.25">
      <c r="A842" s="5">
        <v>41795</v>
      </c>
      <c r="B842" s="1" t="s">
        <v>287</v>
      </c>
      <c r="C842" s="2">
        <v>31440</v>
      </c>
    </row>
    <row r="843" spans="1:3" x14ac:dyDescent="0.25">
      <c r="A843" s="5">
        <v>43913</v>
      </c>
      <c r="B843" s="1" t="s">
        <v>124</v>
      </c>
      <c r="C843" s="2">
        <f>30750+600</f>
        <v>31350</v>
      </c>
    </row>
    <row r="844" spans="1:3" x14ac:dyDescent="0.25">
      <c r="A844" s="5">
        <v>43913</v>
      </c>
      <c r="B844" s="1" t="s">
        <v>124</v>
      </c>
      <c r="C844" s="2">
        <f>30750+600</f>
        <v>31350</v>
      </c>
    </row>
    <row r="845" spans="1:3" x14ac:dyDescent="0.25">
      <c r="A845" s="5">
        <v>44837</v>
      </c>
      <c r="B845" s="1" t="s">
        <v>114</v>
      </c>
      <c r="C845" s="2">
        <v>31300</v>
      </c>
    </row>
    <row r="846" spans="1:3" x14ac:dyDescent="0.25">
      <c r="A846" s="5">
        <v>44050</v>
      </c>
      <c r="B846" s="1" t="s">
        <v>56</v>
      </c>
      <c r="C846" s="2">
        <f>29275+1900</f>
        <v>31175</v>
      </c>
    </row>
    <row r="847" spans="1:3" x14ac:dyDescent="0.25">
      <c r="A847" s="5">
        <v>44050</v>
      </c>
      <c r="B847" s="1" t="s">
        <v>56</v>
      </c>
      <c r="C847" s="2">
        <f>29275+1900</f>
        <v>31175</v>
      </c>
    </row>
    <row r="848" spans="1:3" x14ac:dyDescent="0.25">
      <c r="A848" s="5">
        <v>44050</v>
      </c>
      <c r="B848" s="1" t="s">
        <v>56</v>
      </c>
      <c r="C848" s="2">
        <f>29275+1900</f>
        <v>31175</v>
      </c>
    </row>
    <row r="849" spans="1:3" x14ac:dyDescent="0.25">
      <c r="A849" s="5">
        <v>44050</v>
      </c>
      <c r="B849" s="1" t="s">
        <v>56</v>
      </c>
      <c r="C849" s="2">
        <f>29275+1900</f>
        <v>31175</v>
      </c>
    </row>
    <row r="850" spans="1:3" x14ac:dyDescent="0.25">
      <c r="A850" s="5">
        <v>44050</v>
      </c>
      <c r="B850" s="1" t="s">
        <v>56</v>
      </c>
      <c r="C850" s="2">
        <f>29275+1900</f>
        <v>31175</v>
      </c>
    </row>
    <row r="851" spans="1:3" x14ac:dyDescent="0.25">
      <c r="A851" s="5">
        <v>44050</v>
      </c>
      <c r="B851" s="1" t="s">
        <v>56</v>
      </c>
      <c r="C851" s="2">
        <f>29275+1900</f>
        <v>31175</v>
      </c>
    </row>
    <row r="852" spans="1:3" x14ac:dyDescent="0.25">
      <c r="A852" s="5">
        <v>44050</v>
      </c>
      <c r="B852" s="1" t="s">
        <v>56</v>
      </c>
      <c r="C852" s="2">
        <f>29275+1900</f>
        <v>31175</v>
      </c>
    </row>
    <row r="853" spans="1:3" x14ac:dyDescent="0.25">
      <c r="A853" s="5">
        <v>44050</v>
      </c>
      <c r="B853" s="1" t="s">
        <v>56</v>
      </c>
      <c r="C853" s="2">
        <f>29275+1900</f>
        <v>31175</v>
      </c>
    </row>
    <row r="854" spans="1:3" x14ac:dyDescent="0.25">
      <c r="A854" s="5">
        <v>44050</v>
      </c>
      <c r="B854" s="1" t="s">
        <v>56</v>
      </c>
      <c r="C854" s="2">
        <f>29275+1900</f>
        <v>31175</v>
      </c>
    </row>
    <row r="855" spans="1:3" x14ac:dyDescent="0.25">
      <c r="A855" s="5">
        <v>44050</v>
      </c>
      <c r="B855" s="1" t="s">
        <v>56</v>
      </c>
      <c r="C855" s="2">
        <f>29275+1900</f>
        <v>31175</v>
      </c>
    </row>
    <row r="856" spans="1:3" x14ac:dyDescent="0.25">
      <c r="A856" s="5">
        <v>44050</v>
      </c>
      <c r="B856" s="1" t="s">
        <v>56</v>
      </c>
      <c r="C856" s="2">
        <f>29275+1900</f>
        <v>31175</v>
      </c>
    </row>
    <row r="857" spans="1:3" x14ac:dyDescent="0.25">
      <c r="A857" s="5">
        <v>44050</v>
      </c>
      <c r="B857" s="1" t="s">
        <v>56</v>
      </c>
      <c r="C857" s="2">
        <f>29275+1900</f>
        <v>31175</v>
      </c>
    </row>
    <row r="858" spans="1:3" x14ac:dyDescent="0.25">
      <c r="A858" s="5">
        <v>44050</v>
      </c>
      <c r="B858" s="1" t="s">
        <v>56</v>
      </c>
      <c r="C858" s="2">
        <f>29275+1900</f>
        <v>31175</v>
      </c>
    </row>
    <row r="859" spans="1:3" x14ac:dyDescent="0.25">
      <c r="A859" s="5">
        <v>43654</v>
      </c>
      <c r="B859" s="1" t="s">
        <v>111</v>
      </c>
      <c r="C859" s="2">
        <f>29875+1200</f>
        <v>31075</v>
      </c>
    </row>
    <row r="860" spans="1:3" x14ac:dyDescent="0.25">
      <c r="A860" s="5">
        <v>43182</v>
      </c>
      <c r="B860" s="1" t="s">
        <v>147</v>
      </c>
      <c r="C860" s="2">
        <f>28725+650+600+950</f>
        <v>30925</v>
      </c>
    </row>
    <row r="861" spans="1:3" x14ac:dyDescent="0.25">
      <c r="A861" s="5">
        <v>41876</v>
      </c>
      <c r="B861" s="1" t="s">
        <v>286</v>
      </c>
      <c r="C861" s="2">
        <v>30890</v>
      </c>
    </row>
    <row r="862" spans="1:3" x14ac:dyDescent="0.25">
      <c r="A862" s="5">
        <v>44837</v>
      </c>
      <c r="B862" s="1" t="s">
        <v>114</v>
      </c>
      <c r="C862" s="2">
        <v>30800</v>
      </c>
    </row>
    <row r="863" spans="1:3" x14ac:dyDescent="0.25">
      <c r="A863" s="5">
        <v>42716</v>
      </c>
      <c r="B863" s="1" t="s">
        <v>249</v>
      </c>
      <c r="C863" s="2">
        <v>30750</v>
      </c>
    </row>
    <row r="864" spans="1:3" x14ac:dyDescent="0.25">
      <c r="A864" s="5">
        <v>43416</v>
      </c>
      <c r="B864" s="1" t="s">
        <v>195</v>
      </c>
      <c r="C864" s="2">
        <f>29650+300+800</f>
        <v>30750</v>
      </c>
    </row>
    <row r="865" spans="1:3" x14ac:dyDescent="0.25">
      <c r="A865" s="5">
        <v>43067</v>
      </c>
      <c r="B865" s="1" t="s">
        <v>40</v>
      </c>
      <c r="C865" s="2">
        <f>29550+1190</f>
        <v>30740</v>
      </c>
    </row>
    <row r="866" spans="1:3" x14ac:dyDescent="0.25">
      <c r="A866" s="5">
        <v>44383</v>
      </c>
      <c r="B866" s="1" t="s">
        <v>27</v>
      </c>
      <c r="C866" s="2">
        <f>29500+1200</f>
        <v>30700</v>
      </c>
    </row>
    <row r="867" spans="1:3" x14ac:dyDescent="0.25">
      <c r="A867" s="5">
        <v>44537</v>
      </c>
      <c r="B867" s="1" t="s">
        <v>144</v>
      </c>
      <c r="C867" s="2">
        <f>28250+1250+1050</f>
        <v>30550</v>
      </c>
    </row>
    <row r="868" spans="1:3" x14ac:dyDescent="0.25">
      <c r="A868" s="5">
        <v>42951</v>
      </c>
      <c r="B868" s="1" t="s">
        <v>214</v>
      </c>
      <c r="C868" s="2">
        <v>30225</v>
      </c>
    </row>
    <row r="869" spans="1:3" x14ac:dyDescent="0.25">
      <c r="A869" s="5">
        <v>42415</v>
      </c>
      <c r="B869" s="1" t="s">
        <v>144</v>
      </c>
      <c r="C869" s="2">
        <f>26831+4294-923</f>
        <v>30202</v>
      </c>
    </row>
    <row r="870" spans="1:3" x14ac:dyDescent="0.25">
      <c r="A870" s="5">
        <v>44146</v>
      </c>
      <c r="B870" s="1" t="s">
        <v>39</v>
      </c>
      <c r="C870" s="2">
        <f>29950+225</f>
        <v>30175</v>
      </c>
    </row>
    <row r="871" spans="1:3" x14ac:dyDescent="0.25">
      <c r="A871" s="5">
        <v>45413</v>
      </c>
      <c r="B871" s="1" t="s">
        <v>56</v>
      </c>
      <c r="C871" s="2">
        <f>28000+2000</f>
        <v>30000</v>
      </c>
    </row>
    <row r="872" spans="1:3" x14ac:dyDescent="0.25">
      <c r="A872" s="5">
        <v>44132</v>
      </c>
      <c r="B872" s="1" t="s">
        <v>161</v>
      </c>
      <c r="C872" s="2">
        <f>28850+1100</f>
        <v>29950</v>
      </c>
    </row>
    <row r="873" spans="1:3" x14ac:dyDescent="0.25">
      <c r="A873" s="5">
        <v>44652</v>
      </c>
      <c r="B873" s="1" t="s">
        <v>97</v>
      </c>
      <c r="C873" s="2">
        <v>29750</v>
      </c>
    </row>
    <row r="874" spans="1:3" x14ac:dyDescent="0.25">
      <c r="A874" s="5">
        <v>44652</v>
      </c>
      <c r="B874" s="1" t="s">
        <v>97</v>
      </c>
      <c r="C874" s="2">
        <v>29750</v>
      </c>
    </row>
    <row r="875" spans="1:3" x14ac:dyDescent="0.25">
      <c r="A875" s="5">
        <v>45685</v>
      </c>
      <c r="B875" s="1" t="s">
        <v>7</v>
      </c>
      <c r="C875" s="2">
        <v>29750</v>
      </c>
    </row>
    <row r="876" spans="1:3" x14ac:dyDescent="0.25">
      <c r="A876" s="5">
        <v>43664</v>
      </c>
      <c r="B876" s="1" t="s">
        <v>171</v>
      </c>
      <c r="C876" s="2">
        <f>29250+430</f>
        <v>29680</v>
      </c>
    </row>
    <row r="877" spans="1:3" x14ac:dyDescent="0.25">
      <c r="A877" s="5">
        <v>44537</v>
      </c>
      <c r="B877" s="1" t="s">
        <v>144</v>
      </c>
      <c r="C877" s="2">
        <f>28000+575+1050</f>
        <v>29625</v>
      </c>
    </row>
    <row r="878" spans="1:3" x14ac:dyDescent="0.25">
      <c r="A878" s="5">
        <v>41715</v>
      </c>
      <c r="B878" s="1" t="s">
        <v>274</v>
      </c>
      <c r="C878" s="2">
        <v>29417</v>
      </c>
    </row>
    <row r="879" spans="1:3" x14ac:dyDescent="0.25">
      <c r="A879" s="5">
        <v>43860</v>
      </c>
      <c r="B879" s="1" t="s">
        <v>80</v>
      </c>
      <c r="C879" s="2">
        <v>29250</v>
      </c>
    </row>
    <row r="880" spans="1:3" x14ac:dyDescent="0.25">
      <c r="A880" s="5">
        <v>45687</v>
      </c>
      <c r="B880" s="1" t="s">
        <v>8</v>
      </c>
      <c r="C880" s="2">
        <v>29250</v>
      </c>
    </row>
    <row r="881" spans="1:3" x14ac:dyDescent="0.25">
      <c r="A881" s="5">
        <v>43501</v>
      </c>
      <c r="B881" s="1" t="s">
        <v>90</v>
      </c>
      <c r="C881" s="2">
        <f>27500+925+775</f>
        <v>29200</v>
      </c>
    </row>
    <row r="882" spans="1:3" x14ac:dyDescent="0.25">
      <c r="A882" s="5">
        <v>41876</v>
      </c>
      <c r="B882" s="1" t="s">
        <v>286</v>
      </c>
      <c r="C882" s="2">
        <v>29196</v>
      </c>
    </row>
    <row r="883" spans="1:3" x14ac:dyDescent="0.25">
      <c r="A883" s="5">
        <v>43146</v>
      </c>
      <c r="B883" s="1" t="s">
        <v>180</v>
      </c>
      <c r="C883" s="2">
        <f>28825+250</f>
        <v>29075</v>
      </c>
    </row>
    <row r="884" spans="1:3" x14ac:dyDescent="0.25">
      <c r="A884" s="5">
        <v>43146</v>
      </c>
      <c r="B884" s="1" t="s">
        <v>180</v>
      </c>
      <c r="C884" s="2">
        <f>28825+250</f>
        <v>29075</v>
      </c>
    </row>
    <row r="885" spans="1:3" x14ac:dyDescent="0.25">
      <c r="A885" s="5">
        <v>44552</v>
      </c>
      <c r="B885" s="1" t="s">
        <v>144</v>
      </c>
      <c r="C885" s="2">
        <f>19375+2750+3300+2921+575</f>
        <v>28921</v>
      </c>
    </row>
    <row r="886" spans="1:3" x14ac:dyDescent="0.25">
      <c r="A886" s="5">
        <v>42676</v>
      </c>
      <c r="B886" s="1" t="s">
        <v>156</v>
      </c>
      <c r="C886" s="2">
        <f>23020+5875</f>
        <v>28895</v>
      </c>
    </row>
    <row r="887" spans="1:3" x14ac:dyDescent="0.25">
      <c r="A887" s="5">
        <v>42116</v>
      </c>
      <c r="B887" s="1" t="s">
        <v>80</v>
      </c>
      <c r="C887" s="2">
        <v>28839</v>
      </c>
    </row>
    <row r="888" spans="1:3" x14ac:dyDescent="0.25">
      <c r="A888" s="5">
        <v>45146</v>
      </c>
      <c r="B888" s="1" t="s">
        <v>28</v>
      </c>
      <c r="C888" s="2">
        <f>28000+800</f>
        <v>28800</v>
      </c>
    </row>
    <row r="889" spans="1:3" x14ac:dyDescent="0.25">
      <c r="A889" s="5">
        <v>45915</v>
      </c>
      <c r="B889" s="1" t="s">
        <v>7</v>
      </c>
      <c r="C889" s="2">
        <v>28750</v>
      </c>
    </row>
    <row r="890" spans="1:3" x14ac:dyDescent="0.25">
      <c r="A890" s="5">
        <v>41806</v>
      </c>
      <c r="B890" s="1" t="s">
        <v>289</v>
      </c>
      <c r="C890" s="2">
        <f>27221+1362</f>
        <v>28583</v>
      </c>
    </row>
    <row r="891" spans="1:3" x14ac:dyDescent="0.25">
      <c r="A891" s="5">
        <v>41806</v>
      </c>
      <c r="B891" s="1" t="s">
        <v>289</v>
      </c>
      <c r="C891" s="2">
        <f>27221+1362</f>
        <v>28583</v>
      </c>
    </row>
    <row r="892" spans="1:3" x14ac:dyDescent="0.25">
      <c r="A892" s="5">
        <v>44180</v>
      </c>
      <c r="B892" s="1" t="s">
        <v>40</v>
      </c>
      <c r="C892" s="2">
        <f>27975+600</f>
        <v>28575</v>
      </c>
    </row>
    <row r="893" spans="1:3" x14ac:dyDescent="0.25">
      <c r="A893" s="5">
        <v>44180</v>
      </c>
      <c r="B893" s="1" t="s">
        <v>40</v>
      </c>
      <c r="C893" s="2">
        <f>27975+600</f>
        <v>28575</v>
      </c>
    </row>
    <row r="894" spans="1:3" x14ac:dyDescent="0.25">
      <c r="A894" s="5">
        <v>42675</v>
      </c>
      <c r="B894" s="1" t="s">
        <v>245</v>
      </c>
      <c r="C894" s="2">
        <v>28519</v>
      </c>
    </row>
    <row r="895" spans="1:3" x14ac:dyDescent="0.25">
      <c r="A895" s="5">
        <v>42065</v>
      </c>
      <c r="B895" s="1" t="s">
        <v>259</v>
      </c>
      <c r="C895" s="2">
        <v>28450</v>
      </c>
    </row>
    <row r="896" spans="1:3" x14ac:dyDescent="0.25">
      <c r="A896" s="5">
        <v>42627</v>
      </c>
      <c r="B896" s="1" t="s">
        <v>240</v>
      </c>
      <c r="C896" s="2">
        <f>26840+1600</f>
        <v>28440</v>
      </c>
    </row>
    <row r="897" spans="1:3" x14ac:dyDescent="0.25">
      <c r="A897" s="5">
        <v>44837</v>
      </c>
      <c r="B897" s="1" t="s">
        <v>114</v>
      </c>
      <c r="C897" s="2">
        <v>28400</v>
      </c>
    </row>
    <row r="898" spans="1:3" x14ac:dyDescent="0.25">
      <c r="A898" s="5">
        <v>45146</v>
      </c>
      <c r="B898" s="1" t="s">
        <v>28</v>
      </c>
      <c r="C898" s="2">
        <f>27500+800</f>
        <v>28300</v>
      </c>
    </row>
    <row r="899" spans="1:3" x14ac:dyDescent="0.25">
      <c r="A899" s="5">
        <v>45442</v>
      </c>
      <c r="B899" s="1" t="s">
        <v>58</v>
      </c>
      <c r="C899" s="2">
        <v>28250</v>
      </c>
    </row>
    <row r="900" spans="1:3" x14ac:dyDescent="0.25">
      <c r="A900" s="5">
        <v>45442</v>
      </c>
      <c r="B900" s="1" t="s">
        <v>58</v>
      </c>
      <c r="C900" s="2">
        <v>28250</v>
      </c>
    </row>
    <row r="901" spans="1:3" x14ac:dyDescent="0.25">
      <c r="A901" s="5">
        <v>45442</v>
      </c>
      <c r="B901" s="1" t="s">
        <v>58</v>
      </c>
      <c r="C901" s="2">
        <v>28250</v>
      </c>
    </row>
    <row r="902" spans="1:3" x14ac:dyDescent="0.25">
      <c r="A902" s="5">
        <v>45442</v>
      </c>
      <c r="B902" s="1" t="s">
        <v>58</v>
      </c>
      <c r="C902" s="2">
        <v>28250</v>
      </c>
    </row>
    <row r="903" spans="1:3" x14ac:dyDescent="0.25">
      <c r="A903" s="5">
        <v>43727</v>
      </c>
      <c r="B903" s="1" t="s">
        <v>148</v>
      </c>
      <c r="C903" s="2">
        <f>26450+825+925</f>
        <v>28200</v>
      </c>
    </row>
    <row r="904" spans="1:3" x14ac:dyDescent="0.25">
      <c r="A904" s="5">
        <v>41926</v>
      </c>
      <c r="B904" s="1" t="s">
        <v>297</v>
      </c>
      <c r="C904" s="2">
        <v>28169</v>
      </c>
    </row>
    <row r="905" spans="1:3" x14ac:dyDescent="0.25">
      <c r="A905" s="5">
        <v>44676</v>
      </c>
      <c r="B905" s="1" t="s">
        <v>98</v>
      </c>
      <c r="C905" s="2">
        <v>28150</v>
      </c>
    </row>
    <row r="906" spans="1:3" x14ac:dyDescent="0.25">
      <c r="A906" s="5">
        <v>43215</v>
      </c>
      <c r="B906" s="1" t="s">
        <v>40</v>
      </c>
      <c r="C906" s="2">
        <f>26500+650+925</f>
        <v>28075</v>
      </c>
    </row>
    <row r="907" spans="1:3" x14ac:dyDescent="0.25">
      <c r="A907" s="5">
        <v>43003</v>
      </c>
      <c r="B907" s="1" t="s">
        <v>217</v>
      </c>
      <c r="C907" s="2">
        <v>27900</v>
      </c>
    </row>
    <row r="908" spans="1:3" x14ac:dyDescent="0.25">
      <c r="A908" s="5">
        <v>41876</v>
      </c>
      <c r="B908" s="1" t="s">
        <v>286</v>
      </c>
      <c r="C908" s="2">
        <v>27724</v>
      </c>
    </row>
    <row r="909" spans="1:3" x14ac:dyDescent="0.25">
      <c r="A909" s="5">
        <v>43438</v>
      </c>
      <c r="B909" s="1" t="s">
        <v>196</v>
      </c>
      <c r="C909" s="2">
        <f>24975+1950+250+460</f>
        <v>27635</v>
      </c>
    </row>
    <row r="910" spans="1:3" x14ac:dyDescent="0.25">
      <c r="A910" s="5">
        <v>45643</v>
      </c>
      <c r="B910" s="1" t="s">
        <v>72</v>
      </c>
      <c r="C910" s="2">
        <v>27630</v>
      </c>
    </row>
    <row r="911" spans="1:3" x14ac:dyDescent="0.25">
      <c r="A911" s="5">
        <v>45342</v>
      </c>
      <c r="B911" s="1" t="s">
        <v>51</v>
      </c>
      <c r="C911" s="2">
        <f>25250+2200</f>
        <v>27450</v>
      </c>
    </row>
    <row r="912" spans="1:3" x14ac:dyDescent="0.25">
      <c r="A912" s="5">
        <v>43664</v>
      </c>
      <c r="B912" s="1" t="s">
        <v>171</v>
      </c>
      <c r="C912" s="2">
        <f>26925+430</f>
        <v>27355</v>
      </c>
    </row>
    <row r="913" spans="1:3" x14ac:dyDescent="0.25">
      <c r="A913" s="5">
        <v>41925</v>
      </c>
      <c r="B913" s="1" t="s">
        <v>255</v>
      </c>
      <c r="C913" s="2">
        <v>27318</v>
      </c>
    </row>
    <row r="914" spans="1:3" x14ac:dyDescent="0.25">
      <c r="A914" s="5">
        <v>45882</v>
      </c>
      <c r="B914" s="1" t="s">
        <v>35</v>
      </c>
      <c r="C914" s="2">
        <f>21750+5500</f>
        <v>27250</v>
      </c>
    </row>
    <row r="915" spans="1:3" x14ac:dyDescent="0.25">
      <c r="A915" s="5">
        <v>41955</v>
      </c>
      <c r="B915" s="1" t="s">
        <v>208</v>
      </c>
      <c r="C915" s="2">
        <v>27114</v>
      </c>
    </row>
    <row r="916" spans="1:3" x14ac:dyDescent="0.25">
      <c r="A916" s="5">
        <v>41795</v>
      </c>
      <c r="B916" s="1" t="s">
        <v>287</v>
      </c>
      <c r="C916" s="2">
        <v>27113</v>
      </c>
    </row>
    <row r="917" spans="1:3" x14ac:dyDescent="0.25">
      <c r="A917" s="5">
        <v>42675</v>
      </c>
      <c r="B917" s="1" t="s">
        <v>245</v>
      </c>
      <c r="C917" s="2">
        <v>26796</v>
      </c>
    </row>
    <row r="918" spans="1:3" x14ac:dyDescent="0.25">
      <c r="A918" s="5">
        <v>43390</v>
      </c>
      <c r="B918" s="1" t="s">
        <v>80</v>
      </c>
      <c r="C918" s="2">
        <f>21975+3525+1250</f>
        <v>26750</v>
      </c>
    </row>
    <row r="919" spans="1:3" x14ac:dyDescent="0.25">
      <c r="A919" s="5">
        <v>43438</v>
      </c>
      <c r="B919" s="1" t="s">
        <v>196</v>
      </c>
      <c r="C919" s="2">
        <f>26125+460</f>
        <v>26585</v>
      </c>
    </row>
    <row r="920" spans="1:3" x14ac:dyDescent="0.25">
      <c r="A920" s="5">
        <v>43146</v>
      </c>
      <c r="B920" s="1" t="s">
        <v>180</v>
      </c>
      <c r="C920" s="2">
        <f>26250+250</f>
        <v>26500</v>
      </c>
    </row>
    <row r="921" spans="1:3" x14ac:dyDescent="0.25">
      <c r="A921" s="5">
        <v>45961</v>
      </c>
      <c r="B921" s="1" t="s">
        <v>28</v>
      </c>
      <c r="C921" s="2">
        <v>26500</v>
      </c>
    </row>
    <row r="922" spans="1:3" x14ac:dyDescent="0.25">
      <c r="A922" s="5">
        <v>41649</v>
      </c>
      <c r="B922" s="1" t="s">
        <v>270</v>
      </c>
      <c r="C922" s="2">
        <f>25600+600</f>
        <v>26200</v>
      </c>
    </row>
    <row r="923" spans="1:3" x14ac:dyDescent="0.25">
      <c r="A923" s="5">
        <v>42716</v>
      </c>
      <c r="B923" s="1" t="s">
        <v>249</v>
      </c>
      <c r="C923" s="2">
        <v>26175</v>
      </c>
    </row>
    <row r="924" spans="1:3" x14ac:dyDescent="0.25">
      <c r="A924" s="5">
        <v>44790</v>
      </c>
      <c r="B924" s="1" t="s">
        <v>98</v>
      </c>
      <c r="C924" s="2">
        <v>26000</v>
      </c>
    </row>
    <row r="925" spans="1:3" x14ac:dyDescent="0.25">
      <c r="A925" s="5">
        <v>45061</v>
      </c>
      <c r="B925" s="1" t="s">
        <v>80</v>
      </c>
      <c r="C925" s="2">
        <f>24500+1500</f>
        <v>26000</v>
      </c>
    </row>
    <row r="926" spans="1:3" x14ac:dyDescent="0.25">
      <c r="A926" s="5">
        <v>42895</v>
      </c>
      <c r="B926" s="1" t="s">
        <v>90</v>
      </c>
      <c r="C926" s="2">
        <f>35940-9965</f>
        <v>25975</v>
      </c>
    </row>
    <row r="927" spans="1:3" x14ac:dyDescent="0.25">
      <c r="A927" s="5">
        <v>43301</v>
      </c>
      <c r="B927" s="1" t="s">
        <v>153</v>
      </c>
      <c r="C927" s="2">
        <f>24750+1200</f>
        <v>25950</v>
      </c>
    </row>
    <row r="928" spans="1:3" x14ac:dyDescent="0.25">
      <c r="A928" s="5">
        <v>41788</v>
      </c>
      <c r="B928" s="1" t="s">
        <v>63</v>
      </c>
      <c r="C928" s="2">
        <f>26500-583</f>
        <v>25917</v>
      </c>
    </row>
    <row r="929" spans="1:3" x14ac:dyDescent="0.25">
      <c r="A929" s="5">
        <v>43944</v>
      </c>
      <c r="B929" s="1" t="s">
        <v>40</v>
      </c>
      <c r="C929" s="2">
        <f>25250+525</f>
        <v>25775</v>
      </c>
    </row>
    <row r="930" spans="1:3" x14ac:dyDescent="0.25">
      <c r="A930" s="5">
        <v>42286</v>
      </c>
      <c r="B930" s="1" t="s">
        <v>90</v>
      </c>
      <c r="C930" s="2">
        <f>25255+500</f>
        <v>25755</v>
      </c>
    </row>
    <row r="931" spans="1:3" x14ac:dyDescent="0.25">
      <c r="A931" s="5">
        <v>41844</v>
      </c>
      <c r="B931" s="1" t="s">
        <v>144</v>
      </c>
      <c r="C931" s="2">
        <f>24784+850</f>
        <v>25634</v>
      </c>
    </row>
    <row r="932" spans="1:3" x14ac:dyDescent="0.25">
      <c r="A932" s="5">
        <v>41844</v>
      </c>
      <c r="B932" s="1" t="s">
        <v>144</v>
      </c>
      <c r="C932" s="2">
        <f>24784+850</f>
        <v>25634</v>
      </c>
    </row>
    <row r="933" spans="1:3" x14ac:dyDescent="0.25">
      <c r="A933" s="5">
        <v>43532</v>
      </c>
      <c r="B933" s="1" t="s">
        <v>100</v>
      </c>
      <c r="C933" s="2">
        <f>23575+1700+210</f>
        <v>25485</v>
      </c>
    </row>
    <row r="934" spans="1:3" x14ac:dyDescent="0.25">
      <c r="A934" s="5">
        <v>43231</v>
      </c>
      <c r="B934" s="1" t="s">
        <v>188</v>
      </c>
      <c r="C934" s="2">
        <v>25450</v>
      </c>
    </row>
    <row r="935" spans="1:3" x14ac:dyDescent="0.25">
      <c r="A935" s="5">
        <v>45961</v>
      </c>
      <c r="B935" s="1" t="s">
        <v>28</v>
      </c>
      <c r="C935" s="2">
        <v>25250</v>
      </c>
    </row>
    <row r="936" spans="1:3" x14ac:dyDescent="0.25">
      <c r="A936" s="5">
        <v>45961</v>
      </c>
      <c r="B936" s="1" t="s">
        <v>28</v>
      </c>
      <c r="C936" s="2">
        <v>25250</v>
      </c>
    </row>
    <row r="937" spans="1:3" x14ac:dyDescent="0.25">
      <c r="A937" s="5">
        <v>43026</v>
      </c>
      <c r="B937" s="1" t="s">
        <v>203</v>
      </c>
      <c r="C937" s="2">
        <v>25244</v>
      </c>
    </row>
    <row r="938" spans="1:3" x14ac:dyDescent="0.25">
      <c r="A938" s="5">
        <v>43532</v>
      </c>
      <c r="B938" s="1" t="s">
        <v>100</v>
      </c>
      <c r="C938" s="2">
        <f>24975+210</f>
        <v>25185</v>
      </c>
    </row>
    <row r="939" spans="1:3" x14ac:dyDescent="0.25">
      <c r="A939" s="5">
        <v>42716</v>
      </c>
      <c r="B939" s="1" t="s">
        <v>249</v>
      </c>
      <c r="C939" s="2">
        <v>25025</v>
      </c>
    </row>
    <row r="940" spans="1:3" x14ac:dyDescent="0.25">
      <c r="A940" s="5">
        <v>42116</v>
      </c>
      <c r="B940" s="1" t="s">
        <v>80</v>
      </c>
      <c r="C940" s="2">
        <v>25000</v>
      </c>
    </row>
    <row r="941" spans="1:3" x14ac:dyDescent="0.25">
      <c r="A941" s="5">
        <v>42353</v>
      </c>
      <c r="B941" s="1" t="s">
        <v>221</v>
      </c>
      <c r="C941" s="2">
        <f>24344+525</f>
        <v>24869</v>
      </c>
    </row>
    <row r="942" spans="1:3" x14ac:dyDescent="0.25">
      <c r="A942" s="5">
        <v>42272</v>
      </c>
      <c r="B942" s="1" t="s">
        <v>90</v>
      </c>
      <c r="C942" s="2">
        <v>24826</v>
      </c>
    </row>
    <row r="943" spans="1:3" x14ac:dyDescent="0.25">
      <c r="A943" s="5">
        <v>45961</v>
      </c>
      <c r="B943" s="1" t="s">
        <v>28</v>
      </c>
      <c r="C943" s="2">
        <v>24750</v>
      </c>
    </row>
    <row r="944" spans="1:3" x14ac:dyDescent="0.25">
      <c r="A944" s="5">
        <v>42184</v>
      </c>
      <c r="B944" s="1" t="s">
        <v>40</v>
      </c>
      <c r="C944" s="2">
        <v>24645</v>
      </c>
    </row>
    <row r="945" spans="1:3" x14ac:dyDescent="0.25">
      <c r="A945" s="5">
        <v>42502</v>
      </c>
      <c r="B945" s="1" t="s">
        <v>227</v>
      </c>
      <c r="C945" s="2">
        <v>24500</v>
      </c>
    </row>
    <row r="946" spans="1:3" x14ac:dyDescent="0.25">
      <c r="A946" s="5">
        <v>44335</v>
      </c>
      <c r="B946" s="1" t="s">
        <v>116</v>
      </c>
      <c r="C946" s="2">
        <f>23500+725</f>
        <v>24225</v>
      </c>
    </row>
    <row r="947" spans="1:3" x14ac:dyDescent="0.25">
      <c r="A947" s="5">
        <v>43871</v>
      </c>
      <c r="B947" s="1" t="s">
        <v>152</v>
      </c>
      <c r="C947" s="2">
        <f>23500+700</f>
        <v>24200</v>
      </c>
    </row>
    <row r="948" spans="1:3" x14ac:dyDescent="0.25">
      <c r="A948" s="5">
        <v>41955</v>
      </c>
      <c r="B948" s="1" t="s">
        <v>208</v>
      </c>
      <c r="C948" s="2">
        <f>17654+6533</f>
        <v>24187</v>
      </c>
    </row>
    <row r="949" spans="1:3" x14ac:dyDescent="0.25">
      <c r="A949" s="5">
        <v>42039</v>
      </c>
      <c r="B949" s="1" t="s">
        <v>255</v>
      </c>
      <c r="C949" s="2">
        <v>24172</v>
      </c>
    </row>
    <row r="950" spans="1:3" x14ac:dyDescent="0.25">
      <c r="A950" s="5">
        <v>44837</v>
      </c>
      <c r="B950" s="1" t="s">
        <v>114</v>
      </c>
      <c r="C950" s="2">
        <v>24150</v>
      </c>
    </row>
    <row r="951" spans="1:3" x14ac:dyDescent="0.25">
      <c r="A951" s="5">
        <v>42116</v>
      </c>
      <c r="B951" s="1" t="s">
        <v>80</v>
      </c>
      <c r="C951" s="2">
        <v>24142</v>
      </c>
    </row>
    <row r="952" spans="1:3" x14ac:dyDescent="0.25">
      <c r="A952" s="5">
        <v>42158</v>
      </c>
      <c r="B952" s="1" t="s">
        <v>90</v>
      </c>
      <c r="C952" s="2">
        <v>24142</v>
      </c>
    </row>
    <row r="953" spans="1:3" x14ac:dyDescent="0.25">
      <c r="A953" s="5">
        <v>42116</v>
      </c>
      <c r="B953" s="1" t="s">
        <v>80</v>
      </c>
      <c r="C953" s="2">
        <v>24035</v>
      </c>
    </row>
    <row r="954" spans="1:3" x14ac:dyDescent="0.25">
      <c r="A954" s="5">
        <v>42031</v>
      </c>
      <c r="B954" s="1" t="s">
        <v>254</v>
      </c>
      <c r="C954" s="2">
        <f>23619+300</f>
        <v>23919</v>
      </c>
    </row>
    <row r="955" spans="1:3" x14ac:dyDescent="0.25">
      <c r="A955" s="5">
        <v>41878</v>
      </c>
      <c r="B955" s="1" t="s">
        <v>298</v>
      </c>
      <c r="C955" s="2">
        <v>23904</v>
      </c>
    </row>
    <row r="956" spans="1:3" x14ac:dyDescent="0.25">
      <c r="A956" s="5">
        <v>41878</v>
      </c>
      <c r="B956" s="1" t="s">
        <v>298</v>
      </c>
      <c r="C956" s="2">
        <v>23904</v>
      </c>
    </row>
    <row r="957" spans="1:3" x14ac:dyDescent="0.25">
      <c r="A957" s="5">
        <v>45833</v>
      </c>
      <c r="B957" s="1" t="s">
        <v>28</v>
      </c>
      <c r="C957" s="2">
        <f>22750+900</f>
        <v>23650</v>
      </c>
    </row>
    <row r="958" spans="1:3" x14ac:dyDescent="0.25">
      <c r="A958" s="5">
        <v>45833</v>
      </c>
      <c r="B958" s="1" t="s">
        <v>28</v>
      </c>
      <c r="C958" s="2">
        <f>22750+900</f>
        <v>23650</v>
      </c>
    </row>
    <row r="959" spans="1:3" x14ac:dyDescent="0.25">
      <c r="A959" s="5">
        <v>41806</v>
      </c>
      <c r="B959" s="1" t="s">
        <v>289</v>
      </c>
      <c r="C959" s="2">
        <f>22892+751</f>
        <v>23643</v>
      </c>
    </row>
    <row r="960" spans="1:3" x14ac:dyDescent="0.25">
      <c r="A960" s="5">
        <v>42415</v>
      </c>
      <c r="B960" s="1" t="s">
        <v>144</v>
      </c>
      <c r="C960" s="2">
        <f>19991+1391+2202</f>
        <v>23584</v>
      </c>
    </row>
    <row r="961" spans="1:3" x14ac:dyDescent="0.25">
      <c r="A961" s="5">
        <v>45146</v>
      </c>
      <c r="B961" s="1" t="s">
        <v>28</v>
      </c>
      <c r="C961" s="2">
        <f>22750+800</f>
        <v>23550</v>
      </c>
    </row>
    <row r="962" spans="1:3" x14ac:dyDescent="0.25">
      <c r="A962" s="5">
        <v>43762</v>
      </c>
      <c r="B962" s="1" t="s">
        <v>177</v>
      </c>
      <c r="C962" s="2">
        <v>23500</v>
      </c>
    </row>
    <row r="963" spans="1:3" x14ac:dyDescent="0.25">
      <c r="A963" s="5">
        <v>45252</v>
      </c>
      <c r="B963" s="1" t="s">
        <v>91</v>
      </c>
      <c r="C963" s="2">
        <v>23500</v>
      </c>
    </row>
    <row r="964" spans="1:3" x14ac:dyDescent="0.25">
      <c r="A964" s="5">
        <v>42495</v>
      </c>
      <c r="B964" s="1" t="s">
        <v>221</v>
      </c>
      <c r="C964" s="2">
        <f>21368+2079</f>
        <v>23447</v>
      </c>
    </row>
    <row r="965" spans="1:3" x14ac:dyDescent="0.25">
      <c r="A965" s="5">
        <v>43301</v>
      </c>
      <c r="B965" s="1" t="s">
        <v>192</v>
      </c>
      <c r="C965" s="2">
        <f>20850+350+1200+900</f>
        <v>23300</v>
      </c>
    </row>
    <row r="966" spans="1:3" x14ac:dyDescent="0.25">
      <c r="A966" s="5">
        <v>42012</v>
      </c>
      <c r="B966" s="1" t="s">
        <v>90</v>
      </c>
      <c r="C966" s="2">
        <f>22627+600</f>
        <v>23227</v>
      </c>
    </row>
    <row r="967" spans="1:3" x14ac:dyDescent="0.25">
      <c r="A967" s="5">
        <v>43564</v>
      </c>
      <c r="B967" s="1" t="s">
        <v>153</v>
      </c>
      <c r="C967" s="2">
        <v>23000</v>
      </c>
    </row>
    <row r="968" spans="1:3" x14ac:dyDescent="0.25">
      <c r="A968" s="5">
        <v>43564</v>
      </c>
      <c r="B968" s="1" t="s">
        <v>153</v>
      </c>
      <c r="C968" s="2">
        <v>23000</v>
      </c>
    </row>
    <row r="969" spans="1:3" x14ac:dyDescent="0.25">
      <c r="A969" s="5">
        <v>41892</v>
      </c>
      <c r="B969" s="1" t="s">
        <v>301</v>
      </c>
      <c r="C969" s="2">
        <f>21692+1170</f>
        <v>22862</v>
      </c>
    </row>
    <row r="970" spans="1:3" x14ac:dyDescent="0.25">
      <c r="A970" s="5">
        <v>44837</v>
      </c>
      <c r="B970" s="1" t="s">
        <v>114</v>
      </c>
      <c r="C970" s="2">
        <v>22800</v>
      </c>
    </row>
    <row r="971" spans="1:3" x14ac:dyDescent="0.25">
      <c r="A971" s="5">
        <v>42634</v>
      </c>
      <c r="B971" s="1" t="s">
        <v>239</v>
      </c>
      <c r="C971" s="2">
        <f>18300+4400</f>
        <v>22700</v>
      </c>
    </row>
    <row r="972" spans="1:3" x14ac:dyDescent="0.25">
      <c r="A972" s="5">
        <v>42716</v>
      </c>
      <c r="B972" s="1" t="s">
        <v>249</v>
      </c>
      <c r="C972" s="2">
        <v>22625</v>
      </c>
    </row>
    <row r="973" spans="1:3" x14ac:dyDescent="0.25">
      <c r="A973" s="5">
        <v>41813</v>
      </c>
      <c r="B973" s="1" t="s">
        <v>173</v>
      </c>
      <c r="C973" s="2">
        <v>22605</v>
      </c>
    </row>
    <row r="974" spans="1:3" x14ac:dyDescent="0.25">
      <c r="A974" s="5">
        <v>45315</v>
      </c>
      <c r="B974" s="1" t="s">
        <v>47</v>
      </c>
      <c r="C974" s="2">
        <v>22500</v>
      </c>
    </row>
    <row r="975" spans="1:3" x14ac:dyDescent="0.25">
      <c r="A975" s="5">
        <v>45490</v>
      </c>
      <c r="B975" s="1" t="s">
        <v>62</v>
      </c>
      <c r="C975" s="2">
        <f>21500+1000</f>
        <v>22500</v>
      </c>
    </row>
    <row r="976" spans="1:3" x14ac:dyDescent="0.25">
      <c r="A976" s="5">
        <v>42593</v>
      </c>
      <c r="B976" s="1" t="s">
        <v>173</v>
      </c>
      <c r="C976" s="2">
        <f>21885+600</f>
        <v>22485</v>
      </c>
    </row>
    <row r="977" spans="1:3" x14ac:dyDescent="0.25">
      <c r="A977" s="5">
        <v>45247</v>
      </c>
      <c r="B977" s="1" t="s">
        <v>75</v>
      </c>
      <c r="C977" s="2">
        <v>22200</v>
      </c>
    </row>
    <row r="978" spans="1:3" x14ac:dyDescent="0.25">
      <c r="A978" s="5">
        <v>42495</v>
      </c>
      <c r="B978" s="1" t="s">
        <v>221</v>
      </c>
      <c r="C978" s="2">
        <v>22165</v>
      </c>
    </row>
    <row r="979" spans="1:3" x14ac:dyDescent="0.25">
      <c r="A979" s="5">
        <v>41795</v>
      </c>
      <c r="B979" s="1" t="s">
        <v>287</v>
      </c>
      <c r="C979" s="2">
        <v>22155</v>
      </c>
    </row>
    <row r="980" spans="1:3" x14ac:dyDescent="0.25">
      <c r="A980" s="5">
        <v>43727</v>
      </c>
      <c r="B980" s="1" t="s">
        <v>148</v>
      </c>
      <c r="C980" s="2">
        <f>16650+4500+925</f>
        <v>22075</v>
      </c>
    </row>
    <row r="981" spans="1:3" x14ac:dyDescent="0.25">
      <c r="A981" s="5">
        <v>44910</v>
      </c>
      <c r="B981" s="1" t="s">
        <v>120</v>
      </c>
      <c r="C981" s="2">
        <v>21850</v>
      </c>
    </row>
    <row r="982" spans="1:3" x14ac:dyDescent="0.25">
      <c r="A982" s="5">
        <v>44910</v>
      </c>
      <c r="B982" s="1" t="s">
        <v>120</v>
      </c>
      <c r="C982" s="2">
        <v>21850</v>
      </c>
    </row>
    <row r="983" spans="1:3" x14ac:dyDescent="0.25">
      <c r="A983" s="5">
        <v>45693</v>
      </c>
      <c r="B983" s="1" t="s">
        <v>9</v>
      </c>
      <c r="C983" s="2">
        <f>21500+300</f>
        <v>21800</v>
      </c>
    </row>
    <row r="984" spans="1:3" x14ac:dyDescent="0.25">
      <c r="A984" s="5">
        <v>42676</v>
      </c>
      <c r="B984" s="1" t="s">
        <v>156</v>
      </c>
      <c r="C984" s="2">
        <f>14260+7430</f>
        <v>21690</v>
      </c>
    </row>
    <row r="985" spans="1:3" x14ac:dyDescent="0.25">
      <c r="A985" s="5">
        <v>43147</v>
      </c>
      <c r="B985" s="1" t="s">
        <v>100</v>
      </c>
      <c r="C985" s="2">
        <f>20750+925</f>
        <v>21675</v>
      </c>
    </row>
    <row r="986" spans="1:3" x14ac:dyDescent="0.25">
      <c r="A986" s="5">
        <v>43336</v>
      </c>
      <c r="B986" s="1" t="s">
        <v>193</v>
      </c>
      <c r="C986" s="2">
        <f>20250+1250</f>
        <v>21500</v>
      </c>
    </row>
    <row r="987" spans="1:3" x14ac:dyDescent="0.25">
      <c r="A987" s="5">
        <v>45442</v>
      </c>
      <c r="B987" s="1" t="s">
        <v>58</v>
      </c>
      <c r="C987" s="2">
        <v>21500</v>
      </c>
    </row>
    <row r="988" spans="1:3" x14ac:dyDescent="0.25">
      <c r="A988" s="5">
        <v>45442</v>
      </c>
      <c r="B988" s="1" t="s">
        <v>58</v>
      </c>
      <c r="C988" s="2">
        <v>21500</v>
      </c>
    </row>
    <row r="989" spans="1:3" x14ac:dyDescent="0.25">
      <c r="A989" s="5">
        <v>45442</v>
      </c>
      <c r="B989" s="1" t="s">
        <v>58</v>
      </c>
      <c r="C989" s="2">
        <v>21500</v>
      </c>
    </row>
    <row r="990" spans="1:3" x14ac:dyDescent="0.25">
      <c r="A990" s="5">
        <v>45442</v>
      </c>
      <c r="B990" s="1" t="s">
        <v>58</v>
      </c>
      <c r="C990" s="2">
        <v>21500</v>
      </c>
    </row>
    <row r="991" spans="1:3" x14ac:dyDescent="0.25">
      <c r="A991" s="5">
        <v>45442</v>
      </c>
      <c r="B991" s="1" t="s">
        <v>58</v>
      </c>
      <c r="C991" s="2">
        <v>21500</v>
      </c>
    </row>
    <row r="992" spans="1:3" x14ac:dyDescent="0.25">
      <c r="A992" s="5">
        <v>45442</v>
      </c>
      <c r="B992" s="1" t="s">
        <v>58</v>
      </c>
      <c r="C992" s="2">
        <v>21500</v>
      </c>
    </row>
    <row r="993" spans="1:3" x14ac:dyDescent="0.25">
      <c r="A993" s="5">
        <v>45687</v>
      </c>
      <c r="B993" s="1" t="s">
        <v>8</v>
      </c>
      <c r="C993" s="2">
        <v>21500</v>
      </c>
    </row>
    <row r="994" spans="1:3" x14ac:dyDescent="0.25">
      <c r="A994" s="5">
        <v>45922</v>
      </c>
      <c r="B994" s="1" t="s">
        <v>40</v>
      </c>
      <c r="C994" s="2">
        <v>21500</v>
      </c>
    </row>
    <row r="995" spans="1:3" x14ac:dyDescent="0.25">
      <c r="A995" s="5">
        <v>45922</v>
      </c>
      <c r="B995" s="1" t="s">
        <v>40</v>
      </c>
      <c r="C995" s="2">
        <v>21500</v>
      </c>
    </row>
    <row r="996" spans="1:3" x14ac:dyDescent="0.25">
      <c r="A996" s="5">
        <v>41788</v>
      </c>
      <c r="B996" s="1" t="s">
        <v>63</v>
      </c>
      <c r="C996" s="2">
        <f>26500-5426</f>
        <v>21074</v>
      </c>
    </row>
    <row r="997" spans="1:3" x14ac:dyDescent="0.25">
      <c r="A997" s="5">
        <v>42636</v>
      </c>
      <c r="B997" s="1" t="s">
        <v>135</v>
      </c>
      <c r="C997" s="2">
        <v>20875</v>
      </c>
    </row>
    <row r="998" spans="1:3" x14ac:dyDescent="0.25">
      <c r="A998" s="5">
        <v>45735</v>
      </c>
      <c r="B998" s="1" t="s">
        <v>8</v>
      </c>
      <c r="C998" s="2">
        <f>20500+200</f>
        <v>20700</v>
      </c>
    </row>
    <row r="999" spans="1:3" x14ac:dyDescent="0.25">
      <c r="A999" s="5">
        <v>42415</v>
      </c>
      <c r="B999" s="1" t="s">
        <v>144</v>
      </c>
      <c r="C999" s="2">
        <f>17591+1288+1715</f>
        <v>20594</v>
      </c>
    </row>
    <row r="1000" spans="1:3" x14ac:dyDescent="0.25">
      <c r="A1000" s="5">
        <v>43564</v>
      </c>
      <c r="B1000" s="1" t="s">
        <v>153</v>
      </c>
      <c r="C1000" s="2">
        <v>20500</v>
      </c>
    </row>
    <row r="1001" spans="1:3" x14ac:dyDescent="0.25">
      <c r="A1001" s="5">
        <v>43564</v>
      </c>
      <c r="B1001" s="1" t="s">
        <v>153</v>
      </c>
      <c r="C1001" s="2">
        <v>20500</v>
      </c>
    </row>
    <row r="1002" spans="1:3" x14ac:dyDescent="0.25">
      <c r="A1002" s="5">
        <v>43564</v>
      </c>
      <c r="B1002" s="1" t="s">
        <v>153</v>
      </c>
      <c r="C1002" s="2">
        <v>20500</v>
      </c>
    </row>
    <row r="1003" spans="1:3" x14ac:dyDescent="0.25">
      <c r="A1003" s="5">
        <v>43564</v>
      </c>
      <c r="B1003" s="1" t="s">
        <v>153</v>
      </c>
      <c r="C1003" s="2">
        <v>20500</v>
      </c>
    </row>
    <row r="1004" spans="1:3" x14ac:dyDescent="0.25">
      <c r="A1004" s="5">
        <v>46006</v>
      </c>
      <c r="B1004" s="1" t="s">
        <v>46</v>
      </c>
      <c r="C1004" s="2">
        <v>20500</v>
      </c>
    </row>
    <row r="1005" spans="1:3" x14ac:dyDescent="0.25">
      <c r="A1005" s="5">
        <v>46006</v>
      </c>
      <c r="B1005" s="1" t="s">
        <v>46</v>
      </c>
      <c r="C1005" s="2">
        <v>20500</v>
      </c>
    </row>
    <row r="1006" spans="1:3" x14ac:dyDescent="0.25">
      <c r="A1006" s="5">
        <v>46006</v>
      </c>
      <c r="B1006" s="1" t="s">
        <v>46</v>
      </c>
      <c r="C1006" s="2">
        <v>20500</v>
      </c>
    </row>
    <row r="1007" spans="1:3" x14ac:dyDescent="0.25">
      <c r="A1007" s="5">
        <v>46006</v>
      </c>
      <c r="B1007" s="1" t="s">
        <v>46</v>
      </c>
      <c r="C1007" s="2">
        <v>20500</v>
      </c>
    </row>
    <row r="1008" spans="1:3" x14ac:dyDescent="0.25">
      <c r="A1008" s="5">
        <v>46006</v>
      </c>
      <c r="B1008" s="1" t="s">
        <v>46</v>
      </c>
      <c r="C1008" s="2">
        <v>20500</v>
      </c>
    </row>
    <row r="1009" spans="1:3" x14ac:dyDescent="0.25">
      <c r="A1009" s="5">
        <v>46006</v>
      </c>
      <c r="B1009" s="1" t="s">
        <v>46</v>
      </c>
      <c r="C1009" s="2">
        <v>20500</v>
      </c>
    </row>
    <row r="1010" spans="1:3" x14ac:dyDescent="0.25">
      <c r="A1010" s="5">
        <v>46006</v>
      </c>
      <c r="B1010" s="1" t="s">
        <v>46</v>
      </c>
      <c r="C1010" s="2">
        <v>20500</v>
      </c>
    </row>
    <row r="1011" spans="1:3" x14ac:dyDescent="0.25">
      <c r="A1011" s="5">
        <v>46006</v>
      </c>
      <c r="B1011" s="1" t="s">
        <v>46</v>
      </c>
      <c r="C1011" s="2">
        <v>20500</v>
      </c>
    </row>
    <row r="1012" spans="1:3" x14ac:dyDescent="0.25">
      <c r="A1012" s="5">
        <v>46006</v>
      </c>
      <c r="B1012" s="1" t="s">
        <v>46</v>
      </c>
      <c r="C1012" s="2">
        <v>20500</v>
      </c>
    </row>
    <row r="1013" spans="1:3" x14ac:dyDescent="0.25">
      <c r="A1013" s="5">
        <v>46006</v>
      </c>
      <c r="B1013" s="1" t="s">
        <v>46</v>
      </c>
      <c r="C1013" s="2">
        <v>20500</v>
      </c>
    </row>
    <row r="1014" spans="1:3" x14ac:dyDescent="0.25">
      <c r="A1014" s="5">
        <v>46006</v>
      </c>
      <c r="B1014" s="1" t="s">
        <v>46</v>
      </c>
      <c r="C1014" s="2">
        <v>20500</v>
      </c>
    </row>
    <row r="1015" spans="1:3" x14ac:dyDescent="0.25">
      <c r="A1015" s="5">
        <v>46006</v>
      </c>
      <c r="B1015" s="1" t="s">
        <v>46</v>
      </c>
      <c r="C1015" s="2">
        <v>20500</v>
      </c>
    </row>
    <row r="1016" spans="1:3" x14ac:dyDescent="0.25">
      <c r="A1016" s="5">
        <v>46006</v>
      </c>
      <c r="B1016" s="1" t="s">
        <v>46</v>
      </c>
      <c r="C1016" s="2">
        <v>20500</v>
      </c>
    </row>
    <row r="1017" spans="1:3" x14ac:dyDescent="0.25">
      <c r="A1017" s="5">
        <v>46006</v>
      </c>
      <c r="B1017" s="1" t="s">
        <v>46</v>
      </c>
      <c r="C1017" s="2">
        <v>20500</v>
      </c>
    </row>
    <row r="1018" spans="1:3" x14ac:dyDescent="0.25">
      <c r="A1018" s="5">
        <v>46006</v>
      </c>
      <c r="B1018" s="1" t="s">
        <v>46</v>
      </c>
      <c r="C1018" s="2">
        <v>20500</v>
      </c>
    </row>
    <row r="1019" spans="1:3" x14ac:dyDescent="0.25">
      <c r="A1019" s="5">
        <v>46006</v>
      </c>
      <c r="B1019" s="1" t="s">
        <v>46</v>
      </c>
      <c r="C1019" s="2">
        <v>20500</v>
      </c>
    </row>
    <row r="1020" spans="1:3" x14ac:dyDescent="0.25">
      <c r="A1020" s="5">
        <v>46006</v>
      </c>
      <c r="B1020" s="1" t="s">
        <v>46</v>
      </c>
      <c r="C1020" s="2">
        <v>20500</v>
      </c>
    </row>
    <row r="1021" spans="1:3" x14ac:dyDescent="0.25">
      <c r="A1021" s="5">
        <v>46006</v>
      </c>
      <c r="B1021" s="1" t="s">
        <v>46</v>
      </c>
      <c r="C1021" s="2">
        <v>20500</v>
      </c>
    </row>
    <row r="1022" spans="1:3" x14ac:dyDescent="0.25">
      <c r="A1022" s="5">
        <v>46006</v>
      </c>
      <c r="B1022" s="1" t="s">
        <v>46</v>
      </c>
      <c r="C1022" s="2">
        <v>20500</v>
      </c>
    </row>
    <row r="1023" spans="1:3" x14ac:dyDescent="0.25">
      <c r="A1023" s="5">
        <v>46006</v>
      </c>
      <c r="B1023" s="1" t="s">
        <v>46</v>
      </c>
      <c r="C1023" s="2">
        <v>20500</v>
      </c>
    </row>
    <row r="1024" spans="1:3" x14ac:dyDescent="0.25">
      <c r="A1024" s="5">
        <v>46006</v>
      </c>
      <c r="B1024" s="1" t="s">
        <v>46</v>
      </c>
      <c r="C1024" s="2">
        <v>20500</v>
      </c>
    </row>
    <row r="1025" spans="1:3" x14ac:dyDescent="0.25">
      <c r="A1025" s="5">
        <v>46006</v>
      </c>
      <c r="B1025" s="1" t="s">
        <v>46</v>
      </c>
      <c r="C1025" s="2">
        <v>20500</v>
      </c>
    </row>
    <row r="1026" spans="1:3" x14ac:dyDescent="0.25">
      <c r="A1026" s="5">
        <v>46006</v>
      </c>
      <c r="B1026" s="1" t="s">
        <v>46</v>
      </c>
      <c r="C1026" s="2">
        <v>20500</v>
      </c>
    </row>
    <row r="1027" spans="1:3" x14ac:dyDescent="0.25">
      <c r="A1027" s="5">
        <v>46006</v>
      </c>
      <c r="B1027" s="1" t="s">
        <v>46</v>
      </c>
      <c r="C1027" s="2">
        <v>20500</v>
      </c>
    </row>
    <row r="1028" spans="1:3" x14ac:dyDescent="0.25">
      <c r="A1028" s="5">
        <v>46006</v>
      </c>
      <c r="B1028" s="1" t="s">
        <v>46</v>
      </c>
      <c r="C1028" s="2">
        <v>20500</v>
      </c>
    </row>
    <row r="1029" spans="1:3" x14ac:dyDescent="0.25">
      <c r="A1029" s="5">
        <v>46006</v>
      </c>
      <c r="B1029" s="1" t="s">
        <v>46</v>
      </c>
      <c r="C1029" s="2">
        <v>20500</v>
      </c>
    </row>
    <row r="1030" spans="1:3" x14ac:dyDescent="0.25">
      <c r="A1030" s="5">
        <v>46006</v>
      </c>
      <c r="B1030" s="1" t="s">
        <v>46</v>
      </c>
      <c r="C1030" s="2">
        <v>20500</v>
      </c>
    </row>
    <row r="1031" spans="1:3" x14ac:dyDescent="0.25">
      <c r="A1031" s="5">
        <v>46006</v>
      </c>
      <c r="B1031" s="1" t="s">
        <v>46</v>
      </c>
      <c r="C1031" s="2">
        <v>20500</v>
      </c>
    </row>
    <row r="1032" spans="1:3" x14ac:dyDescent="0.25">
      <c r="A1032" s="5">
        <v>46006</v>
      </c>
      <c r="B1032" s="1" t="s">
        <v>46</v>
      </c>
      <c r="C1032" s="2">
        <v>20500</v>
      </c>
    </row>
    <row r="1033" spans="1:3" x14ac:dyDescent="0.25">
      <c r="A1033" s="5">
        <v>46006</v>
      </c>
      <c r="B1033" s="1" t="s">
        <v>46</v>
      </c>
      <c r="C1033" s="2">
        <v>20500</v>
      </c>
    </row>
    <row r="1034" spans="1:3" x14ac:dyDescent="0.25">
      <c r="A1034" s="5">
        <v>46006</v>
      </c>
      <c r="B1034" s="1" t="s">
        <v>46</v>
      </c>
      <c r="C1034" s="2">
        <v>20500</v>
      </c>
    </row>
    <row r="1035" spans="1:3" x14ac:dyDescent="0.25">
      <c r="A1035" s="5">
        <v>46006</v>
      </c>
      <c r="B1035" s="1" t="s">
        <v>46</v>
      </c>
      <c r="C1035" s="2">
        <v>20500</v>
      </c>
    </row>
    <row r="1036" spans="1:3" x14ac:dyDescent="0.25">
      <c r="A1036" s="5">
        <v>46006</v>
      </c>
      <c r="B1036" s="1" t="s">
        <v>46</v>
      </c>
      <c r="C1036" s="2">
        <v>20500</v>
      </c>
    </row>
    <row r="1037" spans="1:3" x14ac:dyDescent="0.25">
      <c r="A1037" s="5">
        <v>46006</v>
      </c>
      <c r="B1037" s="1" t="s">
        <v>46</v>
      </c>
      <c r="C1037" s="2">
        <v>20500</v>
      </c>
    </row>
    <row r="1038" spans="1:3" x14ac:dyDescent="0.25">
      <c r="A1038" s="5">
        <v>46006</v>
      </c>
      <c r="B1038" s="1" t="s">
        <v>46</v>
      </c>
      <c r="C1038" s="2">
        <v>20500</v>
      </c>
    </row>
    <row r="1039" spans="1:3" x14ac:dyDescent="0.25">
      <c r="A1039" s="5">
        <v>46006</v>
      </c>
      <c r="B1039" s="1" t="s">
        <v>46</v>
      </c>
      <c r="C1039" s="2">
        <v>20500</v>
      </c>
    </row>
    <row r="1040" spans="1:3" x14ac:dyDescent="0.25">
      <c r="A1040" s="5">
        <v>46006</v>
      </c>
      <c r="B1040" s="1" t="s">
        <v>46</v>
      </c>
      <c r="C1040" s="2">
        <v>20500</v>
      </c>
    </row>
    <row r="1041" spans="1:3" x14ac:dyDescent="0.25">
      <c r="A1041" s="5">
        <v>46006</v>
      </c>
      <c r="B1041" s="1" t="s">
        <v>46</v>
      </c>
      <c r="C1041" s="2">
        <v>20500</v>
      </c>
    </row>
    <row r="1042" spans="1:3" x14ac:dyDescent="0.25">
      <c r="A1042" s="5">
        <v>46006</v>
      </c>
      <c r="B1042" s="1" t="s">
        <v>46</v>
      </c>
      <c r="C1042" s="2">
        <v>20500</v>
      </c>
    </row>
    <row r="1043" spans="1:3" x14ac:dyDescent="0.25">
      <c r="A1043" s="5">
        <v>46006</v>
      </c>
      <c r="B1043" s="1" t="s">
        <v>46</v>
      </c>
      <c r="C1043" s="2">
        <v>20500</v>
      </c>
    </row>
    <row r="1044" spans="1:3" x14ac:dyDescent="0.25">
      <c r="A1044" s="5">
        <v>46006</v>
      </c>
      <c r="B1044" s="1" t="s">
        <v>46</v>
      </c>
      <c r="C1044" s="2">
        <v>20500</v>
      </c>
    </row>
    <row r="1045" spans="1:3" x14ac:dyDescent="0.25">
      <c r="A1045" s="5">
        <v>46006</v>
      </c>
      <c r="B1045" s="1" t="s">
        <v>46</v>
      </c>
      <c r="C1045" s="2">
        <v>20500</v>
      </c>
    </row>
    <row r="1046" spans="1:3" x14ac:dyDescent="0.25">
      <c r="A1046" s="5">
        <v>46006</v>
      </c>
      <c r="B1046" s="1" t="s">
        <v>46</v>
      </c>
      <c r="C1046" s="2">
        <v>20500</v>
      </c>
    </row>
    <row r="1047" spans="1:3" x14ac:dyDescent="0.25">
      <c r="A1047" s="5">
        <v>46006</v>
      </c>
      <c r="B1047" s="1" t="s">
        <v>46</v>
      </c>
      <c r="C1047" s="2">
        <v>20500</v>
      </c>
    </row>
    <row r="1048" spans="1:3" x14ac:dyDescent="0.25">
      <c r="A1048" s="5">
        <v>46006</v>
      </c>
      <c r="B1048" s="1" t="s">
        <v>46</v>
      </c>
      <c r="C1048" s="2">
        <v>20500</v>
      </c>
    </row>
    <row r="1049" spans="1:3" x14ac:dyDescent="0.25">
      <c r="A1049" s="5">
        <v>46006</v>
      </c>
      <c r="B1049" s="1" t="s">
        <v>46</v>
      </c>
      <c r="C1049" s="2">
        <v>20500</v>
      </c>
    </row>
    <row r="1050" spans="1:3" x14ac:dyDescent="0.25">
      <c r="A1050" s="5">
        <v>46006</v>
      </c>
      <c r="B1050" s="1" t="s">
        <v>46</v>
      </c>
      <c r="C1050" s="2">
        <v>20500</v>
      </c>
    </row>
    <row r="1051" spans="1:3" x14ac:dyDescent="0.25">
      <c r="A1051" s="5">
        <v>46006</v>
      </c>
      <c r="B1051" s="1" t="s">
        <v>46</v>
      </c>
      <c r="C1051" s="2">
        <v>20500</v>
      </c>
    </row>
    <row r="1052" spans="1:3" x14ac:dyDescent="0.25">
      <c r="A1052" s="5">
        <v>46006</v>
      </c>
      <c r="B1052" s="1" t="s">
        <v>46</v>
      </c>
      <c r="C1052" s="2">
        <v>20500</v>
      </c>
    </row>
    <row r="1053" spans="1:3" x14ac:dyDescent="0.25">
      <c r="A1053" s="5">
        <v>46006</v>
      </c>
      <c r="B1053" s="1" t="s">
        <v>46</v>
      </c>
      <c r="C1053" s="2">
        <v>20500</v>
      </c>
    </row>
    <row r="1054" spans="1:3" x14ac:dyDescent="0.25">
      <c r="A1054" s="5">
        <v>46006</v>
      </c>
      <c r="B1054" s="1" t="s">
        <v>46</v>
      </c>
      <c r="C1054" s="2">
        <v>20500</v>
      </c>
    </row>
    <row r="1055" spans="1:3" x14ac:dyDescent="0.25">
      <c r="A1055" s="5">
        <v>46006</v>
      </c>
      <c r="B1055" s="1" t="s">
        <v>46</v>
      </c>
      <c r="C1055" s="2">
        <v>20500</v>
      </c>
    </row>
    <row r="1056" spans="1:3" x14ac:dyDescent="0.25">
      <c r="A1056" s="5">
        <v>46006</v>
      </c>
      <c r="B1056" s="1" t="s">
        <v>46</v>
      </c>
      <c r="C1056" s="2">
        <v>20500</v>
      </c>
    </row>
    <row r="1057" spans="1:3" x14ac:dyDescent="0.25">
      <c r="A1057" s="5">
        <v>46006</v>
      </c>
      <c r="B1057" s="1" t="s">
        <v>46</v>
      </c>
      <c r="C1057" s="2">
        <v>20500</v>
      </c>
    </row>
    <row r="1058" spans="1:3" x14ac:dyDescent="0.25">
      <c r="A1058" s="5">
        <v>46006</v>
      </c>
      <c r="B1058" s="1" t="s">
        <v>46</v>
      </c>
      <c r="C1058" s="2">
        <v>20500</v>
      </c>
    </row>
    <row r="1059" spans="1:3" x14ac:dyDescent="0.25">
      <c r="A1059" s="5">
        <v>46006</v>
      </c>
      <c r="B1059" s="1" t="s">
        <v>46</v>
      </c>
      <c r="C1059" s="2">
        <v>20500</v>
      </c>
    </row>
    <row r="1060" spans="1:3" x14ac:dyDescent="0.25">
      <c r="A1060" s="5">
        <v>46006</v>
      </c>
      <c r="B1060" s="1" t="s">
        <v>46</v>
      </c>
      <c r="C1060" s="2">
        <v>20500</v>
      </c>
    </row>
    <row r="1061" spans="1:3" x14ac:dyDescent="0.25">
      <c r="A1061" s="5">
        <v>46006</v>
      </c>
      <c r="B1061" s="1" t="s">
        <v>46</v>
      </c>
      <c r="C1061" s="2">
        <v>20500</v>
      </c>
    </row>
    <row r="1062" spans="1:3" x14ac:dyDescent="0.25">
      <c r="A1062" s="5">
        <v>46006</v>
      </c>
      <c r="B1062" s="1" t="s">
        <v>46</v>
      </c>
      <c r="C1062" s="2">
        <v>20500</v>
      </c>
    </row>
    <row r="1063" spans="1:3" x14ac:dyDescent="0.25">
      <c r="A1063" s="5">
        <v>46006</v>
      </c>
      <c r="B1063" s="1" t="s">
        <v>46</v>
      </c>
      <c r="C1063" s="2">
        <v>20500</v>
      </c>
    </row>
    <row r="1064" spans="1:3" x14ac:dyDescent="0.25">
      <c r="A1064" s="5">
        <v>46006</v>
      </c>
      <c r="B1064" s="1" t="s">
        <v>46</v>
      </c>
      <c r="C1064" s="2">
        <v>20500</v>
      </c>
    </row>
    <row r="1065" spans="1:3" x14ac:dyDescent="0.25">
      <c r="A1065" s="5">
        <v>46006</v>
      </c>
      <c r="B1065" s="1" t="s">
        <v>46</v>
      </c>
      <c r="C1065" s="2">
        <v>20500</v>
      </c>
    </row>
    <row r="1066" spans="1:3" x14ac:dyDescent="0.25">
      <c r="A1066" s="5">
        <v>46006</v>
      </c>
      <c r="B1066" s="1" t="s">
        <v>46</v>
      </c>
      <c r="C1066" s="2">
        <v>20500</v>
      </c>
    </row>
    <row r="1067" spans="1:3" x14ac:dyDescent="0.25">
      <c r="A1067" s="5">
        <v>46006</v>
      </c>
      <c r="B1067" s="1" t="s">
        <v>46</v>
      </c>
      <c r="C1067" s="2">
        <v>20500</v>
      </c>
    </row>
    <row r="1068" spans="1:3" x14ac:dyDescent="0.25">
      <c r="A1068" s="5">
        <v>46006</v>
      </c>
      <c r="B1068" s="1" t="s">
        <v>46</v>
      </c>
      <c r="C1068" s="2">
        <v>20500</v>
      </c>
    </row>
    <row r="1069" spans="1:3" x14ac:dyDescent="0.25">
      <c r="A1069" s="5">
        <v>46006</v>
      </c>
      <c r="B1069" s="1" t="s">
        <v>46</v>
      </c>
      <c r="C1069" s="2">
        <v>20500</v>
      </c>
    </row>
    <row r="1070" spans="1:3" x14ac:dyDescent="0.25">
      <c r="A1070" s="5">
        <v>46006</v>
      </c>
      <c r="B1070" s="1" t="s">
        <v>46</v>
      </c>
      <c r="C1070" s="2">
        <v>20500</v>
      </c>
    </row>
    <row r="1071" spans="1:3" x14ac:dyDescent="0.25">
      <c r="A1071" s="5">
        <v>46006</v>
      </c>
      <c r="B1071" s="1" t="s">
        <v>46</v>
      </c>
      <c r="C1071" s="2">
        <v>20500</v>
      </c>
    </row>
    <row r="1072" spans="1:3" x14ac:dyDescent="0.25">
      <c r="A1072" s="5">
        <v>46006</v>
      </c>
      <c r="B1072" s="1" t="s">
        <v>46</v>
      </c>
      <c r="C1072" s="2">
        <v>20500</v>
      </c>
    </row>
    <row r="1073" spans="1:3" x14ac:dyDescent="0.25">
      <c r="A1073" s="5">
        <v>46006</v>
      </c>
      <c r="B1073" s="1" t="s">
        <v>46</v>
      </c>
      <c r="C1073" s="2">
        <v>20500</v>
      </c>
    </row>
    <row r="1074" spans="1:3" x14ac:dyDescent="0.25">
      <c r="A1074" s="5">
        <v>46006</v>
      </c>
      <c r="B1074" s="1" t="s">
        <v>46</v>
      </c>
      <c r="C1074" s="2">
        <v>20500</v>
      </c>
    </row>
    <row r="1075" spans="1:3" x14ac:dyDescent="0.25">
      <c r="A1075" s="5">
        <v>46006</v>
      </c>
      <c r="B1075" s="1" t="s">
        <v>46</v>
      </c>
      <c r="C1075" s="2">
        <v>20500</v>
      </c>
    </row>
    <row r="1076" spans="1:3" x14ac:dyDescent="0.25">
      <c r="A1076" s="5">
        <v>46006</v>
      </c>
      <c r="B1076" s="1" t="s">
        <v>46</v>
      </c>
      <c r="C1076" s="2">
        <v>20500</v>
      </c>
    </row>
    <row r="1077" spans="1:3" x14ac:dyDescent="0.25">
      <c r="A1077" s="5">
        <v>46006</v>
      </c>
      <c r="B1077" s="1" t="s">
        <v>46</v>
      </c>
      <c r="C1077" s="2">
        <v>20500</v>
      </c>
    </row>
    <row r="1078" spans="1:3" x14ac:dyDescent="0.25">
      <c r="A1078" s="5">
        <v>46006</v>
      </c>
      <c r="B1078" s="1" t="s">
        <v>46</v>
      </c>
      <c r="C1078" s="2">
        <v>20500</v>
      </c>
    </row>
    <row r="1079" spans="1:3" x14ac:dyDescent="0.25">
      <c r="A1079" s="5">
        <v>46006</v>
      </c>
      <c r="B1079" s="1" t="s">
        <v>46</v>
      </c>
      <c r="C1079" s="2">
        <v>20500</v>
      </c>
    </row>
    <row r="1080" spans="1:3" x14ac:dyDescent="0.25">
      <c r="A1080" s="5">
        <v>46006</v>
      </c>
      <c r="B1080" s="1" t="s">
        <v>46</v>
      </c>
      <c r="C1080" s="2">
        <v>20500</v>
      </c>
    </row>
    <row r="1081" spans="1:3" x14ac:dyDescent="0.25">
      <c r="A1081" s="5">
        <v>46006</v>
      </c>
      <c r="B1081" s="1" t="s">
        <v>46</v>
      </c>
      <c r="C1081" s="2">
        <v>20500</v>
      </c>
    </row>
    <row r="1082" spans="1:3" x14ac:dyDescent="0.25">
      <c r="A1082" s="5">
        <v>46006</v>
      </c>
      <c r="B1082" s="1" t="s">
        <v>46</v>
      </c>
      <c r="C1082" s="2">
        <v>20500</v>
      </c>
    </row>
    <row r="1083" spans="1:3" x14ac:dyDescent="0.25">
      <c r="A1083" s="5">
        <v>46006</v>
      </c>
      <c r="B1083" s="1" t="s">
        <v>46</v>
      </c>
      <c r="C1083" s="2">
        <v>20500</v>
      </c>
    </row>
    <row r="1084" spans="1:3" x14ac:dyDescent="0.25">
      <c r="A1084" s="5">
        <v>46006</v>
      </c>
      <c r="B1084" s="1" t="s">
        <v>46</v>
      </c>
      <c r="C1084" s="2">
        <v>20500</v>
      </c>
    </row>
    <row r="1085" spans="1:3" x14ac:dyDescent="0.25">
      <c r="A1085" s="5">
        <v>46006</v>
      </c>
      <c r="B1085" s="1" t="s">
        <v>46</v>
      </c>
      <c r="C1085" s="2">
        <v>20500</v>
      </c>
    </row>
    <row r="1086" spans="1:3" x14ac:dyDescent="0.25">
      <c r="A1086" s="5">
        <v>46006</v>
      </c>
      <c r="B1086" s="1" t="s">
        <v>46</v>
      </c>
      <c r="C1086" s="2">
        <v>20500</v>
      </c>
    </row>
    <row r="1087" spans="1:3" x14ac:dyDescent="0.25">
      <c r="A1087" s="5">
        <v>46006</v>
      </c>
      <c r="B1087" s="1" t="s">
        <v>46</v>
      </c>
      <c r="C1087" s="2">
        <v>20500</v>
      </c>
    </row>
    <row r="1088" spans="1:3" x14ac:dyDescent="0.25">
      <c r="A1088" s="5">
        <v>46006</v>
      </c>
      <c r="B1088" s="1" t="s">
        <v>46</v>
      </c>
      <c r="C1088" s="2">
        <v>20500</v>
      </c>
    </row>
    <row r="1089" spans="1:3" x14ac:dyDescent="0.25">
      <c r="A1089" s="5">
        <v>46006</v>
      </c>
      <c r="B1089" s="1" t="s">
        <v>46</v>
      </c>
      <c r="C1089" s="2">
        <v>20500</v>
      </c>
    </row>
    <row r="1090" spans="1:3" x14ac:dyDescent="0.25">
      <c r="A1090" s="5">
        <v>46006</v>
      </c>
      <c r="B1090" s="1" t="s">
        <v>46</v>
      </c>
      <c r="C1090" s="2">
        <v>20500</v>
      </c>
    </row>
    <row r="1091" spans="1:3" x14ac:dyDescent="0.25">
      <c r="A1091" s="5">
        <v>46006</v>
      </c>
      <c r="B1091" s="1" t="s">
        <v>46</v>
      </c>
      <c r="C1091" s="2">
        <v>20500</v>
      </c>
    </row>
    <row r="1092" spans="1:3" x14ac:dyDescent="0.25">
      <c r="A1092" s="5">
        <v>46006</v>
      </c>
      <c r="B1092" s="1" t="s">
        <v>46</v>
      </c>
      <c r="C1092" s="2">
        <v>20500</v>
      </c>
    </row>
    <row r="1093" spans="1:3" x14ac:dyDescent="0.25">
      <c r="A1093" s="5">
        <v>46006</v>
      </c>
      <c r="B1093" s="1" t="s">
        <v>46</v>
      </c>
      <c r="C1093" s="2">
        <v>20500</v>
      </c>
    </row>
    <row r="1094" spans="1:3" x14ac:dyDescent="0.25">
      <c r="A1094" s="5">
        <v>46006</v>
      </c>
      <c r="B1094" s="1" t="s">
        <v>46</v>
      </c>
      <c r="C1094" s="2">
        <v>20500</v>
      </c>
    </row>
    <row r="1095" spans="1:3" x14ac:dyDescent="0.25">
      <c r="A1095" s="5">
        <v>46006</v>
      </c>
      <c r="B1095" s="1" t="s">
        <v>46</v>
      </c>
      <c r="C1095" s="2">
        <v>20500</v>
      </c>
    </row>
    <row r="1096" spans="1:3" x14ac:dyDescent="0.25">
      <c r="A1096" s="5">
        <v>46006</v>
      </c>
      <c r="B1096" s="1" t="s">
        <v>46</v>
      </c>
      <c r="C1096" s="2">
        <v>20500</v>
      </c>
    </row>
    <row r="1097" spans="1:3" x14ac:dyDescent="0.25">
      <c r="A1097" s="5">
        <v>46006</v>
      </c>
      <c r="B1097" s="1" t="s">
        <v>46</v>
      </c>
      <c r="C1097" s="2">
        <v>20500</v>
      </c>
    </row>
    <row r="1098" spans="1:3" x14ac:dyDescent="0.25">
      <c r="A1098" s="5">
        <v>46006</v>
      </c>
      <c r="B1098" s="1" t="s">
        <v>46</v>
      </c>
      <c r="C1098" s="2">
        <v>20500</v>
      </c>
    </row>
    <row r="1099" spans="1:3" x14ac:dyDescent="0.25">
      <c r="A1099" s="5">
        <v>46006</v>
      </c>
      <c r="B1099" s="1" t="s">
        <v>46</v>
      </c>
      <c r="C1099" s="2">
        <v>20500</v>
      </c>
    </row>
    <row r="1100" spans="1:3" x14ac:dyDescent="0.25">
      <c r="A1100" s="5">
        <v>46006</v>
      </c>
      <c r="B1100" s="1" t="s">
        <v>46</v>
      </c>
      <c r="C1100" s="2">
        <v>20500</v>
      </c>
    </row>
    <row r="1101" spans="1:3" x14ac:dyDescent="0.25">
      <c r="A1101" s="5">
        <v>46006</v>
      </c>
      <c r="B1101" s="1" t="s">
        <v>46</v>
      </c>
      <c r="C1101" s="2">
        <v>20500</v>
      </c>
    </row>
    <row r="1102" spans="1:3" x14ac:dyDescent="0.25">
      <c r="A1102" s="5">
        <v>46006</v>
      </c>
      <c r="B1102" s="1" t="s">
        <v>46</v>
      </c>
      <c r="C1102" s="2">
        <v>20500</v>
      </c>
    </row>
    <row r="1103" spans="1:3" x14ac:dyDescent="0.25">
      <c r="A1103" s="5">
        <v>46006</v>
      </c>
      <c r="B1103" s="1" t="s">
        <v>46</v>
      </c>
      <c r="C1103" s="2">
        <v>20500</v>
      </c>
    </row>
    <row r="1104" spans="1:3" x14ac:dyDescent="0.25">
      <c r="A1104" s="5">
        <v>46006</v>
      </c>
      <c r="B1104" s="1" t="s">
        <v>46</v>
      </c>
      <c r="C1104" s="2">
        <v>20500</v>
      </c>
    </row>
    <row r="1105" spans="1:3" x14ac:dyDescent="0.25">
      <c r="A1105" s="5">
        <v>46006</v>
      </c>
      <c r="B1105" s="1" t="s">
        <v>46</v>
      </c>
      <c r="C1105" s="2">
        <v>20500</v>
      </c>
    </row>
    <row r="1106" spans="1:3" x14ac:dyDescent="0.25">
      <c r="A1106" s="5">
        <v>46006</v>
      </c>
      <c r="B1106" s="1" t="s">
        <v>46</v>
      </c>
      <c r="C1106" s="2">
        <v>20500</v>
      </c>
    </row>
    <row r="1107" spans="1:3" x14ac:dyDescent="0.25">
      <c r="A1107" s="5">
        <v>46006</v>
      </c>
      <c r="B1107" s="1" t="s">
        <v>46</v>
      </c>
      <c r="C1107" s="2">
        <v>20500</v>
      </c>
    </row>
    <row r="1108" spans="1:3" x14ac:dyDescent="0.25">
      <c r="A1108" s="5">
        <v>46006</v>
      </c>
      <c r="B1108" s="1" t="s">
        <v>46</v>
      </c>
      <c r="C1108" s="2">
        <v>20500</v>
      </c>
    </row>
    <row r="1109" spans="1:3" x14ac:dyDescent="0.25">
      <c r="A1109" s="5">
        <v>46006</v>
      </c>
      <c r="B1109" s="1" t="s">
        <v>46</v>
      </c>
      <c r="C1109" s="2">
        <v>20500</v>
      </c>
    </row>
    <row r="1110" spans="1:3" x14ac:dyDescent="0.25">
      <c r="A1110" s="5">
        <v>46006</v>
      </c>
      <c r="B1110" s="1" t="s">
        <v>46</v>
      </c>
      <c r="C1110" s="2">
        <v>20500</v>
      </c>
    </row>
    <row r="1111" spans="1:3" x14ac:dyDescent="0.25">
      <c r="A1111" s="5">
        <v>46006</v>
      </c>
      <c r="B1111" s="1" t="s">
        <v>46</v>
      </c>
      <c r="C1111" s="2">
        <v>20500</v>
      </c>
    </row>
    <row r="1112" spans="1:3" x14ac:dyDescent="0.25">
      <c r="A1112" s="5">
        <v>46006</v>
      </c>
      <c r="B1112" s="1" t="s">
        <v>46</v>
      </c>
      <c r="C1112" s="2">
        <v>20500</v>
      </c>
    </row>
    <row r="1113" spans="1:3" x14ac:dyDescent="0.25">
      <c r="A1113" s="5">
        <v>46006</v>
      </c>
      <c r="B1113" s="1" t="s">
        <v>46</v>
      </c>
      <c r="C1113" s="2">
        <v>20500</v>
      </c>
    </row>
    <row r="1114" spans="1:3" x14ac:dyDescent="0.25">
      <c r="A1114" s="5">
        <v>46006</v>
      </c>
      <c r="B1114" s="1" t="s">
        <v>46</v>
      </c>
      <c r="C1114" s="2">
        <v>20500</v>
      </c>
    </row>
    <row r="1115" spans="1:3" x14ac:dyDescent="0.25">
      <c r="A1115" s="5">
        <v>46006</v>
      </c>
      <c r="B1115" s="1" t="s">
        <v>46</v>
      </c>
      <c r="C1115" s="2">
        <v>20500</v>
      </c>
    </row>
    <row r="1116" spans="1:3" x14ac:dyDescent="0.25">
      <c r="A1116" s="5">
        <v>46006</v>
      </c>
      <c r="B1116" s="1" t="s">
        <v>46</v>
      </c>
      <c r="C1116" s="2">
        <v>20500</v>
      </c>
    </row>
    <row r="1117" spans="1:3" x14ac:dyDescent="0.25">
      <c r="A1117" s="5">
        <v>46006</v>
      </c>
      <c r="B1117" s="1" t="s">
        <v>46</v>
      </c>
      <c r="C1117" s="2">
        <v>20500</v>
      </c>
    </row>
    <row r="1118" spans="1:3" x14ac:dyDescent="0.25">
      <c r="A1118" s="5">
        <v>46006</v>
      </c>
      <c r="B1118" s="1" t="s">
        <v>46</v>
      </c>
      <c r="C1118" s="2">
        <v>20500</v>
      </c>
    </row>
    <row r="1119" spans="1:3" x14ac:dyDescent="0.25">
      <c r="A1119" s="5">
        <v>46006</v>
      </c>
      <c r="B1119" s="1" t="s">
        <v>46</v>
      </c>
      <c r="C1119" s="2">
        <v>20500</v>
      </c>
    </row>
    <row r="1120" spans="1:3" x14ac:dyDescent="0.25">
      <c r="A1120" s="5">
        <v>46006</v>
      </c>
      <c r="B1120" s="1" t="s">
        <v>46</v>
      </c>
      <c r="C1120" s="2">
        <v>20500</v>
      </c>
    </row>
    <row r="1121" spans="1:3" x14ac:dyDescent="0.25">
      <c r="A1121" s="5">
        <v>46006</v>
      </c>
      <c r="B1121" s="1" t="s">
        <v>46</v>
      </c>
      <c r="C1121" s="2">
        <v>20500</v>
      </c>
    </row>
    <row r="1122" spans="1:3" x14ac:dyDescent="0.25">
      <c r="A1122" s="5">
        <v>46006</v>
      </c>
      <c r="B1122" s="1" t="s">
        <v>46</v>
      </c>
      <c r="C1122" s="2">
        <v>20500</v>
      </c>
    </row>
    <row r="1123" spans="1:3" x14ac:dyDescent="0.25">
      <c r="A1123" s="5">
        <v>46006</v>
      </c>
      <c r="B1123" s="1" t="s">
        <v>46</v>
      </c>
      <c r="C1123" s="2">
        <v>20500</v>
      </c>
    </row>
    <row r="1124" spans="1:3" x14ac:dyDescent="0.25">
      <c r="A1124" s="5">
        <v>46006</v>
      </c>
      <c r="B1124" s="1" t="s">
        <v>46</v>
      </c>
      <c r="C1124" s="2">
        <v>20500</v>
      </c>
    </row>
    <row r="1125" spans="1:3" x14ac:dyDescent="0.25">
      <c r="A1125" s="5">
        <v>46006</v>
      </c>
      <c r="B1125" s="1" t="s">
        <v>46</v>
      </c>
      <c r="C1125" s="2">
        <v>20500</v>
      </c>
    </row>
    <row r="1126" spans="1:3" x14ac:dyDescent="0.25">
      <c r="A1126" s="5">
        <v>46006</v>
      </c>
      <c r="B1126" s="1" t="s">
        <v>46</v>
      </c>
      <c r="C1126" s="2">
        <v>20500</v>
      </c>
    </row>
    <row r="1127" spans="1:3" x14ac:dyDescent="0.25">
      <c r="A1127" s="5">
        <v>46006</v>
      </c>
      <c r="B1127" s="1" t="s">
        <v>46</v>
      </c>
      <c r="C1127" s="2">
        <v>20500</v>
      </c>
    </row>
    <row r="1128" spans="1:3" x14ac:dyDescent="0.25">
      <c r="A1128" s="5">
        <v>46006</v>
      </c>
      <c r="B1128" s="1" t="s">
        <v>46</v>
      </c>
      <c r="C1128" s="2">
        <v>20500</v>
      </c>
    </row>
    <row r="1129" spans="1:3" x14ac:dyDescent="0.25">
      <c r="A1129" s="5">
        <v>46006</v>
      </c>
      <c r="B1129" s="1" t="s">
        <v>46</v>
      </c>
      <c r="C1129" s="2">
        <v>20500</v>
      </c>
    </row>
    <row r="1130" spans="1:3" x14ac:dyDescent="0.25">
      <c r="A1130" s="5">
        <v>46006</v>
      </c>
      <c r="B1130" s="1" t="s">
        <v>46</v>
      </c>
      <c r="C1130" s="2">
        <v>20500</v>
      </c>
    </row>
    <row r="1131" spans="1:3" x14ac:dyDescent="0.25">
      <c r="A1131" s="5">
        <v>46006</v>
      </c>
      <c r="B1131" s="1" t="s">
        <v>46</v>
      </c>
      <c r="C1131" s="2">
        <v>20500</v>
      </c>
    </row>
    <row r="1132" spans="1:3" x14ac:dyDescent="0.25">
      <c r="A1132" s="5">
        <v>46006</v>
      </c>
      <c r="B1132" s="1" t="s">
        <v>46</v>
      </c>
      <c r="C1132" s="2">
        <v>20500</v>
      </c>
    </row>
    <row r="1133" spans="1:3" x14ac:dyDescent="0.25">
      <c r="A1133" s="5">
        <v>46006</v>
      </c>
      <c r="B1133" s="1" t="s">
        <v>46</v>
      </c>
      <c r="C1133" s="2">
        <v>20500</v>
      </c>
    </row>
    <row r="1134" spans="1:3" x14ac:dyDescent="0.25">
      <c r="A1134" s="5">
        <v>46006</v>
      </c>
      <c r="B1134" s="1" t="s">
        <v>46</v>
      </c>
      <c r="C1134" s="2">
        <v>20500</v>
      </c>
    </row>
    <row r="1135" spans="1:3" x14ac:dyDescent="0.25">
      <c r="A1135" s="5">
        <v>46006</v>
      </c>
      <c r="B1135" s="1" t="s">
        <v>46</v>
      </c>
      <c r="C1135" s="2">
        <v>20500</v>
      </c>
    </row>
    <row r="1136" spans="1:3" x14ac:dyDescent="0.25">
      <c r="A1136" s="5">
        <v>46006</v>
      </c>
      <c r="B1136" s="1" t="s">
        <v>46</v>
      </c>
      <c r="C1136" s="2">
        <v>20500</v>
      </c>
    </row>
    <row r="1137" spans="1:3" x14ac:dyDescent="0.25">
      <c r="A1137" s="5">
        <v>46006</v>
      </c>
      <c r="B1137" s="1" t="s">
        <v>46</v>
      </c>
      <c r="C1137" s="2">
        <v>20500</v>
      </c>
    </row>
    <row r="1138" spans="1:3" x14ac:dyDescent="0.25">
      <c r="A1138" s="5">
        <v>46006</v>
      </c>
      <c r="B1138" s="1" t="s">
        <v>46</v>
      </c>
      <c r="C1138" s="2">
        <v>20500</v>
      </c>
    </row>
    <row r="1139" spans="1:3" x14ac:dyDescent="0.25">
      <c r="A1139" s="5">
        <v>46006</v>
      </c>
      <c r="B1139" s="1" t="s">
        <v>46</v>
      </c>
      <c r="C1139" s="2">
        <v>20500</v>
      </c>
    </row>
    <row r="1140" spans="1:3" x14ac:dyDescent="0.25">
      <c r="A1140" s="5">
        <v>46006</v>
      </c>
      <c r="B1140" s="1" t="s">
        <v>46</v>
      </c>
      <c r="C1140" s="2">
        <v>20500</v>
      </c>
    </row>
    <row r="1141" spans="1:3" x14ac:dyDescent="0.25">
      <c r="A1141" s="5">
        <v>46006</v>
      </c>
      <c r="B1141" s="1" t="s">
        <v>46</v>
      </c>
      <c r="C1141" s="2">
        <v>20500</v>
      </c>
    </row>
    <row r="1142" spans="1:3" x14ac:dyDescent="0.25">
      <c r="A1142" s="5">
        <v>46006</v>
      </c>
      <c r="B1142" s="1" t="s">
        <v>46</v>
      </c>
      <c r="C1142" s="2">
        <v>20500</v>
      </c>
    </row>
    <row r="1143" spans="1:3" x14ac:dyDescent="0.25">
      <c r="A1143" s="5">
        <v>46006</v>
      </c>
      <c r="B1143" s="1" t="s">
        <v>46</v>
      </c>
      <c r="C1143" s="2">
        <v>20500</v>
      </c>
    </row>
    <row r="1144" spans="1:3" x14ac:dyDescent="0.25">
      <c r="A1144" s="5">
        <v>46006</v>
      </c>
      <c r="B1144" s="1" t="s">
        <v>46</v>
      </c>
      <c r="C1144" s="2">
        <v>20500</v>
      </c>
    </row>
    <row r="1145" spans="1:3" x14ac:dyDescent="0.25">
      <c r="A1145" s="5">
        <v>46006</v>
      </c>
      <c r="B1145" s="1" t="s">
        <v>46</v>
      </c>
      <c r="C1145" s="2">
        <v>20500</v>
      </c>
    </row>
    <row r="1146" spans="1:3" x14ac:dyDescent="0.25">
      <c r="A1146" s="5">
        <v>46006</v>
      </c>
      <c r="B1146" s="1" t="s">
        <v>46</v>
      </c>
      <c r="C1146" s="2">
        <v>20500</v>
      </c>
    </row>
    <row r="1147" spans="1:3" x14ac:dyDescent="0.25">
      <c r="A1147" s="5">
        <v>46006</v>
      </c>
      <c r="B1147" s="1" t="s">
        <v>46</v>
      </c>
      <c r="C1147" s="2">
        <v>20500</v>
      </c>
    </row>
    <row r="1148" spans="1:3" x14ac:dyDescent="0.25">
      <c r="A1148" s="5">
        <v>46006</v>
      </c>
      <c r="B1148" s="1" t="s">
        <v>46</v>
      </c>
      <c r="C1148" s="2">
        <v>20500</v>
      </c>
    </row>
    <row r="1149" spans="1:3" x14ac:dyDescent="0.25">
      <c r="A1149" s="5">
        <v>46006</v>
      </c>
      <c r="B1149" s="1" t="s">
        <v>46</v>
      </c>
      <c r="C1149" s="2">
        <v>20500</v>
      </c>
    </row>
    <row r="1150" spans="1:3" x14ac:dyDescent="0.25">
      <c r="A1150" s="5">
        <v>46006</v>
      </c>
      <c r="B1150" s="1" t="s">
        <v>46</v>
      </c>
      <c r="C1150" s="2">
        <v>20500</v>
      </c>
    </row>
    <row r="1151" spans="1:3" x14ac:dyDescent="0.25">
      <c r="A1151" s="5">
        <v>46006</v>
      </c>
      <c r="B1151" s="1" t="s">
        <v>46</v>
      </c>
      <c r="C1151" s="2">
        <v>20500</v>
      </c>
    </row>
    <row r="1152" spans="1:3" x14ac:dyDescent="0.25">
      <c r="A1152" s="5">
        <v>46006</v>
      </c>
      <c r="B1152" s="1" t="s">
        <v>46</v>
      </c>
      <c r="C1152" s="2">
        <v>20500</v>
      </c>
    </row>
    <row r="1153" spans="1:3" x14ac:dyDescent="0.25">
      <c r="A1153" s="5">
        <v>46006</v>
      </c>
      <c r="B1153" s="1" t="s">
        <v>46</v>
      </c>
      <c r="C1153" s="2">
        <v>20500</v>
      </c>
    </row>
    <row r="1154" spans="1:3" x14ac:dyDescent="0.25">
      <c r="A1154" s="5">
        <v>46006</v>
      </c>
      <c r="B1154" s="1" t="s">
        <v>46</v>
      </c>
      <c r="C1154" s="2">
        <v>20500</v>
      </c>
    </row>
    <row r="1155" spans="1:3" x14ac:dyDescent="0.25">
      <c r="A1155" s="5">
        <v>46006</v>
      </c>
      <c r="B1155" s="1" t="s">
        <v>46</v>
      </c>
      <c r="C1155" s="2">
        <v>20500</v>
      </c>
    </row>
    <row r="1156" spans="1:3" x14ac:dyDescent="0.25">
      <c r="A1156" s="5">
        <v>46006</v>
      </c>
      <c r="B1156" s="1" t="s">
        <v>46</v>
      </c>
      <c r="C1156" s="2">
        <v>20500</v>
      </c>
    </row>
    <row r="1157" spans="1:3" x14ac:dyDescent="0.25">
      <c r="A1157" s="5">
        <v>46006</v>
      </c>
      <c r="B1157" s="1" t="s">
        <v>46</v>
      </c>
      <c r="C1157" s="2">
        <v>20500</v>
      </c>
    </row>
    <row r="1158" spans="1:3" x14ac:dyDescent="0.25">
      <c r="A1158" s="5">
        <v>46006</v>
      </c>
      <c r="B1158" s="1" t="s">
        <v>46</v>
      </c>
      <c r="C1158" s="2">
        <v>20500</v>
      </c>
    </row>
    <row r="1159" spans="1:3" x14ac:dyDescent="0.25">
      <c r="A1159" s="5">
        <v>46006</v>
      </c>
      <c r="B1159" s="1" t="s">
        <v>46</v>
      </c>
      <c r="C1159" s="2">
        <v>20500</v>
      </c>
    </row>
    <row r="1160" spans="1:3" x14ac:dyDescent="0.25">
      <c r="A1160" s="5">
        <v>46006</v>
      </c>
      <c r="B1160" s="1" t="s">
        <v>46</v>
      </c>
      <c r="C1160" s="2">
        <v>20500</v>
      </c>
    </row>
    <row r="1161" spans="1:3" x14ac:dyDescent="0.25">
      <c r="A1161" s="5">
        <v>46006</v>
      </c>
      <c r="B1161" s="1" t="s">
        <v>46</v>
      </c>
      <c r="C1161" s="2">
        <v>20500</v>
      </c>
    </row>
    <row r="1162" spans="1:3" x14ac:dyDescent="0.25">
      <c r="A1162" s="5">
        <v>46006</v>
      </c>
      <c r="B1162" s="1" t="s">
        <v>46</v>
      </c>
      <c r="C1162" s="2">
        <v>20500</v>
      </c>
    </row>
    <row r="1163" spans="1:3" x14ac:dyDescent="0.25">
      <c r="A1163" s="5">
        <v>46006</v>
      </c>
      <c r="B1163" s="1" t="s">
        <v>46</v>
      </c>
      <c r="C1163" s="2">
        <v>20500</v>
      </c>
    </row>
    <row r="1164" spans="1:3" x14ac:dyDescent="0.25">
      <c r="A1164" s="5">
        <v>46006</v>
      </c>
      <c r="B1164" s="1" t="s">
        <v>46</v>
      </c>
      <c r="C1164" s="2">
        <v>20500</v>
      </c>
    </row>
    <row r="1165" spans="1:3" x14ac:dyDescent="0.25">
      <c r="A1165" s="5">
        <v>46006</v>
      </c>
      <c r="B1165" s="1" t="s">
        <v>46</v>
      </c>
      <c r="C1165" s="2">
        <v>20500</v>
      </c>
    </row>
    <row r="1166" spans="1:3" x14ac:dyDescent="0.25">
      <c r="A1166" s="5">
        <v>46006</v>
      </c>
      <c r="B1166" s="1" t="s">
        <v>46</v>
      </c>
      <c r="C1166" s="2">
        <v>20500</v>
      </c>
    </row>
    <row r="1167" spans="1:3" x14ac:dyDescent="0.25">
      <c r="A1167" s="5">
        <v>46006</v>
      </c>
      <c r="B1167" s="1" t="s">
        <v>46</v>
      </c>
      <c r="C1167" s="2">
        <v>20500</v>
      </c>
    </row>
    <row r="1168" spans="1:3" x14ac:dyDescent="0.25">
      <c r="A1168" s="5">
        <v>46006</v>
      </c>
      <c r="B1168" s="1" t="s">
        <v>46</v>
      </c>
      <c r="C1168" s="2">
        <v>20500</v>
      </c>
    </row>
    <row r="1169" spans="1:3" x14ac:dyDescent="0.25">
      <c r="A1169" s="5">
        <v>46006</v>
      </c>
      <c r="B1169" s="1" t="s">
        <v>46</v>
      </c>
      <c r="C1169" s="2">
        <v>20500</v>
      </c>
    </row>
    <row r="1170" spans="1:3" x14ac:dyDescent="0.25">
      <c r="A1170" s="5">
        <v>46006</v>
      </c>
      <c r="B1170" s="1" t="s">
        <v>46</v>
      </c>
      <c r="C1170" s="2">
        <v>20500</v>
      </c>
    </row>
    <row r="1171" spans="1:3" x14ac:dyDescent="0.25">
      <c r="A1171" s="5">
        <v>46006</v>
      </c>
      <c r="B1171" s="1" t="s">
        <v>46</v>
      </c>
      <c r="C1171" s="2">
        <v>20500</v>
      </c>
    </row>
    <row r="1172" spans="1:3" x14ac:dyDescent="0.25">
      <c r="A1172" s="5">
        <v>46006</v>
      </c>
      <c r="B1172" s="1" t="s">
        <v>46</v>
      </c>
      <c r="C1172" s="2">
        <v>20500</v>
      </c>
    </row>
    <row r="1173" spans="1:3" x14ac:dyDescent="0.25">
      <c r="A1173" s="5">
        <v>46006</v>
      </c>
      <c r="B1173" s="1" t="s">
        <v>46</v>
      </c>
      <c r="C1173" s="2">
        <v>20500</v>
      </c>
    </row>
    <row r="1174" spans="1:3" x14ac:dyDescent="0.25">
      <c r="A1174" s="5">
        <v>46006</v>
      </c>
      <c r="B1174" s="1" t="s">
        <v>46</v>
      </c>
      <c r="C1174" s="2">
        <v>20500</v>
      </c>
    </row>
    <row r="1175" spans="1:3" x14ac:dyDescent="0.25">
      <c r="A1175" s="5">
        <v>46006</v>
      </c>
      <c r="B1175" s="1" t="s">
        <v>46</v>
      </c>
      <c r="C1175" s="2">
        <v>20500</v>
      </c>
    </row>
    <row r="1176" spans="1:3" x14ac:dyDescent="0.25">
      <c r="A1176" s="5">
        <v>46006</v>
      </c>
      <c r="B1176" s="1" t="s">
        <v>46</v>
      </c>
      <c r="C1176" s="2">
        <v>20500</v>
      </c>
    </row>
    <row r="1177" spans="1:3" x14ac:dyDescent="0.25">
      <c r="A1177" s="5">
        <v>46006</v>
      </c>
      <c r="B1177" s="1" t="s">
        <v>46</v>
      </c>
      <c r="C1177" s="2">
        <v>20500</v>
      </c>
    </row>
    <row r="1178" spans="1:3" x14ac:dyDescent="0.25">
      <c r="A1178" s="5">
        <v>46006</v>
      </c>
      <c r="B1178" s="1" t="s">
        <v>46</v>
      </c>
      <c r="C1178" s="2">
        <v>20500</v>
      </c>
    </row>
    <row r="1179" spans="1:3" x14ac:dyDescent="0.25">
      <c r="A1179" s="5">
        <v>46006</v>
      </c>
      <c r="B1179" s="1" t="s">
        <v>46</v>
      </c>
      <c r="C1179" s="2">
        <v>20500</v>
      </c>
    </row>
    <row r="1180" spans="1:3" x14ac:dyDescent="0.25">
      <c r="A1180" s="5">
        <v>46006</v>
      </c>
      <c r="B1180" s="1" t="s">
        <v>46</v>
      </c>
      <c r="C1180" s="2">
        <v>20500</v>
      </c>
    </row>
    <row r="1181" spans="1:3" x14ac:dyDescent="0.25">
      <c r="A1181" s="5">
        <v>46006</v>
      </c>
      <c r="B1181" s="1" t="s">
        <v>46</v>
      </c>
      <c r="C1181" s="2">
        <v>20500</v>
      </c>
    </row>
    <row r="1182" spans="1:3" x14ac:dyDescent="0.25">
      <c r="A1182" s="5">
        <v>46006</v>
      </c>
      <c r="B1182" s="1" t="s">
        <v>46</v>
      </c>
      <c r="C1182" s="2">
        <v>20500</v>
      </c>
    </row>
    <row r="1183" spans="1:3" x14ac:dyDescent="0.25">
      <c r="A1183" s="5">
        <v>46006</v>
      </c>
      <c r="B1183" s="1" t="s">
        <v>46</v>
      </c>
      <c r="C1183" s="2">
        <v>20500</v>
      </c>
    </row>
    <row r="1184" spans="1:3" x14ac:dyDescent="0.25">
      <c r="A1184" s="5">
        <v>46006</v>
      </c>
      <c r="B1184" s="1" t="s">
        <v>46</v>
      </c>
      <c r="C1184" s="2">
        <v>20500</v>
      </c>
    </row>
    <row r="1185" spans="1:3" x14ac:dyDescent="0.25">
      <c r="A1185" s="5">
        <v>46006</v>
      </c>
      <c r="B1185" s="1" t="s">
        <v>46</v>
      </c>
      <c r="C1185" s="2">
        <v>20500</v>
      </c>
    </row>
    <row r="1186" spans="1:3" x14ac:dyDescent="0.25">
      <c r="A1186" s="5">
        <v>46006</v>
      </c>
      <c r="B1186" s="1" t="s">
        <v>46</v>
      </c>
      <c r="C1186" s="2">
        <v>20500</v>
      </c>
    </row>
    <row r="1187" spans="1:3" x14ac:dyDescent="0.25">
      <c r="A1187" s="5">
        <v>46006</v>
      </c>
      <c r="B1187" s="1" t="s">
        <v>46</v>
      </c>
      <c r="C1187" s="2">
        <v>20500</v>
      </c>
    </row>
    <row r="1188" spans="1:3" x14ac:dyDescent="0.25">
      <c r="A1188" s="5">
        <v>46006</v>
      </c>
      <c r="B1188" s="1" t="s">
        <v>46</v>
      </c>
      <c r="C1188" s="2">
        <v>20500</v>
      </c>
    </row>
    <row r="1189" spans="1:3" x14ac:dyDescent="0.25">
      <c r="A1189" s="5">
        <v>46006</v>
      </c>
      <c r="B1189" s="1" t="s">
        <v>46</v>
      </c>
      <c r="C1189" s="2">
        <v>20500</v>
      </c>
    </row>
    <row r="1190" spans="1:3" x14ac:dyDescent="0.25">
      <c r="A1190" s="5">
        <v>46006</v>
      </c>
      <c r="B1190" s="1" t="s">
        <v>46</v>
      </c>
      <c r="C1190" s="2">
        <v>20500</v>
      </c>
    </row>
    <row r="1191" spans="1:3" x14ac:dyDescent="0.25">
      <c r="A1191" s="5">
        <v>46006</v>
      </c>
      <c r="B1191" s="1" t="s">
        <v>46</v>
      </c>
      <c r="C1191" s="2">
        <v>20500</v>
      </c>
    </row>
    <row r="1192" spans="1:3" x14ac:dyDescent="0.25">
      <c r="A1192" s="5">
        <v>46006</v>
      </c>
      <c r="B1192" s="1" t="s">
        <v>46</v>
      </c>
      <c r="C1192" s="2">
        <v>20500</v>
      </c>
    </row>
    <row r="1193" spans="1:3" x14ac:dyDescent="0.25">
      <c r="A1193" s="5">
        <v>46006</v>
      </c>
      <c r="B1193" s="1" t="s">
        <v>46</v>
      </c>
      <c r="C1193" s="2">
        <v>20500</v>
      </c>
    </row>
    <row r="1194" spans="1:3" x14ac:dyDescent="0.25">
      <c r="A1194" s="5">
        <v>46006</v>
      </c>
      <c r="B1194" s="1" t="s">
        <v>46</v>
      </c>
      <c r="C1194" s="2">
        <v>20500</v>
      </c>
    </row>
    <row r="1195" spans="1:3" x14ac:dyDescent="0.25">
      <c r="A1195" s="5">
        <v>46006</v>
      </c>
      <c r="B1195" s="1" t="s">
        <v>46</v>
      </c>
      <c r="C1195" s="2">
        <v>20500</v>
      </c>
    </row>
    <row r="1196" spans="1:3" x14ac:dyDescent="0.25">
      <c r="A1196" s="5">
        <v>46006</v>
      </c>
      <c r="B1196" s="1" t="s">
        <v>46</v>
      </c>
      <c r="C1196" s="2">
        <v>20500</v>
      </c>
    </row>
    <row r="1197" spans="1:3" x14ac:dyDescent="0.25">
      <c r="A1197" s="5">
        <v>46006</v>
      </c>
      <c r="B1197" s="1" t="s">
        <v>46</v>
      </c>
      <c r="C1197" s="2">
        <v>20500</v>
      </c>
    </row>
    <row r="1198" spans="1:3" x14ac:dyDescent="0.25">
      <c r="A1198" s="5">
        <v>46006</v>
      </c>
      <c r="B1198" s="1" t="s">
        <v>46</v>
      </c>
      <c r="C1198" s="2">
        <v>20500</v>
      </c>
    </row>
    <row r="1199" spans="1:3" x14ac:dyDescent="0.25">
      <c r="A1199" s="5">
        <v>46006</v>
      </c>
      <c r="B1199" s="1" t="s">
        <v>46</v>
      </c>
      <c r="C1199" s="2">
        <v>20500</v>
      </c>
    </row>
    <row r="1200" spans="1:3" x14ac:dyDescent="0.25">
      <c r="A1200" s="5">
        <v>46006</v>
      </c>
      <c r="B1200" s="1" t="s">
        <v>46</v>
      </c>
      <c r="C1200" s="2">
        <v>20500</v>
      </c>
    </row>
    <row r="1201" spans="1:3" x14ac:dyDescent="0.25">
      <c r="A1201" s="5">
        <v>46006</v>
      </c>
      <c r="B1201" s="1" t="s">
        <v>46</v>
      </c>
      <c r="C1201" s="2">
        <v>20500</v>
      </c>
    </row>
    <row r="1202" spans="1:3" x14ac:dyDescent="0.25">
      <c r="A1202" s="5">
        <v>46006</v>
      </c>
      <c r="B1202" s="1" t="s">
        <v>46</v>
      </c>
      <c r="C1202" s="2">
        <v>20500</v>
      </c>
    </row>
    <row r="1203" spans="1:3" x14ac:dyDescent="0.25">
      <c r="A1203" s="5">
        <v>46006</v>
      </c>
      <c r="B1203" s="1" t="s">
        <v>46</v>
      </c>
      <c r="C1203" s="2">
        <v>20500</v>
      </c>
    </row>
    <row r="1204" spans="1:3" x14ac:dyDescent="0.25">
      <c r="A1204" s="5">
        <v>46006</v>
      </c>
      <c r="B1204" s="1" t="s">
        <v>46</v>
      </c>
      <c r="C1204" s="2">
        <v>20500</v>
      </c>
    </row>
    <row r="1205" spans="1:3" x14ac:dyDescent="0.25">
      <c r="A1205" s="5">
        <v>46006</v>
      </c>
      <c r="B1205" s="1" t="s">
        <v>46</v>
      </c>
      <c r="C1205" s="2">
        <v>20500</v>
      </c>
    </row>
    <row r="1206" spans="1:3" x14ac:dyDescent="0.25">
      <c r="A1206" s="5">
        <v>46006</v>
      </c>
      <c r="B1206" s="1" t="s">
        <v>46</v>
      </c>
      <c r="C1206" s="2">
        <v>20500</v>
      </c>
    </row>
    <row r="1207" spans="1:3" x14ac:dyDescent="0.25">
      <c r="A1207" s="5">
        <v>46006</v>
      </c>
      <c r="B1207" s="1" t="s">
        <v>46</v>
      </c>
      <c r="C1207" s="2">
        <v>20500</v>
      </c>
    </row>
    <row r="1208" spans="1:3" x14ac:dyDescent="0.25">
      <c r="A1208" s="5">
        <v>46006</v>
      </c>
      <c r="B1208" s="1" t="s">
        <v>46</v>
      </c>
      <c r="C1208" s="2">
        <v>20500</v>
      </c>
    </row>
    <row r="1209" spans="1:3" x14ac:dyDescent="0.25">
      <c r="A1209" s="5">
        <v>46006</v>
      </c>
      <c r="B1209" s="1" t="s">
        <v>46</v>
      </c>
      <c r="C1209" s="2">
        <v>20500</v>
      </c>
    </row>
    <row r="1210" spans="1:3" x14ac:dyDescent="0.25">
      <c r="A1210" s="5">
        <v>46006</v>
      </c>
      <c r="B1210" s="1" t="s">
        <v>46</v>
      </c>
      <c r="C1210" s="2">
        <v>20500</v>
      </c>
    </row>
    <row r="1211" spans="1:3" x14ac:dyDescent="0.25">
      <c r="A1211" s="5">
        <v>46006</v>
      </c>
      <c r="B1211" s="1" t="s">
        <v>46</v>
      </c>
      <c r="C1211" s="2">
        <v>20500</v>
      </c>
    </row>
    <row r="1212" spans="1:3" x14ac:dyDescent="0.25">
      <c r="A1212" s="5">
        <v>46006</v>
      </c>
      <c r="B1212" s="1" t="s">
        <v>46</v>
      </c>
      <c r="C1212" s="2">
        <v>20500</v>
      </c>
    </row>
    <row r="1213" spans="1:3" x14ac:dyDescent="0.25">
      <c r="A1213" s="5">
        <v>46006</v>
      </c>
      <c r="B1213" s="1" t="s">
        <v>46</v>
      </c>
      <c r="C1213" s="2">
        <v>20500</v>
      </c>
    </row>
    <row r="1214" spans="1:3" x14ac:dyDescent="0.25">
      <c r="A1214" s="5">
        <v>46006</v>
      </c>
      <c r="B1214" s="1" t="s">
        <v>46</v>
      </c>
      <c r="C1214" s="2">
        <v>20500</v>
      </c>
    </row>
    <row r="1215" spans="1:3" x14ac:dyDescent="0.25">
      <c r="A1215" s="5">
        <v>46006</v>
      </c>
      <c r="B1215" s="1" t="s">
        <v>46</v>
      </c>
      <c r="C1215" s="2">
        <v>20500</v>
      </c>
    </row>
    <row r="1216" spans="1:3" x14ac:dyDescent="0.25">
      <c r="A1216" s="5">
        <v>46006</v>
      </c>
      <c r="B1216" s="1" t="s">
        <v>46</v>
      </c>
      <c r="C1216" s="2">
        <v>20500</v>
      </c>
    </row>
    <row r="1217" spans="1:3" x14ac:dyDescent="0.25">
      <c r="A1217" s="5">
        <v>46006</v>
      </c>
      <c r="B1217" s="1" t="s">
        <v>46</v>
      </c>
      <c r="C1217" s="2">
        <v>20500</v>
      </c>
    </row>
    <row r="1218" spans="1:3" x14ac:dyDescent="0.25">
      <c r="A1218" s="5">
        <v>46006</v>
      </c>
      <c r="B1218" s="1" t="s">
        <v>46</v>
      </c>
      <c r="C1218" s="2">
        <v>20500</v>
      </c>
    </row>
    <row r="1219" spans="1:3" x14ac:dyDescent="0.25">
      <c r="A1219" s="5">
        <v>46006</v>
      </c>
      <c r="B1219" s="1" t="s">
        <v>46</v>
      </c>
      <c r="C1219" s="2">
        <v>20500</v>
      </c>
    </row>
    <row r="1220" spans="1:3" x14ac:dyDescent="0.25">
      <c r="A1220" s="5">
        <v>46006</v>
      </c>
      <c r="B1220" s="1" t="s">
        <v>46</v>
      </c>
      <c r="C1220" s="2">
        <v>20500</v>
      </c>
    </row>
    <row r="1221" spans="1:3" x14ac:dyDescent="0.25">
      <c r="A1221" s="5">
        <v>46006</v>
      </c>
      <c r="B1221" s="1" t="s">
        <v>46</v>
      </c>
      <c r="C1221" s="2">
        <v>20500</v>
      </c>
    </row>
    <row r="1222" spans="1:3" x14ac:dyDescent="0.25">
      <c r="A1222" s="5">
        <v>46006</v>
      </c>
      <c r="B1222" s="1" t="s">
        <v>46</v>
      </c>
      <c r="C1222" s="2">
        <v>20500</v>
      </c>
    </row>
    <row r="1223" spans="1:3" x14ac:dyDescent="0.25">
      <c r="A1223" s="5">
        <v>46006</v>
      </c>
      <c r="B1223" s="1" t="s">
        <v>46</v>
      </c>
      <c r="C1223" s="2">
        <v>20500</v>
      </c>
    </row>
    <row r="1224" spans="1:3" x14ac:dyDescent="0.25">
      <c r="A1224" s="5">
        <v>46006</v>
      </c>
      <c r="B1224" s="1" t="s">
        <v>46</v>
      </c>
      <c r="C1224" s="2">
        <v>20500</v>
      </c>
    </row>
    <row r="1225" spans="1:3" x14ac:dyDescent="0.25">
      <c r="A1225" s="5">
        <v>46006</v>
      </c>
      <c r="B1225" s="1" t="s">
        <v>46</v>
      </c>
      <c r="C1225" s="2">
        <v>20500</v>
      </c>
    </row>
    <row r="1226" spans="1:3" x14ac:dyDescent="0.25">
      <c r="A1226" s="5">
        <v>46006</v>
      </c>
      <c r="B1226" s="1" t="s">
        <v>46</v>
      </c>
      <c r="C1226" s="2">
        <v>20500</v>
      </c>
    </row>
    <row r="1227" spans="1:3" x14ac:dyDescent="0.25">
      <c r="A1227" s="5">
        <v>46006</v>
      </c>
      <c r="B1227" s="1" t="s">
        <v>46</v>
      </c>
      <c r="C1227" s="2">
        <v>20500</v>
      </c>
    </row>
    <row r="1228" spans="1:3" x14ac:dyDescent="0.25">
      <c r="A1228" s="5">
        <v>43528</v>
      </c>
      <c r="B1228" s="1" t="s">
        <v>165</v>
      </c>
      <c r="C1228" s="2">
        <f>18850+1500</f>
        <v>20350</v>
      </c>
    </row>
    <row r="1229" spans="1:3" x14ac:dyDescent="0.25">
      <c r="A1229" s="5">
        <v>44783</v>
      </c>
      <c r="B1229" s="1" t="s">
        <v>110</v>
      </c>
      <c r="C1229" s="2">
        <v>20350</v>
      </c>
    </row>
    <row r="1230" spans="1:3" x14ac:dyDescent="0.25">
      <c r="A1230" s="5">
        <v>43727</v>
      </c>
      <c r="B1230" s="1" t="s">
        <v>148</v>
      </c>
      <c r="C1230" s="2">
        <f>16125+3150+925</f>
        <v>20200</v>
      </c>
    </row>
    <row r="1231" spans="1:3" x14ac:dyDescent="0.25">
      <c r="A1231" s="5">
        <v>43207</v>
      </c>
      <c r="B1231" s="1" t="s">
        <v>184</v>
      </c>
      <c r="C1231" s="2">
        <f>19675+500</f>
        <v>20175</v>
      </c>
    </row>
    <row r="1232" spans="1:3" x14ac:dyDescent="0.25">
      <c r="A1232" s="5">
        <v>42415</v>
      </c>
      <c r="B1232" s="1" t="s">
        <v>144</v>
      </c>
      <c r="C1232" s="2">
        <f>17591+784+1736</f>
        <v>20111</v>
      </c>
    </row>
    <row r="1233" spans="1:3" x14ac:dyDescent="0.25">
      <c r="A1233" s="5">
        <v>42415</v>
      </c>
      <c r="B1233" s="1" t="s">
        <v>144</v>
      </c>
      <c r="C1233" s="2">
        <f>17591+784+1721</f>
        <v>20096</v>
      </c>
    </row>
    <row r="1234" spans="1:3" x14ac:dyDescent="0.25">
      <c r="A1234" s="5">
        <v>42415</v>
      </c>
      <c r="B1234" s="1" t="s">
        <v>144</v>
      </c>
      <c r="C1234" s="2">
        <f>17591+522+1897</f>
        <v>20010</v>
      </c>
    </row>
    <row r="1235" spans="1:3" x14ac:dyDescent="0.25">
      <c r="A1235" s="5">
        <v>45421</v>
      </c>
      <c r="B1235" s="1" t="s">
        <v>58</v>
      </c>
      <c r="C1235" s="2">
        <v>20000</v>
      </c>
    </row>
    <row r="1236" spans="1:3" x14ac:dyDescent="0.25">
      <c r="A1236" s="5">
        <v>45776</v>
      </c>
      <c r="B1236" s="1" t="s">
        <v>3</v>
      </c>
      <c r="C1236" s="2">
        <v>19950</v>
      </c>
    </row>
    <row r="1237" spans="1:3" x14ac:dyDescent="0.25">
      <c r="A1237" s="5">
        <v>44363</v>
      </c>
      <c r="B1237" s="1" t="s">
        <v>79</v>
      </c>
      <c r="C1237" s="2">
        <f>27150-5000-2225</f>
        <v>19925</v>
      </c>
    </row>
    <row r="1238" spans="1:3" x14ac:dyDescent="0.25">
      <c r="A1238" s="5">
        <v>41655</v>
      </c>
      <c r="B1238" s="1" t="s">
        <v>153</v>
      </c>
      <c r="C1238" s="2">
        <f>19524+400</f>
        <v>19924</v>
      </c>
    </row>
    <row r="1239" spans="1:3" x14ac:dyDescent="0.25">
      <c r="A1239" s="5">
        <v>44837</v>
      </c>
      <c r="B1239" s="1" t="s">
        <v>114</v>
      </c>
      <c r="C1239" s="2">
        <v>19800</v>
      </c>
    </row>
    <row r="1240" spans="1:3" x14ac:dyDescent="0.25">
      <c r="A1240" s="5">
        <v>46006</v>
      </c>
      <c r="B1240" s="1" t="s">
        <v>46</v>
      </c>
      <c r="C1240" s="2">
        <v>19800</v>
      </c>
    </row>
    <row r="1241" spans="1:3" x14ac:dyDescent="0.25">
      <c r="A1241" s="5">
        <v>42116</v>
      </c>
      <c r="B1241" s="1" t="s">
        <v>80</v>
      </c>
      <c r="C1241" s="2">
        <v>19759</v>
      </c>
    </row>
    <row r="1242" spans="1:3" x14ac:dyDescent="0.25">
      <c r="A1242" s="5">
        <v>44312</v>
      </c>
      <c r="B1242" s="1" t="s">
        <v>128</v>
      </c>
      <c r="C1242" s="2">
        <v>19750</v>
      </c>
    </row>
    <row r="1243" spans="1:3" x14ac:dyDescent="0.25">
      <c r="A1243" s="5">
        <v>42415</v>
      </c>
      <c r="B1243" s="1" t="s">
        <v>144</v>
      </c>
      <c r="C1243" s="2">
        <f>17591+784+1338</f>
        <v>19713</v>
      </c>
    </row>
    <row r="1244" spans="1:3" x14ac:dyDescent="0.25">
      <c r="A1244" s="5">
        <v>44837</v>
      </c>
      <c r="B1244" s="1" t="s">
        <v>114</v>
      </c>
      <c r="C1244" s="2">
        <v>19550</v>
      </c>
    </row>
    <row r="1245" spans="1:3" x14ac:dyDescent="0.25">
      <c r="A1245" s="5">
        <v>44837</v>
      </c>
      <c r="B1245" s="1" t="s">
        <v>114</v>
      </c>
      <c r="C1245" s="2">
        <v>19550</v>
      </c>
    </row>
    <row r="1246" spans="1:3" x14ac:dyDescent="0.25">
      <c r="A1246" s="5">
        <v>42515</v>
      </c>
      <c r="B1246" s="1" t="s">
        <v>230</v>
      </c>
      <c r="C1246" s="2">
        <v>19500</v>
      </c>
    </row>
    <row r="1247" spans="1:3" x14ac:dyDescent="0.25">
      <c r="A1247" s="5">
        <v>44438</v>
      </c>
      <c r="B1247" s="1" t="s">
        <v>15</v>
      </c>
      <c r="C1247" s="2">
        <v>19500</v>
      </c>
    </row>
    <row r="1248" spans="1:3" x14ac:dyDescent="0.25">
      <c r="A1248" s="5">
        <v>44837</v>
      </c>
      <c r="B1248" s="1" t="s">
        <v>114</v>
      </c>
      <c r="C1248" s="2">
        <v>19300</v>
      </c>
    </row>
    <row r="1249" spans="1:3" x14ac:dyDescent="0.25">
      <c r="A1249" s="5">
        <v>43194</v>
      </c>
      <c r="B1249" s="1" t="s">
        <v>90</v>
      </c>
      <c r="C1249" s="2">
        <f>19250</f>
        <v>19250</v>
      </c>
    </row>
    <row r="1250" spans="1:3" x14ac:dyDescent="0.25">
      <c r="A1250" s="5">
        <v>43833</v>
      </c>
      <c r="B1250" s="1" t="s">
        <v>7</v>
      </c>
      <c r="C1250" s="2">
        <f>18150+1100</f>
        <v>19250</v>
      </c>
    </row>
    <row r="1251" spans="1:3" x14ac:dyDescent="0.25">
      <c r="A1251" s="5">
        <v>43700</v>
      </c>
      <c r="B1251" s="1" t="s">
        <v>128</v>
      </c>
      <c r="C1251" s="2">
        <v>19200</v>
      </c>
    </row>
    <row r="1252" spans="1:3" x14ac:dyDescent="0.25">
      <c r="A1252" s="5">
        <v>44729</v>
      </c>
      <c r="B1252" s="1" t="s">
        <v>98</v>
      </c>
      <c r="C1252" s="2">
        <v>19000</v>
      </c>
    </row>
    <row r="1253" spans="1:3" x14ac:dyDescent="0.25">
      <c r="A1253" s="5">
        <v>44117</v>
      </c>
      <c r="B1253" s="1" t="s">
        <v>128</v>
      </c>
      <c r="C1253" s="2">
        <v>18900</v>
      </c>
    </row>
    <row r="1254" spans="1:3" x14ac:dyDescent="0.25">
      <c r="A1254" s="5">
        <v>42580</v>
      </c>
      <c r="B1254" s="1" t="s">
        <v>173</v>
      </c>
      <c r="C1254" s="2">
        <v>18650</v>
      </c>
    </row>
    <row r="1255" spans="1:3" x14ac:dyDescent="0.25">
      <c r="A1255" s="5">
        <v>44837</v>
      </c>
      <c r="B1255" s="1" t="s">
        <v>114</v>
      </c>
      <c r="C1255" s="2">
        <v>18550</v>
      </c>
    </row>
    <row r="1256" spans="1:3" x14ac:dyDescent="0.25">
      <c r="A1256" s="5">
        <v>42387</v>
      </c>
      <c r="B1256" s="1" t="s">
        <v>221</v>
      </c>
      <c r="C1256" s="2">
        <v>18543</v>
      </c>
    </row>
    <row r="1257" spans="1:3" x14ac:dyDescent="0.25">
      <c r="A1257" s="5">
        <v>42387</v>
      </c>
      <c r="B1257" s="1" t="s">
        <v>221</v>
      </c>
      <c r="C1257" s="2">
        <v>18543</v>
      </c>
    </row>
    <row r="1258" spans="1:3" x14ac:dyDescent="0.25">
      <c r="A1258" s="5">
        <v>42387</v>
      </c>
      <c r="B1258" s="1" t="s">
        <v>221</v>
      </c>
      <c r="C1258" s="2">
        <v>18543</v>
      </c>
    </row>
    <row r="1259" spans="1:3" x14ac:dyDescent="0.25">
      <c r="A1259" s="5">
        <v>45247</v>
      </c>
      <c r="B1259" s="1" t="s">
        <v>75</v>
      </c>
      <c r="C1259" s="2">
        <v>18540</v>
      </c>
    </row>
    <row r="1260" spans="1:3" x14ac:dyDescent="0.25">
      <c r="A1260" s="5">
        <v>42716</v>
      </c>
      <c r="B1260" s="1" t="s">
        <v>249</v>
      </c>
      <c r="C1260" s="2">
        <v>18520</v>
      </c>
    </row>
    <row r="1261" spans="1:3" x14ac:dyDescent="0.25">
      <c r="A1261" s="5">
        <v>41694</v>
      </c>
      <c r="B1261" s="1" t="s">
        <v>93</v>
      </c>
      <c r="C1261" s="2">
        <v>18491</v>
      </c>
    </row>
    <row r="1262" spans="1:3" x14ac:dyDescent="0.25">
      <c r="A1262" s="5">
        <v>41653</v>
      </c>
      <c r="B1262" s="1" t="s">
        <v>271</v>
      </c>
      <c r="C1262" s="2">
        <f>17921+519</f>
        <v>18440</v>
      </c>
    </row>
    <row r="1263" spans="1:3" x14ac:dyDescent="0.25">
      <c r="A1263" s="5">
        <v>41759</v>
      </c>
      <c r="B1263" s="1" t="s">
        <v>280</v>
      </c>
      <c r="C1263" s="2">
        <f>16822+1600</f>
        <v>18422</v>
      </c>
    </row>
    <row r="1264" spans="1:3" x14ac:dyDescent="0.25">
      <c r="A1264" s="5">
        <v>41759</v>
      </c>
      <c r="B1264" s="1" t="s">
        <v>280</v>
      </c>
      <c r="C1264" s="2">
        <f>16822+1600</f>
        <v>18422</v>
      </c>
    </row>
    <row r="1265" spans="1:3" x14ac:dyDescent="0.25">
      <c r="A1265" s="5">
        <v>41663</v>
      </c>
      <c r="B1265" s="1" t="s">
        <v>93</v>
      </c>
      <c r="C1265" s="2">
        <v>18262.189999999999</v>
      </c>
    </row>
    <row r="1266" spans="1:3" x14ac:dyDescent="0.25">
      <c r="A1266" s="5">
        <v>42194</v>
      </c>
      <c r="B1266" s="1" t="s">
        <v>173</v>
      </c>
      <c r="C1266" s="2">
        <v>18121</v>
      </c>
    </row>
    <row r="1267" spans="1:3" x14ac:dyDescent="0.25">
      <c r="A1267" s="5">
        <v>41955</v>
      </c>
      <c r="B1267" s="1" t="s">
        <v>208</v>
      </c>
      <c r="C1267" s="2">
        <v>18103</v>
      </c>
    </row>
    <row r="1268" spans="1:3" x14ac:dyDescent="0.25">
      <c r="A1268" s="5">
        <v>44413</v>
      </c>
      <c r="B1268" s="1" t="s">
        <v>40</v>
      </c>
      <c r="C1268" s="2">
        <f>16500+1500</f>
        <v>18000</v>
      </c>
    </row>
    <row r="1269" spans="1:3" x14ac:dyDescent="0.25">
      <c r="A1269" s="5">
        <v>43543</v>
      </c>
      <c r="B1269" s="1" t="s">
        <v>8</v>
      </c>
      <c r="C1269" s="2">
        <v>17950</v>
      </c>
    </row>
    <row r="1270" spans="1:3" x14ac:dyDescent="0.25">
      <c r="A1270" s="5">
        <v>44488</v>
      </c>
      <c r="B1270" s="1" t="s">
        <v>40</v>
      </c>
      <c r="C1270" s="2">
        <f>17000+950</f>
        <v>17950</v>
      </c>
    </row>
    <row r="1271" spans="1:3" x14ac:dyDescent="0.25">
      <c r="A1271" s="5">
        <v>44700</v>
      </c>
      <c r="B1271" s="1" t="s">
        <v>101</v>
      </c>
      <c r="C1271" s="2">
        <v>17900</v>
      </c>
    </row>
    <row r="1272" spans="1:3" x14ac:dyDescent="0.25">
      <c r="A1272" s="5">
        <v>44700</v>
      </c>
      <c r="B1272" s="1" t="s">
        <v>101</v>
      </c>
      <c r="C1272" s="2">
        <v>17900</v>
      </c>
    </row>
    <row r="1273" spans="1:3" x14ac:dyDescent="0.25">
      <c r="A1273" s="5">
        <v>44700</v>
      </c>
      <c r="B1273" s="1" t="s">
        <v>101</v>
      </c>
      <c r="C1273" s="2">
        <v>17900</v>
      </c>
    </row>
    <row r="1274" spans="1:3" x14ac:dyDescent="0.25">
      <c r="A1274" s="5">
        <v>44700</v>
      </c>
      <c r="B1274" s="1" t="s">
        <v>101</v>
      </c>
      <c r="C1274" s="2">
        <v>17900</v>
      </c>
    </row>
    <row r="1275" spans="1:3" x14ac:dyDescent="0.25">
      <c r="A1275" s="5">
        <v>44700</v>
      </c>
      <c r="B1275" s="1" t="s">
        <v>101</v>
      </c>
      <c r="C1275" s="2">
        <v>17900</v>
      </c>
    </row>
    <row r="1276" spans="1:3" x14ac:dyDescent="0.25">
      <c r="A1276" s="5">
        <v>44537</v>
      </c>
      <c r="B1276" s="1" t="s">
        <v>144</v>
      </c>
      <c r="C1276" s="2">
        <f>12000+5100+750</f>
        <v>17850</v>
      </c>
    </row>
    <row r="1277" spans="1:3" x14ac:dyDescent="0.25">
      <c r="A1277" s="5">
        <v>42961</v>
      </c>
      <c r="B1277" s="1" t="s">
        <v>177</v>
      </c>
      <c r="C1277" s="2">
        <f>16550+345+925</f>
        <v>17820</v>
      </c>
    </row>
    <row r="1278" spans="1:3" x14ac:dyDescent="0.25">
      <c r="A1278" s="5">
        <v>44602</v>
      </c>
      <c r="B1278" s="1" t="s">
        <v>94</v>
      </c>
      <c r="C1278" s="2">
        <v>17750</v>
      </c>
    </row>
    <row r="1279" spans="1:3" x14ac:dyDescent="0.25">
      <c r="A1279" s="5">
        <v>42116</v>
      </c>
      <c r="B1279" s="1" t="s">
        <v>80</v>
      </c>
      <c r="C1279" s="2">
        <v>17718</v>
      </c>
    </row>
    <row r="1280" spans="1:3" x14ac:dyDescent="0.25">
      <c r="A1280" s="5">
        <v>41793</v>
      </c>
      <c r="B1280" s="1" t="s">
        <v>280</v>
      </c>
      <c r="C1280" s="2">
        <f>16022+1600</f>
        <v>17622</v>
      </c>
    </row>
    <row r="1281" spans="1:3" x14ac:dyDescent="0.25">
      <c r="A1281" s="5">
        <v>41955</v>
      </c>
      <c r="B1281" s="1" t="s">
        <v>208</v>
      </c>
      <c r="C1281" s="2">
        <v>17600</v>
      </c>
    </row>
    <row r="1282" spans="1:3" x14ac:dyDescent="0.25">
      <c r="A1282" s="5">
        <v>44350</v>
      </c>
      <c r="B1282" s="1" t="s">
        <v>58</v>
      </c>
      <c r="C1282" s="2">
        <v>17500</v>
      </c>
    </row>
    <row r="1283" spans="1:3" x14ac:dyDescent="0.25">
      <c r="A1283" s="5">
        <v>45055</v>
      </c>
      <c r="B1283" s="1" t="s">
        <v>8</v>
      </c>
      <c r="C1283" s="2">
        <v>17500</v>
      </c>
    </row>
    <row r="1284" spans="1:3" x14ac:dyDescent="0.25">
      <c r="A1284" s="5">
        <v>41955</v>
      </c>
      <c r="B1284" s="1" t="s">
        <v>208</v>
      </c>
      <c r="C1284" s="2">
        <v>17393</v>
      </c>
    </row>
    <row r="1285" spans="1:3" x14ac:dyDescent="0.25">
      <c r="A1285" s="5">
        <v>41702</v>
      </c>
      <c r="B1285" s="1" t="s">
        <v>8</v>
      </c>
      <c r="C1285" s="2">
        <v>17357</v>
      </c>
    </row>
    <row r="1286" spans="1:3" x14ac:dyDescent="0.25">
      <c r="A1286" s="5">
        <v>41704</v>
      </c>
      <c r="B1286" s="1" t="s">
        <v>90</v>
      </c>
      <c r="C1286" s="2">
        <f>14308+2845</f>
        <v>17153</v>
      </c>
    </row>
    <row r="1287" spans="1:3" x14ac:dyDescent="0.25">
      <c r="A1287" s="5">
        <v>41955</v>
      </c>
      <c r="B1287" s="1" t="s">
        <v>208</v>
      </c>
      <c r="C1287" s="2">
        <v>17153</v>
      </c>
    </row>
    <row r="1288" spans="1:3" x14ac:dyDescent="0.25">
      <c r="A1288" s="5">
        <v>42116</v>
      </c>
      <c r="B1288" s="1" t="s">
        <v>80</v>
      </c>
      <c r="C1288" s="2">
        <v>17020</v>
      </c>
    </row>
    <row r="1289" spans="1:3" x14ac:dyDescent="0.25">
      <c r="A1289" s="5">
        <v>42156</v>
      </c>
      <c r="B1289" s="1" t="s">
        <v>264</v>
      </c>
      <c r="C1289" s="2">
        <f>16000+500+500</f>
        <v>17000</v>
      </c>
    </row>
    <row r="1290" spans="1:3" x14ac:dyDescent="0.25">
      <c r="A1290" s="5">
        <v>42479</v>
      </c>
      <c r="B1290" s="1" t="s">
        <v>221</v>
      </c>
      <c r="C1290" s="2">
        <v>16982</v>
      </c>
    </row>
    <row r="1291" spans="1:3" x14ac:dyDescent="0.25">
      <c r="A1291" s="5">
        <v>43416</v>
      </c>
      <c r="B1291" s="1" t="s">
        <v>195</v>
      </c>
      <c r="C1291" s="2">
        <f>16475+300</f>
        <v>16775</v>
      </c>
    </row>
    <row r="1292" spans="1:3" x14ac:dyDescent="0.25">
      <c r="A1292" s="5">
        <v>45674</v>
      </c>
      <c r="B1292" s="1" t="s">
        <v>4</v>
      </c>
      <c r="C1292" s="2">
        <f>16250+400</f>
        <v>16650</v>
      </c>
    </row>
    <row r="1293" spans="1:3" x14ac:dyDescent="0.25">
      <c r="A1293" s="5">
        <v>44799</v>
      </c>
      <c r="B1293" s="1" t="s">
        <v>87</v>
      </c>
      <c r="C1293" s="2">
        <v>16625</v>
      </c>
    </row>
    <row r="1294" spans="1:3" x14ac:dyDescent="0.25">
      <c r="A1294" s="5">
        <v>44363</v>
      </c>
      <c r="B1294" s="1" t="s">
        <v>79</v>
      </c>
      <c r="C1294" s="2">
        <f>23750-5000-2225</f>
        <v>16525</v>
      </c>
    </row>
    <row r="1295" spans="1:3" x14ac:dyDescent="0.25">
      <c r="A1295" s="5">
        <v>42970</v>
      </c>
      <c r="B1295" s="1" t="s">
        <v>8</v>
      </c>
      <c r="C1295" s="2">
        <v>16495</v>
      </c>
    </row>
    <row r="1296" spans="1:3" x14ac:dyDescent="0.25">
      <c r="A1296" s="5">
        <v>42746</v>
      </c>
      <c r="B1296" s="1" t="s">
        <v>197</v>
      </c>
      <c r="C1296" s="2">
        <f>13970+2515</f>
        <v>16485</v>
      </c>
    </row>
    <row r="1297" spans="1:3" x14ac:dyDescent="0.25">
      <c r="A1297" s="5">
        <v>42012</v>
      </c>
      <c r="B1297" s="1" t="s">
        <v>90</v>
      </c>
      <c r="C1297" s="2">
        <v>16290</v>
      </c>
    </row>
    <row r="1298" spans="1:3" x14ac:dyDescent="0.25">
      <c r="A1298" s="5">
        <v>42150</v>
      </c>
      <c r="B1298" s="1" t="s">
        <v>90</v>
      </c>
      <c r="C1298" s="2">
        <v>16290</v>
      </c>
    </row>
    <row r="1299" spans="1:3" x14ac:dyDescent="0.25">
      <c r="A1299" s="5">
        <v>43664</v>
      </c>
      <c r="B1299" s="1" t="s">
        <v>171</v>
      </c>
      <c r="C1299" s="2">
        <f>15850+430</f>
        <v>16280</v>
      </c>
    </row>
    <row r="1300" spans="1:3" x14ac:dyDescent="0.25">
      <c r="A1300" s="5">
        <v>43664</v>
      </c>
      <c r="B1300" s="1" t="s">
        <v>171</v>
      </c>
      <c r="C1300" s="2">
        <f>15850+430</f>
        <v>16280</v>
      </c>
    </row>
    <row r="1301" spans="1:3" x14ac:dyDescent="0.25">
      <c r="A1301" s="5">
        <v>44113</v>
      </c>
      <c r="B1301" s="1" t="s">
        <v>160</v>
      </c>
      <c r="C1301" s="2">
        <f>12925+2725+600</f>
        <v>16250</v>
      </c>
    </row>
    <row r="1302" spans="1:3" x14ac:dyDescent="0.25">
      <c r="A1302" s="5">
        <v>43861</v>
      </c>
      <c r="B1302" s="1" t="s">
        <v>128</v>
      </c>
      <c r="C1302" s="2">
        <f>12580+3544</f>
        <v>16124</v>
      </c>
    </row>
    <row r="1303" spans="1:3" x14ac:dyDescent="0.25">
      <c r="A1303" s="5">
        <v>41829</v>
      </c>
      <c r="B1303" s="1" t="s">
        <v>292</v>
      </c>
      <c r="C1303" s="2">
        <v>16064</v>
      </c>
    </row>
    <row r="1304" spans="1:3" x14ac:dyDescent="0.25">
      <c r="A1304" s="5">
        <v>45247</v>
      </c>
      <c r="B1304" s="1" t="s">
        <v>75</v>
      </c>
      <c r="C1304" s="2">
        <v>16050</v>
      </c>
    </row>
    <row r="1305" spans="1:3" x14ac:dyDescent="0.25">
      <c r="A1305" s="5">
        <v>45394</v>
      </c>
      <c r="B1305" s="1" t="s">
        <v>91</v>
      </c>
      <c r="C1305" s="2">
        <v>16000</v>
      </c>
    </row>
    <row r="1306" spans="1:3" x14ac:dyDescent="0.25">
      <c r="A1306" s="5">
        <v>43412</v>
      </c>
      <c r="B1306" s="1" t="s">
        <v>90</v>
      </c>
      <c r="C1306" s="2">
        <f>15250+725</f>
        <v>15975</v>
      </c>
    </row>
    <row r="1307" spans="1:3" x14ac:dyDescent="0.25">
      <c r="A1307" s="5">
        <v>41975</v>
      </c>
      <c r="B1307" s="1" t="s">
        <v>238</v>
      </c>
      <c r="C1307" s="2">
        <v>15971</v>
      </c>
    </row>
    <row r="1308" spans="1:3" x14ac:dyDescent="0.25">
      <c r="A1308" s="5">
        <v>42131</v>
      </c>
      <c r="B1308" s="1" t="s">
        <v>40</v>
      </c>
      <c r="C1308" s="2">
        <f>14791+1164</f>
        <v>15955</v>
      </c>
    </row>
    <row r="1309" spans="1:3" x14ac:dyDescent="0.25">
      <c r="A1309" s="5">
        <v>43880</v>
      </c>
      <c r="B1309" s="1" t="s">
        <v>148</v>
      </c>
      <c r="C1309" s="2">
        <f>14950+900</f>
        <v>15850</v>
      </c>
    </row>
    <row r="1310" spans="1:3" x14ac:dyDescent="0.25">
      <c r="A1310" s="5">
        <v>43860</v>
      </c>
      <c r="B1310" s="1" t="s">
        <v>8</v>
      </c>
      <c r="C1310" s="2">
        <v>15800</v>
      </c>
    </row>
    <row r="1311" spans="1:3" x14ac:dyDescent="0.25">
      <c r="A1311" s="5">
        <v>44130</v>
      </c>
      <c r="B1311" s="1" t="s">
        <v>8</v>
      </c>
      <c r="C1311" s="2">
        <f>15800</f>
        <v>15800</v>
      </c>
    </row>
    <row r="1312" spans="1:3" x14ac:dyDescent="0.25">
      <c r="A1312" s="5">
        <v>41794</v>
      </c>
      <c r="B1312" s="1" t="s">
        <v>286</v>
      </c>
      <c r="C1312" s="2">
        <f>15254+500</f>
        <v>15754</v>
      </c>
    </row>
    <row r="1313" spans="1:3" x14ac:dyDescent="0.25">
      <c r="A1313" s="5">
        <v>43532</v>
      </c>
      <c r="B1313" s="1" t="s">
        <v>100</v>
      </c>
      <c r="C1313" s="2">
        <f>15525+210</f>
        <v>15735</v>
      </c>
    </row>
    <row r="1314" spans="1:3" x14ac:dyDescent="0.25">
      <c r="A1314" s="5">
        <v>42716</v>
      </c>
      <c r="B1314" s="1" t="s">
        <v>249</v>
      </c>
      <c r="C1314" s="2">
        <v>15590</v>
      </c>
    </row>
    <row r="1315" spans="1:3" x14ac:dyDescent="0.25">
      <c r="A1315" s="5">
        <v>41778</v>
      </c>
      <c r="B1315" s="1" t="s">
        <v>281</v>
      </c>
      <c r="C1315" s="2">
        <f>15220+345</f>
        <v>15565</v>
      </c>
    </row>
    <row r="1316" spans="1:3" x14ac:dyDescent="0.25">
      <c r="A1316" s="5">
        <v>41702</v>
      </c>
      <c r="B1316" s="1" t="s">
        <v>8</v>
      </c>
      <c r="C1316" s="2">
        <v>15533</v>
      </c>
    </row>
    <row r="1317" spans="1:3" x14ac:dyDescent="0.25">
      <c r="A1317" s="5">
        <v>43431</v>
      </c>
      <c r="B1317" s="1" t="s">
        <v>58</v>
      </c>
      <c r="C1317" s="2">
        <v>15500</v>
      </c>
    </row>
    <row r="1318" spans="1:3" x14ac:dyDescent="0.25">
      <c r="A1318" s="5">
        <v>44488</v>
      </c>
      <c r="B1318" s="1" t="s">
        <v>40</v>
      </c>
      <c r="C1318" s="2">
        <f>14000+1500</f>
        <v>15500</v>
      </c>
    </row>
    <row r="1319" spans="1:3" x14ac:dyDescent="0.25">
      <c r="A1319" s="5">
        <v>42415</v>
      </c>
      <c r="B1319" s="1" t="s">
        <v>145</v>
      </c>
      <c r="C1319" s="2">
        <f>13997+800+700</f>
        <v>15497</v>
      </c>
    </row>
    <row r="1320" spans="1:3" x14ac:dyDescent="0.25">
      <c r="A1320" s="5">
        <v>42440</v>
      </c>
      <c r="B1320" s="1" t="s">
        <v>225</v>
      </c>
      <c r="C1320" s="2">
        <v>15220</v>
      </c>
    </row>
    <row r="1321" spans="1:3" x14ac:dyDescent="0.25">
      <c r="A1321" s="5">
        <v>43119</v>
      </c>
      <c r="B1321" s="1" t="s">
        <v>147</v>
      </c>
      <c r="C1321" s="2">
        <v>15000</v>
      </c>
    </row>
    <row r="1322" spans="1:3" x14ac:dyDescent="0.25">
      <c r="A1322" s="5">
        <v>43360</v>
      </c>
      <c r="B1322" s="1" t="s">
        <v>194</v>
      </c>
      <c r="C1322" s="2">
        <v>14975</v>
      </c>
    </row>
    <row r="1323" spans="1:3" x14ac:dyDescent="0.25">
      <c r="A1323" s="5">
        <v>44350</v>
      </c>
      <c r="B1323" s="1" t="s">
        <v>129</v>
      </c>
      <c r="C1323" s="2">
        <f>14000+950</f>
        <v>14950</v>
      </c>
    </row>
    <row r="1324" spans="1:3" x14ac:dyDescent="0.25">
      <c r="A1324" s="5">
        <v>42912</v>
      </c>
      <c r="B1324" s="1" t="s">
        <v>208</v>
      </c>
      <c r="C1324" s="2">
        <v>14910</v>
      </c>
    </row>
    <row r="1325" spans="1:3" x14ac:dyDescent="0.25">
      <c r="A1325" s="5">
        <v>43139</v>
      </c>
      <c r="B1325" s="1" t="s">
        <v>80</v>
      </c>
      <c r="C1325" s="2">
        <f>13495+750+650</f>
        <v>14895</v>
      </c>
    </row>
    <row r="1326" spans="1:3" x14ac:dyDescent="0.25">
      <c r="A1326" s="5">
        <v>43340</v>
      </c>
      <c r="B1326" s="1" t="s">
        <v>7</v>
      </c>
      <c r="C1326" s="2">
        <f>27500-1100-11550</f>
        <v>14850</v>
      </c>
    </row>
    <row r="1327" spans="1:3" x14ac:dyDescent="0.25">
      <c r="A1327" s="5">
        <v>407276</v>
      </c>
      <c r="B1327" s="1" t="s">
        <v>90</v>
      </c>
      <c r="C1327" s="2">
        <v>14840</v>
      </c>
    </row>
    <row r="1328" spans="1:3" x14ac:dyDescent="0.25">
      <c r="A1328" s="5">
        <v>43791</v>
      </c>
      <c r="B1328" s="1" t="s">
        <v>178</v>
      </c>
      <c r="C1328" s="2">
        <f>13925+900</f>
        <v>14825</v>
      </c>
    </row>
    <row r="1329" spans="1:3" x14ac:dyDescent="0.25">
      <c r="A1329" s="5">
        <v>44146</v>
      </c>
      <c r="B1329" s="1" t="s">
        <v>39</v>
      </c>
      <c r="C1329" s="2">
        <f>14500+225</f>
        <v>14725</v>
      </c>
    </row>
    <row r="1330" spans="1:3" x14ac:dyDescent="0.25">
      <c r="A1330" s="5">
        <v>44146</v>
      </c>
      <c r="B1330" s="1" t="s">
        <v>39</v>
      </c>
      <c r="C1330" s="2">
        <f>14500+225</f>
        <v>14725</v>
      </c>
    </row>
    <row r="1331" spans="1:3" x14ac:dyDescent="0.25">
      <c r="A1331" s="5">
        <v>42249</v>
      </c>
      <c r="B1331" s="1" t="s">
        <v>267</v>
      </c>
      <c r="C1331" s="2">
        <f>16325-1630</f>
        <v>14695</v>
      </c>
    </row>
    <row r="1332" spans="1:3" x14ac:dyDescent="0.25">
      <c r="A1332" s="5">
        <v>42674</v>
      </c>
      <c r="B1332" s="1" t="s">
        <v>153</v>
      </c>
      <c r="C1332" s="2">
        <v>14550</v>
      </c>
    </row>
    <row r="1333" spans="1:3" x14ac:dyDescent="0.25">
      <c r="A1333" s="5">
        <v>44181</v>
      </c>
      <c r="B1333" s="1" t="s">
        <v>63</v>
      </c>
      <c r="C1333" s="2">
        <f>13450+1100</f>
        <v>14550</v>
      </c>
    </row>
    <row r="1334" spans="1:3" x14ac:dyDescent="0.25">
      <c r="A1334" s="5">
        <v>45377</v>
      </c>
      <c r="B1334" s="1" t="s">
        <v>55</v>
      </c>
      <c r="C1334" s="2">
        <v>14500</v>
      </c>
    </row>
    <row r="1335" spans="1:3" x14ac:dyDescent="0.25">
      <c r="A1335" s="5">
        <v>42663</v>
      </c>
      <c r="B1335" s="1" t="s">
        <v>243</v>
      </c>
      <c r="C1335" s="2">
        <f>13995+495</f>
        <v>14490</v>
      </c>
    </row>
    <row r="1336" spans="1:3" x14ac:dyDescent="0.25">
      <c r="A1336" s="5">
        <v>41663</v>
      </c>
      <c r="B1336" s="1" t="s">
        <v>93</v>
      </c>
      <c r="C1336" s="2">
        <v>14484.52</v>
      </c>
    </row>
    <row r="1337" spans="1:3" x14ac:dyDescent="0.25">
      <c r="A1337" s="5">
        <v>43182</v>
      </c>
      <c r="B1337" s="1" t="s">
        <v>128</v>
      </c>
      <c r="C1337" s="2">
        <f>13495+950</f>
        <v>14445</v>
      </c>
    </row>
    <row r="1338" spans="1:3" x14ac:dyDescent="0.25">
      <c r="A1338" s="5">
        <v>42507</v>
      </c>
      <c r="B1338" s="1" t="s">
        <v>144</v>
      </c>
      <c r="C1338" s="2">
        <v>14350</v>
      </c>
    </row>
    <row r="1339" spans="1:3" x14ac:dyDescent="0.25">
      <c r="A1339" s="5">
        <v>43861</v>
      </c>
      <c r="B1339" s="1" t="s">
        <v>128</v>
      </c>
      <c r="C1339" s="2">
        <v>14150</v>
      </c>
    </row>
    <row r="1340" spans="1:3" x14ac:dyDescent="0.25">
      <c r="A1340" s="5">
        <v>43850</v>
      </c>
      <c r="B1340" s="1" t="s">
        <v>80</v>
      </c>
      <c r="C1340" s="2">
        <v>14100</v>
      </c>
    </row>
    <row r="1341" spans="1:3" x14ac:dyDescent="0.25">
      <c r="A1341" s="5">
        <v>43664</v>
      </c>
      <c r="B1341" s="1" t="s">
        <v>171</v>
      </c>
      <c r="C1341" s="2">
        <f>13625+430</f>
        <v>14055</v>
      </c>
    </row>
    <row r="1342" spans="1:3" x14ac:dyDescent="0.25">
      <c r="A1342" s="5">
        <v>43664</v>
      </c>
      <c r="B1342" s="1" t="s">
        <v>171</v>
      </c>
      <c r="C1342" s="2">
        <f>13625+430</f>
        <v>14055</v>
      </c>
    </row>
    <row r="1343" spans="1:3" x14ac:dyDescent="0.25">
      <c r="A1343" s="5">
        <v>45919</v>
      </c>
      <c r="B1343" s="1" t="s">
        <v>8</v>
      </c>
      <c r="C1343" s="2">
        <v>14000</v>
      </c>
    </row>
    <row r="1344" spans="1:3" x14ac:dyDescent="0.25">
      <c r="A1344" s="5">
        <v>44350</v>
      </c>
      <c r="B1344" s="1" t="s">
        <v>129</v>
      </c>
      <c r="C1344" s="2">
        <f>13000+950</f>
        <v>13950</v>
      </c>
    </row>
    <row r="1345" spans="1:3" x14ac:dyDescent="0.25">
      <c r="A1345" s="5">
        <v>42067</v>
      </c>
      <c r="B1345" s="1" t="s">
        <v>58</v>
      </c>
      <c r="C1345" s="2">
        <v>13843</v>
      </c>
    </row>
    <row r="1346" spans="1:3" x14ac:dyDescent="0.25">
      <c r="A1346" s="5">
        <v>42088</v>
      </c>
      <c r="B1346" s="1" t="s">
        <v>58</v>
      </c>
      <c r="C1346" s="2">
        <v>13843</v>
      </c>
    </row>
    <row r="1347" spans="1:3" x14ac:dyDescent="0.25">
      <c r="A1347" s="5">
        <v>41955</v>
      </c>
      <c r="B1347" s="1" t="s">
        <v>208</v>
      </c>
      <c r="C1347" s="2">
        <v>13716</v>
      </c>
    </row>
    <row r="1348" spans="1:3" x14ac:dyDescent="0.25">
      <c r="A1348" s="5">
        <v>42564</v>
      </c>
      <c r="B1348" s="1" t="s">
        <v>90</v>
      </c>
      <c r="C1348" s="2">
        <v>13665</v>
      </c>
    </row>
    <row r="1349" spans="1:3" x14ac:dyDescent="0.25">
      <c r="A1349" s="5">
        <v>43992</v>
      </c>
      <c r="B1349" s="1" t="s">
        <v>153</v>
      </c>
      <c r="C1349" s="2">
        <f>13250+400</f>
        <v>13650</v>
      </c>
    </row>
    <row r="1350" spans="1:3" x14ac:dyDescent="0.25">
      <c r="A1350" s="5">
        <v>43746</v>
      </c>
      <c r="B1350" s="1" t="s">
        <v>80</v>
      </c>
      <c r="C1350" s="2">
        <f>12950+550</f>
        <v>13500</v>
      </c>
    </row>
    <row r="1351" spans="1:3" x14ac:dyDescent="0.25">
      <c r="A1351" s="5">
        <v>45377</v>
      </c>
      <c r="B1351" s="1" t="s">
        <v>55</v>
      </c>
      <c r="C1351" s="2">
        <v>13500</v>
      </c>
    </row>
    <row r="1352" spans="1:3" x14ac:dyDescent="0.25">
      <c r="A1352" s="5">
        <v>41663</v>
      </c>
      <c r="B1352" s="1" t="s">
        <v>93</v>
      </c>
      <c r="C1352" s="2">
        <v>13449</v>
      </c>
    </row>
    <row r="1353" spans="1:3" x14ac:dyDescent="0.25">
      <c r="A1353" s="5">
        <v>41663</v>
      </c>
      <c r="B1353" s="1" t="s">
        <v>93</v>
      </c>
      <c r="C1353" s="2">
        <v>13449</v>
      </c>
    </row>
    <row r="1354" spans="1:3" x14ac:dyDescent="0.25">
      <c r="A1354" s="5">
        <v>41878</v>
      </c>
      <c r="B1354" s="1" t="s">
        <v>298</v>
      </c>
      <c r="C1354" s="2">
        <v>13354</v>
      </c>
    </row>
    <row r="1355" spans="1:3" x14ac:dyDescent="0.25">
      <c r="A1355" s="5">
        <v>42991</v>
      </c>
      <c r="B1355" s="1" t="s">
        <v>80</v>
      </c>
      <c r="C1355" s="2">
        <v>13330</v>
      </c>
    </row>
    <row r="1356" spans="1:3" x14ac:dyDescent="0.25">
      <c r="A1356" s="5">
        <v>42023</v>
      </c>
      <c r="B1356" s="1" t="s">
        <v>230</v>
      </c>
      <c r="C1356" s="2">
        <f>11648+1620</f>
        <v>13268</v>
      </c>
    </row>
    <row r="1357" spans="1:3" x14ac:dyDescent="0.25">
      <c r="A1357" s="5">
        <v>42849</v>
      </c>
      <c r="B1357" s="1" t="s">
        <v>58</v>
      </c>
      <c r="C1357" s="2">
        <f>7950+5300</f>
        <v>13250</v>
      </c>
    </row>
    <row r="1358" spans="1:3" x14ac:dyDescent="0.25">
      <c r="A1358" s="5">
        <v>42936</v>
      </c>
      <c r="B1358" s="1" t="s">
        <v>58</v>
      </c>
      <c r="C1358" s="2">
        <v>13250</v>
      </c>
    </row>
    <row r="1359" spans="1:3" x14ac:dyDescent="0.25">
      <c r="A1359" s="5">
        <v>42495</v>
      </c>
      <c r="B1359" s="1" t="s">
        <v>221</v>
      </c>
      <c r="C1359" s="2">
        <v>13225</v>
      </c>
    </row>
    <row r="1360" spans="1:3" x14ac:dyDescent="0.25">
      <c r="A1360" s="5">
        <v>41968</v>
      </c>
      <c r="B1360" s="1" t="s">
        <v>252</v>
      </c>
      <c r="C1360" s="2">
        <v>13052</v>
      </c>
    </row>
    <row r="1361" spans="1:3" x14ac:dyDescent="0.25">
      <c r="A1361" s="5">
        <v>42353</v>
      </c>
      <c r="B1361" s="1" t="s">
        <v>221</v>
      </c>
      <c r="C1361" s="2">
        <f>11796+1150</f>
        <v>12946</v>
      </c>
    </row>
    <row r="1362" spans="1:3" x14ac:dyDescent="0.25">
      <c r="A1362" s="5">
        <v>43850</v>
      </c>
      <c r="B1362" s="1" t="s">
        <v>80</v>
      </c>
      <c r="C1362" s="2">
        <v>12900</v>
      </c>
    </row>
    <row r="1363" spans="1:3" x14ac:dyDescent="0.25">
      <c r="A1363" s="5">
        <v>41806</v>
      </c>
      <c r="B1363" s="1" t="s">
        <v>289</v>
      </c>
      <c r="C1363" s="2">
        <f>12621+264</f>
        <v>12885</v>
      </c>
    </row>
    <row r="1364" spans="1:3" x14ac:dyDescent="0.25">
      <c r="A1364" s="5">
        <v>42691</v>
      </c>
      <c r="B1364" s="1" t="s">
        <v>243</v>
      </c>
      <c r="C1364" s="2">
        <v>12710</v>
      </c>
    </row>
    <row r="1365" spans="1:3" x14ac:dyDescent="0.25">
      <c r="A1365" s="5">
        <v>43847</v>
      </c>
      <c r="B1365" s="1" t="s">
        <v>40</v>
      </c>
      <c r="C1365" s="2">
        <v>12500</v>
      </c>
    </row>
    <row r="1366" spans="1:3" x14ac:dyDescent="0.25">
      <c r="A1366" s="5">
        <v>43727</v>
      </c>
      <c r="B1366" s="1" t="s">
        <v>148</v>
      </c>
      <c r="C1366" s="2">
        <f>9850+2150+315</f>
        <v>12315</v>
      </c>
    </row>
    <row r="1367" spans="1:3" x14ac:dyDescent="0.25">
      <c r="A1367" s="5">
        <v>43727</v>
      </c>
      <c r="B1367" s="1" t="s">
        <v>148</v>
      </c>
      <c r="C1367" s="2">
        <f>9850+2150+315</f>
        <v>12315</v>
      </c>
    </row>
    <row r="1368" spans="1:3" x14ac:dyDescent="0.25">
      <c r="A1368" s="5">
        <v>43727</v>
      </c>
      <c r="B1368" s="1" t="s">
        <v>148</v>
      </c>
      <c r="C1368" s="2">
        <f>9850+2150+315</f>
        <v>12315</v>
      </c>
    </row>
    <row r="1369" spans="1:3" x14ac:dyDescent="0.25">
      <c r="A1369" s="5">
        <v>43727</v>
      </c>
      <c r="B1369" s="1" t="s">
        <v>148</v>
      </c>
      <c r="C1369" s="2">
        <f>9850+2150+315</f>
        <v>12315</v>
      </c>
    </row>
    <row r="1370" spans="1:3" x14ac:dyDescent="0.25">
      <c r="A1370" s="5">
        <v>43727</v>
      </c>
      <c r="B1370" s="1" t="s">
        <v>148</v>
      </c>
      <c r="C1370" s="2">
        <f>9850+2150+315</f>
        <v>12315</v>
      </c>
    </row>
    <row r="1371" spans="1:3" x14ac:dyDescent="0.25">
      <c r="A1371" s="5">
        <v>43727</v>
      </c>
      <c r="B1371" s="1" t="s">
        <v>148</v>
      </c>
      <c r="C1371" s="2">
        <f>9850+2150+315</f>
        <v>12315</v>
      </c>
    </row>
    <row r="1372" spans="1:3" x14ac:dyDescent="0.25">
      <c r="A1372" s="5">
        <v>44363</v>
      </c>
      <c r="B1372" s="1" t="s">
        <v>79</v>
      </c>
      <c r="C1372" s="2">
        <f>19500-5000-2225</f>
        <v>12275</v>
      </c>
    </row>
    <row r="1373" spans="1:3" x14ac:dyDescent="0.25">
      <c r="A1373" s="5">
        <v>41806</v>
      </c>
      <c r="B1373" s="1" t="s">
        <v>289</v>
      </c>
      <c r="C1373" s="2">
        <f>13516-1320</f>
        <v>12196</v>
      </c>
    </row>
    <row r="1374" spans="1:3" x14ac:dyDescent="0.25">
      <c r="A1374" s="5">
        <v>45693</v>
      </c>
      <c r="B1374" s="1" t="s">
        <v>9</v>
      </c>
      <c r="C1374" s="2">
        <f>11850+300</f>
        <v>12150</v>
      </c>
    </row>
    <row r="1375" spans="1:3" x14ac:dyDescent="0.25">
      <c r="A1375" s="5">
        <v>42187</v>
      </c>
      <c r="B1375" s="1" t="s">
        <v>8</v>
      </c>
      <c r="C1375" s="2">
        <v>12000</v>
      </c>
    </row>
    <row r="1376" spans="1:3" x14ac:dyDescent="0.25">
      <c r="A1376" s="5">
        <v>42654</v>
      </c>
      <c r="B1376" s="1" t="s">
        <v>242</v>
      </c>
      <c r="C1376" s="2">
        <v>12000</v>
      </c>
    </row>
    <row r="1377" spans="1:3" x14ac:dyDescent="0.25">
      <c r="A1377" s="5">
        <v>43581</v>
      </c>
      <c r="B1377" s="1" t="s">
        <v>167</v>
      </c>
      <c r="C1377" s="2">
        <v>12000</v>
      </c>
    </row>
    <row r="1378" spans="1:3" x14ac:dyDescent="0.25">
      <c r="A1378" s="5">
        <v>43789</v>
      </c>
      <c r="B1378" s="1" t="s">
        <v>161</v>
      </c>
      <c r="C1378" s="2">
        <f>11650+275</f>
        <v>11925</v>
      </c>
    </row>
    <row r="1379" spans="1:3" x14ac:dyDescent="0.25">
      <c r="A1379" s="5">
        <v>43789</v>
      </c>
      <c r="B1379" s="1" t="s">
        <v>161</v>
      </c>
      <c r="C1379" s="2">
        <f>11650+275</f>
        <v>11925</v>
      </c>
    </row>
    <row r="1380" spans="1:3" x14ac:dyDescent="0.25">
      <c r="A1380" s="5">
        <v>44215</v>
      </c>
      <c r="B1380" s="1" t="s">
        <v>79</v>
      </c>
      <c r="C1380" s="2">
        <v>11900</v>
      </c>
    </row>
    <row r="1381" spans="1:3" x14ac:dyDescent="0.25">
      <c r="A1381" s="5">
        <v>43039</v>
      </c>
      <c r="B1381" s="1" t="s">
        <v>90</v>
      </c>
      <c r="C1381" s="2">
        <f>11550+300</f>
        <v>11850</v>
      </c>
    </row>
    <row r="1382" spans="1:3" x14ac:dyDescent="0.25">
      <c r="A1382" s="5">
        <v>43865</v>
      </c>
      <c r="B1382" s="1" t="s">
        <v>8</v>
      </c>
      <c r="C1382" s="2">
        <v>11675</v>
      </c>
    </row>
    <row r="1383" spans="1:3" x14ac:dyDescent="0.25">
      <c r="A1383" s="5">
        <v>42674</v>
      </c>
      <c r="B1383" s="1" t="s">
        <v>153</v>
      </c>
      <c r="C1383" s="2">
        <v>11650</v>
      </c>
    </row>
    <row r="1384" spans="1:3" x14ac:dyDescent="0.25">
      <c r="A1384" s="5">
        <v>44050</v>
      </c>
      <c r="B1384" s="1" t="s">
        <v>153</v>
      </c>
      <c r="C1384" s="2">
        <v>11500</v>
      </c>
    </row>
    <row r="1385" spans="1:3" x14ac:dyDescent="0.25">
      <c r="A1385" s="5">
        <v>41758</v>
      </c>
      <c r="B1385" s="1" t="s">
        <v>279</v>
      </c>
      <c r="C1385" s="2">
        <v>11476</v>
      </c>
    </row>
    <row r="1386" spans="1:3" x14ac:dyDescent="0.25">
      <c r="A1386" s="5">
        <v>43606</v>
      </c>
      <c r="B1386" s="1" t="s">
        <v>153</v>
      </c>
      <c r="C1386" s="2">
        <f>10225+235+1000</f>
        <v>11460</v>
      </c>
    </row>
    <row r="1387" spans="1:3" x14ac:dyDescent="0.25">
      <c r="A1387" s="5">
        <v>43606</v>
      </c>
      <c r="B1387" s="1" t="s">
        <v>153</v>
      </c>
      <c r="C1387" s="2">
        <f>10150+235+1000</f>
        <v>11385</v>
      </c>
    </row>
    <row r="1388" spans="1:3" x14ac:dyDescent="0.25">
      <c r="A1388" s="5">
        <v>43606</v>
      </c>
      <c r="B1388" s="1" t="s">
        <v>153</v>
      </c>
      <c r="C1388" s="2">
        <f>10150+235+1000</f>
        <v>11385</v>
      </c>
    </row>
    <row r="1389" spans="1:3" x14ac:dyDescent="0.25">
      <c r="A1389" s="5">
        <v>41820</v>
      </c>
      <c r="B1389" s="1" t="s">
        <v>90</v>
      </c>
      <c r="C1389" s="2">
        <v>11302</v>
      </c>
    </row>
    <row r="1390" spans="1:3" x14ac:dyDescent="0.25">
      <c r="A1390" s="5">
        <v>43850</v>
      </c>
      <c r="B1390" s="1" t="s">
        <v>80</v>
      </c>
      <c r="C1390" s="2">
        <v>11300</v>
      </c>
    </row>
    <row r="1391" spans="1:3" x14ac:dyDescent="0.25">
      <c r="A1391" s="5">
        <v>43850</v>
      </c>
      <c r="B1391" s="1" t="s">
        <v>80</v>
      </c>
      <c r="C1391" s="2">
        <v>11300</v>
      </c>
    </row>
    <row r="1392" spans="1:3" x14ac:dyDescent="0.25">
      <c r="A1392" s="5">
        <v>43850</v>
      </c>
      <c r="B1392" s="1" t="s">
        <v>80</v>
      </c>
      <c r="C1392" s="2">
        <v>11300</v>
      </c>
    </row>
    <row r="1393" spans="1:3" x14ac:dyDescent="0.25">
      <c r="A1393" s="5">
        <v>43850</v>
      </c>
      <c r="B1393" s="1" t="s">
        <v>80</v>
      </c>
      <c r="C1393" s="2">
        <v>11300</v>
      </c>
    </row>
    <row r="1394" spans="1:3" x14ac:dyDescent="0.25">
      <c r="A1394" s="5">
        <v>44363</v>
      </c>
      <c r="B1394" s="1" t="s">
        <v>79</v>
      </c>
      <c r="C1394" s="2">
        <f>18500-5000-2225</f>
        <v>11275</v>
      </c>
    </row>
    <row r="1395" spans="1:3" x14ac:dyDescent="0.25">
      <c r="A1395" s="5">
        <v>41866</v>
      </c>
      <c r="B1395" s="1" t="s">
        <v>90</v>
      </c>
      <c r="C1395" s="2">
        <v>11231</v>
      </c>
    </row>
    <row r="1396" spans="1:3" x14ac:dyDescent="0.25">
      <c r="A1396" s="5">
        <v>43992</v>
      </c>
      <c r="B1396" s="1" t="s">
        <v>153</v>
      </c>
      <c r="C1396" s="2">
        <f>10750+400</f>
        <v>11150</v>
      </c>
    </row>
    <row r="1397" spans="1:3" x14ac:dyDescent="0.25">
      <c r="A1397" s="5">
        <v>41649</v>
      </c>
      <c r="B1397" s="1" t="s">
        <v>270</v>
      </c>
      <c r="C1397" s="2">
        <v>11100</v>
      </c>
    </row>
    <row r="1398" spans="1:3" x14ac:dyDescent="0.25">
      <c r="A1398" s="5">
        <v>41876</v>
      </c>
      <c r="B1398" s="1" t="s">
        <v>286</v>
      </c>
      <c r="C1398" s="2">
        <v>11000</v>
      </c>
    </row>
    <row r="1399" spans="1:3" x14ac:dyDescent="0.25">
      <c r="A1399" s="5">
        <v>45741</v>
      </c>
      <c r="B1399" s="1" t="s">
        <v>14</v>
      </c>
      <c r="C1399" s="2">
        <v>11000</v>
      </c>
    </row>
    <row r="1400" spans="1:3" x14ac:dyDescent="0.25">
      <c r="A1400" s="5">
        <v>44021</v>
      </c>
      <c r="B1400" s="1" t="s">
        <v>153</v>
      </c>
      <c r="C1400" s="2">
        <v>10950</v>
      </c>
    </row>
    <row r="1401" spans="1:3" x14ac:dyDescent="0.25">
      <c r="A1401" s="5">
        <v>43167</v>
      </c>
      <c r="B1401" s="1" t="s">
        <v>90</v>
      </c>
      <c r="C1401" s="2">
        <f>10850+87</f>
        <v>10937</v>
      </c>
    </row>
    <row r="1402" spans="1:3" x14ac:dyDescent="0.25">
      <c r="A1402" s="5">
        <v>43167</v>
      </c>
      <c r="B1402" s="1" t="s">
        <v>90</v>
      </c>
      <c r="C1402" s="2">
        <f>10850+87</f>
        <v>10937</v>
      </c>
    </row>
    <row r="1403" spans="1:3" x14ac:dyDescent="0.25">
      <c r="A1403" s="5">
        <v>43167</v>
      </c>
      <c r="B1403" s="1" t="s">
        <v>90</v>
      </c>
      <c r="C1403" s="2">
        <f>10850+87</f>
        <v>10937</v>
      </c>
    </row>
    <row r="1404" spans="1:3" x14ac:dyDescent="0.25">
      <c r="A1404" s="5">
        <v>41862</v>
      </c>
      <c r="B1404" s="1" t="s">
        <v>293</v>
      </c>
      <c r="C1404" s="2">
        <v>10910</v>
      </c>
    </row>
    <row r="1405" spans="1:3" x14ac:dyDescent="0.25">
      <c r="A1405" s="5">
        <v>41862</v>
      </c>
      <c r="B1405" s="1" t="s">
        <v>293</v>
      </c>
      <c r="C1405" s="2">
        <v>10910</v>
      </c>
    </row>
    <row r="1406" spans="1:3" x14ac:dyDescent="0.25">
      <c r="A1406" s="5">
        <v>44942</v>
      </c>
      <c r="B1406" s="1" t="s">
        <v>8</v>
      </c>
      <c r="C1406" s="2">
        <f>8500+2400</f>
        <v>10900</v>
      </c>
    </row>
    <row r="1407" spans="1:3" x14ac:dyDescent="0.25">
      <c r="A1407" s="5">
        <v>41663</v>
      </c>
      <c r="B1407" s="1" t="s">
        <v>93</v>
      </c>
      <c r="C1407" s="2">
        <v>10869.81</v>
      </c>
    </row>
    <row r="1408" spans="1:3" x14ac:dyDescent="0.25">
      <c r="A1408" s="5">
        <v>44816</v>
      </c>
      <c r="B1408" s="1" t="s">
        <v>109</v>
      </c>
      <c r="C1408" s="2">
        <v>10750</v>
      </c>
    </row>
    <row r="1409" spans="1:3" x14ac:dyDescent="0.25">
      <c r="A1409" s="5">
        <v>44146</v>
      </c>
      <c r="B1409" s="1" t="s">
        <v>39</v>
      </c>
      <c r="C1409" s="2">
        <f>10450+225</f>
        <v>10675</v>
      </c>
    </row>
    <row r="1410" spans="1:3" x14ac:dyDescent="0.25">
      <c r="A1410" s="5">
        <v>41794</v>
      </c>
      <c r="B1410" s="1" t="s">
        <v>286</v>
      </c>
      <c r="C1410" s="2">
        <f>10076+500</f>
        <v>10576</v>
      </c>
    </row>
    <row r="1411" spans="1:3" x14ac:dyDescent="0.25">
      <c r="A1411" s="5">
        <v>41732</v>
      </c>
      <c r="B1411" s="1" t="s">
        <v>90</v>
      </c>
      <c r="C1411" s="2">
        <v>10407</v>
      </c>
    </row>
    <row r="1412" spans="1:3" x14ac:dyDescent="0.25">
      <c r="A1412" s="5">
        <v>44379</v>
      </c>
      <c r="B1412" s="1" t="s">
        <v>133</v>
      </c>
      <c r="C1412" s="2">
        <f>8750+1650</f>
        <v>10400</v>
      </c>
    </row>
    <row r="1413" spans="1:3" x14ac:dyDescent="0.25">
      <c r="A1413" s="5">
        <v>41694</v>
      </c>
      <c r="B1413" s="1" t="s">
        <v>93</v>
      </c>
      <c r="C1413" s="2">
        <v>10301</v>
      </c>
    </row>
    <row r="1414" spans="1:3" x14ac:dyDescent="0.25">
      <c r="A1414" s="5">
        <v>41649</v>
      </c>
      <c r="B1414" s="1" t="s">
        <v>270</v>
      </c>
      <c r="C1414" s="2">
        <f>10000+172.5</f>
        <v>10172.5</v>
      </c>
    </row>
    <row r="1415" spans="1:3" x14ac:dyDescent="0.25">
      <c r="A1415" s="5">
        <v>41649</v>
      </c>
      <c r="B1415" s="1" t="s">
        <v>270</v>
      </c>
      <c r="C1415" s="2">
        <f>10000+172.5</f>
        <v>10172.5</v>
      </c>
    </row>
    <row r="1416" spans="1:3" x14ac:dyDescent="0.25">
      <c r="A1416" s="5">
        <v>41649</v>
      </c>
      <c r="B1416" s="1" t="s">
        <v>270</v>
      </c>
      <c r="C1416" s="2">
        <v>10100</v>
      </c>
    </row>
    <row r="1417" spans="1:3" x14ac:dyDescent="0.25">
      <c r="A1417" s="5">
        <v>43500</v>
      </c>
      <c r="B1417" s="1" t="s">
        <v>63</v>
      </c>
      <c r="C1417" s="2">
        <v>10075</v>
      </c>
    </row>
    <row r="1418" spans="1:3" x14ac:dyDescent="0.25">
      <c r="A1418" s="5">
        <v>43678</v>
      </c>
      <c r="B1418" s="1" t="s">
        <v>39</v>
      </c>
      <c r="C1418" s="2">
        <f>9375+700</f>
        <v>10075</v>
      </c>
    </row>
    <row r="1419" spans="1:3" x14ac:dyDescent="0.25">
      <c r="A1419" s="5">
        <v>43861</v>
      </c>
      <c r="B1419" s="1" t="s">
        <v>128</v>
      </c>
      <c r="C1419" s="2">
        <f>6485+3544</f>
        <v>10029</v>
      </c>
    </row>
    <row r="1420" spans="1:3" x14ac:dyDescent="0.25">
      <c r="A1420" s="5">
        <v>43852</v>
      </c>
      <c r="B1420" s="1" t="s">
        <v>147</v>
      </c>
      <c r="C1420" s="2">
        <f>9250+750</f>
        <v>10000</v>
      </c>
    </row>
    <row r="1421" spans="1:3" x14ac:dyDescent="0.25">
      <c r="A1421" s="5">
        <v>45684</v>
      </c>
      <c r="B1421" s="1" t="s">
        <v>6</v>
      </c>
      <c r="C1421" s="2">
        <v>10000</v>
      </c>
    </row>
    <row r="1422" spans="1:3" x14ac:dyDescent="0.25">
      <c r="A1422" s="5">
        <v>42158</v>
      </c>
      <c r="B1422" s="1" t="s">
        <v>90</v>
      </c>
      <c r="C1422" s="2">
        <v>9904</v>
      </c>
    </row>
    <row r="1423" spans="1:3" x14ac:dyDescent="0.25">
      <c r="A1423" s="5">
        <v>45825</v>
      </c>
      <c r="B1423" s="1" t="s">
        <v>9</v>
      </c>
      <c r="C1423" s="2">
        <f>8950+950</f>
        <v>9900</v>
      </c>
    </row>
    <row r="1424" spans="1:3" x14ac:dyDescent="0.25">
      <c r="A1424" s="5">
        <v>43675</v>
      </c>
      <c r="B1424" s="1" t="s">
        <v>8</v>
      </c>
      <c r="C1424" s="2">
        <v>9800</v>
      </c>
    </row>
    <row r="1425" spans="1:3" x14ac:dyDescent="0.25">
      <c r="A1425" s="5">
        <v>43059</v>
      </c>
      <c r="B1425" s="1" t="s">
        <v>58</v>
      </c>
      <c r="C1425" s="2">
        <v>9750</v>
      </c>
    </row>
    <row r="1426" spans="1:3" x14ac:dyDescent="0.25">
      <c r="A1426" s="5">
        <v>44148</v>
      </c>
      <c r="B1426" s="1" t="s">
        <v>160</v>
      </c>
      <c r="C1426" s="2">
        <f>8950+600</f>
        <v>9550</v>
      </c>
    </row>
    <row r="1427" spans="1:3" x14ac:dyDescent="0.25">
      <c r="A1427" s="5">
        <v>41796</v>
      </c>
      <c r="B1427" s="1" t="s">
        <v>93</v>
      </c>
      <c r="C1427" s="2">
        <f>9250+250</f>
        <v>9500</v>
      </c>
    </row>
    <row r="1428" spans="1:3" x14ac:dyDescent="0.25">
      <c r="A1428" s="5">
        <v>44431</v>
      </c>
      <c r="B1428" s="1" t="s">
        <v>119</v>
      </c>
      <c r="C1428" s="2">
        <f>8250+1250</f>
        <v>9500</v>
      </c>
    </row>
    <row r="1429" spans="1:3" x14ac:dyDescent="0.25">
      <c r="A1429" s="5">
        <v>41754</v>
      </c>
      <c r="B1429" s="1" t="s">
        <v>63</v>
      </c>
      <c r="C1429" s="2">
        <v>9375</v>
      </c>
    </row>
    <row r="1430" spans="1:3" x14ac:dyDescent="0.25">
      <c r="A1430" s="5">
        <v>42845</v>
      </c>
      <c r="B1430" s="1" t="s">
        <v>200</v>
      </c>
      <c r="C1430" s="2">
        <f>9095+245</f>
        <v>9340</v>
      </c>
    </row>
    <row r="1431" spans="1:3" x14ac:dyDescent="0.25">
      <c r="A1431" s="5">
        <v>41796</v>
      </c>
      <c r="B1431" s="1" t="s">
        <v>93</v>
      </c>
      <c r="C1431" s="2">
        <v>9250</v>
      </c>
    </row>
    <row r="1432" spans="1:3" x14ac:dyDescent="0.25">
      <c r="A1432" s="5">
        <v>42845</v>
      </c>
      <c r="B1432" s="1" t="s">
        <v>200</v>
      </c>
      <c r="C1432" s="2">
        <f>8990+245</f>
        <v>9235</v>
      </c>
    </row>
    <row r="1433" spans="1:3" x14ac:dyDescent="0.25">
      <c r="A1433" s="5">
        <v>44910</v>
      </c>
      <c r="B1433" s="1" t="s">
        <v>120</v>
      </c>
      <c r="C1433" s="2">
        <v>9200</v>
      </c>
    </row>
    <row r="1434" spans="1:3" x14ac:dyDescent="0.25">
      <c r="A1434" s="5">
        <v>41946</v>
      </c>
      <c r="B1434" s="1" t="s">
        <v>298</v>
      </c>
      <c r="C1434" s="2">
        <v>9147</v>
      </c>
    </row>
    <row r="1435" spans="1:3" x14ac:dyDescent="0.25">
      <c r="A1435" s="5">
        <v>41946</v>
      </c>
      <c r="B1435" s="1" t="s">
        <v>298</v>
      </c>
      <c r="C1435" s="2">
        <v>9147</v>
      </c>
    </row>
    <row r="1436" spans="1:3" x14ac:dyDescent="0.25">
      <c r="A1436" s="5">
        <v>41946</v>
      </c>
      <c r="B1436" s="1" t="s">
        <v>298</v>
      </c>
      <c r="C1436" s="2">
        <v>9147</v>
      </c>
    </row>
    <row r="1437" spans="1:3" x14ac:dyDescent="0.25">
      <c r="A1437" s="5">
        <v>41946</v>
      </c>
      <c r="B1437" s="1" t="s">
        <v>298</v>
      </c>
      <c r="C1437" s="2">
        <v>9147</v>
      </c>
    </row>
    <row r="1438" spans="1:3" x14ac:dyDescent="0.25">
      <c r="A1438" s="5">
        <v>42159</v>
      </c>
      <c r="B1438" s="1" t="s">
        <v>265</v>
      </c>
      <c r="C1438" s="2">
        <f>9450-350</f>
        <v>9100</v>
      </c>
    </row>
    <row r="1439" spans="1:3" x14ac:dyDescent="0.25">
      <c r="A1439" s="5">
        <v>42159</v>
      </c>
      <c r="B1439" s="1" t="s">
        <v>265</v>
      </c>
      <c r="C1439" s="2">
        <f>9450-350</f>
        <v>9100</v>
      </c>
    </row>
    <row r="1440" spans="1:3" x14ac:dyDescent="0.25">
      <c r="A1440" s="5">
        <v>43088</v>
      </c>
      <c r="B1440" s="1" t="s">
        <v>128</v>
      </c>
      <c r="C1440" s="2">
        <f>7835+1175</f>
        <v>9010</v>
      </c>
    </row>
    <row r="1441" spans="1:3" x14ac:dyDescent="0.25">
      <c r="A1441" s="5">
        <v>41841</v>
      </c>
      <c r="B1441" s="1" t="s">
        <v>293</v>
      </c>
      <c r="C1441" s="2">
        <v>8997</v>
      </c>
    </row>
    <row r="1442" spans="1:3" x14ac:dyDescent="0.25">
      <c r="A1442" s="5">
        <v>43819</v>
      </c>
      <c r="B1442" s="1" t="s">
        <v>58</v>
      </c>
      <c r="C1442" s="2">
        <f>5950+2975</f>
        <v>8925</v>
      </c>
    </row>
    <row r="1443" spans="1:3" x14ac:dyDescent="0.25">
      <c r="A1443" s="5">
        <v>42937</v>
      </c>
      <c r="B1443" s="1" t="s">
        <v>211</v>
      </c>
      <c r="C1443" s="2">
        <v>8881</v>
      </c>
    </row>
    <row r="1444" spans="1:3" x14ac:dyDescent="0.25">
      <c r="A1444" s="5">
        <v>42622</v>
      </c>
      <c r="B1444" s="1" t="s">
        <v>237</v>
      </c>
      <c r="C1444" s="2">
        <v>8870</v>
      </c>
    </row>
    <row r="1445" spans="1:3" x14ac:dyDescent="0.25">
      <c r="A1445" s="5">
        <v>43861</v>
      </c>
      <c r="B1445" s="1" t="s">
        <v>128</v>
      </c>
      <c r="C1445" s="2">
        <v>8850</v>
      </c>
    </row>
    <row r="1446" spans="1:3" x14ac:dyDescent="0.25">
      <c r="A1446" s="5">
        <v>41806</v>
      </c>
      <c r="B1446" s="1" t="s">
        <v>289</v>
      </c>
      <c r="C1446" s="2">
        <f>9306-611</f>
        <v>8695</v>
      </c>
    </row>
    <row r="1447" spans="1:3" x14ac:dyDescent="0.25">
      <c r="A1447" s="5">
        <v>44750</v>
      </c>
      <c r="B1447" s="1" t="s">
        <v>105</v>
      </c>
      <c r="C1447" s="2">
        <v>8500</v>
      </c>
    </row>
    <row r="1448" spans="1:3" x14ac:dyDescent="0.25">
      <c r="A1448" s="5">
        <v>42152</v>
      </c>
      <c r="B1448" s="1" t="s">
        <v>63</v>
      </c>
      <c r="C1448" s="2">
        <v>8451</v>
      </c>
    </row>
    <row r="1449" spans="1:3" x14ac:dyDescent="0.25">
      <c r="A1449" s="5">
        <v>42023</v>
      </c>
      <c r="B1449" s="1" t="s">
        <v>230</v>
      </c>
      <c r="C1449" s="2">
        <f>6758+1620</f>
        <v>8378</v>
      </c>
    </row>
    <row r="1450" spans="1:3" x14ac:dyDescent="0.25">
      <c r="A1450" s="5">
        <v>43910</v>
      </c>
      <c r="B1450" s="1" t="s">
        <v>148</v>
      </c>
      <c r="C1450" s="2">
        <f>7875+500</f>
        <v>8375</v>
      </c>
    </row>
    <row r="1451" spans="1:3" x14ac:dyDescent="0.25">
      <c r="A1451" s="5">
        <v>42418</v>
      </c>
      <c r="B1451" s="1" t="s">
        <v>8</v>
      </c>
      <c r="C1451" s="2">
        <v>8368</v>
      </c>
    </row>
    <row r="1452" spans="1:3" x14ac:dyDescent="0.25">
      <c r="A1452" s="5">
        <v>42424</v>
      </c>
      <c r="B1452" s="1" t="s">
        <v>224</v>
      </c>
      <c r="C1452" s="2">
        <v>8346</v>
      </c>
    </row>
    <row r="1453" spans="1:3" x14ac:dyDescent="0.25">
      <c r="A1453" s="5">
        <v>42159</v>
      </c>
      <c r="B1453" s="1" t="s">
        <v>265</v>
      </c>
      <c r="C1453" s="2">
        <f>10300-2000</f>
        <v>8300</v>
      </c>
    </row>
    <row r="1454" spans="1:3" x14ac:dyDescent="0.25">
      <c r="A1454" s="5">
        <v>41901</v>
      </c>
      <c r="B1454" s="1" t="s">
        <v>90</v>
      </c>
      <c r="C1454" s="2">
        <v>8265</v>
      </c>
    </row>
    <row r="1455" spans="1:3" x14ac:dyDescent="0.25">
      <c r="A1455" s="5">
        <v>41652</v>
      </c>
      <c r="B1455" s="1" t="s">
        <v>90</v>
      </c>
      <c r="C1455" s="2">
        <v>8213</v>
      </c>
    </row>
    <row r="1456" spans="1:3" x14ac:dyDescent="0.25">
      <c r="A1456" s="5">
        <v>42418</v>
      </c>
      <c r="B1456" s="1" t="s">
        <v>8</v>
      </c>
      <c r="C1456" s="2">
        <v>8132</v>
      </c>
    </row>
    <row r="1457" spans="1:3" x14ac:dyDescent="0.25">
      <c r="A1457" s="5">
        <v>41663</v>
      </c>
      <c r="B1457" s="1" t="s">
        <v>93</v>
      </c>
      <c r="C1457" s="2">
        <v>8121.25</v>
      </c>
    </row>
    <row r="1458" spans="1:3" x14ac:dyDescent="0.25">
      <c r="A1458" s="5">
        <v>41663</v>
      </c>
      <c r="B1458" s="1" t="s">
        <v>93</v>
      </c>
      <c r="C1458" s="2">
        <v>8121.25</v>
      </c>
    </row>
    <row r="1459" spans="1:3" x14ac:dyDescent="0.25">
      <c r="A1459" s="5">
        <v>41663</v>
      </c>
      <c r="B1459" s="1" t="s">
        <v>93</v>
      </c>
      <c r="C1459" s="2">
        <v>8121.25</v>
      </c>
    </row>
    <row r="1460" spans="1:3" x14ac:dyDescent="0.25">
      <c r="A1460" s="5">
        <v>41663</v>
      </c>
      <c r="B1460" s="1" t="s">
        <v>93</v>
      </c>
      <c r="C1460" s="2">
        <v>8121.25</v>
      </c>
    </row>
    <row r="1461" spans="1:3" x14ac:dyDescent="0.25">
      <c r="A1461" s="5">
        <v>43301</v>
      </c>
      <c r="B1461" s="1" t="s">
        <v>192</v>
      </c>
      <c r="C1461" s="2">
        <f>6850+350+900</f>
        <v>8100</v>
      </c>
    </row>
    <row r="1462" spans="1:3" x14ac:dyDescent="0.25">
      <c r="A1462" s="5">
        <v>42415</v>
      </c>
      <c r="B1462" s="1" t="s">
        <v>144</v>
      </c>
      <c r="C1462" s="2">
        <f>7400+627+62</f>
        <v>8089</v>
      </c>
    </row>
    <row r="1463" spans="1:3" x14ac:dyDescent="0.25">
      <c r="A1463" s="5">
        <v>41789</v>
      </c>
      <c r="B1463" s="1" t="s">
        <v>284</v>
      </c>
      <c r="C1463" s="2">
        <f>7304+746</f>
        <v>8050</v>
      </c>
    </row>
    <row r="1464" spans="1:3" x14ac:dyDescent="0.25">
      <c r="A1464" s="5">
        <v>42415</v>
      </c>
      <c r="B1464" s="1" t="s">
        <v>144</v>
      </c>
      <c r="C1464" s="2">
        <f>7266+631+140</f>
        <v>8037</v>
      </c>
    </row>
    <row r="1465" spans="1:3" x14ac:dyDescent="0.25">
      <c r="A1465" s="5">
        <v>42415</v>
      </c>
      <c r="B1465" s="1" t="s">
        <v>144</v>
      </c>
      <c r="C1465" s="2">
        <f>7266+631+140</f>
        <v>8037</v>
      </c>
    </row>
    <row r="1466" spans="1:3" x14ac:dyDescent="0.25">
      <c r="A1466" s="5">
        <v>45975</v>
      </c>
      <c r="B1466" s="1" t="s">
        <v>45</v>
      </c>
      <c r="C1466" s="2">
        <v>8000</v>
      </c>
    </row>
    <row r="1467" spans="1:3" x14ac:dyDescent="0.25">
      <c r="A1467" s="5">
        <v>41718</v>
      </c>
      <c r="B1467" s="1" t="s">
        <v>275</v>
      </c>
      <c r="C1467" s="2">
        <v>7980</v>
      </c>
    </row>
    <row r="1468" spans="1:3" x14ac:dyDescent="0.25">
      <c r="A1468" s="5">
        <v>44370</v>
      </c>
      <c r="B1468" s="1" t="s">
        <v>131</v>
      </c>
      <c r="C1468" s="2">
        <f>7100+875</f>
        <v>7975</v>
      </c>
    </row>
    <row r="1469" spans="1:3" x14ac:dyDescent="0.25">
      <c r="A1469" s="5">
        <v>43091</v>
      </c>
      <c r="B1469" s="1" t="s">
        <v>220</v>
      </c>
      <c r="C1469" s="2">
        <f>7506+400</f>
        <v>7906</v>
      </c>
    </row>
    <row r="1470" spans="1:3" x14ac:dyDescent="0.25">
      <c r="A1470" s="5">
        <v>41878</v>
      </c>
      <c r="B1470" s="1" t="s">
        <v>297</v>
      </c>
      <c r="C1470" s="2">
        <v>7900</v>
      </c>
    </row>
    <row r="1471" spans="1:3" x14ac:dyDescent="0.25">
      <c r="A1471" s="5">
        <v>42023</v>
      </c>
      <c r="B1471" s="1" t="s">
        <v>252</v>
      </c>
      <c r="C1471" s="2">
        <v>7881</v>
      </c>
    </row>
    <row r="1472" spans="1:3" x14ac:dyDescent="0.25">
      <c r="A1472" s="5">
        <v>42947</v>
      </c>
      <c r="B1472" s="1" t="s">
        <v>90</v>
      </c>
      <c r="C1472" s="2">
        <v>7880</v>
      </c>
    </row>
    <row r="1473" spans="1:3" x14ac:dyDescent="0.25">
      <c r="A1473" s="5">
        <v>43626</v>
      </c>
      <c r="B1473" s="1" t="s">
        <v>144</v>
      </c>
      <c r="C1473" s="2">
        <f>7425+350</f>
        <v>7775</v>
      </c>
    </row>
    <row r="1474" spans="1:3" x14ac:dyDescent="0.25">
      <c r="A1474" s="5">
        <v>43626</v>
      </c>
      <c r="B1474" s="1" t="s">
        <v>144</v>
      </c>
      <c r="C1474" s="2">
        <f>7425+350</f>
        <v>7775</v>
      </c>
    </row>
    <row r="1475" spans="1:3" x14ac:dyDescent="0.25">
      <c r="A1475" s="5">
        <v>42845</v>
      </c>
      <c r="B1475" s="1" t="s">
        <v>200</v>
      </c>
      <c r="C1475" s="2">
        <f>7360+245</f>
        <v>7605</v>
      </c>
    </row>
    <row r="1476" spans="1:3" x14ac:dyDescent="0.25">
      <c r="A1476" s="5">
        <v>41682</v>
      </c>
      <c r="B1476" s="1" t="s">
        <v>93</v>
      </c>
      <c r="C1476" s="2">
        <v>7500</v>
      </c>
    </row>
    <row r="1477" spans="1:3" x14ac:dyDescent="0.25">
      <c r="A1477" s="5">
        <v>43941</v>
      </c>
      <c r="B1477" s="1" t="s">
        <v>153</v>
      </c>
      <c r="C1477" s="2">
        <f>60450-52950</f>
        <v>7500</v>
      </c>
    </row>
    <row r="1478" spans="1:3" x14ac:dyDescent="0.25">
      <c r="A1478" s="5">
        <v>44757</v>
      </c>
      <c r="B1478" s="1" t="s">
        <v>57</v>
      </c>
      <c r="C1478" s="2">
        <v>7500</v>
      </c>
    </row>
    <row r="1479" spans="1:3" x14ac:dyDescent="0.25">
      <c r="A1479" s="5">
        <v>42170</v>
      </c>
      <c r="B1479" s="1" t="s">
        <v>178</v>
      </c>
      <c r="C1479" s="2">
        <v>7400</v>
      </c>
    </row>
    <row r="1480" spans="1:3" x14ac:dyDescent="0.25">
      <c r="A1480" s="5">
        <v>42201</v>
      </c>
      <c r="B1480" s="1" t="s">
        <v>40</v>
      </c>
      <c r="C1480" s="2">
        <v>7356</v>
      </c>
    </row>
    <row r="1481" spans="1:3" x14ac:dyDescent="0.25">
      <c r="A1481" s="5">
        <v>41799</v>
      </c>
      <c r="B1481" s="1" t="s">
        <v>90</v>
      </c>
      <c r="C1481" s="2">
        <v>7254</v>
      </c>
    </row>
    <row r="1482" spans="1:3" x14ac:dyDescent="0.25">
      <c r="A1482" s="5">
        <v>42117</v>
      </c>
      <c r="B1482" s="1" t="s">
        <v>90</v>
      </c>
      <c r="C1482" s="2">
        <v>7205</v>
      </c>
    </row>
    <row r="1483" spans="1:3" x14ac:dyDescent="0.25">
      <c r="A1483" s="5">
        <v>42117</v>
      </c>
      <c r="B1483" s="1" t="s">
        <v>90</v>
      </c>
      <c r="C1483" s="2">
        <v>7205</v>
      </c>
    </row>
    <row r="1484" spans="1:3" x14ac:dyDescent="0.25">
      <c r="A1484" s="5">
        <v>42339</v>
      </c>
      <c r="B1484" s="1" t="s">
        <v>269</v>
      </c>
      <c r="C1484" s="2">
        <f>6990+150</f>
        <v>7140</v>
      </c>
    </row>
    <row r="1485" spans="1:3" x14ac:dyDescent="0.25">
      <c r="A1485" s="5">
        <v>41751</v>
      </c>
      <c r="B1485" s="1" t="s">
        <v>277</v>
      </c>
      <c r="C1485" s="2">
        <f>6368+723</f>
        <v>7091</v>
      </c>
    </row>
    <row r="1486" spans="1:3" x14ac:dyDescent="0.25">
      <c r="A1486" s="5">
        <v>42131</v>
      </c>
      <c r="B1486" s="1" t="s">
        <v>40</v>
      </c>
      <c r="C1486" s="2">
        <v>6953</v>
      </c>
    </row>
    <row r="1487" spans="1:3" x14ac:dyDescent="0.25">
      <c r="A1487" s="5">
        <v>43907</v>
      </c>
      <c r="B1487" s="1" t="s">
        <v>128</v>
      </c>
      <c r="C1487" s="2">
        <v>6925</v>
      </c>
    </row>
    <row r="1488" spans="1:3" x14ac:dyDescent="0.25">
      <c r="A1488" s="5">
        <v>42272</v>
      </c>
      <c r="B1488" s="1" t="s">
        <v>90</v>
      </c>
      <c r="C1488" s="2">
        <v>6865</v>
      </c>
    </row>
    <row r="1489" spans="1:3" x14ac:dyDescent="0.25">
      <c r="A1489" s="5">
        <v>42443</v>
      </c>
      <c r="B1489" s="1" t="s">
        <v>90</v>
      </c>
      <c r="C1489" s="2">
        <v>6865</v>
      </c>
    </row>
    <row r="1490" spans="1:3" x14ac:dyDescent="0.25">
      <c r="A1490" s="5">
        <v>43339</v>
      </c>
      <c r="B1490" s="1" t="s">
        <v>128</v>
      </c>
      <c r="C1490" s="2">
        <f>6450+400</f>
        <v>6850</v>
      </c>
    </row>
    <row r="1491" spans="1:3" x14ac:dyDescent="0.25">
      <c r="A1491" s="5">
        <v>41827</v>
      </c>
      <c r="B1491" s="1" t="s">
        <v>90</v>
      </c>
      <c r="C1491" s="2">
        <v>6812</v>
      </c>
    </row>
    <row r="1492" spans="1:3" x14ac:dyDescent="0.25">
      <c r="A1492" s="5">
        <v>42080</v>
      </c>
      <c r="B1492" s="1" t="s">
        <v>153</v>
      </c>
      <c r="C1492" s="2">
        <f>7156-350</f>
        <v>6806</v>
      </c>
    </row>
    <row r="1493" spans="1:3" x14ac:dyDescent="0.25">
      <c r="A1493" s="5">
        <v>45643</v>
      </c>
      <c r="B1493" s="1" t="s">
        <v>72</v>
      </c>
      <c r="C1493" s="2">
        <v>6800</v>
      </c>
    </row>
    <row r="1494" spans="1:3" x14ac:dyDescent="0.25">
      <c r="A1494" s="5">
        <v>44470</v>
      </c>
      <c r="B1494" s="1" t="s">
        <v>79</v>
      </c>
      <c r="C1494" s="2">
        <v>6650</v>
      </c>
    </row>
    <row r="1495" spans="1:3" x14ac:dyDescent="0.25">
      <c r="A1495" s="5">
        <v>42639</v>
      </c>
      <c r="B1495" s="1" t="s">
        <v>63</v>
      </c>
      <c r="C1495" s="2">
        <v>6600</v>
      </c>
    </row>
    <row r="1496" spans="1:3" x14ac:dyDescent="0.25">
      <c r="A1496" s="5">
        <v>44775</v>
      </c>
      <c r="B1496" s="1" t="s">
        <v>80</v>
      </c>
      <c r="C1496" s="2">
        <v>6500</v>
      </c>
    </row>
    <row r="1497" spans="1:3" x14ac:dyDescent="0.25">
      <c r="A1497" s="5">
        <v>42845</v>
      </c>
      <c r="B1497" s="1" t="s">
        <v>200</v>
      </c>
      <c r="C1497" s="2">
        <f>6100+245</f>
        <v>6345</v>
      </c>
    </row>
    <row r="1498" spans="1:3" x14ac:dyDescent="0.25">
      <c r="A1498" s="5">
        <v>42011</v>
      </c>
      <c r="B1498" s="1" t="s">
        <v>252</v>
      </c>
      <c r="C1498" s="2">
        <v>6248</v>
      </c>
    </row>
    <row r="1499" spans="1:3" x14ac:dyDescent="0.25">
      <c r="A1499" s="5">
        <v>43434</v>
      </c>
      <c r="B1499" s="1" t="s">
        <v>128</v>
      </c>
      <c r="C1499" s="2">
        <f>5950+250</f>
        <v>6200</v>
      </c>
    </row>
    <row r="1500" spans="1:3" x14ac:dyDescent="0.25">
      <c r="A1500" s="5">
        <v>45525</v>
      </c>
      <c r="B1500" s="1" t="s">
        <v>66</v>
      </c>
      <c r="C1500" s="2">
        <f>3150+3000</f>
        <v>6150</v>
      </c>
    </row>
    <row r="1501" spans="1:3" x14ac:dyDescent="0.25">
      <c r="A1501" s="5">
        <v>45671</v>
      </c>
      <c r="B1501" s="1" t="s">
        <v>3</v>
      </c>
      <c r="C1501" s="2">
        <f>5600+500</f>
        <v>6100</v>
      </c>
    </row>
    <row r="1502" spans="1:3" x14ac:dyDescent="0.25">
      <c r="A1502" s="5">
        <v>45868</v>
      </c>
      <c r="B1502" s="1" t="s">
        <v>33</v>
      </c>
      <c r="C1502" s="2">
        <f>5750+325</f>
        <v>6075</v>
      </c>
    </row>
    <row r="1503" spans="1:3" x14ac:dyDescent="0.25">
      <c r="A1503" s="5">
        <v>42227</v>
      </c>
      <c r="B1503" s="1" t="s">
        <v>240</v>
      </c>
      <c r="C1503" s="2">
        <v>6000</v>
      </c>
    </row>
    <row r="1504" spans="1:3" x14ac:dyDescent="0.25">
      <c r="A1504" s="5">
        <v>41794</v>
      </c>
      <c r="B1504" s="1" t="s">
        <v>286</v>
      </c>
      <c r="C1504" s="2">
        <f>5486+500</f>
        <v>5986</v>
      </c>
    </row>
    <row r="1505" spans="1:3" x14ac:dyDescent="0.25">
      <c r="A1505" s="5">
        <v>43819</v>
      </c>
      <c r="B1505" s="1" t="s">
        <v>58</v>
      </c>
      <c r="C1505" s="2">
        <v>5950</v>
      </c>
    </row>
    <row r="1506" spans="1:3" x14ac:dyDescent="0.25">
      <c r="A1506" s="5">
        <v>41649</v>
      </c>
      <c r="B1506" s="1" t="s">
        <v>270</v>
      </c>
      <c r="C1506" s="2">
        <v>5900</v>
      </c>
    </row>
    <row r="1507" spans="1:3" x14ac:dyDescent="0.25">
      <c r="A1507" s="5">
        <v>41802</v>
      </c>
      <c r="B1507" s="1" t="s">
        <v>288</v>
      </c>
      <c r="C1507" s="2">
        <f>4934+886</f>
        <v>5820</v>
      </c>
    </row>
    <row r="1508" spans="1:3" x14ac:dyDescent="0.25">
      <c r="A1508" s="5">
        <v>42845</v>
      </c>
      <c r="B1508" s="1" t="s">
        <v>200</v>
      </c>
      <c r="C1508" s="2">
        <f>5575+245</f>
        <v>5820</v>
      </c>
    </row>
    <row r="1509" spans="1:3" x14ac:dyDescent="0.25">
      <c r="A1509" s="5">
        <v>45904</v>
      </c>
      <c r="B1509" s="1" t="s">
        <v>3</v>
      </c>
      <c r="C1509" s="2">
        <v>5800</v>
      </c>
    </row>
    <row r="1510" spans="1:3" x14ac:dyDescent="0.25">
      <c r="A1510" s="5">
        <v>42845</v>
      </c>
      <c r="B1510" s="1" t="s">
        <v>200</v>
      </c>
      <c r="C1510" s="2">
        <f>5465+245</f>
        <v>5710</v>
      </c>
    </row>
    <row r="1511" spans="1:3" x14ac:dyDescent="0.25">
      <c r="A1511" s="5">
        <v>45790</v>
      </c>
      <c r="B1511" s="1" t="s">
        <v>3</v>
      </c>
      <c r="C1511" s="2">
        <v>5700</v>
      </c>
    </row>
    <row r="1512" spans="1:3" x14ac:dyDescent="0.25">
      <c r="A1512" s="5">
        <v>42887</v>
      </c>
      <c r="B1512" s="1" t="s">
        <v>203</v>
      </c>
      <c r="C1512" s="2">
        <v>5515</v>
      </c>
    </row>
    <row r="1513" spans="1:3" x14ac:dyDescent="0.25">
      <c r="A1513" s="5">
        <v>41796</v>
      </c>
      <c r="B1513" s="1" t="s">
        <v>286</v>
      </c>
      <c r="C1513" s="2">
        <v>5500</v>
      </c>
    </row>
    <row r="1514" spans="1:3" x14ac:dyDescent="0.25">
      <c r="A1514" s="5">
        <v>44768</v>
      </c>
      <c r="B1514" s="1" t="s">
        <v>107</v>
      </c>
      <c r="C1514" s="2">
        <v>5500</v>
      </c>
    </row>
    <row r="1515" spans="1:3" x14ac:dyDescent="0.25">
      <c r="A1515" s="5">
        <v>42081</v>
      </c>
      <c r="B1515" s="1" t="s">
        <v>261</v>
      </c>
      <c r="C1515" s="2">
        <v>5446</v>
      </c>
    </row>
    <row r="1516" spans="1:3" x14ac:dyDescent="0.25">
      <c r="A1516" s="5">
        <v>42887</v>
      </c>
      <c r="B1516" s="1" t="s">
        <v>203</v>
      </c>
      <c r="C1516" s="2">
        <v>5440</v>
      </c>
    </row>
    <row r="1517" spans="1:3" x14ac:dyDescent="0.25">
      <c r="A1517" s="5">
        <v>42702</v>
      </c>
      <c r="B1517" s="1" t="s">
        <v>248</v>
      </c>
      <c r="C1517" s="2">
        <v>5425</v>
      </c>
    </row>
    <row r="1518" spans="1:3" x14ac:dyDescent="0.25">
      <c r="A1518" s="5">
        <v>41799</v>
      </c>
      <c r="B1518" s="1" t="s">
        <v>90</v>
      </c>
      <c r="C1518" s="2">
        <f>4824+500</f>
        <v>5324</v>
      </c>
    </row>
    <row r="1519" spans="1:3" x14ac:dyDescent="0.25">
      <c r="A1519" s="5">
        <v>42845</v>
      </c>
      <c r="B1519" s="1" t="s">
        <v>200</v>
      </c>
      <c r="C1519" s="2">
        <f>5065+245</f>
        <v>5310</v>
      </c>
    </row>
    <row r="1520" spans="1:3" x14ac:dyDescent="0.25">
      <c r="A1520" s="5">
        <v>42845</v>
      </c>
      <c r="B1520" s="1" t="s">
        <v>200</v>
      </c>
      <c r="C1520" s="2">
        <f>5065+245</f>
        <v>5310</v>
      </c>
    </row>
    <row r="1521" spans="1:3" x14ac:dyDescent="0.25">
      <c r="A1521" s="5">
        <v>45071</v>
      </c>
      <c r="B1521" s="1" t="s">
        <v>82</v>
      </c>
      <c r="C1521" s="2">
        <f>4125+1050</f>
        <v>5175</v>
      </c>
    </row>
    <row r="1522" spans="1:3" x14ac:dyDescent="0.25">
      <c r="A1522" s="5">
        <v>42502</v>
      </c>
      <c r="B1522" s="1" t="s">
        <v>90</v>
      </c>
      <c r="C1522" s="2">
        <v>5100</v>
      </c>
    </row>
    <row r="1523" spans="1:3" x14ac:dyDescent="0.25">
      <c r="A1523" s="5">
        <v>41758</v>
      </c>
      <c r="B1523" s="1" t="s">
        <v>276</v>
      </c>
      <c r="C1523" s="2">
        <v>4950</v>
      </c>
    </row>
    <row r="1524" spans="1:3" x14ac:dyDescent="0.25">
      <c r="A1524" s="5">
        <v>44049</v>
      </c>
      <c r="B1524" s="1" t="s">
        <v>157</v>
      </c>
      <c r="C1524" s="2">
        <f>1800+3150</f>
        <v>4950</v>
      </c>
    </row>
    <row r="1525" spans="1:3" x14ac:dyDescent="0.25">
      <c r="A1525" s="5">
        <v>41806</v>
      </c>
      <c r="B1525" s="1" t="s">
        <v>289</v>
      </c>
      <c r="C1525" s="2">
        <v>4750</v>
      </c>
    </row>
    <row r="1526" spans="1:3" x14ac:dyDescent="0.25">
      <c r="A1526" s="5">
        <v>45014</v>
      </c>
      <c r="B1526" s="1" t="s">
        <v>79</v>
      </c>
      <c r="C1526" s="2">
        <v>4700</v>
      </c>
    </row>
    <row r="1527" spans="1:3" x14ac:dyDescent="0.25">
      <c r="A1527" s="5">
        <v>44840</v>
      </c>
      <c r="B1527" s="1" t="s">
        <v>39</v>
      </c>
      <c r="C1527" s="2">
        <v>4600</v>
      </c>
    </row>
    <row r="1528" spans="1:3" x14ac:dyDescent="0.25">
      <c r="A1528" s="5">
        <v>42928</v>
      </c>
      <c r="B1528" s="1" t="s">
        <v>211</v>
      </c>
      <c r="C1528" s="2">
        <v>4595</v>
      </c>
    </row>
    <row r="1529" spans="1:3" x14ac:dyDescent="0.25">
      <c r="A1529" s="5">
        <v>42964</v>
      </c>
      <c r="B1529" s="1" t="s">
        <v>198</v>
      </c>
      <c r="C1529" s="2">
        <v>4545</v>
      </c>
    </row>
    <row r="1530" spans="1:3" x14ac:dyDescent="0.25">
      <c r="A1530" s="5">
        <v>45931</v>
      </c>
      <c r="B1530" s="1" t="s">
        <v>6</v>
      </c>
      <c r="C1530" s="2">
        <f>4300+235</f>
        <v>4535</v>
      </c>
    </row>
    <row r="1531" spans="1:3" x14ac:dyDescent="0.25">
      <c r="A1531" s="5">
        <v>41675</v>
      </c>
      <c r="B1531" s="1" t="s">
        <v>144</v>
      </c>
      <c r="C1531" s="2">
        <v>4460</v>
      </c>
    </row>
    <row r="1532" spans="1:3" x14ac:dyDescent="0.25">
      <c r="A1532" s="5">
        <v>42950</v>
      </c>
      <c r="B1532" s="1" t="s">
        <v>213</v>
      </c>
      <c r="C1532" s="2">
        <v>4275</v>
      </c>
    </row>
    <row r="1533" spans="1:3" x14ac:dyDescent="0.25">
      <c r="A1533" s="5">
        <v>42415</v>
      </c>
      <c r="B1533" s="1" t="s">
        <v>144</v>
      </c>
      <c r="C1533" s="2">
        <v>4200</v>
      </c>
    </row>
    <row r="1534" spans="1:3" x14ac:dyDescent="0.25">
      <c r="A1534" s="5">
        <v>44859</v>
      </c>
      <c r="B1534" s="1" t="s">
        <v>63</v>
      </c>
      <c r="C1534" s="2">
        <v>4200</v>
      </c>
    </row>
    <row r="1535" spans="1:3" x14ac:dyDescent="0.25">
      <c r="A1535" s="5">
        <v>41841</v>
      </c>
      <c r="B1535" s="1" t="s">
        <v>293</v>
      </c>
      <c r="C1535" s="2">
        <v>4180</v>
      </c>
    </row>
    <row r="1536" spans="1:3" x14ac:dyDescent="0.25">
      <c r="A1536" s="5">
        <v>42145</v>
      </c>
      <c r="B1536" s="1" t="s">
        <v>262</v>
      </c>
      <c r="C1536" s="2">
        <v>4000</v>
      </c>
    </row>
    <row r="1537" spans="1:3" x14ac:dyDescent="0.25">
      <c r="A1537" s="5">
        <v>44685</v>
      </c>
      <c r="B1537" s="1" t="s">
        <v>57</v>
      </c>
      <c r="C1537" s="2">
        <v>4000</v>
      </c>
    </row>
    <row r="1538" spans="1:3" x14ac:dyDescent="0.25">
      <c r="A1538" s="5">
        <v>44910</v>
      </c>
      <c r="B1538" s="1" t="s">
        <v>120</v>
      </c>
      <c r="C1538" s="2">
        <v>4000</v>
      </c>
    </row>
    <row r="1539" spans="1:3" x14ac:dyDescent="0.25">
      <c r="A1539" s="5">
        <v>44146</v>
      </c>
      <c r="B1539" s="1" t="s">
        <v>39</v>
      </c>
      <c r="C1539" s="2">
        <f>3750+225</f>
        <v>3975</v>
      </c>
    </row>
    <row r="1540" spans="1:3" x14ac:dyDescent="0.25">
      <c r="A1540" s="5">
        <v>44146</v>
      </c>
      <c r="B1540" s="1" t="s">
        <v>39</v>
      </c>
      <c r="C1540" s="2">
        <f>3750+225</f>
        <v>3975</v>
      </c>
    </row>
    <row r="1541" spans="1:3" x14ac:dyDescent="0.25">
      <c r="A1541" s="5">
        <v>42200</v>
      </c>
      <c r="B1541" s="1" t="s">
        <v>90</v>
      </c>
      <c r="C1541" s="2">
        <v>3974</v>
      </c>
    </row>
    <row r="1542" spans="1:3" x14ac:dyDescent="0.25">
      <c r="A1542" s="5">
        <v>44365</v>
      </c>
      <c r="B1542" s="1" t="s">
        <v>130</v>
      </c>
      <c r="C1542" s="2">
        <v>3900</v>
      </c>
    </row>
    <row r="1543" spans="1:3" x14ac:dyDescent="0.25">
      <c r="A1543" s="5">
        <v>45049</v>
      </c>
      <c r="B1543" s="1" t="s">
        <v>39</v>
      </c>
      <c r="C1543" s="2">
        <v>3900</v>
      </c>
    </row>
    <row r="1544" spans="1:3" x14ac:dyDescent="0.25">
      <c r="A1544" s="5">
        <v>44511</v>
      </c>
      <c r="B1544" s="1" t="s">
        <v>57</v>
      </c>
      <c r="C1544" s="2">
        <v>3750</v>
      </c>
    </row>
    <row r="1545" spans="1:3" x14ac:dyDescent="0.25">
      <c r="A1545" s="5">
        <v>44838</v>
      </c>
      <c r="B1545" s="1" t="s">
        <v>40</v>
      </c>
      <c r="C1545" s="2">
        <v>3750</v>
      </c>
    </row>
    <row r="1546" spans="1:3" x14ac:dyDescent="0.25">
      <c r="A1546" s="5">
        <v>44279</v>
      </c>
      <c r="B1546" s="1" t="s">
        <v>90</v>
      </c>
      <c r="C1546" s="2">
        <f>3500+50</f>
        <v>3550</v>
      </c>
    </row>
    <row r="1547" spans="1:3" x14ac:dyDescent="0.25">
      <c r="A1547" s="5">
        <v>43550</v>
      </c>
      <c r="B1547" s="1" t="s">
        <v>80</v>
      </c>
      <c r="C1547" s="2">
        <f>2400+975</f>
        <v>3375</v>
      </c>
    </row>
    <row r="1548" spans="1:3" x14ac:dyDescent="0.25">
      <c r="A1548" s="5">
        <v>41794</v>
      </c>
      <c r="B1548" s="1" t="s">
        <v>286</v>
      </c>
      <c r="C1548" s="2">
        <v>3290</v>
      </c>
    </row>
    <row r="1549" spans="1:3" x14ac:dyDescent="0.25">
      <c r="A1549" s="5">
        <v>45709</v>
      </c>
      <c r="B1549" s="1" t="s">
        <v>10</v>
      </c>
      <c r="C1549" s="2">
        <v>3250</v>
      </c>
    </row>
    <row r="1550" spans="1:3" x14ac:dyDescent="0.25">
      <c r="A1550" s="5">
        <v>42059</v>
      </c>
      <c r="B1550" s="1" t="s">
        <v>252</v>
      </c>
      <c r="C1550" s="2">
        <f>5722-2504</f>
        <v>3218</v>
      </c>
    </row>
    <row r="1551" spans="1:3" x14ac:dyDescent="0.25">
      <c r="A1551" s="5">
        <v>42769</v>
      </c>
      <c r="B1551" s="1" t="s">
        <v>80</v>
      </c>
      <c r="C1551" s="2">
        <v>3190</v>
      </c>
    </row>
    <row r="1552" spans="1:3" x14ac:dyDescent="0.25">
      <c r="A1552" s="5">
        <v>41863</v>
      </c>
      <c r="B1552" s="1" t="s">
        <v>294</v>
      </c>
      <c r="C1552" s="2">
        <v>3096.58</v>
      </c>
    </row>
    <row r="1553" spans="1:3" x14ac:dyDescent="0.25">
      <c r="A1553" s="5">
        <v>42937</v>
      </c>
      <c r="B1553" s="1" t="s">
        <v>144</v>
      </c>
      <c r="C1553" s="2">
        <f>3035</f>
        <v>3035</v>
      </c>
    </row>
    <row r="1554" spans="1:3" x14ac:dyDescent="0.25">
      <c r="A1554" s="5">
        <v>43808</v>
      </c>
      <c r="B1554" s="1" t="s">
        <v>161</v>
      </c>
      <c r="C1554" s="2">
        <v>2950</v>
      </c>
    </row>
    <row r="1555" spans="1:3" x14ac:dyDescent="0.25">
      <c r="A1555" s="5">
        <v>41663</v>
      </c>
      <c r="B1555" s="1" t="s">
        <v>93</v>
      </c>
      <c r="C1555" s="2">
        <v>2919</v>
      </c>
    </row>
    <row r="1556" spans="1:3" x14ac:dyDescent="0.25">
      <c r="A1556" s="5">
        <v>41828</v>
      </c>
      <c r="B1556" s="1" t="s">
        <v>291</v>
      </c>
      <c r="C1556" s="2">
        <v>2835</v>
      </c>
    </row>
    <row r="1557" spans="1:3" x14ac:dyDescent="0.25">
      <c r="A1557" s="5">
        <v>43227</v>
      </c>
      <c r="B1557" s="1" t="s">
        <v>184</v>
      </c>
      <c r="C1557" s="2">
        <v>2800</v>
      </c>
    </row>
    <row r="1558" spans="1:3" x14ac:dyDescent="0.25">
      <c r="A1558" s="5">
        <v>45583</v>
      </c>
      <c r="B1558" s="1" t="s">
        <v>69</v>
      </c>
      <c r="C1558" s="2">
        <v>2800</v>
      </c>
    </row>
    <row r="1559" spans="1:3" x14ac:dyDescent="0.25">
      <c r="A1559" s="5">
        <v>42963</v>
      </c>
      <c r="B1559" s="1" t="s">
        <v>215</v>
      </c>
      <c r="C1559" s="2">
        <f>2370+400</f>
        <v>2770</v>
      </c>
    </row>
    <row r="1560" spans="1:3" x14ac:dyDescent="0.25">
      <c r="A1560" s="5">
        <v>45425</v>
      </c>
      <c r="B1560" s="1" t="s">
        <v>3</v>
      </c>
      <c r="C1560" s="2">
        <v>2760</v>
      </c>
    </row>
    <row r="1561" spans="1:3" x14ac:dyDescent="0.25">
      <c r="A1561" s="5">
        <v>41667</v>
      </c>
      <c r="B1561" s="1" t="s">
        <v>144</v>
      </c>
      <c r="C1561" s="2">
        <v>2749</v>
      </c>
    </row>
    <row r="1562" spans="1:3" x14ac:dyDescent="0.25">
      <c r="A1562" s="5">
        <v>43012</v>
      </c>
      <c r="B1562" s="1" t="s">
        <v>177</v>
      </c>
      <c r="C1562" s="2">
        <f>1295+1295</f>
        <v>2590</v>
      </c>
    </row>
    <row r="1563" spans="1:3" x14ac:dyDescent="0.25">
      <c r="A1563" s="5">
        <v>45593</v>
      </c>
      <c r="B1563" s="1" t="s">
        <v>63</v>
      </c>
      <c r="C1563" s="2">
        <v>2590</v>
      </c>
    </row>
    <row r="1564" spans="1:3" x14ac:dyDescent="0.25">
      <c r="A1564" s="5">
        <v>45453</v>
      </c>
      <c r="B1564" s="1" t="s">
        <v>57</v>
      </c>
      <c r="C1564" s="2">
        <v>2500</v>
      </c>
    </row>
    <row r="1565" spans="1:3" x14ac:dyDescent="0.25">
      <c r="A1565" s="5">
        <v>45614</v>
      </c>
      <c r="B1565" s="1" t="s">
        <v>71</v>
      </c>
      <c r="C1565" s="2">
        <v>2500</v>
      </c>
    </row>
    <row r="1566" spans="1:3" x14ac:dyDescent="0.25">
      <c r="A1566" s="5">
        <v>42218</v>
      </c>
      <c r="B1566" s="1" t="s">
        <v>215</v>
      </c>
      <c r="C1566" s="2">
        <v>2499</v>
      </c>
    </row>
    <row r="1567" spans="1:3" x14ac:dyDescent="0.25">
      <c r="A1567" s="5">
        <v>41799</v>
      </c>
      <c r="B1567" s="1" t="s">
        <v>90</v>
      </c>
      <c r="C1567" s="2">
        <v>2497</v>
      </c>
    </row>
    <row r="1568" spans="1:3" x14ac:dyDescent="0.25">
      <c r="A1568" s="5">
        <v>41892</v>
      </c>
      <c r="B1568" s="1" t="s">
        <v>300</v>
      </c>
      <c r="C1568" s="2">
        <v>2481</v>
      </c>
    </row>
    <row r="1569" spans="1:3" x14ac:dyDescent="0.25">
      <c r="A1569" s="5">
        <v>44476</v>
      </c>
      <c r="B1569" s="1" t="s">
        <v>8</v>
      </c>
      <c r="C1569" s="2">
        <v>2450</v>
      </c>
    </row>
    <row r="1570" spans="1:3" x14ac:dyDescent="0.25">
      <c r="A1570" s="5">
        <v>41904</v>
      </c>
      <c r="B1570" s="1" t="s">
        <v>291</v>
      </c>
      <c r="C1570" s="2">
        <v>2300</v>
      </c>
    </row>
    <row r="1571" spans="1:3" x14ac:dyDescent="0.25">
      <c r="A1571" s="5">
        <v>45840</v>
      </c>
      <c r="B1571" s="1" t="s">
        <v>30</v>
      </c>
      <c r="C1571" s="2">
        <v>2300</v>
      </c>
    </row>
    <row r="1572" spans="1:3" x14ac:dyDescent="0.25">
      <c r="A1572" s="5">
        <v>43958</v>
      </c>
      <c r="B1572" s="1" t="s">
        <v>148</v>
      </c>
      <c r="C1572" s="2">
        <v>2275</v>
      </c>
    </row>
    <row r="1573" spans="1:3" x14ac:dyDescent="0.25">
      <c r="A1573" s="5">
        <v>44056</v>
      </c>
      <c r="B1573" s="1" t="s">
        <v>8</v>
      </c>
      <c r="C1573" s="2">
        <f>4350+-2175</f>
        <v>2175</v>
      </c>
    </row>
    <row r="1574" spans="1:3" x14ac:dyDescent="0.25">
      <c r="A1574" s="5">
        <v>42031</v>
      </c>
      <c r="B1574" s="1" t="s">
        <v>254</v>
      </c>
      <c r="C1574" s="2">
        <f>22045-19570.5-300</f>
        <v>2174.5</v>
      </c>
    </row>
    <row r="1575" spans="1:3" x14ac:dyDescent="0.25">
      <c r="A1575" s="5">
        <v>41799</v>
      </c>
      <c r="B1575" s="1" t="s">
        <v>90</v>
      </c>
      <c r="C1575" s="2">
        <v>2174</v>
      </c>
    </row>
    <row r="1576" spans="1:3" x14ac:dyDescent="0.25">
      <c r="A1576" s="5">
        <v>43899</v>
      </c>
      <c r="B1576" s="1" t="s">
        <v>8</v>
      </c>
      <c r="C1576" s="2">
        <v>2150</v>
      </c>
    </row>
    <row r="1577" spans="1:3" x14ac:dyDescent="0.25">
      <c r="A1577" s="5">
        <v>41878</v>
      </c>
      <c r="B1577" s="1" t="s">
        <v>298</v>
      </c>
      <c r="C1577" s="2">
        <v>2100</v>
      </c>
    </row>
    <row r="1578" spans="1:3" x14ac:dyDescent="0.25">
      <c r="A1578" s="5">
        <v>41926</v>
      </c>
      <c r="B1578" s="1" t="s">
        <v>297</v>
      </c>
      <c r="C1578" s="2">
        <v>2000</v>
      </c>
    </row>
    <row r="1579" spans="1:3" x14ac:dyDescent="0.25">
      <c r="A1579" s="5">
        <v>41956</v>
      </c>
      <c r="B1579" s="1" t="s">
        <v>302</v>
      </c>
      <c r="C1579" s="2">
        <v>2000</v>
      </c>
    </row>
    <row r="1580" spans="1:3" x14ac:dyDescent="0.25">
      <c r="A1580" s="5">
        <v>42117</v>
      </c>
      <c r="B1580" s="1" t="s">
        <v>90</v>
      </c>
      <c r="C1580" s="2">
        <v>2000</v>
      </c>
    </row>
    <row r="1581" spans="1:3" x14ac:dyDescent="0.25">
      <c r="A1581" s="5">
        <v>42194</v>
      </c>
      <c r="B1581" s="1" t="s">
        <v>173</v>
      </c>
      <c r="C1581" s="2">
        <v>2000</v>
      </c>
    </row>
    <row r="1582" spans="1:3" x14ac:dyDescent="0.25">
      <c r="A1582" s="5">
        <v>42507</v>
      </c>
      <c r="B1582" s="1" t="s">
        <v>144</v>
      </c>
      <c r="C1582" s="2">
        <v>2000</v>
      </c>
    </row>
    <row r="1583" spans="1:3" x14ac:dyDescent="0.25">
      <c r="A1583" s="5">
        <v>42583</v>
      </c>
      <c r="B1583" s="1" t="s">
        <v>235</v>
      </c>
      <c r="C1583" s="2">
        <f>1620+350</f>
        <v>1970</v>
      </c>
    </row>
    <row r="1584" spans="1:3" x14ac:dyDescent="0.25">
      <c r="A1584" s="5">
        <v>42065</v>
      </c>
      <c r="B1584" s="1" t="s">
        <v>259</v>
      </c>
      <c r="C1584" s="2">
        <f>650*3</f>
        <v>1950</v>
      </c>
    </row>
    <row r="1585" spans="1:3" x14ac:dyDescent="0.25">
      <c r="A1585" s="5">
        <v>41827</v>
      </c>
      <c r="B1585" s="1" t="s">
        <v>290</v>
      </c>
      <c r="C1585" s="2">
        <v>1905</v>
      </c>
    </row>
    <row r="1586" spans="1:3" x14ac:dyDescent="0.25">
      <c r="A1586" s="5">
        <v>44536</v>
      </c>
      <c r="B1586" s="1" t="s">
        <v>57</v>
      </c>
      <c r="C1586" s="2">
        <v>1900</v>
      </c>
    </row>
    <row r="1587" spans="1:3" x14ac:dyDescent="0.25">
      <c r="A1587" s="5">
        <v>45146</v>
      </c>
      <c r="B1587" s="1" t="s">
        <v>63</v>
      </c>
      <c r="C1587" s="2">
        <v>1900</v>
      </c>
    </row>
    <row r="1588" spans="1:3" x14ac:dyDescent="0.25">
      <c r="A1588" s="5">
        <v>43966</v>
      </c>
      <c r="B1588" s="1" t="s">
        <v>154</v>
      </c>
      <c r="C1588" s="2">
        <v>1850</v>
      </c>
    </row>
    <row r="1589" spans="1:3" x14ac:dyDescent="0.25">
      <c r="A1589" s="5">
        <v>44174</v>
      </c>
      <c r="B1589" s="1" t="s">
        <v>79</v>
      </c>
      <c r="C1589" s="2">
        <v>1850</v>
      </c>
    </row>
    <row r="1590" spans="1:3" x14ac:dyDescent="0.25">
      <c r="A1590" s="5">
        <v>44242</v>
      </c>
      <c r="B1590" s="1" t="s">
        <v>79</v>
      </c>
      <c r="C1590" s="2">
        <f>1000+825</f>
        <v>1825</v>
      </c>
    </row>
    <row r="1591" spans="1:3" x14ac:dyDescent="0.25">
      <c r="A1591" s="5">
        <v>45839</v>
      </c>
      <c r="B1591" s="1" t="s">
        <v>16</v>
      </c>
      <c r="C1591" s="2">
        <v>1800</v>
      </c>
    </row>
    <row r="1592" spans="1:3" x14ac:dyDescent="0.25">
      <c r="A1592" s="5">
        <v>41841</v>
      </c>
      <c r="B1592" s="1" t="s">
        <v>90</v>
      </c>
      <c r="C1592" s="2">
        <v>1791</v>
      </c>
    </row>
    <row r="1593" spans="1:3" x14ac:dyDescent="0.25">
      <c r="A1593" s="5">
        <v>44399</v>
      </c>
      <c r="B1593" s="1" t="s">
        <v>61</v>
      </c>
      <c r="C1593" s="2">
        <v>1750</v>
      </c>
    </row>
    <row r="1594" spans="1:3" x14ac:dyDescent="0.25">
      <c r="A1594" s="5">
        <v>45460</v>
      </c>
      <c r="B1594" s="1" t="s">
        <v>57</v>
      </c>
      <c r="C1594" s="2">
        <v>1750</v>
      </c>
    </row>
    <row r="1595" spans="1:3" x14ac:dyDescent="0.25">
      <c r="A1595" s="5">
        <v>45525</v>
      </c>
      <c r="B1595" s="1" t="s">
        <v>57</v>
      </c>
      <c r="C1595" s="2">
        <v>1750</v>
      </c>
    </row>
    <row r="1596" spans="1:3" x14ac:dyDescent="0.25">
      <c r="A1596" s="5">
        <v>41787</v>
      </c>
      <c r="B1596" s="1" t="s">
        <v>283</v>
      </c>
      <c r="C1596" s="2">
        <v>1727</v>
      </c>
    </row>
    <row r="1597" spans="1:3" x14ac:dyDescent="0.25">
      <c r="A1597" s="5">
        <v>45497</v>
      </c>
      <c r="B1597" s="1" t="s">
        <v>63</v>
      </c>
      <c r="C1597" s="2">
        <v>1700</v>
      </c>
    </row>
    <row r="1598" spans="1:3" x14ac:dyDescent="0.25">
      <c r="A1598" s="5">
        <v>42153</v>
      </c>
      <c r="B1598" s="1" t="s">
        <v>263</v>
      </c>
      <c r="C1598" s="2">
        <v>1650</v>
      </c>
    </row>
    <row r="1599" spans="1:3" x14ac:dyDescent="0.25">
      <c r="A1599" s="5">
        <v>44497</v>
      </c>
      <c r="B1599" s="1" t="s">
        <v>57</v>
      </c>
      <c r="C1599" s="2">
        <v>1650</v>
      </c>
    </row>
    <row r="1600" spans="1:3" x14ac:dyDescent="0.25">
      <c r="A1600" s="5">
        <v>45595</v>
      </c>
      <c r="B1600" s="1" t="s">
        <v>70</v>
      </c>
      <c r="C1600" s="2">
        <v>1650</v>
      </c>
    </row>
    <row r="1601" spans="1:3" x14ac:dyDescent="0.25">
      <c r="A1601" s="5">
        <v>42755</v>
      </c>
      <c r="B1601" s="1" t="s">
        <v>144</v>
      </c>
      <c r="C1601" s="2">
        <v>1600</v>
      </c>
    </row>
    <row r="1602" spans="1:3" x14ac:dyDescent="0.25">
      <c r="A1602" s="5">
        <v>43858</v>
      </c>
      <c r="B1602" s="1" t="s">
        <v>149</v>
      </c>
      <c r="C1602" s="2">
        <v>1600</v>
      </c>
    </row>
    <row r="1603" spans="1:3" x14ac:dyDescent="0.25">
      <c r="A1603" s="5">
        <v>44251</v>
      </c>
      <c r="B1603" s="1" t="s">
        <v>79</v>
      </c>
      <c r="C1603" s="2">
        <v>1550</v>
      </c>
    </row>
    <row r="1604" spans="1:3" x14ac:dyDescent="0.25">
      <c r="A1604" s="5">
        <v>43776</v>
      </c>
      <c r="B1604" s="1" t="s">
        <v>153</v>
      </c>
      <c r="C1604" s="2">
        <v>1500</v>
      </c>
    </row>
    <row r="1605" spans="1:3" x14ac:dyDescent="0.25">
      <c r="A1605" s="5">
        <v>45229</v>
      </c>
      <c r="B1605" s="1" t="s">
        <v>68</v>
      </c>
      <c r="C1605" s="2">
        <v>1500</v>
      </c>
    </row>
    <row r="1606" spans="1:3" x14ac:dyDescent="0.25">
      <c r="A1606" s="5">
        <v>45789</v>
      </c>
      <c r="B1606" s="1" t="s">
        <v>20</v>
      </c>
      <c r="C1606" s="2">
        <v>1500</v>
      </c>
    </row>
    <row r="1607" spans="1:3" x14ac:dyDescent="0.25">
      <c r="A1607" s="5">
        <v>43819</v>
      </c>
      <c r="B1607" s="1" t="s">
        <v>58</v>
      </c>
      <c r="C1607" s="2">
        <v>1475</v>
      </c>
    </row>
    <row r="1608" spans="1:3" x14ac:dyDescent="0.25">
      <c r="A1608" s="5">
        <v>42131</v>
      </c>
      <c r="B1608" s="1" t="s">
        <v>40</v>
      </c>
      <c r="C1608" s="2">
        <v>1400</v>
      </c>
    </row>
    <row r="1609" spans="1:3" x14ac:dyDescent="0.25">
      <c r="A1609" s="5">
        <v>41711</v>
      </c>
      <c r="B1609" s="1" t="s">
        <v>273</v>
      </c>
      <c r="C1609" s="2">
        <v>1370.53</v>
      </c>
    </row>
    <row r="1610" spans="1:3" x14ac:dyDescent="0.25">
      <c r="A1610" s="5">
        <v>43501</v>
      </c>
      <c r="B1610" s="1" t="s">
        <v>163</v>
      </c>
      <c r="C1610" s="2">
        <v>1350</v>
      </c>
    </row>
    <row r="1611" spans="1:3" x14ac:dyDescent="0.25">
      <c r="A1611" s="5">
        <v>43741</v>
      </c>
      <c r="B1611" s="1" t="s">
        <v>175</v>
      </c>
      <c r="C1611" s="2">
        <v>1250</v>
      </c>
    </row>
    <row r="1612" spans="1:3" x14ac:dyDescent="0.25">
      <c r="A1612" s="5">
        <v>45782</v>
      </c>
      <c r="B1612" s="1" t="s">
        <v>19</v>
      </c>
      <c r="C1612" s="2">
        <v>1250</v>
      </c>
    </row>
    <row r="1613" spans="1:3" x14ac:dyDescent="0.25">
      <c r="A1613" s="5">
        <v>42514</v>
      </c>
      <c r="B1613" s="1" t="s">
        <v>229</v>
      </c>
      <c r="C1613" s="2">
        <v>1200</v>
      </c>
    </row>
    <row r="1614" spans="1:3" x14ac:dyDescent="0.25">
      <c r="A1614" s="5">
        <v>43846</v>
      </c>
      <c r="B1614" s="1" t="s">
        <v>146</v>
      </c>
      <c r="C1614" s="2">
        <v>1200</v>
      </c>
    </row>
    <row r="1615" spans="1:3" x14ac:dyDescent="0.25">
      <c r="A1615" s="5">
        <v>41982</v>
      </c>
      <c r="B1615" s="1" t="s">
        <v>252</v>
      </c>
      <c r="C1615" s="2">
        <v>1181</v>
      </c>
    </row>
    <row r="1616" spans="1:3" x14ac:dyDescent="0.25">
      <c r="A1616" s="5">
        <v>41787</v>
      </c>
      <c r="B1616" s="1" t="s">
        <v>282</v>
      </c>
      <c r="C1616" s="2">
        <v>1120</v>
      </c>
    </row>
    <row r="1617" spans="1:3" x14ac:dyDescent="0.25">
      <c r="A1617" s="5">
        <v>45887</v>
      </c>
      <c r="B1617" s="1" t="s">
        <v>37</v>
      </c>
      <c r="C1617" s="2">
        <v>1100</v>
      </c>
    </row>
    <row r="1618" spans="1:3" x14ac:dyDescent="0.25">
      <c r="A1618" s="5">
        <v>42389</v>
      </c>
      <c r="B1618" s="1" t="s">
        <v>222</v>
      </c>
      <c r="C1618" s="2">
        <v>1096</v>
      </c>
    </row>
    <row r="1619" spans="1:3" x14ac:dyDescent="0.25">
      <c r="A1619" s="5">
        <v>44910</v>
      </c>
      <c r="B1619" s="1" t="s">
        <v>120</v>
      </c>
      <c r="C1619" s="2">
        <v>1075</v>
      </c>
    </row>
    <row r="1620" spans="1:3" x14ac:dyDescent="0.25">
      <c r="A1620" s="5">
        <v>44910</v>
      </c>
      <c r="B1620" s="1" t="s">
        <v>120</v>
      </c>
      <c r="C1620" s="2">
        <v>1075</v>
      </c>
    </row>
    <row r="1621" spans="1:3" x14ac:dyDescent="0.25">
      <c r="A1621" s="5">
        <v>41830</v>
      </c>
      <c r="B1621" s="1" t="s">
        <v>113</v>
      </c>
      <c r="C1621" s="2">
        <v>1066</v>
      </c>
    </row>
    <row r="1622" spans="1:3" x14ac:dyDescent="0.25">
      <c r="A1622" s="5">
        <v>41673</v>
      </c>
      <c r="B1622" s="1" t="s">
        <v>123</v>
      </c>
      <c r="C1622" s="2">
        <v>1064</v>
      </c>
    </row>
    <row r="1623" spans="1:3" x14ac:dyDescent="0.25">
      <c r="A1623" s="5">
        <v>44279</v>
      </c>
      <c r="B1623" s="1" t="s">
        <v>125</v>
      </c>
      <c r="C1623" s="2">
        <v>1000</v>
      </c>
    </row>
    <row r="1624" spans="1:3" x14ac:dyDescent="0.25">
      <c r="A1624" s="5">
        <v>45615</v>
      </c>
      <c r="B1624" s="1" t="s">
        <v>17</v>
      </c>
      <c r="C1624" s="2">
        <v>950</v>
      </c>
    </row>
    <row r="1625" spans="1:3" x14ac:dyDescent="0.25">
      <c r="A1625" s="5">
        <v>45761</v>
      </c>
      <c r="B1625" s="1" t="s">
        <v>17</v>
      </c>
      <c r="C1625" s="2">
        <v>950</v>
      </c>
    </row>
    <row r="1626" spans="1:3" x14ac:dyDescent="0.25">
      <c r="A1626" s="5">
        <v>45768</v>
      </c>
      <c r="B1626" s="1" t="s">
        <v>18</v>
      </c>
      <c r="C1626" s="2">
        <v>950</v>
      </c>
    </row>
    <row r="1627" spans="1:3" x14ac:dyDescent="0.25">
      <c r="A1627" s="5">
        <v>43221</v>
      </c>
      <c r="B1627" s="1" t="s">
        <v>185</v>
      </c>
      <c r="C1627" s="2">
        <v>900</v>
      </c>
    </row>
    <row r="1628" spans="1:3" x14ac:dyDescent="0.25">
      <c r="A1628" s="5">
        <v>42937</v>
      </c>
      <c r="B1628" s="1" t="s">
        <v>212</v>
      </c>
      <c r="C1628" s="2">
        <v>850</v>
      </c>
    </row>
    <row r="1629" spans="1:3" x14ac:dyDescent="0.25">
      <c r="A1629" s="5">
        <v>43327</v>
      </c>
      <c r="B1629" s="1" t="s">
        <v>58</v>
      </c>
      <c r="C1629" s="2">
        <v>850</v>
      </c>
    </row>
    <row r="1630" spans="1:3" x14ac:dyDescent="0.25">
      <c r="A1630" s="5">
        <v>43984</v>
      </c>
      <c r="B1630" s="1" t="s">
        <v>155</v>
      </c>
      <c r="C1630" s="2">
        <v>850</v>
      </c>
    </row>
    <row r="1631" spans="1:3" x14ac:dyDescent="0.25">
      <c r="A1631" s="5">
        <v>44376</v>
      </c>
      <c r="B1631" s="1" t="s">
        <v>132</v>
      </c>
      <c r="C1631" s="2">
        <v>802</v>
      </c>
    </row>
    <row r="1632" spans="1:3" x14ac:dyDescent="0.25">
      <c r="A1632" s="5">
        <v>42131</v>
      </c>
      <c r="B1632" s="1" t="s">
        <v>40</v>
      </c>
      <c r="C1632" s="2">
        <v>800</v>
      </c>
    </row>
    <row r="1633" spans="1:3" x14ac:dyDescent="0.25">
      <c r="A1633" s="5">
        <v>44301</v>
      </c>
      <c r="B1633" s="1" t="s">
        <v>93</v>
      </c>
      <c r="C1633" s="2">
        <v>750</v>
      </c>
    </row>
    <row r="1634" spans="1:3" x14ac:dyDescent="0.25">
      <c r="A1634" s="5">
        <v>44497</v>
      </c>
      <c r="B1634" s="1" t="s">
        <v>15</v>
      </c>
      <c r="C1634" s="2">
        <v>750</v>
      </c>
    </row>
    <row r="1635" spans="1:3" x14ac:dyDescent="0.25">
      <c r="A1635" s="5">
        <v>44826</v>
      </c>
      <c r="B1635" s="1" t="s">
        <v>100</v>
      </c>
      <c r="C1635" s="2">
        <v>750</v>
      </c>
    </row>
    <row r="1636" spans="1:3" x14ac:dyDescent="0.25">
      <c r="A1636" s="5">
        <v>41793</v>
      </c>
      <c r="B1636" s="1" t="s">
        <v>272</v>
      </c>
      <c r="C1636" s="2">
        <v>744.72</v>
      </c>
    </row>
    <row r="1637" spans="1:3" x14ac:dyDescent="0.25">
      <c r="A1637" s="5">
        <v>43173</v>
      </c>
      <c r="B1637" s="1" t="s">
        <v>182</v>
      </c>
      <c r="C1637" s="2">
        <v>722.5</v>
      </c>
    </row>
    <row r="1638" spans="1:3" x14ac:dyDescent="0.25">
      <c r="A1638" s="5">
        <v>41948</v>
      </c>
      <c r="B1638" s="1" t="s">
        <v>299</v>
      </c>
      <c r="C1638" s="2">
        <v>720</v>
      </c>
    </row>
    <row r="1639" spans="1:3" x14ac:dyDescent="0.25">
      <c r="A1639" s="5">
        <v>44243</v>
      </c>
      <c r="B1639" s="1" t="s">
        <v>123</v>
      </c>
      <c r="C1639" s="2">
        <v>700</v>
      </c>
    </row>
    <row r="1640" spans="1:3" x14ac:dyDescent="0.25">
      <c r="A1640" s="5">
        <v>42101</v>
      </c>
      <c r="B1640" s="1" t="s">
        <v>90</v>
      </c>
      <c r="C1640" s="2">
        <v>670</v>
      </c>
    </row>
    <row r="1641" spans="1:3" x14ac:dyDescent="0.25">
      <c r="A1641" s="5">
        <v>41794</v>
      </c>
      <c r="B1641" s="1" t="s">
        <v>286</v>
      </c>
      <c r="C1641" s="2">
        <v>600</v>
      </c>
    </row>
    <row r="1642" spans="1:3" x14ac:dyDescent="0.25">
      <c r="A1642" s="5">
        <v>41876</v>
      </c>
      <c r="B1642" s="1" t="s">
        <v>286</v>
      </c>
      <c r="C1642" s="2">
        <v>600</v>
      </c>
    </row>
    <row r="1643" spans="1:3" x14ac:dyDescent="0.25">
      <c r="A1643" s="5">
        <v>44225</v>
      </c>
      <c r="B1643" s="1" t="s">
        <v>122</v>
      </c>
      <c r="C1643" s="2">
        <v>600</v>
      </c>
    </row>
    <row r="1644" spans="1:3" x14ac:dyDescent="0.25">
      <c r="A1644" s="5">
        <v>45413</v>
      </c>
      <c r="B1644" s="1" t="s">
        <v>57</v>
      </c>
      <c r="C1644" s="2">
        <v>600</v>
      </c>
    </row>
    <row r="1645" spans="1:3" x14ac:dyDescent="0.25">
      <c r="A1645" s="5">
        <v>41754</v>
      </c>
      <c r="B1645" s="1" t="s">
        <v>278</v>
      </c>
      <c r="C1645" s="2">
        <v>591</v>
      </c>
    </row>
    <row r="1646" spans="1:3" x14ac:dyDescent="0.25">
      <c r="A1646" s="5">
        <v>42306</v>
      </c>
      <c r="B1646" s="1" t="s">
        <v>266</v>
      </c>
      <c r="C1646" s="2">
        <v>520</v>
      </c>
    </row>
    <row r="1647" spans="1:3" x14ac:dyDescent="0.25">
      <c r="A1647" s="5">
        <v>44545</v>
      </c>
      <c r="B1647" s="1" t="s">
        <v>79</v>
      </c>
      <c r="C1647" s="2">
        <v>500</v>
      </c>
    </row>
    <row r="1648" spans="1:3" x14ac:dyDescent="0.25">
      <c r="A1648" s="5">
        <v>45559</v>
      </c>
      <c r="B1648" s="1" t="s">
        <v>68</v>
      </c>
      <c r="C1648" s="2">
        <v>500</v>
      </c>
    </row>
    <row r="1649" spans="1:3" x14ac:dyDescent="0.25">
      <c r="A1649" s="5">
        <v>43661</v>
      </c>
      <c r="B1649" s="1" t="s">
        <v>170</v>
      </c>
      <c r="C1649" s="2">
        <v>475</v>
      </c>
    </row>
    <row r="1650" spans="1:3" x14ac:dyDescent="0.25">
      <c r="A1650" s="5">
        <v>44761</v>
      </c>
      <c r="B1650" s="1" t="s">
        <v>68</v>
      </c>
      <c r="C1650" s="2">
        <v>475</v>
      </c>
    </row>
    <row r="1651" spans="1:3" x14ac:dyDescent="0.25">
      <c r="A1651" s="5">
        <v>41876</v>
      </c>
      <c r="B1651" s="1" t="s">
        <v>296</v>
      </c>
      <c r="C1651" s="2">
        <v>470</v>
      </c>
    </row>
    <row r="1652" spans="1:3" x14ac:dyDescent="0.25">
      <c r="A1652" s="5">
        <v>44537</v>
      </c>
      <c r="B1652" s="1" t="s">
        <v>68</v>
      </c>
      <c r="C1652" s="2">
        <v>435</v>
      </c>
    </row>
    <row r="1653" spans="1:3" x14ac:dyDescent="0.25">
      <c r="A1653" s="5">
        <v>42436</v>
      </c>
      <c r="B1653" s="1" t="s">
        <v>68</v>
      </c>
      <c r="C1653" s="2">
        <v>425</v>
      </c>
    </row>
    <row r="1654" spans="1:3" x14ac:dyDescent="0.25">
      <c r="A1654" s="5">
        <v>42755</v>
      </c>
      <c r="B1654" s="1" t="s">
        <v>8</v>
      </c>
      <c r="C1654" s="2">
        <f>450-25</f>
        <v>425</v>
      </c>
    </row>
    <row r="1655" spans="1:3" x14ac:dyDescent="0.25">
      <c r="A1655" s="5">
        <v>45723</v>
      </c>
      <c r="B1655" s="1" t="s">
        <v>13</v>
      </c>
      <c r="C1655" s="2">
        <v>425</v>
      </c>
    </row>
    <row r="1656" spans="1:3" x14ac:dyDescent="0.25">
      <c r="A1656" s="5">
        <v>41946</v>
      </c>
      <c r="B1656" s="1" t="s">
        <v>298</v>
      </c>
      <c r="C1656" s="2">
        <v>423</v>
      </c>
    </row>
    <row r="1657" spans="1:3" x14ac:dyDescent="0.25">
      <c r="A1657" s="5">
        <v>42849</v>
      </c>
      <c r="B1657" s="1" t="s">
        <v>8</v>
      </c>
      <c r="C1657" s="2">
        <v>423</v>
      </c>
    </row>
    <row r="1658" spans="1:3" x14ac:dyDescent="0.25">
      <c r="A1658" s="5">
        <v>42192</v>
      </c>
      <c r="B1658" s="1" t="s">
        <v>266</v>
      </c>
      <c r="C1658" s="2">
        <v>400</v>
      </c>
    </row>
    <row r="1659" spans="1:3" x14ac:dyDescent="0.25">
      <c r="A1659" s="5">
        <v>44251</v>
      </c>
      <c r="B1659" s="1" t="s">
        <v>68</v>
      </c>
      <c r="C1659" s="2">
        <v>380</v>
      </c>
    </row>
    <row r="1660" spans="1:3" x14ac:dyDescent="0.25">
      <c r="A1660" s="5">
        <v>41990</v>
      </c>
      <c r="B1660" s="1" t="s">
        <v>252</v>
      </c>
      <c r="C1660" s="2">
        <v>375</v>
      </c>
    </row>
    <row r="1661" spans="1:3" x14ac:dyDescent="0.25">
      <c r="A1661" s="5">
        <v>41834</v>
      </c>
      <c r="B1661" s="1" t="s">
        <v>272</v>
      </c>
      <c r="C1661" s="2">
        <f>348*1.07</f>
        <v>372.36</v>
      </c>
    </row>
    <row r="1662" spans="1:3" x14ac:dyDescent="0.25">
      <c r="A1662" s="5">
        <v>41705</v>
      </c>
      <c r="B1662" s="1" t="s">
        <v>253</v>
      </c>
      <c r="C1662" s="2">
        <v>360.64</v>
      </c>
    </row>
    <row r="1663" spans="1:3" x14ac:dyDescent="0.25">
      <c r="A1663" s="5">
        <v>41695</v>
      </c>
      <c r="B1663" s="1" t="s">
        <v>177</v>
      </c>
      <c r="C1663" s="2">
        <v>350</v>
      </c>
    </row>
    <row r="1664" spans="1:3" x14ac:dyDescent="0.25">
      <c r="A1664" s="5">
        <v>43088</v>
      </c>
      <c r="B1664" s="1" t="s">
        <v>68</v>
      </c>
      <c r="C1664" s="2">
        <v>350</v>
      </c>
    </row>
    <row r="1665" spans="1:3" x14ac:dyDescent="0.25">
      <c r="A1665" s="5">
        <v>43397</v>
      </c>
      <c r="B1665" s="1" t="s">
        <v>68</v>
      </c>
      <c r="C1665" s="2">
        <v>350</v>
      </c>
    </row>
    <row r="1666" spans="1:3" x14ac:dyDescent="0.25">
      <c r="A1666" s="5">
        <v>43718</v>
      </c>
      <c r="B1666" s="1" t="s">
        <v>68</v>
      </c>
      <c r="C1666" s="2">
        <v>350</v>
      </c>
    </row>
    <row r="1667" spans="1:3" x14ac:dyDescent="0.25">
      <c r="A1667" s="5">
        <v>43871</v>
      </c>
      <c r="B1667" s="1" t="s">
        <v>57</v>
      </c>
      <c r="C1667" s="2">
        <v>350</v>
      </c>
    </row>
    <row r="1668" spans="1:3" x14ac:dyDescent="0.25">
      <c r="A1668" s="5">
        <v>43969</v>
      </c>
      <c r="B1668" s="1" t="s">
        <v>68</v>
      </c>
      <c r="C1668" s="2">
        <v>350</v>
      </c>
    </row>
    <row r="1669" spans="1:3" x14ac:dyDescent="0.25">
      <c r="A1669" s="5">
        <v>41954</v>
      </c>
      <c r="B1669" s="1" t="s">
        <v>272</v>
      </c>
      <c r="C1669" s="2">
        <v>348</v>
      </c>
    </row>
    <row r="1670" spans="1:3" x14ac:dyDescent="0.25">
      <c r="A1670" s="5">
        <v>41977</v>
      </c>
      <c r="B1670" s="1" t="s">
        <v>296</v>
      </c>
      <c r="C1670" s="2">
        <v>335</v>
      </c>
    </row>
    <row r="1671" spans="1:3" x14ac:dyDescent="0.25">
      <c r="A1671" s="5">
        <v>41884</v>
      </c>
      <c r="B1671" s="1" t="s">
        <v>275</v>
      </c>
      <c r="C1671" s="2">
        <v>330</v>
      </c>
    </row>
    <row r="1672" spans="1:3" x14ac:dyDescent="0.25">
      <c r="A1672" s="5">
        <v>42310</v>
      </c>
      <c r="B1672" s="1" t="s">
        <v>253</v>
      </c>
      <c r="C1672" s="2">
        <v>327</v>
      </c>
    </row>
    <row r="1673" spans="1:3" x14ac:dyDescent="0.25">
      <c r="A1673" s="5">
        <v>42508</v>
      </c>
      <c r="B1673" s="1" t="s">
        <v>228</v>
      </c>
      <c r="C1673" s="2">
        <v>325</v>
      </c>
    </row>
    <row r="1674" spans="1:3" x14ac:dyDescent="0.25">
      <c r="A1674" s="5">
        <v>45484</v>
      </c>
      <c r="B1674" s="1" t="s">
        <v>60</v>
      </c>
      <c r="C1674" s="2">
        <v>316</v>
      </c>
    </row>
    <row r="1675" spans="1:3" x14ac:dyDescent="0.25">
      <c r="A1675" s="5">
        <v>42103</v>
      </c>
      <c r="B1675" s="1" t="s">
        <v>177</v>
      </c>
      <c r="C1675" s="2">
        <v>300</v>
      </c>
    </row>
    <row r="1676" spans="1:3" x14ac:dyDescent="0.25">
      <c r="A1676" s="5">
        <v>44389</v>
      </c>
      <c r="B1676" s="1" t="s">
        <v>134</v>
      </c>
      <c r="C1676" s="2">
        <v>300</v>
      </c>
    </row>
    <row r="1677" spans="1:3" x14ac:dyDescent="0.25">
      <c r="A1677" s="5">
        <v>42543</v>
      </c>
      <c r="B1677" s="1" t="s">
        <v>233</v>
      </c>
      <c r="C1677" s="2">
        <v>294</v>
      </c>
    </row>
    <row r="1678" spans="1:3" x14ac:dyDescent="0.25">
      <c r="A1678" s="5">
        <v>43061</v>
      </c>
      <c r="B1678" s="1" t="s">
        <v>219</v>
      </c>
      <c r="C1678" s="2">
        <v>280</v>
      </c>
    </row>
    <row r="1679" spans="1:3" x14ac:dyDescent="0.25">
      <c r="A1679" s="5">
        <v>43255</v>
      </c>
      <c r="B1679" s="1" t="s">
        <v>190</v>
      </c>
      <c r="C1679" s="2">
        <v>260</v>
      </c>
    </row>
    <row r="1680" spans="1:3" x14ac:dyDescent="0.25">
      <c r="A1680" s="5">
        <v>44355</v>
      </c>
      <c r="B1680" s="1" t="s">
        <v>73</v>
      </c>
      <c r="C1680" s="2">
        <v>260</v>
      </c>
    </row>
    <row r="1681" spans="1:3" x14ac:dyDescent="0.25">
      <c r="A1681" s="5">
        <v>43423</v>
      </c>
      <c r="B1681" s="1" t="s">
        <v>179</v>
      </c>
      <c r="C1681" s="2">
        <v>250</v>
      </c>
    </row>
    <row r="1682" spans="1:3" x14ac:dyDescent="0.25">
      <c r="A1682" s="5">
        <v>45505</v>
      </c>
      <c r="B1682" s="1" t="s">
        <v>57</v>
      </c>
      <c r="C1682" s="2">
        <v>250</v>
      </c>
    </row>
    <row r="1683" spans="1:3" x14ac:dyDescent="0.25">
      <c r="A1683" s="5">
        <v>41821</v>
      </c>
      <c r="B1683" s="1" t="s">
        <v>253</v>
      </c>
      <c r="C1683" s="2">
        <v>234.12</v>
      </c>
    </row>
    <row r="1684" spans="1:3" x14ac:dyDescent="0.25">
      <c r="A1684" s="5">
        <v>41690</v>
      </c>
      <c r="B1684" s="1" t="s">
        <v>177</v>
      </c>
      <c r="C1684" s="2">
        <v>230</v>
      </c>
    </row>
    <row r="1685" spans="1:3" x14ac:dyDescent="0.25">
      <c r="A1685" s="5">
        <v>41905</v>
      </c>
      <c r="B1685" s="1" t="s">
        <v>253</v>
      </c>
      <c r="C1685" s="2">
        <v>230</v>
      </c>
    </row>
    <row r="1686" spans="1:3" x14ac:dyDescent="0.25">
      <c r="A1686" s="5">
        <v>41800</v>
      </c>
      <c r="B1686" s="1" t="s">
        <v>253</v>
      </c>
      <c r="C1686" s="2">
        <v>218.8</v>
      </c>
    </row>
    <row r="1687" spans="1:3" x14ac:dyDescent="0.25">
      <c r="A1687" s="5">
        <v>43186</v>
      </c>
      <c r="B1687" s="1" t="s">
        <v>183</v>
      </c>
      <c r="C1687" s="2">
        <v>210</v>
      </c>
    </row>
    <row r="1688" spans="1:3" x14ac:dyDescent="0.25">
      <c r="A1688" s="5">
        <v>43174</v>
      </c>
      <c r="B1688" s="1" t="s">
        <v>186</v>
      </c>
      <c r="C1688" s="2">
        <v>200</v>
      </c>
    </row>
    <row r="1689" spans="1:3" x14ac:dyDescent="0.25">
      <c r="A1689" s="5">
        <v>41872</v>
      </c>
      <c r="B1689" s="1" t="s">
        <v>253</v>
      </c>
      <c r="C1689" s="2">
        <v>196</v>
      </c>
    </row>
    <row r="1690" spans="1:3" x14ac:dyDescent="0.25">
      <c r="A1690" s="5">
        <v>41659</v>
      </c>
      <c r="B1690" s="1" t="s">
        <v>272</v>
      </c>
      <c r="C1690" s="2">
        <v>190</v>
      </c>
    </row>
    <row r="1691" spans="1:3" x14ac:dyDescent="0.25">
      <c r="A1691" s="5">
        <v>41891</v>
      </c>
      <c r="B1691" s="1" t="s">
        <v>299</v>
      </c>
      <c r="C1691" s="2">
        <v>150</v>
      </c>
    </row>
    <row r="1692" spans="1:3" x14ac:dyDescent="0.25">
      <c r="A1692" s="5">
        <v>42011</v>
      </c>
      <c r="B1692" s="1" t="s">
        <v>251</v>
      </c>
      <c r="C1692" s="2">
        <v>150</v>
      </c>
    </row>
    <row r="1693" spans="1:3" x14ac:dyDescent="0.25">
      <c r="A1693" s="5">
        <v>42079</v>
      </c>
      <c r="B1693" s="1" t="s">
        <v>253</v>
      </c>
      <c r="C1693" s="2">
        <v>130</v>
      </c>
    </row>
    <row r="1694" spans="1:3" x14ac:dyDescent="0.25">
      <c r="A1694" s="5">
        <v>42164</v>
      </c>
      <c r="B1694" s="1" t="s">
        <v>253</v>
      </c>
      <c r="C1694" s="2">
        <v>130</v>
      </c>
    </row>
    <row r="1695" spans="1:3" x14ac:dyDescent="0.25">
      <c r="A1695" s="5">
        <v>41954</v>
      </c>
      <c r="B1695" s="1" t="s">
        <v>251</v>
      </c>
      <c r="C1695" s="2">
        <v>125</v>
      </c>
    </row>
    <row r="1696" spans="1:3" x14ac:dyDescent="0.25">
      <c r="A1696" s="5">
        <v>42018</v>
      </c>
      <c r="B1696" s="1" t="s">
        <v>253</v>
      </c>
      <c r="C1696" s="2">
        <v>120</v>
      </c>
    </row>
    <row r="1697" spans="1:3" x14ac:dyDescent="0.25">
      <c r="A1697" s="5">
        <v>42122</v>
      </c>
      <c r="B1697" s="1" t="s">
        <v>253</v>
      </c>
      <c r="C1697" s="2">
        <v>120</v>
      </c>
    </row>
    <row r="1698" spans="1:3" x14ac:dyDescent="0.25">
      <c r="A1698" s="5">
        <v>42272</v>
      </c>
      <c r="B1698" s="1" t="s">
        <v>253</v>
      </c>
      <c r="C1698" s="2">
        <v>120</v>
      </c>
    </row>
    <row r="1699" spans="1:3" x14ac:dyDescent="0.25">
      <c r="A1699" s="5">
        <v>45076</v>
      </c>
      <c r="B1699" s="1" t="s">
        <v>83</v>
      </c>
      <c r="C1699" s="2">
        <v>50</v>
      </c>
    </row>
  </sheetData>
  <autoFilter ref="A1:C1" xr:uid="{0EAEEDD3-8FE5-4EA0-9918-2F49F1355431}">
    <sortState xmlns:xlrd2="http://schemas.microsoft.com/office/spreadsheetml/2017/richdata2" ref="A2:C1706">
      <sortCondition descending="1" ref="C1"/>
    </sortState>
  </autoFilter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Fletcher</dc:creator>
  <cp:lastModifiedBy>Chris Fletcher</cp:lastModifiedBy>
  <dcterms:created xsi:type="dcterms:W3CDTF">2025-12-26T14:24:56Z</dcterms:created>
  <dcterms:modified xsi:type="dcterms:W3CDTF">2025-12-26T14:35:25Z</dcterms:modified>
</cp:coreProperties>
</file>