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1\Company\Chris\"/>
    </mc:Choice>
  </mc:AlternateContent>
  <xr:revisionPtr revIDLastSave="0" documentId="8_{7F03F338-33AD-4355-A475-3E1C6D91D3F0}" xr6:coauthVersionLast="47" xr6:coauthVersionMax="47" xr10:uidLastSave="{00000000-0000-0000-0000-000000000000}"/>
  <bookViews>
    <workbookView xWindow="-108" yWindow="-108" windowWidth="23256" windowHeight="12576" tabRatio="851" activeTab="1" xr2:uid="{00000000-000D-0000-FFFF-FFFF00000000}"/>
  </bookViews>
  <sheets>
    <sheet name="Supplier Profile &amp; Audit Plan" sheetId="1" r:id="rId1"/>
    <sheet name="Checklist" sheetId="2" r:id="rId2"/>
    <sheet name="Audit Results" sheetId="3" r:id="rId3"/>
    <sheet name="Technical Assessment - Generic" sheetId="4" r:id="rId4"/>
  </sheets>
  <definedNames>
    <definedName name="_xlnm._FilterDatabase" localSheetId="1" hidden="1">Checklist!$A$6:$AK$6</definedName>
    <definedName name="_xlnm._FilterDatabase" localSheetId="3" hidden="1">'Technical Assessment - Generic'!$H$6:$I$13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7" i="4" l="1"/>
  <c r="G90" i="2" l="1"/>
  <c r="C5" i="3" l="1"/>
  <c r="Y10" i="4" l="1"/>
  <c r="M14" i="4" l="1"/>
  <c r="M10" i="4"/>
  <c r="G18" i="4" l="1"/>
  <c r="F18" i="4"/>
  <c r="I18" i="4" l="1"/>
  <c r="H18" i="4"/>
  <c r="K14" i="4"/>
  <c r="K10" i="4"/>
  <c r="Y14" i="4"/>
  <c r="X14" i="4"/>
  <c r="X10" i="4" l="1"/>
  <c r="F90" i="2"/>
  <c r="H1" i="2" l="1"/>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L86" i="2"/>
  <c r="I87" i="3" s="1"/>
  <c r="L85" i="2"/>
  <c r="I86" i="3" s="1"/>
  <c r="L84" i="2"/>
  <c r="I85" i="3" s="1"/>
  <c r="L83" i="2"/>
  <c r="I84" i="3" s="1"/>
  <c r="L82" i="2"/>
  <c r="I83" i="3" s="1"/>
  <c r="L81" i="2"/>
  <c r="I82" i="3" s="1"/>
  <c r="L80" i="2"/>
  <c r="I81" i="3" s="1"/>
  <c r="L79" i="2"/>
  <c r="I80" i="3" s="1"/>
  <c r="L78" i="2"/>
  <c r="I79" i="3" s="1"/>
  <c r="L77" i="2"/>
  <c r="I78" i="3" s="1"/>
  <c r="L76" i="2"/>
  <c r="I77" i="3" s="1"/>
  <c r="L75" i="2"/>
  <c r="I76" i="3" s="1"/>
  <c r="L74" i="2"/>
  <c r="I75" i="3" s="1"/>
  <c r="L73" i="2"/>
  <c r="I74" i="3" s="1"/>
  <c r="L72" i="2"/>
  <c r="I73" i="3" s="1"/>
  <c r="L71" i="2"/>
  <c r="I72" i="3" s="1"/>
  <c r="L70" i="2"/>
  <c r="I71" i="3" s="1"/>
  <c r="L69" i="2"/>
  <c r="I70" i="3" s="1"/>
  <c r="L68" i="2"/>
  <c r="I69" i="3" s="1"/>
  <c r="L67" i="2"/>
  <c r="I68" i="3" s="1"/>
  <c r="L66" i="2"/>
  <c r="I67" i="3" s="1"/>
  <c r="L65" i="2"/>
  <c r="I66" i="3" s="1"/>
  <c r="L64" i="2"/>
  <c r="I65" i="3" s="1"/>
  <c r="L63" i="2"/>
  <c r="I64" i="3" s="1"/>
  <c r="L62" i="2"/>
  <c r="I63" i="3" s="1"/>
  <c r="L61" i="2"/>
  <c r="I62" i="3" s="1"/>
  <c r="L60" i="2"/>
  <c r="I61" i="3" s="1"/>
  <c r="L59" i="2"/>
  <c r="I60" i="3" s="1"/>
  <c r="L58" i="2"/>
  <c r="I59" i="3" s="1"/>
  <c r="L57" i="2"/>
  <c r="I58" i="3" s="1"/>
  <c r="L56" i="2"/>
  <c r="I57" i="3" s="1"/>
  <c r="L55" i="2"/>
  <c r="I56" i="3" s="1"/>
  <c r="L54" i="2"/>
  <c r="I55" i="3" s="1"/>
  <c r="L53" i="2"/>
  <c r="I54" i="3" s="1"/>
  <c r="L52" i="2"/>
  <c r="I53" i="3" s="1"/>
  <c r="L51" i="2"/>
  <c r="I52" i="3" s="1"/>
  <c r="L50" i="2"/>
  <c r="I51" i="3" s="1"/>
  <c r="L49" i="2"/>
  <c r="I50" i="3" s="1"/>
  <c r="L48" i="2"/>
  <c r="I49" i="3" s="1"/>
  <c r="L47" i="2"/>
  <c r="I48" i="3" s="1"/>
  <c r="L46" i="2"/>
  <c r="I47" i="3" s="1"/>
  <c r="L45" i="2"/>
  <c r="I46" i="3" s="1"/>
  <c r="L44" i="2"/>
  <c r="I45" i="3" s="1"/>
  <c r="L43" i="2"/>
  <c r="I44" i="3" s="1"/>
  <c r="L42" i="2"/>
  <c r="I43" i="3" s="1"/>
  <c r="L41" i="2"/>
  <c r="I42" i="3" s="1"/>
  <c r="L40" i="2"/>
  <c r="I41" i="3" s="1"/>
  <c r="L39" i="2"/>
  <c r="I40" i="3" s="1"/>
  <c r="L38" i="2"/>
  <c r="I39" i="3" s="1"/>
  <c r="L37" i="2"/>
  <c r="I38" i="3" s="1"/>
  <c r="L36" i="2"/>
  <c r="I37" i="3" s="1"/>
  <c r="L35" i="2"/>
  <c r="I36" i="3" s="1"/>
  <c r="L34" i="2"/>
  <c r="I35" i="3" s="1"/>
  <c r="L33" i="2"/>
  <c r="I34" i="3" s="1"/>
  <c r="L32" i="2"/>
  <c r="I33" i="3" s="1"/>
  <c r="L31" i="2"/>
  <c r="I32" i="3" s="1"/>
  <c r="L30" i="2"/>
  <c r="I31" i="3" s="1"/>
  <c r="L29" i="2"/>
  <c r="I30" i="3" s="1"/>
  <c r="L28" i="2"/>
  <c r="I29" i="3" s="1"/>
  <c r="L27" i="2"/>
  <c r="I28" i="3" s="1"/>
  <c r="L26" i="2"/>
  <c r="I27" i="3" s="1"/>
  <c r="L25" i="2"/>
  <c r="I26" i="3" s="1"/>
  <c r="L24" i="2"/>
  <c r="I25" i="3" s="1"/>
  <c r="L23" i="2"/>
  <c r="I24" i="3" s="1"/>
  <c r="L22" i="2"/>
  <c r="I23" i="3" s="1"/>
  <c r="L21" i="2"/>
  <c r="I22" i="3" s="1"/>
  <c r="L20" i="2"/>
  <c r="I21" i="3" s="1"/>
  <c r="L19" i="2"/>
  <c r="I20" i="3" s="1"/>
  <c r="L18" i="2"/>
  <c r="I19" i="3" s="1"/>
  <c r="L17" i="2"/>
  <c r="I18" i="3" s="1"/>
  <c r="L16" i="2"/>
  <c r="I17" i="3" s="1"/>
  <c r="L15" i="2"/>
  <c r="I16" i="3" s="1"/>
  <c r="L14" i="2"/>
  <c r="I15" i="3" s="1"/>
  <c r="L13" i="2"/>
  <c r="I14" i="3" s="1"/>
  <c r="L12" i="2"/>
  <c r="I13" i="3" s="1"/>
  <c r="L11" i="2"/>
  <c r="I12" i="3" s="1"/>
  <c r="L10" i="2"/>
  <c r="I11" i="3" s="1"/>
  <c r="L9" i="2"/>
  <c r="I10" i="3" s="1"/>
  <c r="L8" i="2"/>
  <c r="I9" i="3" s="1"/>
  <c r="Z86" i="2"/>
  <c r="K87" i="3" s="1"/>
  <c r="Y86" i="2"/>
  <c r="H87" i="3" s="1"/>
  <c r="X86" i="2"/>
  <c r="G87" i="3" s="1"/>
  <c r="Z85" i="2"/>
  <c r="K86" i="3" s="1"/>
  <c r="Y85" i="2"/>
  <c r="H86" i="3" s="1"/>
  <c r="J86" i="3" s="1"/>
  <c r="X85" i="2"/>
  <c r="G86" i="3" s="1"/>
  <c r="Z84" i="2"/>
  <c r="K85" i="3" s="1"/>
  <c r="Y84" i="2"/>
  <c r="H85" i="3" s="1"/>
  <c r="X84" i="2"/>
  <c r="G85" i="3" s="1"/>
  <c r="Z83" i="2"/>
  <c r="K84" i="3" s="1"/>
  <c r="Y83" i="2"/>
  <c r="H84" i="3" s="1"/>
  <c r="J84" i="3" s="1"/>
  <c r="X83" i="2"/>
  <c r="G84" i="3" s="1"/>
  <c r="Z82" i="2"/>
  <c r="K83" i="3" s="1"/>
  <c r="Y82" i="2"/>
  <c r="H83" i="3" s="1"/>
  <c r="J83" i="3" s="1"/>
  <c r="X82" i="2"/>
  <c r="G83" i="3" s="1"/>
  <c r="Z81" i="2"/>
  <c r="K82" i="3" s="1"/>
  <c r="Y81" i="2"/>
  <c r="H82" i="3" s="1"/>
  <c r="J82" i="3" s="1"/>
  <c r="X81" i="2"/>
  <c r="G82" i="3" s="1"/>
  <c r="Z80" i="2"/>
  <c r="K81" i="3" s="1"/>
  <c r="Y80" i="2"/>
  <c r="H81" i="3" s="1"/>
  <c r="X80" i="2"/>
  <c r="G81" i="3" s="1"/>
  <c r="Z79" i="2"/>
  <c r="K80" i="3" s="1"/>
  <c r="Y79" i="2"/>
  <c r="H80" i="3" s="1"/>
  <c r="J80" i="3" s="1"/>
  <c r="X79" i="2"/>
  <c r="G80" i="3" s="1"/>
  <c r="Z78" i="2"/>
  <c r="K79" i="3" s="1"/>
  <c r="Y78" i="2"/>
  <c r="H79" i="3" s="1"/>
  <c r="X78" i="2"/>
  <c r="G79" i="3" s="1"/>
  <c r="Z77" i="2"/>
  <c r="K78" i="3" s="1"/>
  <c r="Y77" i="2"/>
  <c r="H78" i="3" s="1"/>
  <c r="J78" i="3" s="1"/>
  <c r="X77" i="2"/>
  <c r="G78" i="3" s="1"/>
  <c r="Z76" i="2"/>
  <c r="K77" i="3" s="1"/>
  <c r="Y76" i="2"/>
  <c r="H77" i="3" s="1"/>
  <c r="X76" i="2"/>
  <c r="G77" i="3" s="1"/>
  <c r="Z75" i="2"/>
  <c r="K76" i="3" s="1"/>
  <c r="Y75" i="2"/>
  <c r="H76" i="3" s="1"/>
  <c r="J76" i="3" s="1"/>
  <c r="X75" i="2"/>
  <c r="G76" i="3" s="1"/>
  <c r="Z74" i="2"/>
  <c r="K75" i="3" s="1"/>
  <c r="Y74" i="2"/>
  <c r="H75" i="3" s="1"/>
  <c r="X74" i="2"/>
  <c r="G75" i="3" s="1"/>
  <c r="Z73" i="2"/>
  <c r="K74" i="3" s="1"/>
  <c r="Y73" i="2"/>
  <c r="H74" i="3" s="1"/>
  <c r="J74" i="3" s="1"/>
  <c r="X73" i="2"/>
  <c r="G74" i="3" s="1"/>
  <c r="Z72" i="2"/>
  <c r="K73" i="3" s="1"/>
  <c r="Y72" i="2"/>
  <c r="H73" i="3" s="1"/>
  <c r="X72" i="2"/>
  <c r="G73" i="3" s="1"/>
  <c r="Z71" i="2"/>
  <c r="K72" i="3" s="1"/>
  <c r="Y71" i="2"/>
  <c r="H72" i="3" s="1"/>
  <c r="J72" i="3" s="1"/>
  <c r="X71" i="2"/>
  <c r="G72" i="3" s="1"/>
  <c r="Z70" i="2"/>
  <c r="K71" i="3" s="1"/>
  <c r="Y70" i="2"/>
  <c r="H71" i="3" s="1"/>
  <c r="J71" i="3" s="1"/>
  <c r="X70" i="2"/>
  <c r="G71" i="3" s="1"/>
  <c r="Z69" i="2"/>
  <c r="K70" i="3" s="1"/>
  <c r="Y69" i="2"/>
  <c r="H70" i="3" s="1"/>
  <c r="J70" i="3" s="1"/>
  <c r="X69" i="2"/>
  <c r="G70" i="3" s="1"/>
  <c r="Z68" i="2"/>
  <c r="K69" i="3" s="1"/>
  <c r="Y68" i="2"/>
  <c r="H69" i="3" s="1"/>
  <c r="X68" i="2"/>
  <c r="G69" i="3" s="1"/>
  <c r="Z67" i="2"/>
  <c r="K68" i="3" s="1"/>
  <c r="Y67" i="2"/>
  <c r="H68" i="3" s="1"/>
  <c r="J68" i="3" s="1"/>
  <c r="X67" i="2"/>
  <c r="G68" i="3" s="1"/>
  <c r="Z66" i="2"/>
  <c r="K67" i="3" s="1"/>
  <c r="Y66" i="2"/>
  <c r="H67" i="3" s="1"/>
  <c r="J67" i="3" s="1"/>
  <c r="X66" i="2"/>
  <c r="G67" i="3" s="1"/>
  <c r="Z65" i="2"/>
  <c r="K66" i="3" s="1"/>
  <c r="Y65" i="2"/>
  <c r="H66" i="3" s="1"/>
  <c r="J66" i="3" s="1"/>
  <c r="X65" i="2"/>
  <c r="G66" i="3" s="1"/>
  <c r="Z64" i="2"/>
  <c r="K65" i="3" s="1"/>
  <c r="Y64" i="2"/>
  <c r="H65" i="3" s="1"/>
  <c r="X64" i="2"/>
  <c r="G65" i="3" s="1"/>
  <c r="Z63" i="2"/>
  <c r="K64" i="3" s="1"/>
  <c r="Y63" i="2"/>
  <c r="H64" i="3" s="1"/>
  <c r="J64" i="3" s="1"/>
  <c r="X63" i="2"/>
  <c r="G64" i="3" s="1"/>
  <c r="Z62" i="2"/>
  <c r="K63" i="3" s="1"/>
  <c r="Y62" i="2"/>
  <c r="H63" i="3" s="1"/>
  <c r="X62" i="2"/>
  <c r="G63" i="3" s="1"/>
  <c r="Z61" i="2"/>
  <c r="K62" i="3" s="1"/>
  <c r="Y61" i="2"/>
  <c r="H62" i="3" s="1"/>
  <c r="J62" i="3" s="1"/>
  <c r="X61" i="2"/>
  <c r="G62" i="3" s="1"/>
  <c r="Z60" i="2"/>
  <c r="K61" i="3" s="1"/>
  <c r="Y60" i="2"/>
  <c r="H61" i="3" s="1"/>
  <c r="X60" i="2"/>
  <c r="G61" i="3" s="1"/>
  <c r="Z59" i="2"/>
  <c r="K60" i="3" s="1"/>
  <c r="Y59" i="2"/>
  <c r="H60" i="3" s="1"/>
  <c r="X59" i="2"/>
  <c r="G60" i="3" s="1"/>
  <c r="Z58" i="2"/>
  <c r="K59" i="3" s="1"/>
  <c r="Y58" i="2"/>
  <c r="H59" i="3" s="1"/>
  <c r="J59" i="3" s="1"/>
  <c r="X58" i="2"/>
  <c r="G59" i="3" s="1"/>
  <c r="Z57" i="2"/>
  <c r="K58" i="3" s="1"/>
  <c r="Y57" i="2"/>
  <c r="H58" i="3" s="1"/>
  <c r="X57" i="2"/>
  <c r="G58" i="3" s="1"/>
  <c r="Z56" i="2"/>
  <c r="K57" i="3" s="1"/>
  <c r="Y56" i="2"/>
  <c r="H57" i="3" s="1"/>
  <c r="X56" i="2"/>
  <c r="G57" i="3" s="1"/>
  <c r="Z55" i="2"/>
  <c r="K56" i="3" s="1"/>
  <c r="Y55" i="2"/>
  <c r="H56" i="3" s="1"/>
  <c r="J56" i="3" s="1"/>
  <c r="X55" i="2"/>
  <c r="G56" i="3" s="1"/>
  <c r="Z54" i="2"/>
  <c r="K55" i="3" s="1"/>
  <c r="Y54" i="2"/>
  <c r="H55" i="3" s="1"/>
  <c r="J55" i="3" s="1"/>
  <c r="X54" i="2"/>
  <c r="Z53" i="2"/>
  <c r="K54" i="3" s="1"/>
  <c r="Y53" i="2"/>
  <c r="H54" i="3" s="1"/>
  <c r="J54" i="3" s="1"/>
  <c r="X53" i="2"/>
  <c r="G54" i="3" s="1"/>
  <c r="Z52" i="2"/>
  <c r="K53" i="3" s="1"/>
  <c r="Y52" i="2"/>
  <c r="H53" i="3" s="1"/>
  <c r="X52" i="2"/>
  <c r="G53" i="3" s="1"/>
  <c r="Z51" i="2"/>
  <c r="K52" i="3" s="1"/>
  <c r="Y51" i="2"/>
  <c r="H52" i="3" s="1"/>
  <c r="X51" i="2"/>
  <c r="G52" i="3" s="1"/>
  <c r="Z50" i="2"/>
  <c r="K51" i="3" s="1"/>
  <c r="Y50" i="2"/>
  <c r="H51" i="3" s="1"/>
  <c r="X50" i="2"/>
  <c r="G51" i="3" s="1"/>
  <c r="Z49" i="2"/>
  <c r="K50" i="3" s="1"/>
  <c r="Y49" i="2"/>
  <c r="H50" i="3" s="1"/>
  <c r="J50" i="3" s="1"/>
  <c r="X49" i="2"/>
  <c r="G50" i="3" s="1"/>
  <c r="Z48" i="2"/>
  <c r="K49" i="3" s="1"/>
  <c r="Y48" i="2"/>
  <c r="H49" i="3" s="1"/>
  <c r="X48" i="2"/>
  <c r="G49" i="3" s="1"/>
  <c r="Z47" i="2"/>
  <c r="K48" i="3" s="1"/>
  <c r="Y47" i="2"/>
  <c r="H48" i="3" s="1"/>
  <c r="X47" i="2"/>
  <c r="G48" i="3" s="1"/>
  <c r="Z46" i="2"/>
  <c r="K47" i="3" s="1"/>
  <c r="Y46" i="2"/>
  <c r="H47" i="3" s="1"/>
  <c r="J47" i="3" s="1"/>
  <c r="X46" i="2"/>
  <c r="G47" i="3" s="1"/>
  <c r="Z45" i="2"/>
  <c r="K46" i="3" s="1"/>
  <c r="Y45" i="2"/>
  <c r="H46" i="3" s="1"/>
  <c r="J46" i="3" s="1"/>
  <c r="X45" i="2"/>
  <c r="G46" i="3" s="1"/>
  <c r="Z44" i="2"/>
  <c r="K45" i="3" s="1"/>
  <c r="Y44" i="2"/>
  <c r="H45" i="3" s="1"/>
  <c r="X44" i="2"/>
  <c r="G45" i="3" s="1"/>
  <c r="Z43" i="2"/>
  <c r="K44" i="3" s="1"/>
  <c r="Y43" i="2"/>
  <c r="H44" i="3" s="1"/>
  <c r="J44" i="3" s="1"/>
  <c r="X43" i="2"/>
  <c r="G44" i="3" s="1"/>
  <c r="Z42" i="2"/>
  <c r="K43" i="3" s="1"/>
  <c r="Y42" i="2"/>
  <c r="H43" i="3" s="1"/>
  <c r="X42" i="2"/>
  <c r="Z41" i="2"/>
  <c r="K42" i="3" s="1"/>
  <c r="Y41" i="2"/>
  <c r="H42" i="3" s="1"/>
  <c r="X41" i="2"/>
  <c r="G42" i="3" s="1"/>
  <c r="Z40" i="2"/>
  <c r="K41" i="3" s="1"/>
  <c r="Y40" i="2"/>
  <c r="H41" i="3" s="1"/>
  <c r="X40" i="2"/>
  <c r="G41" i="3" s="1"/>
  <c r="Z39" i="2"/>
  <c r="K40" i="3" s="1"/>
  <c r="Y39" i="2"/>
  <c r="H40" i="3" s="1"/>
  <c r="X39" i="2"/>
  <c r="G40" i="3" s="1"/>
  <c r="Z38" i="2"/>
  <c r="K39" i="3" s="1"/>
  <c r="Y38" i="2"/>
  <c r="H39" i="3" s="1"/>
  <c r="J39" i="3" s="1"/>
  <c r="X38" i="2"/>
  <c r="G39" i="3" s="1"/>
  <c r="Z37" i="2"/>
  <c r="K38" i="3" s="1"/>
  <c r="Y37" i="2"/>
  <c r="H38" i="3" s="1"/>
  <c r="X37" i="2"/>
  <c r="G38" i="3" s="1"/>
  <c r="Z36" i="2"/>
  <c r="K37" i="3" s="1"/>
  <c r="Y36" i="2"/>
  <c r="H37" i="3" s="1"/>
  <c r="X36" i="2"/>
  <c r="G37" i="3" s="1"/>
  <c r="Z35" i="2"/>
  <c r="K36" i="3" s="1"/>
  <c r="Y35" i="2"/>
  <c r="H36" i="3" s="1"/>
  <c r="X35" i="2"/>
  <c r="G36" i="3" s="1"/>
  <c r="Z34" i="2"/>
  <c r="K35" i="3" s="1"/>
  <c r="Y34" i="2"/>
  <c r="H35" i="3" s="1"/>
  <c r="J35" i="3" s="1"/>
  <c r="X34" i="2"/>
  <c r="G35" i="3" s="1"/>
  <c r="Z33" i="2"/>
  <c r="K34" i="3" s="1"/>
  <c r="Y33" i="2"/>
  <c r="H34" i="3" s="1"/>
  <c r="X33" i="2"/>
  <c r="G34" i="3" s="1"/>
  <c r="Z32" i="2"/>
  <c r="K33" i="3" s="1"/>
  <c r="Y32" i="2"/>
  <c r="H33" i="3" s="1"/>
  <c r="X32" i="2"/>
  <c r="G33" i="3" s="1"/>
  <c r="Z31" i="2"/>
  <c r="K32" i="3" s="1"/>
  <c r="Y31" i="2"/>
  <c r="H32" i="3" s="1"/>
  <c r="X31" i="2"/>
  <c r="G32" i="3" s="1"/>
  <c r="Z30" i="2"/>
  <c r="K31" i="3" s="1"/>
  <c r="Y30" i="2"/>
  <c r="H31" i="3" s="1"/>
  <c r="J31" i="3" s="1"/>
  <c r="X30" i="2"/>
  <c r="G31" i="3" s="1"/>
  <c r="Z29" i="2"/>
  <c r="K30" i="3" s="1"/>
  <c r="Y29" i="2"/>
  <c r="H30" i="3" s="1"/>
  <c r="J30" i="3" s="1"/>
  <c r="X29" i="2"/>
  <c r="G30" i="3" s="1"/>
  <c r="Z28" i="2"/>
  <c r="K29" i="3" s="1"/>
  <c r="Y28" i="2"/>
  <c r="H29" i="3" s="1"/>
  <c r="X28" i="2"/>
  <c r="G29" i="3" s="1"/>
  <c r="Z27" i="2"/>
  <c r="K28" i="3" s="1"/>
  <c r="Y27" i="2"/>
  <c r="H28" i="3" s="1"/>
  <c r="J28" i="3" s="1"/>
  <c r="X27" i="2"/>
  <c r="G28" i="3" s="1"/>
  <c r="Z26" i="2"/>
  <c r="K27" i="3" s="1"/>
  <c r="Y26" i="2"/>
  <c r="H27" i="3" s="1"/>
  <c r="X26" i="2"/>
  <c r="G27" i="3" s="1"/>
  <c r="Z25" i="2"/>
  <c r="K26" i="3" s="1"/>
  <c r="Y25" i="2"/>
  <c r="H26" i="3" s="1"/>
  <c r="X25" i="2"/>
  <c r="G26" i="3" s="1"/>
  <c r="Z24" i="2"/>
  <c r="K25" i="3" s="1"/>
  <c r="Y24" i="2"/>
  <c r="H25" i="3" s="1"/>
  <c r="X24" i="2"/>
  <c r="G25" i="3" s="1"/>
  <c r="Z23" i="2"/>
  <c r="K24" i="3" s="1"/>
  <c r="Y23" i="2"/>
  <c r="H24" i="3" s="1"/>
  <c r="J24" i="3" s="1"/>
  <c r="X23" i="2"/>
  <c r="G24" i="3" s="1"/>
  <c r="Z22" i="2"/>
  <c r="K23" i="3" s="1"/>
  <c r="Y22" i="2"/>
  <c r="H23" i="3" s="1"/>
  <c r="J23" i="3" s="1"/>
  <c r="X22" i="2"/>
  <c r="G23" i="3" s="1"/>
  <c r="Z21" i="2"/>
  <c r="K22" i="3" s="1"/>
  <c r="Y21" i="2"/>
  <c r="H22" i="3" s="1"/>
  <c r="J22" i="3" s="1"/>
  <c r="X21" i="2"/>
  <c r="G22" i="3" s="1"/>
  <c r="Z20" i="2"/>
  <c r="K21" i="3" s="1"/>
  <c r="Y20" i="2"/>
  <c r="H21" i="3" s="1"/>
  <c r="X20" i="2"/>
  <c r="G21" i="3" s="1"/>
  <c r="Z19" i="2"/>
  <c r="K20" i="3" s="1"/>
  <c r="Y19" i="2"/>
  <c r="H20" i="3" s="1"/>
  <c r="J20" i="3" s="1"/>
  <c r="X19" i="2"/>
  <c r="G20" i="3" s="1"/>
  <c r="Z18" i="2"/>
  <c r="K19" i="3" s="1"/>
  <c r="Y18" i="2"/>
  <c r="H19" i="3" s="1"/>
  <c r="J19" i="3" s="1"/>
  <c r="X18" i="2"/>
  <c r="G19" i="3" s="1"/>
  <c r="Z17" i="2"/>
  <c r="K18" i="3" s="1"/>
  <c r="Y17" i="2"/>
  <c r="H18" i="3" s="1"/>
  <c r="X17" i="2"/>
  <c r="G18" i="3" s="1"/>
  <c r="Z16" i="2"/>
  <c r="K17" i="3" s="1"/>
  <c r="Y16" i="2"/>
  <c r="H17" i="3" s="1"/>
  <c r="X16" i="2"/>
  <c r="G17" i="3" s="1"/>
  <c r="Z15" i="2"/>
  <c r="K16" i="3" s="1"/>
  <c r="Y15" i="2"/>
  <c r="H16" i="3" s="1"/>
  <c r="X15" i="2"/>
  <c r="G16" i="3" s="1"/>
  <c r="Z14" i="2"/>
  <c r="K15" i="3" s="1"/>
  <c r="Y14" i="2"/>
  <c r="H15" i="3" s="1"/>
  <c r="J15" i="3" s="1"/>
  <c r="X14" i="2"/>
  <c r="G15" i="3" s="1"/>
  <c r="Z13" i="2"/>
  <c r="K14" i="3" s="1"/>
  <c r="Y13" i="2"/>
  <c r="H14" i="3" s="1"/>
  <c r="J14" i="3" s="1"/>
  <c r="X13" i="2"/>
  <c r="G14" i="3" s="1"/>
  <c r="Z12" i="2"/>
  <c r="K13" i="3" s="1"/>
  <c r="Y12" i="2"/>
  <c r="H13" i="3" s="1"/>
  <c r="X12" i="2"/>
  <c r="G13" i="3" s="1"/>
  <c r="Z11" i="2"/>
  <c r="K12" i="3" s="1"/>
  <c r="Y11" i="2"/>
  <c r="H12" i="3" s="1"/>
  <c r="X11" i="2"/>
  <c r="G12" i="3" s="1"/>
  <c r="Z10" i="2"/>
  <c r="K11" i="3" s="1"/>
  <c r="Y10" i="2"/>
  <c r="X10" i="2"/>
  <c r="G11" i="3" s="1"/>
  <c r="Z9" i="2"/>
  <c r="K10" i="3" s="1"/>
  <c r="Y9" i="2"/>
  <c r="X9" i="2"/>
  <c r="G10" i="3" s="1"/>
  <c r="Z8" i="2"/>
  <c r="K9" i="3" s="1"/>
  <c r="Y8" i="2"/>
  <c r="H9" i="3" s="1"/>
  <c r="X8" i="2"/>
  <c r="G9" i="3" s="1"/>
  <c r="G55" i="3"/>
  <c r="G43" i="3"/>
  <c r="J29" i="3" l="1"/>
  <c r="J75" i="3"/>
  <c r="J87" i="3"/>
  <c r="J85" i="3"/>
  <c r="J81" i="3"/>
  <c r="J79" i="3"/>
  <c r="J77" i="3"/>
  <c r="J73" i="3"/>
  <c r="J69" i="3"/>
  <c r="J65" i="3"/>
  <c r="J60" i="3"/>
  <c r="J57" i="3"/>
  <c r="J52" i="3"/>
  <c r="J49" i="3"/>
  <c r="J45" i="3"/>
  <c r="J41" i="3"/>
  <c r="J21" i="3"/>
  <c r="J17" i="3"/>
  <c r="J13" i="3"/>
  <c r="AC24" i="3"/>
  <c r="J12" i="3"/>
  <c r="AC30" i="3"/>
  <c r="J32" i="3"/>
  <c r="AC26" i="3"/>
  <c r="J18" i="3"/>
  <c r="AC28" i="3"/>
  <c r="J26" i="3"/>
  <c r="AC32" i="3"/>
  <c r="J34" i="3"/>
  <c r="AC35" i="3"/>
  <c r="J38" i="3"/>
  <c r="AC37" i="3"/>
  <c r="J42" i="3"/>
  <c r="AC42" i="3"/>
  <c r="J58" i="3"/>
  <c r="AC27" i="3"/>
  <c r="J25" i="3"/>
  <c r="AC31" i="3"/>
  <c r="J33" i="3"/>
  <c r="AC34" i="3"/>
  <c r="J37" i="3"/>
  <c r="AC41" i="3"/>
  <c r="J53" i="3"/>
  <c r="AC43" i="3"/>
  <c r="J61" i="3"/>
  <c r="AC25" i="3"/>
  <c r="J16" i="3"/>
  <c r="AC33" i="3"/>
  <c r="J36" i="3"/>
  <c r="AC39" i="3"/>
  <c r="J48" i="3"/>
  <c r="AC38" i="3"/>
  <c r="J43" i="3"/>
  <c r="AC36" i="3"/>
  <c r="J40" i="3"/>
  <c r="AC29" i="3"/>
  <c r="J27" i="3"/>
  <c r="AC40" i="3"/>
  <c r="J51" i="3"/>
  <c r="AC44" i="3"/>
  <c r="J63" i="3"/>
  <c r="AC23" i="3"/>
  <c r="J9" i="3"/>
  <c r="L39" i="3"/>
  <c r="M39" i="3"/>
  <c r="D88" i="3" l="1"/>
  <c r="H90" i="2" l="1"/>
  <c r="J90" i="2" l="1"/>
  <c r="I90" i="2"/>
  <c r="X7" i="2"/>
  <c r="G8" i="3" l="1"/>
  <c r="G88" i="3" s="1"/>
  <c r="H89" i="2"/>
  <c r="N84" i="3"/>
  <c r="M86" i="2" l="1"/>
  <c r="M85" i="2"/>
  <c r="M84" i="2"/>
  <c r="N71" i="3" l="1"/>
  <c r="N81" i="3"/>
  <c r="L81" i="3"/>
  <c r="L64" i="3"/>
  <c r="L68" i="3"/>
  <c r="M71" i="3"/>
  <c r="M64" i="3"/>
  <c r="M68" i="3"/>
  <c r="N64" i="3"/>
  <c r="N68" i="3"/>
  <c r="L71" i="3"/>
  <c r="L76" i="3"/>
  <c r="M76" i="3"/>
  <c r="M81" i="3"/>
  <c r="N76" i="3"/>
  <c r="L84" i="3" l="1"/>
  <c r="M84" i="3"/>
  <c r="F20" i="4"/>
  <c r="Y13" i="4"/>
  <c r="X13" i="4"/>
  <c r="M13" i="4"/>
  <c r="K13" i="4"/>
  <c r="Y12" i="4"/>
  <c r="X12" i="4"/>
  <c r="M12" i="4"/>
  <c r="K12" i="4"/>
  <c r="Y11" i="4"/>
  <c r="X11" i="4"/>
  <c r="M11" i="4"/>
  <c r="K11" i="4"/>
  <c r="Y9" i="4"/>
  <c r="X9" i="4"/>
  <c r="M9" i="4"/>
  <c r="K9" i="4"/>
  <c r="Y8" i="4"/>
  <c r="X8" i="4"/>
  <c r="Y7" i="4"/>
  <c r="X7" i="4"/>
  <c r="M7" i="4"/>
  <c r="E4" i="4"/>
  <c r="D4" i="4"/>
  <c r="E3" i="4"/>
  <c r="I1" i="4"/>
  <c r="H1" i="4"/>
  <c r="K21" i="4" l="1"/>
  <c r="I90" i="3" s="1"/>
  <c r="M21" i="4"/>
  <c r="J90" i="3" s="1"/>
  <c r="I17" i="4"/>
  <c r="H17" i="4"/>
  <c r="J1" i="4"/>
  <c r="H19" i="4" l="1"/>
  <c r="H90" i="3" s="1"/>
  <c r="I19" i="4"/>
  <c r="K90" i="3" s="1"/>
  <c r="I1" i="2"/>
  <c r="J1" i="2"/>
  <c r="K1" i="2" l="1"/>
  <c r="C88" i="3" l="1"/>
  <c r="G4" i="3"/>
  <c r="H3" i="3"/>
  <c r="H2" i="3"/>
  <c r="F92" i="2"/>
  <c r="H11" i="3"/>
  <c r="J11" i="3" s="1"/>
  <c r="H10" i="3"/>
  <c r="J10" i="3" s="1"/>
  <c r="Z7" i="2"/>
  <c r="Y7" i="2"/>
  <c r="H8" i="3" s="1"/>
  <c r="H88" i="3" s="1"/>
  <c r="N7" i="2"/>
  <c r="L7" i="2"/>
  <c r="I8" i="3" s="1"/>
  <c r="E4" i="2"/>
  <c r="D4" i="2"/>
  <c r="E3" i="2"/>
  <c r="I88" i="3" l="1" a="1"/>
  <c r="I88" i="3" s="1"/>
  <c r="I89" i="3"/>
  <c r="J89" i="2"/>
  <c r="AA90" i="3" s="1"/>
  <c r="K8" i="3"/>
  <c r="K88" i="3" s="1"/>
  <c r="N39" i="3"/>
  <c r="I89" i="2"/>
  <c r="AA89" i="3" s="1"/>
  <c r="E101" i="3"/>
  <c r="N59" i="3"/>
  <c r="N14" i="3"/>
  <c r="L14" i="3"/>
  <c r="L52" i="3"/>
  <c r="H91" i="2"/>
  <c r="G89" i="3" s="1"/>
  <c r="L28" i="3"/>
  <c r="J8" i="3"/>
  <c r="L18" i="3"/>
  <c r="N31" i="3"/>
  <c r="N52" i="3"/>
  <c r="L56" i="3"/>
  <c r="L31" i="3"/>
  <c r="L36" i="3"/>
  <c r="N18" i="3"/>
  <c r="N48" i="3"/>
  <c r="M56" i="3"/>
  <c r="N56" i="3"/>
  <c r="L59" i="3"/>
  <c r="N36" i="3"/>
  <c r="L8" i="3"/>
  <c r="L48" i="3"/>
  <c r="M48" i="3"/>
  <c r="AC22" i="3"/>
  <c r="M18" i="3"/>
  <c r="M31" i="3"/>
  <c r="J95" i="3" l="1"/>
  <c r="J89" i="3"/>
  <c r="J91" i="2"/>
  <c r="K89" i="3" s="1"/>
  <c r="K91" i="3" s="1"/>
  <c r="I91" i="2"/>
  <c r="H89" i="3" s="1"/>
  <c r="H91" i="3" s="1"/>
  <c r="I101" i="3" s="1"/>
  <c r="L101" i="3" s="1"/>
  <c r="M8" i="3"/>
  <c r="C89" i="3"/>
  <c r="I91" i="3"/>
  <c r="J91" i="3"/>
  <c r="M21" i="3"/>
  <c r="N21" i="3"/>
  <c r="J88" i="3" a="1"/>
  <c r="J88" i="3" s="1"/>
  <c r="L21" i="3"/>
  <c r="N8" i="3"/>
  <c r="N28" i="3"/>
  <c r="M28" i="3"/>
  <c r="M52" i="3"/>
  <c r="M14" i="3"/>
  <c r="M59" i="3"/>
  <c r="M36" i="3"/>
  <c r="AA1" i="3"/>
  <c r="I109" i="3" l="1"/>
  <c r="E109" i="3"/>
  <c r="K95" i="3"/>
  <c r="L95" i="3" s="1"/>
  <c r="K99" i="3"/>
  <c r="L99" i="3" s="1"/>
  <c r="D89" i="3"/>
  <c r="J98" i="3"/>
  <c r="L98" i="3" s="1"/>
  <c r="I97" i="3"/>
  <c r="L97" i="3" s="1"/>
  <c r="H96" i="3"/>
  <c r="L109" i="3" l="1"/>
  <c r="L9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bentj</author>
    <author>BentJ</author>
  </authors>
  <commentList>
    <comment ref="H3" authorId="0" shapeId="0" xr:uid="{7D5DA466-3123-4DA0-A7D7-9EDCC89FFF91}">
      <text>
        <r>
          <rPr>
            <sz val="9"/>
            <color indexed="81"/>
            <rFont val="Arial"/>
            <family val="2"/>
          </rPr>
          <t>Link to quick Scoring Instructions for Supplier Self-Audit</t>
        </r>
        <r>
          <rPr>
            <sz val="8"/>
            <color indexed="81"/>
            <rFont val="Tahoma"/>
            <family val="2"/>
          </rPr>
          <t xml:space="preserve">
</t>
        </r>
      </text>
    </comment>
    <comment ref="I3" authorId="0" shapeId="0" xr:uid="{00000000-0006-0000-0100-000002000000}">
      <text>
        <r>
          <rPr>
            <sz val="9"/>
            <color indexed="81"/>
            <rFont val="Arial"/>
            <family val="2"/>
          </rPr>
          <t>Link to quick Scoring Instructions for Vertiv On-site Audit</t>
        </r>
      </text>
    </comment>
    <comment ref="J3" authorId="0" shapeId="0" xr:uid="{00000000-0006-0000-0100-000003000000}">
      <text>
        <r>
          <rPr>
            <sz val="9"/>
            <color indexed="81"/>
            <rFont val="Arial"/>
            <family val="2"/>
          </rPr>
          <t>Link to quick Scoring Instructions for Vertiv</t>
        </r>
      </text>
    </comment>
    <comment ref="K3" authorId="1" shapeId="0" xr:uid="{22421472-F280-4AF3-8627-CBF96C7DF6FC}">
      <text>
        <r>
          <rPr>
            <sz val="9"/>
            <color indexed="81"/>
            <rFont val="Arial"/>
            <family val="2"/>
          </rPr>
          <t>Enter Findings or Observations when On-Site Audit Scores are less than 70.</t>
        </r>
      </text>
    </comment>
    <comment ref="L3" authorId="1" shapeId="0" xr:uid="{00000000-0006-0000-0100-000004000000}">
      <text>
        <r>
          <rPr>
            <sz val="9"/>
            <color indexed="81"/>
            <rFont val="Arial"/>
            <family val="2"/>
          </rPr>
          <t>Type "Y" if there is a Finding. Type "N" if you are recoding an Observation.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bentj</author>
    <author xml:space="preserve"> </author>
  </authors>
  <commentList>
    <comment ref="L4" authorId="0" shapeId="0" xr:uid="{00000000-0006-0000-0200-000001000000}">
      <text>
        <r>
          <rPr>
            <sz val="9"/>
            <color indexed="81"/>
            <rFont val="Arial"/>
            <family val="2"/>
          </rPr>
          <t>Section Scroes; Simple average of the scores in each section (excluding "n/a").</t>
        </r>
      </text>
    </comment>
    <comment ref="C106" authorId="1" shapeId="0" xr:uid="{00000000-0006-0000-0200-000005000000}">
      <text>
        <r>
          <rPr>
            <sz val="9"/>
            <color indexed="81"/>
            <rFont val="Arial"/>
            <family val="2"/>
          </rPr>
          <t xml:space="preserve">Try to keep summary within 200 characters be clear and concise </t>
        </r>
      </text>
    </comment>
    <comment ref="C114" authorId="1" shapeId="0" xr:uid="{37E6D487-5596-4E81-896A-F1E436AB4DAF}">
      <text>
        <r>
          <rPr>
            <sz val="9"/>
            <color indexed="81"/>
            <rFont val="Arial"/>
            <family val="2"/>
          </rPr>
          <t xml:space="preserve"> Try to keep summary within 200 characters be clear and concise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bentj</author>
    <author>BentJ</author>
    <author>winterr11513</author>
  </authors>
  <commentList>
    <comment ref="H3" authorId="0" shapeId="0" xr:uid="{00000000-0006-0000-0400-000001000000}">
      <text>
        <r>
          <rPr>
            <sz val="9"/>
            <color indexed="81"/>
            <rFont val="Arial"/>
            <family val="2"/>
          </rPr>
          <t>Link to quick Scoring Instructions</t>
        </r>
        <r>
          <rPr>
            <sz val="8"/>
            <color indexed="81"/>
            <rFont val="Tahoma"/>
            <family val="2"/>
          </rPr>
          <t xml:space="preserve">
</t>
        </r>
      </text>
    </comment>
    <comment ref="I3" authorId="0" shapeId="0" xr:uid="{00000000-0006-0000-0400-000002000000}">
      <text>
        <r>
          <rPr>
            <sz val="9"/>
            <color indexed="81"/>
            <rFont val="Arial"/>
            <family val="2"/>
          </rPr>
          <t>Link to quick Scoring Instructions</t>
        </r>
      </text>
    </comment>
    <comment ref="K3" authorId="1" shapeId="0" xr:uid="{00000000-0006-0000-0400-000003000000}">
      <text>
        <r>
          <rPr>
            <sz val="9"/>
            <color indexed="81"/>
            <rFont val="Arial"/>
            <family val="2"/>
          </rPr>
          <t>Type "Y" if there is a Finding. Type "N" if you are recoding an Observation.</t>
        </r>
      </text>
    </comment>
    <comment ref="G22" authorId="2" shapeId="0" xr:uid="{00000000-0006-0000-0400-00000D000000}">
      <text>
        <r>
          <rPr>
            <sz val="9"/>
            <color indexed="81"/>
            <rFont val="Tahoma"/>
            <family val="2"/>
          </rPr>
          <t>Pass/fail remarks
Risk assessment
Comments, recommended mitigation actions</t>
        </r>
      </text>
    </comment>
  </commentList>
</comments>
</file>

<file path=xl/sharedStrings.xml><?xml version="1.0" encoding="utf-8"?>
<sst xmlns="http://schemas.openxmlformats.org/spreadsheetml/2006/main" count="1087" uniqueCount="708">
  <si>
    <t>VSAC-Report-Template-2021 V1c</t>
  </si>
  <si>
    <t>Red text = Required</t>
  </si>
  <si>
    <t>Supplier to complete
light-green cells</t>
  </si>
  <si>
    <t>Vertiv to complete
light-yellow cells</t>
  </si>
  <si>
    <t>Vertiv Supplier Audit Checklist</t>
  </si>
  <si>
    <t>Supplier Profile &amp; Audit Plan</t>
  </si>
  <si>
    <t>1.0  SUPPLIER PROFILE   (Supplier to Complete)</t>
  </si>
  <si>
    <t>Supplier (Company name)</t>
  </si>
  <si>
    <t>Facility Address</t>
  </si>
  <si>
    <t>Facility Address (cont)</t>
  </si>
  <si>
    <t>City</t>
  </si>
  <si>
    <t>State / Province</t>
  </si>
  <si>
    <t>Country</t>
  </si>
  <si>
    <t>Mail/PIN Code</t>
  </si>
  <si>
    <t xml:space="preserve">Supplier's Telephone No. </t>
  </si>
  <si>
    <t>Supplier's Web-site</t>
  </si>
  <si>
    <t>Year Started Operations</t>
  </si>
  <si>
    <t>Other Location 1</t>
  </si>
  <si>
    <t>Other Location 2</t>
  </si>
  <si>
    <t>Other Location 3</t>
  </si>
  <si>
    <t>Name</t>
  </si>
  <si>
    <t>Phone</t>
  </si>
  <si>
    <t>email Address</t>
  </si>
  <si>
    <t>Supplier Contacts</t>
  </si>
  <si>
    <t>President</t>
  </si>
  <si>
    <t>Plant Manager</t>
  </si>
  <si>
    <t>Quality Manager</t>
  </si>
  <si>
    <t>Customer Service Manager</t>
  </si>
  <si>
    <t>Sales Manager</t>
  </si>
  <si>
    <t>Engineering Manager</t>
  </si>
  <si>
    <r>
      <t xml:space="preserve">Other - </t>
    </r>
    <r>
      <rPr>
        <i/>
        <sz val="9"/>
        <rFont val="Arial"/>
        <family val="2"/>
      </rPr>
      <t>Type Title here.</t>
    </r>
  </si>
  <si>
    <t>Annual Sales (USD)</t>
  </si>
  <si>
    <t>Capacity/Year (Units)</t>
  </si>
  <si>
    <t>Plant Size (total)</t>
  </si>
  <si>
    <t>Actual Capacity</t>
  </si>
  <si>
    <t>Total Employees</t>
  </si>
  <si>
    <t>Management</t>
  </si>
  <si>
    <t>QA Personnel</t>
  </si>
  <si>
    <t>Direct Labor</t>
  </si>
  <si>
    <t>Labor Union</t>
  </si>
  <si>
    <t>Contract Expiration</t>
  </si>
  <si>
    <t>Quality System Certification Status</t>
  </si>
  <si>
    <t>Quality Standard</t>
  </si>
  <si>
    <t>Location Certified</t>
  </si>
  <si>
    <t>Expiration Date</t>
  </si>
  <si>
    <t>ISO / TS Registrar</t>
  </si>
  <si>
    <t>Accreditation Body</t>
  </si>
  <si>
    <t>2.0  AUDIT PLAN  (Vertiv to Complete)</t>
  </si>
  <si>
    <t>Vertiv Region</t>
  </si>
  <si>
    <t>Supplier Self-Audit Date(mm/dd/yyyy)</t>
  </si>
  <si>
    <t>On-Site Audit Date (mm/dd/yyyy)</t>
  </si>
  <si>
    <t>Corrective Action Verification Date (mm/dd/yyyy)</t>
  </si>
  <si>
    <t>Commodity Family (Primary / Secondary)</t>
  </si>
  <si>
    <t>Supplier Code</t>
  </si>
  <si>
    <t>Purpose of Audit</t>
  </si>
  <si>
    <t>Project Reference</t>
  </si>
  <si>
    <t>Contact #1</t>
  </si>
  <si>
    <t>Contact #2</t>
  </si>
  <si>
    <t>Contact #3</t>
  </si>
  <si>
    <t>Contact #4</t>
  </si>
  <si>
    <t>Vertiv Contacts</t>
  </si>
  <si>
    <t>Title</t>
  </si>
  <si>
    <t>Contact Phone No.</t>
  </si>
  <si>
    <t>Email Address</t>
  </si>
  <si>
    <t>3.0  DOCUMENTATION NEEDED  (Vertiv to Complete)</t>
  </si>
  <si>
    <t>NOTES</t>
  </si>
  <si>
    <t xml:space="preserve"> REQUESTED</t>
  </si>
  <si>
    <t xml:space="preserve">RECEIVED </t>
  </si>
  <si>
    <t>Requested / Received</t>
  </si>
  <si>
    <t>x = submitted with self audit; typically 7 working days prior to audit
A = available at the time of the audit
TBD = as required by commodity</t>
  </si>
  <si>
    <t>Quality Manual (typically is policy manual - not work instructions)</t>
  </si>
  <si>
    <t>ISO / TS Certificate (must state registrar &amp; accreditation body)</t>
  </si>
  <si>
    <t>Supplier Profile (or similar form provided by auditing Division)</t>
  </si>
  <si>
    <t>Supplier Self-Audit (VSAC)</t>
  </si>
  <si>
    <t>Major Customers &amp; Competitors</t>
  </si>
  <si>
    <t>Test &amp; Inspection Equipment List</t>
  </si>
  <si>
    <t>Quality Organizational Chart</t>
  </si>
  <si>
    <t>Process Quality Control Plan</t>
  </si>
  <si>
    <t xml:space="preserve">Process Capability Study </t>
  </si>
  <si>
    <t>Reliability Test Plan</t>
  </si>
  <si>
    <t>Major Suppliers and Raw Materials List</t>
  </si>
  <si>
    <t>Regulatory Agency Certificates, as applicable</t>
  </si>
  <si>
    <t xml:space="preserve">Other (If Applicable) </t>
  </si>
  <si>
    <t>4.0  PERSONNEL INVOLVED IN AUDIT  (Vertiv to Complete)</t>
  </si>
  <si>
    <t>Vertiv Audit Team</t>
  </si>
  <si>
    <t>First Name</t>
  </si>
  <si>
    <t>Last Name</t>
  </si>
  <si>
    <t>First Name / Last Name / Title</t>
  </si>
  <si>
    <t>Lead Auditor</t>
  </si>
  <si>
    <t>Supplier Personnel</t>
  </si>
  <si>
    <t>Supplier Personnel Involved in Audit</t>
  </si>
  <si>
    <t>Hide</t>
  </si>
  <si>
    <t>Auditing Division</t>
  </si>
  <si>
    <t>Commodity Name</t>
  </si>
  <si>
    <t>AMER</t>
  </si>
  <si>
    <t>Cable &amp; Wire harness</t>
  </si>
  <si>
    <t>American Samoa</t>
  </si>
  <si>
    <t>EMEA</t>
  </si>
  <si>
    <t>Sheet Metal &amp; Enclosure</t>
  </si>
  <si>
    <t>Argentina</t>
  </si>
  <si>
    <t>CHINA</t>
  </si>
  <si>
    <t xml:space="preserve">Coil </t>
  </si>
  <si>
    <t>Australia</t>
  </si>
  <si>
    <t>INDIA</t>
  </si>
  <si>
    <t>Transformer</t>
  </si>
  <si>
    <t>Austria</t>
  </si>
  <si>
    <t>ROA</t>
  </si>
  <si>
    <t>EMS (PCBA)</t>
  </si>
  <si>
    <t>Azerbaijan</t>
  </si>
  <si>
    <t>Battery</t>
  </si>
  <si>
    <t>Bahrain</t>
  </si>
  <si>
    <t>Fans And Blowers</t>
  </si>
  <si>
    <t>Belarus</t>
  </si>
  <si>
    <t>Compressor</t>
  </si>
  <si>
    <t>Belgium</t>
  </si>
  <si>
    <t>Bus Bar</t>
  </si>
  <si>
    <t>Bermuda</t>
  </si>
  <si>
    <t>Casting: Aluminum/Zinc</t>
  </si>
  <si>
    <t>Bolivia</t>
  </si>
  <si>
    <t>Casting: Ductile Iron</t>
  </si>
  <si>
    <t>Brazil</t>
  </si>
  <si>
    <t>Casting: Grey Iron</t>
  </si>
  <si>
    <t>Brunei Darussalam</t>
  </si>
  <si>
    <t>Casting: Malleable Iron</t>
  </si>
  <si>
    <t>Bulgaria</t>
  </si>
  <si>
    <t>Casting: Other</t>
  </si>
  <si>
    <t>Canada</t>
  </si>
  <si>
    <t>Casting: Sst/Alloy</t>
  </si>
  <si>
    <t>China</t>
  </si>
  <si>
    <t>Casting: Steel/Sst</t>
  </si>
  <si>
    <t>Colombia</t>
  </si>
  <si>
    <t>Circuit Breaker</t>
  </si>
  <si>
    <t>Costa Rica</t>
  </si>
  <si>
    <t>Component: Other</t>
  </si>
  <si>
    <t>Croatia</t>
  </si>
  <si>
    <t>Computer System</t>
  </si>
  <si>
    <t>Czech Republic</t>
  </si>
  <si>
    <t>Connector</t>
  </si>
  <si>
    <t>Democratic Republic Of Korea</t>
  </si>
  <si>
    <t>Contact Point</t>
  </si>
  <si>
    <t>Denmark</t>
  </si>
  <si>
    <t>Crml/Electrical Steel Product</t>
  </si>
  <si>
    <t>Egypt</t>
  </si>
  <si>
    <t>Diesel Engine</t>
  </si>
  <si>
    <t>Eritrea</t>
  </si>
  <si>
    <t>Electrical Frequency Parts</t>
  </si>
  <si>
    <t>Estonia</t>
  </si>
  <si>
    <t>Electrical Parts And Hardware</t>
  </si>
  <si>
    <t>Finland</t>
  </si>
  <si>
    <t>Electrical/Electro-Magnetic Coil</t>
  </si>
  <si>
    <t>France</t>
  </si>
  <si>
    <t>Electrical/Mechanical Subsytem</t>
  </si>
  <si>
    <t>Gabon</t>
  </si>
  <si>
    <t>Electrical: Other</t>
  </si>
  <si>
    <t>Germany</t>
  </si>
  <si>
    <t>Electronics / Electrical Assemblies</t>
  </si>
  <si>
    <t>Greece</t>
  </si>
  <si>
    <t>Electronics: Miscellaneous</t>
  </si>
  <si>
    <t>Hong Kong</t>
  </si>
  <si>
    <t>Packaging</t>
  </si>
  <si>
    <t>Hungary</t>
  </si>
  <si>
    <t>Equipment</t>
  </si>
  <si>
    <t>India</t>
  </si>
  <si>
    <t>Expendable Tooling</t>
  </si>
  <si>
    <t>Indonesia</t>
  </si>
  <si>
    <t>Fastener</t>
  </si>
  <si>
    <t>Ireland</t>
  </si>
  <si>
    <t>Fiberglass</t>
  </si>
  <si>
    <t>Israel</t>
  </si>
  <si>
    <t>Forging</t>
  </si>
  <si>
    <t>Italy</t>
  </si>
  <si>
    <t>Fuse</t>
  </si>
  <si>
    <t>Japan</t>
  </si>
  <si>
    <t>Gasket</t>
  </si>
  <si>
    <t>Jordan</t>
  </si>
  <si>
    <t>Gauge And Instrument</t>
  </si>
  <si>
    <t>Kazakhstan</t>
  </si>
  <si>
    <t>Heat Sink</t>
  </si>
  <si>
    <t>Kuwait</t>
  </si>
  <si>
    <t>Heater</t>
  </si>
  <si>
    <t>Liechtenstein</t>
  </si>
  <si>
    <t>Industrial Chemical</t>
  </si>
  <si>
    <t>Lithuania</t>
  </si>
  <si>
    <t>Insulation Material</t>
  </si>
  <si>
    <t>Luxembourg</t>
  </si>
  <si>
    <t>Label, Custom &amp; Stock</t>
  </si>
  <si>
    <t>Macao</t>
  </si>
  <si>
    <t>Linear Ic</t>
  </si>
  <si>
    <t>Malaysia</t>
  </si>
  <si>
    <t>Logic</t>
  </si>
  <si>
    <t>Malta</t>
  </si>
  <si>
    <t>Lubricant</t>
  </si>
  <si>
    <t>Mauritius</t>
  </si>
  <si>
    <t>Machine Tool</t>
  </si>
  <si>
    <t>Mexico</t>
  </si>
  <si>
    <t>Machined Part</t>
  </si>
  <si>
    <t>Morocco</t>
  </si>
  <si>
    <t>Memory</t>
  </si>
  <si>
    <t>Netherlands</t>
  </si>
  <si>
    <t>Metal Material: Aluminum</t>
  </si>
  <si>
    <t>Netherlands Antilles</t>
  </si>
  <si>
    <t>Metal Material: Copper And Brass</t>
  </si>
  <si>
    <t>New Zealand</t>
  </si>
  <si>
    <t>Metal Material: Other</t>
  </si>
  <si>
    <t>Nigeria</t>
  </si>
  <si>
    <t>Microcontroller</t>
  </si>
  <si>
    <t>Norway</t>
  </si>
  <si>
    <t>Motor And Pump</t>
  </si>
  <si>
    <t>Oman</t>
  </si>
  <si>
    <t>Motor Fuel</t>
  </si>
  <si>
    <t>Pakistan</t>
  </si>
  <si>
    <t>Optoelectronic Device</t>
  </si>
  <si>
    <t>Panama</t>
  </si>
  <si>
    <t>Papua New Guinea</t>
  </si>
  <si>
    <t>Paint</t>
  </si>
  <si>
    <t>Peru</t>
  </si>
  <si>
    <t>Pcb: Bare Board</t>
  </si>
  <si>
    <t>Philippines</t>
  </si>
  <si>
    <t>Pipe, Valve, And Fitting</t>
  </si>
  <si>
    <t>Poland</t>
  </si>
  <si>
    <t>Plastic Part</t>
  </si>
  <si>
    <t>Portugal</t>
  </si>
  <si>
    <t>Plastic Resin</t>
  </si>
  <si>
    <t>Puerto Rico</t>
  </si>
  <si>
    <t>Plating Material</t>
  </si>
  <si>
    <t>Qatar</t>
  </si>
  <si>
    <t>Powdered Metal Part</t>
  </si>
  <si>
    <t>Republic Of Korea</t>
  </si>
  <si>
    <t>Power Semiconductor</t>
  </si>
  <si>
    <t>Romania</t>
  </si>
  <si>
    <t>Power Switching</t>
  </si>
  <si>
    <t>Russian Federation</t>
  </si>
  <si>
    <t>Processor</t>
  </si>
  <si>
    <t>Saudi Arabia</t>
  </si>
  <si>
    <t>Purchased Tool, Part, And Assembly</t>
  </si>
  <si>
    <t>Serbia</t>
  </si>
  <si>
    <t>Raw Material: Other</t>
  </si>
  <si>
    <t>Singapore</t>
  </si>
  <si>
    <t>Relay</t>
  </si>
  <si>
    <t>Slovakia</t>
  </si>
  <si>
    <t>Resistor</t>
  </si>
  <si>
    <t>Slovenia</t>
  </si>
  <si>
    <t>Rubber Part</t>
  </si>
  <si>
    <t>South Africa</t>
  </si>
  <si>
    <t>Scrap</t>
  </si>
  <si>
    <t>Spain</t>
  </si>
  <si>
    <t>Scrap And Ingot</t>
  </si>
  <si>
    <t>Swaziland</t>
  </si>
  <si>
    <t>Semiconductor: Discrete Component</t>
  </si>
  <si>
    <t>Sweden</t>
  </si>
  <si>
    <t>Small Signal</t>
  </si>
  <si>
    <t>Switzerland</t>
  </si>
  <si>
    <t>Spring</t>
  </si>
  <si>
    <t>Taiwan</t>
  </si>
  <si>
    <t>Stainless Product</t>
  </si>
  <si>
    <t>Thailand</t>
  </si>
  <si>
    <t>Stamping</t>
  </si>
  <si>
    <t>Tunisia</t>
  </si>
  <si>
    <t>Subcontract Service Or Manufacturing</t>
  </si>
  <si>
    <t>Turkey</t>
  </si>
  <si>
    <t>Switch</t>
  </si>
  <si>
    <t>Ukraine</t>
  </si>
  <si>
    <t>Thermostat</t>
  </si>
  <si>
    <t>United Arab Emirates</t>
  </si>
  <si>
    <t>Transportation</t>
  </si>
  <si>
    <t>United Kingdom</t>
  </si>
  <si>
    <t>Unknown Family</t>
  </si>
  <si>
    <t>United States</t>
  </si>
  <si>
    <t>Wire Form Or Wire Cloth</t>
  </si>
  <si>
    <t>Unknown</t>
  </si>
  <si>
    <t>Venezuela</t>
  </si>
  <si>
    <t>Vietnam</t>
  </si>
  <si>
    <t>Virgin Islands, British</t>
  </si>
  <si>
    <t>Not
Applicable</t>
  </si>
  <si>
    <t>Not Verified</t>
  </si>
  <si>
    <t>Correct Row Order</t>
    <phoneticPr fontId="73" type="noConversion"/>
  </si>
  <si>
    <t>Hide &gt;&gt;</t>
  </si>
  <si>
    <t>Supplier Self-Audit</t>
  </si>
  <si>
    <t>Status</t>
  </si>
  <si>
    <t>&lt;&lt; Hide</t>
  </si>
  <si>
    <t>On-Site Audit</t>
  </si>
  <si>
    <t>Open</t>
  </si>
  <si>
    <t>STANDARD CHECKLIST</t>
  </si>
  <si>
    <t>Supplier Self Audit SCORE</t>
  </si>
  <si>
    <t>On-Site Audit SCORE</t>
  </si>
  <si>
    <t>After CA Verif. SCORE</t>
  </si>
  <si>
    <t>AUDIT FINDINGS &amp; OBSERVATIONS</t>
  </si>
  <si>
    <r>
      <t xml:space="preserve">Supplier CA Req'd?
</t>
    </r>
    <r>
      <rPr>
        <i/>
        <sz val="9"/>
        <rFont val="Arial"/>
        <family val="2"/>
      </rPr>
      <t>(Y / N)</t>
    </r>
  </si>
  <si>
    <r>
      <t xml:space="preserve">Completion Date
</t>
    </r>
    <r>
      <rPr>
        <i/>
        <sz val="9"/>
        <rFont val="Arial"/>
        <family val="2"/>
      </rPr>
      <t>(mm/dd/yyyy)</t>
    </r>
  </si>
  <si>
    <t>CA Status</t>
  </si>
  <si>
    <t>ROOT CAUSE 
&amp; Scope of Problem Including Other Areas</t>
  </si>
  <si>
    <t>REMEDIAL ACTION
Immediate Actions Taken to Address Issue / Finding</t>
  </si>
  <si>
    <t>CORRECTIVE ACTION 
Taken to Address Root Cause &amp; Prevent Recurrence</t>
  </si>
  <si>
    <t>PREVENTIVE ACTION
Actions Taken to Prevent Similar Issues in Other Areas</t>
  </si>
  <si>
    <t>CONTROLS
Deployed to Monitor CA/PA Effectiveness</t>
  </si>
  <si>
    <t>Supp. Score (w/o n/a's)</t>
  </si>
  <si>
    <t>On-Site Score (w/o n/a's)</t>
  </si>
  <si>
    <t>After Verif .Score (w/o n/a's)</t>
  </si>
  <si>
    <t>Adjusted</t>
  </si>
  <si>
    <t>Closed</t>
  </si>
  <si>
    <t>&lt;blank&gt;</t>
  </si>
  <si>
    <t>Requirements</t>
  </si>
  <si>
    <t>Typical Objective Evidence</t>
  </si>
  <si>
    <t>Go to: Findings</t>
  </si>
  <si>
    <t>Go to: Corrective Actions</t>
  </si>
  <si>
    <t>Go to: Scoring Guidelines</t>
  </si>
  <si>
    <t>Go to: Corrective Action Instructions</t>
  </si>
  <si>
    <t>Bottom</t>
  </si>
  <si>
    <t>1.0  QUALITY MANAGEMENT</t>
    <phoneticPr fontId="73" type="noConversion"/>
  </si>
  <si>
    <t>The quality system is documented, controlled, and maintained to clearly describe current practice. Documented procedures required. Records required.</t>
  </si>
  <si>
    <t>Quality manual and all QS procedures show revision control (sign-offs &amp; dates), history of changes.</t>
  </si>
  <si>
    <t xml:space="preserve">Organizational development with roles and responsibilities should  be in place to support business strategy and operations. Quality function should be clear. </t>
  </si>
  <si>
    <t xml:space="preserve">Business strategy (or plan), organization chart. </t>
  </si>
  <si>
    <t>Quality reports, trend charts and data analysis identify areas of opportunity and are used by management on a routine basis.  Records required.</t>
  </si>
  <si>
    <r>
      <t xml:space="preserve">Product quality yield data, top problems and corresponding improvement actions, status of preventive/corrective actions taken, internal audit results, </t>
    </r>
    <r>
      <rPr>
        <sz val="9"/>
        <color theme="1"/>
        <rFont val="Arial"/>
        <family val="2"/>
      </rPr>
      <t>records of customer quality issues and resolution</t>
    </r>
  </si>
  <si>
    <t xml:space="preserve">Quality performance targets are clearly defined, included in the business plan and monitored for improvements. </t>
  </si>
  <si>
    <t xml:space="preserve">Strategic and tactical objectives, goals, action plans, etc.  </t>
  </si>
  <si>
    <t>Quality records are maintained. A record control system is in place for the identification, storage, protection, retrieval, retention time, and disposition of quality records.</t>
  </si>
  <si>
    <t>Procedures, list of records to be kept with retention periods specified</t>
  </si>
  <si>
    <t>Executive management participates in periodic quality system reviews that address quality related feedback from customers and internal quality metrics. Records required.</t>
  </si>
  <si>
    <r>
      <t xml:space="preserve">Analysis of field failures, inspection yields, resource needs, internal audit results, corrective action status, etc. </t>
    </r>
    <r>
      <rPr>
        <sz val="9"/>
        <color theme="1"/>
        <rFont val="Arial"/>
        <family val="2"/>
      </rPr>
      <t>Evidence of regularly scheduled executive management review of performance</t>
    </r>
  </si>
  <si>
    <t>2.0  CONTINUOUS IMPROVEMENT</t>
  </si>
  <si>
    <t>Improvement actions are taken based on the analysis of significant business trends, design reviews, customer satisfaction surveys or other meaningful inputs. Documented procedures required. Records required.</t>
  </si>
  <si>
    <t>Management review meetings, goal setting, performance measurement, internal audits, action plans, customer surveys</t>
  </si>
  <si>
    <t>A formal approach is used to actively pursue cost containment and other continual improvement activities throughout the organization.  Documented procedures required. Records required.</t>
  </si>
  <si>
    <t>Employee involvement / recognition program, Lean, Six Sigma, kaizen, SIC, 5-S, cost reduction program, preventive actions</t>
  </si>
  <si>
    <t>A corrective action system is in place that provides root cause analysis and takes timely and effective action to prevent recurrence.  Documented procedures required. Records required.</t>
  </si>
  <si>
    <t>Corrective action records, trend charts, meeting minutes, nonconformance frequency &amp; cost analysis. Does CA system cover customer, internal &amp; supplier issues?</t>
  </si>
  <si>
    <t>Contingency plans (risk mitigation) have been developed that describe actions to be taken in the event of a major interruption of facility and / or the manufacturing process.</t>
  </si>
  <si>
    <t xml:space="preserve">Process covering natural disasters, utility interruptions, labor shortages, key equipment failures, major production issues. </t>
  </si>
  <si>
    <t>3.0  COMPETENCE DEVELOPMENT</t>
  </si>
  <si>
    <t>The skill and education level required for each job is documented and appropriate training / re-training is provided. Records required.</t>
  </si>
  <si>
    <t>Job descriptions, job skills assessment, training records, training manuals. Look for use of training aids &amp; work instructions at work stations.</t>
  </si>
  <si>
    <t>Employee qualification / certification is maintained where the quality outcome of the process cannot be verified and is strongly dependent upon operator skill. Records required.</t>
  </si>
  <si>
    <t>Qualification records, certification history, etc.</t>
  </si>
  <si>
    <t>Suitable methods are used to verify training effectiveness. Records required.</t>
  </si>
  <si>
    <t>Records of student testing, production quality records, audit records, interview workers to validate training records. Look for use of training aids &amp; work instructions at work stations.</t>
  </si>
  <si>
    <t>4.0  DESIGN AND DEVELOPMENT OF PRODUCTS AND SERVICES</t>
  </si>
  <si>
    <t>Customer needs and requirements are incorporated into product designs and/or manufacturing processes. Critical-to-Quality (CTQ) characteristics are identified and understood. Records required.</t>
  </si>
  <si>
    <t xml:space="preserve">Market studies, customer/end-user surveys, technical design reviews, mfg process capability studies, formal process qualification plan, manufacturing verification tests, pilot runs, 
Procedures, design / process review minutes, FMEA's, etc. </t>
  </si>
  <si>
    <t>Product specifications and drawings are generated, controlled and maintained for new or changed product designs. Records required.</t>
  </si>
  <si>
    <t>Complete product characteristics,  application requirements, and other information essential for its safe and proper use and eventual disposal, etc.</t>
  </si>
  <si>
    <t>Design validation is an integral part of the design process and occurs prior to production release.Approval mechanism is clear. Records required.</t>
  </si>
  <si>
    <t>Design results, manufacturability, productivity and cost studies, confirmation that product fulfills its specified  requirements or intended use or applications, design-FMEA, etc.</t>
  </si>
  <si>
    <t xml:space="preserve">Human and technical resources are adequate to meet Vertiv’s requirements for design collaboration, tooling design and electronic drawing and data exchange. NPI project team is clearly developed. </t>
  </si>
  <si>
    <t>Qualification of technical staff.  Equipment/software capabilities; CAD, PRO-E, etc.
Experience, equipment and technical knowledge for products to be produced for Vertiv
NPI project organization chart</t>
  </si>
  <si>
    <t xml:space="preserve">New and revised customer specifications are reviewed and implemented in a timely manner. </t>
  </si>
  <si>
    <t>Technical review of methods to be used, capability studies on similar parts, documented review procedure, PPAP process, APQP (e.g. DFA, design reviews, process quality system review, packaging evaluation, etc)</t>
  </si>
  <si>
    <t>Process and quality control documents are well in place and used for production start-up, as important deliverables transisioning from NPI to production ramp up.</t>
  </si>
  <si>
    <t>Customer specifications, engineering drawings, change notices, work instructions and specifications as applicable, documented procedures</t>
  </si>
  <si>
    <t>Customer notification / approval occurs for changes to Control Plans, manufacturing site, product transfers, raw material or product obsolescence. Records required.</t>
  </si>
  <si>
    <t>Customer notification procedure/evidence on major changes, signed material / process change requests</t>
  </si>
  <si>
    <t>5.0  QUALITY PLANNING</t>
  </si>
  <si>
    <t>Production samples are inspected and provided to customers upon request. Records required.</t>
  </si>
  <si>
    <t>Completed PPAP or similar forms, inspection reports, availability of qualified resources</t>
  </si>
  <si>
    <t>Reliability test plans are developed and routinely followed. Testing is used to verify design spec's, drive design improvements and provide an on-going check of materials and workmanship. Documented procedures required. Records required.</t>
  </si>
  <si>
    <t>Reliability test plans, test reports, improvement/corrective actions taken, design changes implemented</t>
  </si>
  <si>
    <t>Product reliability test data is available upon request and historical test performance data shows a highly stable process and product design. Records required.</t>
  </si>
  <si>
    <t>Reliability test summary reports/charts</t>
  </si>
  <si>
    <t>6.0  PROCUREMENT</t>
  </si>
  <si>
    <t>A formal process is used for the selection, qualification and re-qualification of suppliers. Records required.</t>
  </si>
  <si>
    <t>Supplier quality system audits and related corrective actions, engineering testing and approval records, plant production trials</t>
  </si>
  <si>
    <t>Purchases from unapproved suppliers are prevented by a properly controlled and available Approved Supplier List (ASL). Records required.</t>
  </si>
  <si>
    <r>
      <t>ASL, procedures for control and use of ASL, production material receipt records, c</t>
    </r>
    <r>
      <rPr>
        <sz val="9"/>
        <color theme="1"/>
        <rFont val="Arial"/>
        <family val="2"/>
      </rPr>
      <t>ounterfeit part prevention measures in place as appropriate/applicable</t>
    </r>
  </si>
  <si>
    <t>Improvement actions are taken to continuously improve performance of the supplier base. Records required.</t>
  </si>
  <si>
    <t>Supplier performance analysis (e.g. delivery, quality, cost, technology, etc), performance trends, supplier audit reports, Inflation Model, documented goals regarding raw material cost containment</t>
  </si>
  <si>
    <t xml:space="preserve">A supplier quality assurance system ensures that all purchased product or material conforms to defined specifications and applicable regulatory or customer requirements. Records required. </t>
  </si>
  <si>
    <t>Receiving inspection, supplier audits, source inspection, qualification testing, Certificate of Compliance (COC), component marking, labeling, etc.</t>
  </si>
  <si>
    <t>A system exists for the identification, verification and protection of customer supplied product that includes notifying the customer if product is damaged or lost. Records required.</t>
  </si>
  <si>
    <t>Procedures, segregation during storage, limited and controlled access to stored inventories</t>
  </si>
  <si>
    <t>7.0  INCOMING MATERIAL</t>
  </si>
  <si>
    <t>Receiving inspection is performed per documented procedures and detailed work instructions. Records required.</t>
  </si>
  <si>
    <t>Procedures, inspection instructions resources (manpower and equipment) allocated for incoming inspection</t>
  </si>
  <si>
    <t>Inspected material is adequately identified as to acceptance or rejection and traceable to receiving inspection report. Records required.</t>
  </si>
  <si>
    <r>
      <t>Quality Control  label, marking or use of designated hold area as indicated in the procedure, a</t>
    </r>
    <r>
      <rPr>
        <sz val="9"/>
        <color theme="1"/>
        <rFont val="Arial"/>
        <family val="2"/>
      </rPr>
      <t>dherence to FIFO practices</t>
    </r>
  </si>
  <si>
    <t>Supplier corrective action requests require root cause investigation and records show responses are analyzed. Documented procedures required. Records required.</t>
  </si>
  <si>
    <t>Availability of written procedure, standardized Corrective Action form, analysis of corrective action cycle time and closure measurements</t>
  </si>
  <si>
    <t>8.0  MANUFACTURING QUALITY</t>
  </si>
  <si>
    <t xml:space="preserve">There is a formal method used to qualify new or rebuilt production equipment prior to production use. </t>
  </si>
  <si>
    <t xml:space="preserve">Qualification plan that includes established goals for process yields/up-time, etc. and record of process capability, review and approval, etc. </t>
  </si>
  <si>
    <t xml:space="preserve">Control Plans are used to plan and deploy inspection and test functions throughout the production process. </t>
  </si>
  <si>
    <t>Process flow diagram, statistical tools to be used, key inspection points, inspection frequency, records, control responsibility, inspection/test method, gaging used, acceptable yield rates</t>
  </si>
  <si>
    <t xml:space="preserve">Appropriate work instructions are available where needed that accurately describe all work methods including inspections and tests to be done during production. </t>
  </si>
  <si>
    <t>Sample size, frequency, method, document control dates/revision level, etc. Handling procedures for Electro-Static Discharge (ESD)</t>
  </si>
  <si>
    <t>Appropriate inspections, tests and process adjustments are made per applicable work instructions to verify conformance at key points throughout the process and prior to shipment. Records required.</t>
  </si>
  <si>
    <t>Records of inspections performed at incoming, first piece, in-process and/or final inspection or test.  Capability study, material test</t>
  </si>
  <si>
    <t>The inspection and process status of product is identified and maintained throughout the production process. Records required.</t>
  </si>
  <si>
    <t>Batch records, travelers, tags, labels, product markings or use of designated &amp; identified areas.</t>
  </si>
  <si>
    <t xml:space="preserve">Customers are notified of low yield production lots or issues that affect product reliability.
There is a positive recall system to notify customers of nonconforming product that has already been shipped. </t>
  </si>
  <si>
    <t>Corrective actions, records of customer notifications, reliability test data, etc, documented procedure, records of communication required</t>
  </si>
  <si>
    <t>Key part characteristics and process parameters are reviewed and statistically based controls and/or problem solving tools are used to control variation.</t>
  </si>
  <si>
    <t xml:space="preserve">Histograms, run charts, SPC charts, pareto analysis, cause &amp; effect diagrams, DOE, mistake proofing, documented reaction plan &amp; process corrections. </t>
  </si>
  <si>
    <t>Written improvement plans are implemented to reduce sources of variation. 
Out of control conditions are noted on charts and documented corrective action is taken to bring the process back into control. Documented procedures required. Records required.</t>
  </si>
  <si>
    <t>Documented reaction plan &amp; process corrections. SPC trend charts showing current status vs. goals. Improvement plan.
Control charts</t>
  </si>
  <si>
    <t>Process capability is measured and actions are taken to maintain established minimum Cpk/Ppk targets.</t>
  </si>
  <si>
    <t xml:space="preserve"> Documented process capability studies and results (actual vs target Cpk/Ppk)</t>
  </si>
  <si>
    <t>9.0  NONCONFORMITY CONTROL</t>
    <phoneticPr fontId="73" type="noConversion"/>
  </si>
  <si>
    <t>Nonconforming materials, parts and assemblies are segregated (where practical) and identified to prevent unapproved use. Documented procedures required. Records required.</t>
  </si>
  <si>
    <t xml:space="preserve">Tags, marking, controlled staging areas, etc. </t>
  </si>
  <si>
    <t>Reworked material, parts and assemblies are re-inspected or re-tested to confirm compliance to requirements.  Records required.</t>
  </si>
  <si>
    <t>Inspection record, tag, stamp, etc.</t>
  </si>
  <si>
    <t>Use of nonconforming material is documented under a formal waiver or concession system. Records required.</t>
  </si>
  <si>
    <t>Written procedure, waiver or concession records</t>
  </si>
  <si>
    <t>Product traceability is maintained (to the extent required by Vertiv) to facilitate problem evaluation and corrective action. Documented procedures required. Records required.</t>
  </si>
  <si>
    <t>Serial number records, lot number, date of manufacture, labeling and marking of containers or product, etc.</t>
  </si>
  <si>
    <t>10.0  MEASUREMENT EQUIPMENT</t>
  </si>
  <si>
    <t>Gage Repeatability &amp; Reproducibility studies are conducted to verify suitability of measuring devices for their use in checking product quality or control of processes. Records required.</t>
  </si>
  <si>
    <t>GR&amp;R studies, reports</t>
  </si>
  <si>
    <t>Measuring devices, gaging and test equipment are routinely calibrated (traceable to a recognized regulatory body or agency) and controlled per documented procedures. Records required.</t>
  </si>
  <si>
    <t xml:space="preserve">Gage calibration stickers, calibration records &amp; procedures, positive identification or segregation of out-of-calibration devices, and inventory, location &amp; status records, etc. </t>
  </si>
  <si>
    <t>Assessments are made to check the validity of previous measurements done on products where out-of-calibration measuring devices were used. Records required.</t>
  </si>
  <si>
    <t>Assessment records, corrective actions, etc.</t>
  </si>
  <si>
    <t>Appropriate controls are in place to verify the suitability and accuracy of computer software prior to initial use in checking product quality or control of processes. Software is re-verified when revised. Records required.</t>
  </si>
  <si>
    <t>Verification methods and records, revision levels, distribution/use control, etc.</t>
  </si>
  <si>
    <t>11.0  PREVENTIVE MAINTENANCE</t>
  </si>
  <si>
    <t>Tools are stored in an appropriate, clearly defined area, with systematic tracking that provide traceability, particularly of customer-owned tools and equipment. Records required.</t>
  </si>
  <si>
    <t>Review of storage area, labeling, tooling records</t>
  </si>
  <si>
    <t>A formal Preventive Maintenance system exists for production equipment, tools and fixtures.</t>
  </si>
  <si>
    <t>Review of system, PM plans, PM schedule and compliance results</t>
  </si>
  <si>
    <t>Preventive Maintenance schedule is followed. Product cannot be made with tools that are outside of maintenance period. Performance is audited.</t>
  </si>
  <si>
    <t>No equipment, tools, or fixtures are in use that are outside TPM schedule, or have unclear status</t>
  </si>
  <si>
    <t xml:space="preserve">12.0 STORAGE &amp; PACKAGING </t>
  </si>
  <si>
    <t>Areas around the facility are clean and orderly.  Tools and equipment are properly stored and readily available for use. Lighting and air quality are adequate.</t>
  </si>
  <si>
    <t>Observe production, office &amp; product storage areas for use of 5S/6S principles (Sort, Set-in-order, Shine, Standardize, Sustain + Safety)</t>
  </si>
  <si>
    <t xml:space="preserve">Proper equipment and methods are used to prevent product damage or loss in all phases of the material handling process.  </t>
  </si>
  <si>
    <t>Observe handling and transit of raw material, work-in-process, and finished goods.</t>
  </si>
  <si>
    <t xml:space="preserve">Documented procedures / evidence are followed to ensure proper control and preservation of handling, storage (FIFO), packaging, and delivery of product.  </t>
  </si>
  <si>
    <t>FIFO practices are defined, packaging specifications, test results, handling and storage procedures.</t>
  </si>
  <si>
    <t>Suitability of product packaging is reviewed and any concerns are communicated to the customer prior to initial production shipment. Packaging tests if required. Records required.</t>
  </si>
  <si>
    <t>Technical review, packaging / shipping tests, packaging work instructions, carton strength tests</t>
  </si>
  <si>
    <t>Stored product / material is periodically inspected, and where applicable, actions are taken to prevent deterioration per documented procedures.</t>
  </si>
  <si>
    <t>Doc'd list of shelf-life sensitive products / materials (e.g., sealants, adhesives, solder paste, paint/varnish, o'rings). Look for poor storage conditions &amp; damage (e.g., rust or water damage). Handling procedures for Electro-Static Discharge (ESD) &amp; other sensitive conditions.</t>
  </si>
  <si>
    <t>13.0  ENVIRONMENTAL</t>
  </si>
  <si>
    <t>A documented environmental policy exists that includes a commitment to comply with relevant environmental legislation and regulations and to continual improvement and pollution prevention.</t>
  </si>
  <si>
    <t>Environmental policy statement document</t>
  </si>
  <si>
    <t>There is an environmental management system that ensures compliance to all applicable government regulations and there are no outstanding, unresolved violations of these regulations.</t>
  </si>
  <si>
    <t>Records of agency/gov inspection or certification, doc'd procedures for measuring and monitoring environmentally sensitive activities w/ list of mtl's and areas where used, tracking of hazardous mtl's or waste.</t>
  </si>
  <si>
    <t>A system is in place to minimize the use, disposal and emissions of hazardous chemicals and to ensure that Class I ozone depleting chemicals are not used in the manufacturing process.</t>
  </si>
  <si>
    <t>Record of purchases, waste stream and consumption; inventory control procedures.</t>
  </si>
  <si>
    <t>An on-going emphasis is placed on using materials that are; compliant with applicable regulations like RoHS &amp; WEEE, biodegradable, recyclable, re-usable, reduces pollutant emissions at the point of use.</t>
  </si>
  <si>
    <t>Records / use of non-hazardous (RoHS/WEEE compliant) materials in production, biodegradable materials, returnable containers or packaging, recycling program, packaging materials made of recycled materials.</t>
  </si>
  <si>
    <t>14.0  OCCUPATIONAL HEALTH &amp; SAFETY</t>
  </si>
  <si>
    <t>The Occupation Health &amp; Safety (OHS) management system addresses the safety of personnel without comprising the achievement of product quality requirements.</t>
  </si>
  <si>
    <t>Procedure for OHS training, communications,  emergency preparedness and response, monitoring and performance measurements</t>
  </si>
  <si>
    <t xml:space="preserve">The Occupation Health &amp; Safety  (OHS) policy states the organization’s health and safety objectives and management's commitment to continual improvement of OHS metrics. </t>
  </si>
  <si>
    <t>Policies and procedures, health &amp; safety trend charts, accident rate improvement history, etc.</t>
  </si>
  <si>
    <t>Procedures are used for the on-going identification of hazards, the assessment of risks, and the implementation of necessary control measures.</t>
  </si>
  <si>
    <t>Safety committee or group meeting minutes, accident investigation reports, safety audit reports</t>
  </si>
  <si>
    <t>15.0 CORPORATE COMPLIANCE (ROHS)</t>
  </si>
  <si>
    <t>A RoHS compliance policy is documented and maintained that defines personnel responsibilities, requirements for material and process qualification, on-going compliance verification, manufacturing controls, declaration of compliance and records.</t>
  </si>
  <si>
    <t xml:space="preserve">Documented procedures that set requirements for planning, verification, on-going control, record keeping &amp; customer communications. Record the names and titles of the responsible personnel. </t>
  </si>
  <si>
    <t>Test methods are established for each RoHS controlled hazardous substance. Test sampling plan is based on analysis of risk for each commodity and/or manufacturing process used.</t>
  </si>
  <si>
    <t>Assessment of risk by part-type or manufacturing process used. Procedures, test methods, sampling plan, control plan.</t>
  </si>
  <si>
    <t>RoHS technical requirements and inspection criteria are documented and available where needed, e.g. solder fillet, tin whiskers.</t>
    <phoneticPr fontId="73" type="noConversion"/>
  </si>
  <si>
    <t>Test methods/procedures, tin whisker analysis instructions, XRF work instructions, QC audits, etc. Ref to Jedec/IPC Joint publication JP-002.</t>
  </si>
  <si>
    <t>Test methods and acceptance limits follow recognized standards and RoHS requirements.</t>
  </si>
  <si>
    <t>Acceptance limits do not exceed RoHS limits. References to recognized standard test protocols, such as, ISO, IEC, EPA.</t>
  </si>
  <si>
    <t>Incoming materials and finished goods are periodically tested with appropriate equipment to confirm RoHS compliance. Compliance declarations and test records are maintained for a minimum of 5 years.</t>
  </si>
  <si>
    <t>RoHS testing procedure, sampling plan/frequency, test records. Use of XRF analyzer, atomic absorption analyzer, UV-VIS equipment, etc.. Qualified independent chemical lab w/A2LA accreditation or equivalent.</t>
    <phoneticPr fontId="73" type="noConversion"/>
  </si>
  <si>
    <t xml:space="preserve">16.0 CORPORATE COMPLIANCE (REACH) </t>
  </si>
  <si>
    <t>REACH compliance policy is documented and maintained that defines the requirements for REACH compliance and on-going verification.</t>
  </si>
  <si>
    <t xml:space="preserve">Policy statement or procedure. </t>
  </si>
  <si>
    <t xml:space="preserve">Responsibilities for REACH have been clearly defined and assigned to appropriate personnel. </t>
  </si>
  <si>
    <t xml:space="preserve">Look for identification of an individual or individuals (i.e.., naming an entire department is not acceptable). Record the names and titles of the responsible individuals. </t>
  </si>
  <si>
    <t>REACH Compliance Documents and instructions for their use are established and followed.</t>
  </si>
  <si>
    <t>Compliance Plan, Supplier Letters, Customer Letters</t>
  </si>
  <si>
    <t>Supplier must have a system in place to communicate safe handling information (such as a Material Safety Data Sheet) for any dangerous substances contained in or on it's products.</t>
  </si>
  <si>
    <t>Database/files. Records of communication to customers of the Material Safety Data Sheet (MSDS) or Safety Data Sheet (SDS) in the EU which may include Exposure Scenario (ES) and/or Risk Management Measures (RMM).</t>
  </si>
  <si>
    <t>The supplier has informed Vertiv if they are providing (or will be providing) Vertiv with products that contain Substances of Very High Concern (SVHC) that exceed 0.1% wt./wt.</t>
  </si>
  <si>
    <t>If the official candidate list has been published by the ECHA (European Chemicals Agency), then look for records of communication to Vertiv of the presence of SVHC, if applicable. Traceability of chemical identification.</t>
  </si>
  <si>
    <t>17.0 CORPORATE COMPLIANCE
(CONFLICT MINERALS)</t>
  </si>
  <si>
    <t>Supplier has a procedure in place to identify  the presence of tin, tungsten, tantalum and gold (3TG) in supplied products.</t>
  </si>
  <si>
    <t xml:space="preserve">Supplier will provide the valid procedure with steps of identifying 3TG in products. </t>
  </si>
  <si>
    <t>If products contain 3TG, Supplier has a published CM policy or statement and an annual Conflict Minerals Reporting Template (CMRT) data collection program  in place.</t>
  </si>
  <si>
    <t>Supplier will provide the CM policy or statement and company level CMRT with an effective date applicable to the current year.</t>
  </si>
  <si>
    <t xml:space="preserve">Supplier provided the current year CMRT to Vertiv via Assent Compliance Tool. </t>
  </si>
  <si>
    <t xml:space="preserve">Supplier will provide its Assent account with submitted CMRT status or look for other records of the submitted valid CMRT to Vertiv. </t>
  </si>
  <si>
    <t>18.0  CORPORATE COMPLIANCE
(CODE OF CONDUCT)</t>
  </si>
  <si>
    <t>Supplier maintains a code of conduct or a policy that addresses general ethical issues and responsibility, and maintains a process for employees to report concerns</t>
  </si>
  <si>
    <t>Supplier should provide the code of conduct or policy to Vertiv for review.  The supplier's legal or compliance department would likely be the correct contact.</t>
  </si>
  <si>
    <t>Supplier must agree to comply with the Vertiv Supplier Code of Conduct.</t>
    <phoneticPr fontId="73" type="noConversion"/>
  </si>
  <si>
    <t>Supplier will acknowledge and agree to comply with the Vertiv Supplier Code of Conduct via Vertiv's annual conflict minerals and supplier outreach program.</t>
  </si>
  <si>
    <t>Supplier maintains a human rights policy that addresses child labor, forced labor, human trafficking, working hour and wage laws, and non-discrimination.</t>
    <phoneticPr fontId="73" type="noConversion"/>
  </si>
  <si>
    <t>Supplier should provide the policy to Vertiv for review. The supplier's legal or compliance department would likely be the correct contact.</t>
  </si>
  <si>
    <t>Supplier prohibs corruption, including bribes, kickbacks, or other improper payments, with binding rules for all employees.</t>
  </si>
  <si>
    <t>Supplier should provide the program documents to Vertiv for review.  The supplier's legal or compliance department would likely be the correct contact.</t>
  </si>
  <si>
    <t>TOTAL SCORES FOR THIS CHECKLIST ONLY</t>
    <phoneticPr fontId="73" type="noConversion"/>
  </si>
  <si>
    <t>Not Applicable</t>
  </si>
  <si>
    <t>Supplier Self-Audit Std Chklst SCORE</t>
  </si>
  <si>
    <t>On-Site Audit Std Chklst SCORE</t>
  </si>
  <si>
    <t>After CAPA Verif. Std Chklst SCORE</t>
  </si>
  <si>
    <t>On-Site Audit Findings</t>
  </si>
  <si>
    <t>Supplier Corrective &amp; Preventive Action Plan</t>
  </si>
  <si>
    <t>Corrective Action plans will be submitted on (date):</t>
  </si>
  <si>
    <t>Submitted by (name &amp; title):</t>
  </si>
  <si>
    <t>Vertiv Audit Leader (name &amp; title):</t>
  </si>
  <si>
    <t>Final Standard Checklist Score</t>
  </si>
  <si>
    <t>Supplier QA Representative (name &amp; title):</t>
    <phoneticPr fontId="73" type="noConversion"/>
  </si>
  <si>
    <t>Date:</t>
    <phoneticPr fontId="73" type="noConversion"/>
  </si>
  <si>
    <t>CA-PA Verification &amp; Finding Closure Date:</t>
  </si>
  <si>
    <t>Date Supplier CA-PA Plan Reviewed:</t>
  </si>
  <si>
    <t>SCORING GUIDELINES</t>
  </si>
  <si>
    <t>Top</t>
  </si>
  <si>
    <t>Supplier to use scoring instructions below when assigning Supplier Self-Audit Score.</t>
  </si>
  <si>
    <t>Scoring Instructions for Supplier Self-Audit</t>
  </si>
  <si>
    <r>
      <t>Based on knowledge of your quality system, select score that best describes level of compliance to the Requirement.</t>
    </r>
    <r>
      <rPr>
        <sz val="9"/>
        <color rgb="FF0000FF"/>
        <rFont val="Arial"/>
        <family val="2"/>
      </rPr>
      <t xml:space="preserve"> If Requirement does not apply, place "x" in the "Not Applicable" column. </t>
    </r>
    <r>
      <rPr>
        <sz val="9"/>
        <rFont val="Arial"/>
        <family val="2"/>
      </rPr>
      <t xml:space="preserve"> Note that some Requirements are mandatory.</t>
    </r>
  </si>
  <si>
    <t>0 = REQUIREMENT NOT ADDRESSED</t>
    <phoneticPr fontId="73" type="noConversion"/>
  </si>
  <si>
    <t>40 = RARELY COMPLIES; Corrective actions planned or in-progress</t>
  </si>
  <si>
    <t>60 = SOME NON-COMPLIANCES; Corrective actions planned or in-progress</t>
  </si>
  <si>
    <t>70 = NO NON-COMPLIANCES; Meets Minimum Requirement / No CA required</t>
  </si>
  <si>
    <t>80 = NO NON-COMPLIANCES; Exceeds Minimum Requirement / No CA required</t>
    <phoneticPr fontId="73" type="noConversion"/>
  </si>
  <si>
    <t>100 = NO NON-COMPLIANCES; Excellent / Highly commendable</t>
    <phoneticPr fontId="73" type="noConversion"/>
  </si>
  <si>
    <t>Vertiv auditor to use scoring instructions below when assigning On-Site Audit Score.</t>
  </si>
  <si>
    <t>Scoring Instructions for Vertiv On-Site Audit</t>
  </si>
  <si>
    <r>
      <t>Based on On-Site audit evidence, select score that best describes level of compliance to the Requirement.</t>
    </r>
    <r>
      <rPr>
        <sz val="9"/>
        <color rgb="FF0000FF"/>
        <rFont val="Arial"/>
        <family val="2"/>
      </rPr>
      <t xml:space="preserve"> If Requirement does not apply to product to be purchased, place "x" in the "Not Applicable" column. </t>
    </r>
    <r>
      <rPr>
        <sz val="9"/>
        <rFont val="Arial"/>
        <family val="2"/>
      </rPr>
      <t>Note that some Requirements are mandatory.</t>
    </r>
  </si>
  <si>
    <t xml:space="preserve"> 0 = NO EVIDENCE PROVIDED; Corrective action required  </t>
    <phoneticPr fontId="73" type="noConversion"/>
  </si>
  <si>
    <t xml:space="preserve">40 = RARELY COMPLIES; Corrective action required  </t>
  </si>
  <si>
    <t xml:space="preserve">60 = SOME NON-COMPLIANCES; Corrective action required  </t>
  </si>
  <si>
    <t xml:space="preserve">70 = NO NON-COMPLIANCES;  Meets Minimum Requirement / No CA required  </t>
  </si>
  <si>
    <t xml:space="preserve">
.
.</t>
    <phoneticPr fontId="73" type="noConversion"/>
  </si>
  <si>
    <t>80 = NO NON-COMPLIANCES;  Exceeds Minimum Requirement / No CA required</t>
  </si>
  <si>
    <t xml:space="preserve">
</t>
    <phoneticPr fontId="73" type="noConversion"/>
  </si>
  <si>
    <t>Supplier Corrective Action plan</t>
  </si>
  <si>
    <t xml:space="preserve">
</t>
    <phoneticPr fontId="73" type="noConversion"/>
  </si>
  <si>
    <t>Supplier must record their corrective and preventive actions that will address each Finding. This is typed in the columns to the right of Findings on the Standard Checklist.</t>
  </si>
  <si>
    <t>Supplier Corrective Action &amp; Preventive Action (CAPA) plan must address:</t>
  </si>
  <si>
    <t>Root Cause of the problem; should look beyond specific incident cited in Finding</t>
  </si>
  <si>
    <t xml:space="preserve">Remedial Action; actions to resolve immediate issue </t>
  </si>
  <si>
    <t>Corrective Action; actions to address root cause and prevent recurrence</t>
  </si>
  <si>
    <t>Preventive Action; actions  to prevent the occurrence of similar problems in other areas</t>
  </si>
  <si>
    <t>Controls; controls &amp; self-monitoring steps to ensure continued CA/PA effectiveness</t>
  </si>
  <si>
    <t>Supplier to return the completed VSAC Workbook to the Vertiv auditor by the date agreed upon.</t>
    <phoneticPr fontId="73" type="noConversion"/>
  </si>
  <si>
    <t>Supplier to provide documented objective evidence that each CAPA has been implemented by the completion date specified.</t>
  </si>
  <si>
    <t>Vertiv auditor to use scoring instructions below when assigning the "After CAPA Verification" score.</t>
  </si>
  <si>
    <t>Scoring Instructions for Vertiv</t>
  </si>
  <si>
    <t xml:space="preserve">Based on evidence of the supplier's corrective action, select score that best describes level of compliance to the Requirement. </t>
  </si>
  <si>
    <t xml:space="preserve">
.</t>
    <phoneticPr fontId="73" type="noConversion"/>
  </si>
  <si>
    <t xml:space="preserve"> 0 = NO EVIDENCE PROVIDED; CA Remains Open / Score Unchanged</t>
  </si>
  <si>
    <t>40 = INSUFFICIENT EVIDENCE; CA Remains Open / Score Unchanged</t>
  </si>
  <si>
    <t>60 = INSUFFICIENT EVIDENCE; CA Remains Open / Score Unchanged</t>
  </si>
  <si>
    <t>80 = NO NON-COMPLIANCES;  Exceeds Minimum Requirement / No CA required</t>
    <phoneticPr fontId="73" type="noConversion"/>
  </si>
  <si>
    <t>Note: The Audit Results page fills in automatically with the exception of a few fields near the bottom of the page.</t>
  </si>
  <si>
    <t>Hide &gt;&gt;&gt;</t>
  </si>
  <si>
    <t>&lt;&lt;&lt; Hide</t>
  </si>
  <si>
    <t>Supplier:</t>
  </si>
  <si>
    <t>Audit Results</t>
  </si>
  <si>
    <t>Commodity:</t>
  </si>
  <si>
    <t>Section Scores</t>
  </si>
  <si>
    <t>Vertiv Region:</t>
    <phoneticPr fontId="73" type="noConversion"/>
  </si>
  <si>
    <t>Supplier Self-Audit SCORE</t>
  </si>
  <si>
    <t>CA Req'd? 
(Y)</t>
  </si>
  <si>
    <t>CA Status (Open)</t>
  </si>
  <si>
    <t>Standard Checklist Section</t>
  </si>
  <si>
    <t>Total Req'mnts</t>
  </si>
  <si>
    <t>Mandatory
Req'mnts</t>
  </si>
  <si>
    <t>Req. No.</t>
  </si>
  <si>
    <t>Audit Team Recommendation</t>
  </si>
  <si>
    <t>Final Disposition</t>
  </si>
  <si>
    <t>Quality Management</t>
  </si>
  <si>
    <t>M</t>
  </si>
  <si>
    <t>Passed</t>
    <phoneticPr fontId="73" type="noConversion"/>
  </si>
  <si>
    <t>Approved</t>
  </si>
  <si>
    <t>Conditional Approval</t>
    <phoneticPr fontId="73" type="noConversion"/>
  </si>
  <si>
    <t>Conditionally Approved</t>
  </si>
  <si>
    <t>Rejected</t>
    <phoneticPr fontId="73" type="noConversion"/>
  </si>
  <si>
    <t>Not Approved</t>
  </si>
  <si>
    <t>=IF(SUM(G12:G14)=0,"",SUM(G12:G14)/($C12-(COUNTIF(G12:G14,"n/a"))))</t>
  </si>
  <si>
    <t>Continuous Improvement</t>
  </si>
  <si>
    <t>=IF(SUM(G8:G11)=0,"",SUM(G8:G11)/($C8-(COUNTIF(G8:G11,"n/a"))))</t>
  </si>
  <si>
    <t>=IF(SUM(G33:G37)=0,"",SUM(G33:G37)/($C8-(COUNTIF(G33:G37,"n/a"))))</t>
  </si>
  <si>
    <t>=IF(SUM(G41:G46)=0,"",SUM(G41:G46)/($C41-(COUNTIF(G41:G46,"n/a"))))</t>
  </si>
  <si>
    <t>=IF(SUM(G74:G88)=0,"",SUM(G74:G88)/($C74-(COUNTIF(G74:G88,"n/a"))))</t>
  </si>
  <si>
    <t>Competence Development</t>
  </si>
  <si>
    <t>'=IF(COUNTA($G6,$H6)&gt;0,"n/a",IF(I6="","",I6))</t>
  </si>
  <si>
    <t>=SUM(COUNTIF(H8:H83,0),COUNTIF(H8:H83,40),COUNTIF(H8:H83,60),COUNTIF(H8:H83,70),COUNTIF(H8:H83,80),COUNTIF(H8:H83,100))</t>
  </si>
  <si>
    <t>'=IF(K87="",IF(H87&lt;&gt;"",IF(H87&gt;=0.7,"Acceptable",IF('Std Checklist'!CA117=0,"Action Required","Not Acceptable")),""),IF(C114="Approved", "Acceptable","Not Acceptable"))</t>
  </si>
  <si>
    <t>Design and development of products and services</t>
  </si>
  <si>
    <t>Quality Planning</t>
  </si>
  <si>
    <t>Procurement</t>
  </si>
  <si>
    <t>Incoming Material</t>
  </si>
  <si>
    <t>Manufacturing Quality</t>
  </si>
  <si>
    <t>Nonconformity Control</t>
  </si>
  <si>
    <t>Audit Team Recommendation Choices</t>
  </si>
  <si>
    <t>Measurement Equipment</t>
  </si>
  <si>
    <t>Final Disposition Choices</t>
  </si>
  <si>
    <t>Preventive Maintenance</t>
  </si>
  <si>
    <t xml:space="preserve">Storage &amp; Packaging </t>
  </si>
  <si>
    <t>Guidelines for Assigning Audit Team Recommendation &amp; Final Disposition</t>
  </si>
  <si>
    <r>
      <t xml:space="preserve">The Audit Team Recommendation (ATR) and Final Disposition (FD) are automatically assigned using the four guidelines below. </t>
    </r>
    <r>
      <rPr>
        <sz val="8"/>
        <rFont val="Arial"/>
        <family val="2"/>
      </rPr>
      <t xml:space="preserve">
</t>
    </r>
    <r>
      <rPr>
        <sz val="9"/>
        <rFont val="Arial"/>
        <family val="2"/>
      </rPr>
      <t xml:space="preserve">
</t>
    </r>
  </si>
  <si>
    <t xml:space="preserve">In all cases, it is very important that Corrective Actions are verified to ensure the supplier has met the Requirement and the effected scores can be adjusted to 70% or above prior to production/shipping of Vertiv part numbers. The Corrective Action follow-up is typically the responsibility of the Division that will be using the parts/materials. </t>
  </si>
  <si>
    <t>If Total Mandatory Requirements Score AND On-Site Overall Score = 70 or Greater then Audit Team Recommendation will be "Acceptable" and Final Disposition will be "Approved"</t>
  </si>
  <si>
    <t>Environmental</t>
  </si>
  <si>
    <t>If Total Mandatory Requirements Score OR On-Site Overall Score = 69 or Less and supplier has no corrective actions assigned then Audit Team Recommendation will be "Not Acceptable" and Final Disposition will be "Not Approved-Division will not buy from supplier"</t>
  </si>
  <si>
    <t>If After CAPA Verif. SCORE = 69 or Less then Final Disposition will be "Not Approved-Division will not buy from supplier"</t>
  </si>
  <si>
    <t>If After CAPA Verif. SCORE = 70 or Greater then Final Disposition will be "Approved"</t>
  </si>
  <si>
    <t>Removed: If Total Mandatory Requirements Score OR On-Site Overall Score = 69 or Less and supplier has no corrective actions assigned then
Audit Team Recommendation will be "Not Acceptable" and Final Disposition will be "Not Approved-Division will not buy from supplier"</t>
  </si>
  <si>
    <t>Occupational Health &amp; Safety</t>
  </si>
  <si>
    <t>Corporate Compliance (ROHS)</t>
    <phoneticPr fontId="73" type="noConversion"/>
  </si>
  <si>
    <t xml:space="preserve">Corporate Compliance (REACH) </t>
  </si>
  <si>
    <t>Corporate Compliance (Conflict Minerals)</t>
  </si>
  <si>
    <t>Corporate Compliance (Code of Conduct)</t>
  </si>
  <si>
    <t xml:space="preserve">No. Possible </t>
  </si>
  <si>
    <t xml:space="preserve"> MANDATORY ONLY</t>
    <phoneticPr fontId="73" type="noConversion"/>
  </si>
  <si>
    <t>No. of Requirements Audited:</t>
    <phoneticPr fontId="73" type="noConversion"/>
  </si>
  <si>
    <t>Final Checklist Score</t>
    <phoneticPr fontId="73" type="noConversion"/>
  </si>
  <si>
    <t>*Link to "Technical assessment - Generic" Tab</t>
  </si>
  <si>
    <t>Additional Requirement</t>
    <phoneticPr fontId="73" type="noConversion"/>
  </si>
  <si>
    <t>Remark: in case there are additional requirements, add to "Technical asseseement-Generic" Tab.</t>
    <phoneticPr fontId="73" type="noConversion"/>
  </si>
  <si>
    <t>OVERALL</t>
  </si>
  <si>
    <t>Weighted ave. scores
(Req's &amp; Add. Req's)_Row 89 &amp; 90</t>
  </si>
  <si>
    <t>L131 was =IF(H126="","",IF(H118&gt;=0.7,IF(H126&gt;=0.7,"Acceptable","Action Required"),"Action Required"))</t>
  </si>
  <si>
    <t xml:space="preserve"> AUDIT TEAM Conclusion</t>
    <phoneticPr fontId="73" type="noConversion"/>
  </si>
  <si>
    <t>CA 
Req'd?
(Y)</t>
  </si>
  <si>
    <t>CA 
Status 
(Open)</t>
  </si>
  <si>
    <t>CONCLUSIONS</t>
  </si>
  <si>
    <t>SCORING 
SUMMARY</t>
    <phoneticPr fontId="73" type="noConversion"/>
  </si>
  <si>
    <t>Mandatory Requirements Only</t>
    <phoneticPr fontId="73" type="noConversion"/>
  </si>
  <si>
    <t>On-Site Overall Score</t>
  </si>
  <si>
    <t>CA's Assigned at On-Site Audit</t>
  </si>
  <si>
    <t>CA's Open After Verification Audit</t>
  </si>
  <si>
    <t>After CA Verified Score</t>
  </si>
  <si>
    <t>AUDIT TEAM CONCLUSION</t>
    <phoneticPr fontId="73" type="noConversion"/>
  </si>
  <si>
    <t>Mandatory Req'mnts Score</t>
  </si>
  <si>
    <t>On-Site Audit Score</t>
  </si>
  <si>
    <t>VSAC Result</t>
  </si>
  <si>
    <t xml:space="preserve">Instructions: Complete 'On-Site Audit' scores &amp; provide details of any Requirements scoring less than 70 on the Checklist &amp; the Added Requirements tab (if applicable). Allow time for the supplier to take corrective active &amp; provide objective evidence. Review the supplier's actions &amp; update the 'After CA Verification' scores appropriately. Enter any "specific conditions" in the Comments box(es), dates &amp; other information as necessary. </t>
  </si>
  <si>
    <t>Name &amp; Title:</t>
  </si>
  <si>
    <t>Date:</t>
  </si>
  <si>
    <t>(mm/dd/yy)</t>
  </si>
  <si>
    <t>Auditor Comments:</t>
  </si>
  <si>
    <r>
      <t xml:space="preserve">FINAL DISPOSITION 
</t>
    </r>
    <r>
      <rPr>
        <i/>
        <sz val="9"/>
        <rFont val="Arial"/>
        <family val="2"/>
      </rPr>
      <t>(After CA Verif.)</t>
    </r>
  </si>
  <si>
    <t>Mandatory Req'mnts Score (After CA Verif.)</t>
  </si>
  <si>
    <t>On-Site Audit Score (After CA Verif.)</t>
  </si>
  <si>
    <t xml:space="preserve">Instructions: Verify supplier's Corrective Actions &amp; re-score affected areas, then upload to VSAC database. </t>
    <phoneticPr fontId="73" type="noConversion"/>
  </si>
  <si>
    <t>Final Disposition Comments:</t>
  </si>
  <si>
    <t>Scoring Rules</t>
    <phoneticPr fontId="73" type="noConversion"/>
  </si>
  <si>
    <t xml:space="preserve">VSAC Result is updated automatically based on the five Scoring Rules below. </t>
  </si>
  <si>
    <t>Corrective Action is automatically assigned to any question scoring less than 70. CA Status is automatically shown as "Open".</t>
  </si>
  <si>
    <t>Corrective Actions are verified and the After Verif. Score is completed. CA Status changes to "Closed" if score is &gt;=70.</t>
  </si>
  <si>
    <t>Scoring Rules</t>
  </si>
  <si>
    <t>After CA Verif. Score</t>
  </si>
  <si>
    <t>Conclusions
(Based on Audit Scores)</t>
    <phoneticPr fontId="73" type="noConversion"/>
  </si>
  <si>
    <t>Dispositions
(Based on Scores &amp; Other Conditions)</t>
    <phoneticPr fontId="73" type="noConversion"/>
  </si>
  <si>
    <t>score: &gt;= 70%</t>
    <phoneticPr fontId="73" type="noConversion"/>
  </si>
  <si>
    <t>NA</t>
  </si>
  <si>
    <r>
      <rPr>
        <b/>
        <sz val="9"/>
        <color theme="1"/>
        <rFont val="Arial"/>
        <family val="2"/>
      </rPr>
      <t xml:space="preserve">a.) </t>
    </r>
    <r>
      <rPr>
        <b/>
        <sz val="9"/>
        <color rgb="FF0000FF"/>
        <rFont val="Arial"/>
        <family val="2"/>
      </rPr>
      <t>Audit Team Conclusion =</t>
    </r>
    <r>
      <rPr>
        <sz val="9"/>
        <color rgb="FF3A00FF"/>
        <rFont val="Arial"/>
        <family val="2"/>
      </rPr>
      <t xml:space="preserve"> </t>
    </r>
    <r>
      <rPr>
        <b/>
        <sz val="9"/>
        <rFont val="Arial"/>
        <family val="2"/>
      </rPr>
      <t xml:space="preserve">"Passed" 
</t>
    </r>
    <r>
      <rPr>
        <b/>
        <sz val="9"/>
        <color theme="1"/>
        <rFont val="Arial"/>
        <family val="2"/>
      </rPr>
      <t xml:space="preserve">b.) </t>
    </r>
    <r>
      <rPr>
        <b/>
        <sz val="9"/>
        <color rgb="FF0000FF"/>
        <rFont val="Arial"/>
        <family val="2"/>
      </rPr>
      <t>Final Disposition =</t>
    </r>
    <r>
      <rPr>
        <b/>
        <sz val="9"/>
        <rFont val="Arial"/>
        <family val="2"/>
      </rPr>
      <t xml:space="preserve"> "Passed" automatically. </t>
    </r>
    <r>
      <rPr>
        <b/>
        <sz val="9"/>
        <color theme="1"/>
        <rFont val="Arial"/>
        <family val="2"/>
      </rPr>
      <t>If CA required, audit team follow up and verify the CA</t>
    </r>
    <r>
      <rPr>
        <b/>
        <sz val="9"/>
        <rFont val="Arial"/>
        <family val="2"/>
      </rPr>
      <t>.</t>
    </r>
  </si>
  <si>
    <r>
      <t xml:space="preserve">a.) Passed </t>
    </r>
    <r>
      <rPr>
        <sz val="9"/>
        <rFont val="Arial"/>
        <family val="2"/>
      </rPr>
      <t>- Supplier passed VSAC minimum requirements.</t>
    </r>
    <r>
      <rPr>
        <b/>
        <sz val="9"/>
        <rFont val="Arial"/>
        <family val="2"/>
      </rPr>
      <t xml:space="preserve">
</t>
    </r>
    <phoneticPr fontId="73" type="noConversion"/>
  </si>
  <si>
    <t>Either Score: 60 - 69%</t>
    <phoneticPr fontId="73" type="noConversion"/>
  </si>
  <si>
    <r>
      <rPr>
        <b/>
        <sz val="9"/>
        <color theme="1"/>
        <rFont val="Arial"/>
        <family val="2"/>
      </rPr>
      <t xml:space="preserve">a.) </t>
    </r>
    <r>
      <rPr>
        <b/>
        <sz val="9"/>
        <color rgb="FF0000FF"/>
        <rFont val="Arial"/>
        <family val="2"/>
      </rPr>
      <t>Audit Team Conclusion =</t>
    </r>
    <r>
      <rPr>
        <sz val="9"/>
        <rFont val="Arial"/>
        <family val="2"/>
      </rPr>
      <t xml:space="preserve"> </t>
    </r>
    <r>
      <rPr>
        <b/>
        <sz val="9"/>
        <rFont val="Arial"/>
        <family val="2"/>
      </rPr>
      <t>"Conditional Approval"
 b.) CA has been completed and verified, and</t>
    </r>
    <r>
      <rPr>
        <b/>
        <u/>
        <sz val="9"/>
        <rFont val="Arial"/>
        <family val="2"/>
      </rPr>
      <t xml:space="preserve"> After CA Verif. Score</t>
    </r>
    <r>
      <rPr>
        <b/>
        <sz val="9"/>
        <rFont val="Arial"/>
        <family val="2"/>
      </rPr>
      <t xml:space="preserve"> &gt;= 70%, </t>
    </r>
    <r>
      <rPr>
        <b/>
        <sz val="9"/>
        <color rgb="FF0000FF"/>
        <rFont val="Arial"/>
        <family val="2"/>
      </rPr>
      <t>Final Disposition =</t>
    </r>
    <r>
      <rPr>
        <b/>
        <sz val="9"/>
        <rFont val="Arial"/>
        <family val="2"/>
      </rPr>
      <t xml:space="preserve"> "Passed".</t>
    </r>
  </si>
  <si>
    <r>
      <t xml:space="preserve">a.) Conditional Approval - </t>
    </r>
    <r>
      <rPr>
        <sz val="9"/>
        <rFont val="Arial"/>
        <family val="2"/>
      </rPr>
      <t xml:space="preserve">Conditional acceptance with manageable risk, corrective action needs to be in place for further improvement and verification.
</t>
    </r>
    <r>
      <rPr>
        <b/>
        <sz val="9"/>
        <rFont val="Arial"/>
        <family val="2"/>
      </rPr>
      <t>b.) Passed</t>
    </r>
    <r>
      <rPr>
        <sz val="9"/>
        <rFont val="Arial"/>
        <family val="2"/>
      </rPr>
      <t xml:space="preserve"> - corrective action is in place and verified by audit team,  </t>
    </r>
    <r>
      <rPr>
        <u/>
        <sz val="9"/>
        <rFont val="Arial"/>
        <family val="2"/>
      </rPr>
      <t>After CA Verif. Score</t>
    </r>
    <r>
      <rPr>
        <sz val="9"/>
        <rFont val="Arial"/>
        <family val="2"/>
      </rPr>
      <t xml:space="preserve"> is 70 or above.</t>
    </r>
  </si>
  <si>
    <t>score: &lt; 70%</t>
    <phoneticPr fontId="73" type="noConversion"/>
  </si>
  <si>
    <r>
      <t xml:space="preserve"> </t>
    </r>
    <r>
      <rPr>
        <b/>
        <sz val="9"/>
        <color theme="1"/>
        <rFont val="Arial"/>
        <family val="2"/>
      </rPr>
      <t>a.)</t>
    </r>
    <r>
      <rPr>
        <b/>
        <sz val="9"/>
        <color rgb="FF0000FF"/>
        <rFont val="Arial"/>
        <family val="2"/>
      </rPr>
      <t xml:space="preserve"> Audit Team Conclusion =</t>
    </r>
    <r>
      <rPr>
        <b/>
        <sz val="9"/>
        <color indexed="12"/>
        <rFont val="Arial"/>
        <family val="2"/>
      </rPr>
      <t xml:space="preserve"> </t>
    </r>
    <r>
      <rPr>
        <b/>
        <sz val="9"/>
        <color theme="1"/>
        <rFont val="Arial"/>
        <family val="2"/>
      </rPr>
      <t>"Conditional Approval"</t>
    </r>
    <r>
      <rPr>
        <b/>
        <sz val="9"/>
        <color indexed="12"/>
        <rFont val="Arial"/>
        <family val="2"/>
      </rPr>
      <t xml:space="preserve">
</t>
    </r>
    <r>
      <rPr>
        <b/>
        <sz val="9"/>
        <color theme="1"/>
        <rFont val="Arial"/>
        <family val="2"/>
      </rPr>
      <t xml:space="preserve"> b.) CA has been completed and verified and </t>
    </r>
    <r>
      <rPr>
        <b/>
        <u/>
        <sz val="9"/>
        <color theme="1"/>
        <rFont val="Arial"/>
        <family val="2"/>
      </rPr>
      <t>After final round CA Verif. Score Still</t>
    </r>
    <r>
      <rPr>
        <b/>
        <sz val="9"/>
        <color theme="1"/>
        <rFont val="Arial"/>
        <family val="2"/>
      </rPr>
      <t xml:space="preserve"> &lt; 70%,</t>
    </r>
    <r>
      <rPr>
        <b/>
        <sz val="9"/>
        <color rgb="FF0000FF"/>
        <rFont val="Arial"/>
        <family val="2"/>
      </rPr>
      <t xml:space="preserve"> Final Disposition =</t>
    </r>
    <r>
      <rPr>
        <b/>
        <sz val="9"/>
        <color indexed="12"/>
        <rFont val="Arial"/>
        <family val="2"/>
      </rPr>
      <t xml:space="preserve"> </t>
    </r>
    <r>
      <rPr>
        <b/>
        <sz val="9"/>
        <rFont val="Arial"/>
        <family val="2"/>
      </rPr>
      <t>"Rejected".</t>
    </r>
  </si>
  <si>
    <r>
      <t xml:space="preserve">a.) Conditional Approval </t>
    </r>
    <r>
      <rPr>
        <sz val="9"/>
        <rFont val="Arial"/>
        <family val="2"/>
      </rPr>
      <t xml:space="preserve">- Conditional acceptance with manageable risk, corrective action needs to be in place for further improvement and verification.
</t>
    </r>
    <r>
      <rPr>
        <b/>
        <sz val="9"/>
        <rFont val="Arial"/>
        <family val="2"/>
      </rPr>
      <t xml:space="preserve">
b.) Rejected - </t>
    </r>
    <r>
      <rPr>
        <sz val="9"/>
        <rFont val="Arial"/>
        <family val="2"/>
      </rPr>
      <t xml:space="preserve">corrective action is in place and verified by audit team., </t>
    </r>
    <r>
      <rPr>
        <u/>
        <sz val="9"/>
        <rFont val="Arial"/>
        <family val="2"/>
      </rPr>
      <t>After final round CA Verif. Score</t>
    </r>
    <r>
      <rPr>
        <sz val="9"/>
        <rFont val="Arial"/>
        <family val="2"/>
      </rPr>
      <t xml:space="preserve"> is still below 70.</t>
    </r>
  </si>
  <si>
    <t>Either Score: &lt; 60%</t>
    <phoneticPr fontId="73" type="noConversion"/>
  </si>
  <si>
    <t>score: &lt; 60%</t>
  </si>
  <si>
    <r>
      <rPr>
        <b/>
        <sz val="9"/>
        <color theme="1"/>
        <rFont val="Arial"/>
        <family val="2"/>
      </rPr>
      <t>a.)</t>
    </r>
    <r>
      <rPr>
        <b/>
        <sz val="9"/>
        <color rgb="FF3A00FF"/>
        <rFont val="Arial"/>
        <family val="2"/>
      </rPr>
      <t xml:space="preserve"> </t>
    </r>
    <r>
      <rPr>
        <b/>
        <sz val="9"/>
        <color rgb="FF0000FF"/>
        <rFont val="Arial"/>
        <family val="2"/>
      </rPr>
      <t>Audit Team Conclusion =</t>
    </r>
    <r>
      <rPr>
        <b/>
        <sz val="9"/>
        <rFont val="Arial"/>
        <family val="2"/>
      </rPr>
      <t xml:space="preserve"> "Rejected" 
b.) CA has been completed and verified, and </t>
    </r>
    <r>
      <rPr>
        <b/>
        <u/>
        <sz val="9"/>
        <rFont val="Arial"/>
        <family val="2"/>
      </rPr>
      <t>After CA Verif. Score</t>
    </r>
    <r>
      <rPr>
        <b/>
        <sz val="9"/>
        <rFont val="Arial"/>
        <family val="2"/>
      </rPr>
      <t xml:space="preserve"> &lt; 60%, </t>
    </r>
    <r>
      <rPr>
        <b/>
        <sz val="9"/>
        <color rgb="FF0000FF"/>
        <rFont val="Arial"/>
        <family val="2"/>
      </rPr>
      <t>Final Disposition =</t>
    </r>
    <r>
      <rPr>
        <b/>
        <sz val="9"/>
        <color rgb="FF3A00FF"/>
        <rFont val="Arial"/>
        <family val="2"/>
      </rPr>
      <t xml:space="preserve"> </t>
    </r>
    <r>
      <rPr>
        <b/>
        <sz val="9"/>
        <rFont val="Arial"/>
        <family val="2"/>
      </rPr>
      <t>"Rejected".</t>
    </r>
  </si>
  <si>
    <r>
      <t xml:space="preserve">a.) Rejected - </t>
    </r>
    <r>
      <rPr>
        <sz val="9"/>
        <rFont val="Arial"/>
        <family val="2"/>
      </rPr>
      <t>The supplier does not meet Vertiv requirements based on audit result. Identified corrective actions must be completed prior to approval. The supplier is not authorized to ship production products without specific written approval from Vertiv.</t>
    </r>
    <phoneticPr fontId="73" type="noConversion"/>
  </si>
  <si>
    <t>Either Score: &lt; 50%</t>
  </si>
  <si>
    <t>Not Required</t>
  </si>
  <si>
    <r>
      <rPr>
        <b/>
        <sz val="9"/>
        <color theme="1"/>
        <rFont val="Arial"/>
        <family val="2"/>
      </rPr>
      <t xml:space="preserve">  a.)</t>
    </r>
    <r>
      <rPr>
        <b/>
        <sz val="9"/>
        <color rgb="FF0000FF"/>
        <rFont val="Arial"/>
        <family val="2"/>
      </rPr>
      <t xml:space="preserve"> Audit Team Conclusion = </t>
    </r>
    <r>
      <rPr>
        <b/>
        <sz val="9"/>
        <color theme="1"/>
        <rFont val="Arial"/>
        <family val="2"/>
      </rPr>
      <t>"Rejected" 
  b.)</t>
    </r>
    <r>
      <rPr>
        <b/>
        <sz val="9"/>
        <color rgb="FF0000FF"/>
        <rFont val="Arial"/>
        <family val="2"/>
      </rPr>
      <t xml:space="preserve"> Final Disposition - </t>
    </r>
    <r>
      <rPr>
        <b/>
        <sz val="9"/>
        <color theme="1"/>
        <rFont val="Arial"/>
        <family val="2"/>
      </rPr>
      <t>not applicable.</t>
    </r>
  </si>
  <si>
    <r>
      <t xml:space="preserve">a.) Rejected </t>
    </r>
    <r>
      <rPr>
        <sz val="9"/>
        <rFont val="Arial"/>
        <family val="2"/>
      </rPr>
      <t>- No further process</t>
    </r>
    <phoneticPr fontId="73" type="noConversion"/>
  </si>
  <si>
    <t>Correct Row Order</t>
  </si>
  <si>
    <t>Technical Assessment</t>
  </si>
  <si>
    <t>General Requirements</t>
  </si>
  <si>
    <t>Specific Requirements for Product Type</t>
  </si>
  <si>
    <t>1.0  PRODUCT / PROCESS KNOWLEDGE</t>
  </si>
  <si>
    <r>
      <rPr>
        <u/>
        <sz val="9"/>
        <rFont val="Arial"/>
        <family val="2"/>
      </rPr>
      <t>Product Knowledge</t>
    </r>
    <r>
      <rPr>
        <sz val="9"/>
        <rFont val="Arial"/>
        <family val="2"/>
      </rPr>
      <t xml:space="preserve">
Supplier has adequate experience in design / development and  manufacture of similar products </t>
    </r>
  </si>
  <si>
    <r>
      <rPr>
        <u/>
        <sz val="9"/>
        <rFont val="Arial"/>
        <family val="2"/>
      </rPr>
      <t>Process Knowledge</t>
    </r>
    <r>
      <rPr>
        <sz val="9"/>
        <rFont val="Arial"/>
        <family val="2"/>
      </rPr>
      <t xml:space="preserve">
Expert understanding of typical requirements (e.g. performance, cosmetic, functional) and how to manufacture to meet requirements; understanding of key process parameters and how they are controlled.</t>
    </r>
  </si>
  <si>
    <t xml:space="preserve">Adequate engineering resources to design or modify Vertiv products 
</t>
  </si>
  <si>
    <t>2.0  MANUFACTURING EQUIPMENT/TOOLS</t>
  </si>
  <si>
    <r>
      <rPr>
        <u/>
        <sz val="9"/>
        <rFont val="Arial"/>
        <family val="2"/>
      </rPr>
      <t>Manufacturing Equipment</t>
    </r>
    <r>
      <rPr>
        <sz val="9"/>
        <rFont val="Arial"/>
        <family val="2"/>
      </rPr>
      <t xml:space="preserve">
Supplier has appropriate machines and tooling to manufacture product
Supplier has adequate capacity including:
1) Equipment and tooling;
2) Manpower;
3) Floor space;
4) Adequate time for PM or unscheduled downtime;
5) Increased demand.</t>
    </r>
  </si>
  <si>
    <r>
      <t xml:space="preserve">Production Environment
</t>
    </r>
    <r>
      <rPr>
        <sz val="9"/>
        <rFont val="Arial"/>
        <family val="2"/>
      </rPr>
      <t>Supplier's factory environment is appropriate for manufacture of Vertiv product within specifications</t>
    </r>
    <r>
      <rPr>
        <u/>
        <sz val="9"/>
        <rFont val="Arial"/>
        <family val="2"/>
      </rPr>
      <t xml:space="preserve">
</t>
    </r>
  </si>
  <si>
    <t>Presence of a clean room
ESD equipment and program
Temperature and humidity control</t>
  </si>
  <si>
    <r>
      <rPr>
        <u/>
        <sz val="9"/>
        <rFont val="Arial"/>
        <family val="2"/>
      </rPr>
      <t>Testing Equipment/Capability</t>
    </r>
    <r>
      <rPr>
        <sz val="9"/>
        <rFont val="Arial"/>
        <family val="2"/>
      </rPr>
      <t xml:space="preserve">
Supplier has fixtures, measurement and testing equipment for Vertiv products</t>
    </r>
  </si>
  <si>
    <t>3.0  ABILITY TO MEET DRAWINGS &amp; SPECIFICATIONS</t>
  </si>
  <si>
    <t xml:space="preserve">Clear understanding of VERTIV's tolerances, specifications, agency requirements, functional and testing requirements.  </t>
  </si>
  <si>
    <t>UL, IPC</t>
  </si>
  <si>
    <t>Proven ability to meet all requirements as demonstrated via compliance to either VERTIV or equivalent requirements by prototype part submissions, current production, etc</t>
  </si>
  <si>
    <t>4.0 ADDITIONAL REQUIREMENTS</t>
  </si>
  <si>
    <t>XXX - This row is for Vertiv SQE to write down the additional requirements if there is any. Please place "x" in "Not Applicable" Cell F14 if there is no “additional requirement”.</t>
    <phoneticPr fontId="73" type="noConversion"/>
  </si>
  <si>
    <t>.</t>
  </si>
  <si>
    <t>TOTAL SCORES FOR THIS CHECKLIST ONLY</t>
  </si>
  <si>
    <t>Pass</t>
  </si>
  <si>
    <t>Sum of Scores (excluding "n/a" &amp; "Not Verified"):</t>
  </si>
  <si>
    <t>Corrective Action plans will be submitted on (date):</t>
    <phoneticPr fontId="73" type="noConversion"/>
  </si>
  <si>
    <t>Fail</t>
  </si>
  <si>
    <t xml:space="preserve">Maximum Total Score Available: </t>
  </si>
  <si>
    <t xml:space="preserve">Standard Checklist Score: </t>
  </si>
  <si>
    <t>Supplier QA Representative (name &amp; title):</t>
  </si>
  <si>
    <t>Summary and Conclusion:</t>
  </si>
  <si>
    <t xml:space="preserve">
</t>
  </si>
  <si>
    <r>
      <t xml:space="preserve">Based on On-Site audit evidence, select score that best describes level of compliance to the Requirement. </t>
    </r>
    <r>
      <rPr>
        <sz val="9"/>
        <color rgb="FF0548DF"/>
        <rFont val="Arial"/>
        <family val="2"/>
      </rPr>
      <t>If Requirement does not apply to product to be purchased, place "x" in the "Not Applicable" column.</t>
    </r>
    <r>
      <rPr>
        <sz val="9"/>
        <rFont val="Arial"/>
        <family val="2"/>
      </rPr>
      <t xml:space="preserve"> </t>
    </r>
    <phoneticPr fontId="73" type="noConversion"/>
  </si>
  <si>
    <t xml:space="preserve"> 0 = NO EVIDENCE PROVIDED; Corrective action required  </t>
  </si>
  <si>
    <t xml:space="preserve">70 = NO NON-COMPLIANCES;  Meets Minimum Requirement / No CA required  </t>
    <phoneticPr fontId="73" type="noConversion"/>
  </si>
  <si>
    <t>`</t>
  </si>
  <si>
    <t>Supplier to return the completed VSAC Workbook to the Vertiv auditor by the date agreed upon.</t>
  </si>
  <si>
    <t>Top</t>
    <phoneticPr fontId="73" type="noConversion"/>
  </si>
  <si>
    <t xml:space="preserve">Aaron </t>
  </si>
  <si>
    <t>Allen</t>
  </si>
  <si>
    <t>Americas IS SQE</t>
  </si>
  <si>
    <t>TBD</t>
  </si>
  <si>
    <t>New Supplier</t>
  </si>
  <si>
    <t>Aaron Allen</t>
  </si>
  <si>
    <t>740-688-9240</t>
  </si>
  <si>
    <t>aaron.allen@vertiv.com</t>
  </si>
  <si>
    <t>Americas IS Supplier Quality Engineer</t>
  </si>
  <si>
    <t>X</t>
  </si>
  <si>
    <t>Savannah Tank &amp; Equipment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</si>
</sst>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lt;=9999999]###\-####;\(###\)\ ###\-####"/>
    <numFmt numFmtId="165" formatCode="[$-409]d\-mmm\-yy;@"/>
    <numFmt numFmtId="166" formatCode="0.0"/>
    <numFmt numFmtId="167" formatCode="mm/dd/yy"/>
    <numFmt numFmtId="168" formatCode="dd\-mmm\-yy"/>
    <numFmt numFmtId="169" formatCode="0.0%"/>
    <numFmt numFmtId="170" formatCode="mm/dd/yyyy"/>
    <numFmt numFmtId="171" formatCode="dd/mm/yy"/>
  </numFmts>
  <fonts count="108">
    <font>
      <sz val="11"/>
      <color theme="1"/>
      <name val="Calibri"/>
      <family val="2"/>
      <scheme val="minor"/>
    </font>
    <font>
      <sz val="9"/>
      <color indexed="12"/>
      <name val="Arial"/>
      <family val="2"/>
    </font>
    <font>
      <u/>
      <sz val="8"/>
      <color indexed="12"/>
      <name val="Arial"/>
      <family val="2"/>
    </font>
    <font>
      <u/>
      <sz val="9"/>
      <color indexed="12"/>
      <name val="Arial"/>
      <family val="2"/>
    </font>
    <font>
      <b/>
      <i/>
      <sz val="9"/>
      <color indexed="10"/>
      <name val="Arial"/>
      <family val="2"/>
    </font>
    <font>
      <b/>
      <sz val="9"/>
      <color indexed="12"/>
      <name val="Arial"/>
      <family val="2"/>
    </font>
    <font>
      <b/>
      <i/>
      <sz val="9"/>
      <color indexed="12"/>
      <name val="Arial"/>
      <family val="2"/>
    </font>
    <font>
      <sz val="9"/>
      <name val="Arial"/>
      <family val="2"/>
    </font>
    <font>
      <b/>
      <i/>
      <sz val="9"/>
      <color indexed="63"/>
      <name val="Arial"/>
      <family val="2"/>
    </font>
    <font>
      <sz val="9"/>
      <color indexed="18"/>
      <name val="Arial"/>
      <family val="2"/>
    </font>
    <font>
      <b/>
      <i/>
      <sz val="11"/>
      <color indexed="18"/>
      <name val="Arial"/>
      <family val="2"/>
    </font>
    <font>
      <b/>
      <i/>
      <sz val="9"/>
      <name val="Arial"/>
      <family val="2"/>
    </font>
    <font>
      <b/>
      <i/>
      <sz val="10"/>
      <color indexed="18"/>
      <name val="Arial"/>
      <family val="2"/>
    </font>
    <font>
      <b/>
      <i/>
      <sz val="9"/>
      <color indexed="9"/>
      <name val="Arial"/>
      <family val="2"/>
    </font>
    <font>
      <b/>
      <sz val="9"/>
      <color indexed="10"/>
      <name val="Arial"/>
      <family val="2"/>
    </font>
    <font>
      <b/>
      <sz val="9"/>
      <name val="Arial"/>
      <family val="2"/>
    </font>
    <font>
      <u/>
      <sz val="9"/>
      <name val="Arial"/>
      <family val="2"/>
    </font>
    <font>
      <u/>
      <sz val="10"/>
      <color indexed="12"/>
      <name val="Arial"/>
      <family val="2"/>
    </font>
    <font>
      <i/>
      <sz val="9"/>
      <name val="Arial"/>
      <family val="2"/>
    </font>
    <font>
      <i/>
      <sz val="9"/>
      <color indexed="12"/>
      <name val="Arial"/>
      <family val="2"/>
    </font>
    <font>
      <sz val="10"/>
      <name val="Arial"/>
      <family val="2"/>
    </font>
    <font>
      <sz val="8"/>
      <color indexed="81"/>
      <name val="Tahoma"/>
      <family val="2"/>
    </font>
    <font>
      <i/>
      <sz val="8"/>
      <color indexed="12"/>
      <name val="Arial"/>
      <family val="2"/>
    </font>
    <font>
      <i/>
      <sz val="8"/>
      <color indexed="44"/>
      <name val="Arial"/>
      <family val="2"/>
    </font>
    <font>
      <b/>
      <sz val="8"/>
      <color indexed="10"/>
      <name val="Arial"/>
      <family val="2"/>
    </font>
    <font>
      <sz val="8"/>
      <color indexed="12"/>
      <name val="Arial"/>
      <family val="2"/>
    </font>
    <font>
      <sz val="8"/>
      <name val="Arial"/>
      <family val="2"/>
    </font>
    <font>
      <i/>
      <sz val="8"/>
      <color indexed="63"/>
      <name val="Arial"/>
      <family val="2"/>
    </font>
    <font>
      <b/>
      <i/>
      <sz val="8"/>
      <color indexed="63"/>
      <name val="Arial"/>
      <family val="2"/>
    </font>
    <font>
      <i/>
      <sz val="8"/>
      <name val="Arial"/>
      <family val="2"/>
    </font>
    <font>
      <i/>
      <sz val="8"/>
      <color indexed="53"/>
      <name val="Arial"/>
      <family val="2"/>
    </font>
    <font>
      <b/>
      <sz val="8"/>
      <color indexed="12"/>
      <name val="Arial"/>
      <family val="2"/>
    </font>
    <font>
      <i/>
      <sz val="7"/>
      <color indexed="58"/>
      <name val="Arial"/>
      <family val="2"/>
    </font>
    <font>
      <sz val="7"/>
      <name val="Arial"/>
      <family val="2"/>
    </font>
    <font>
      <b/>
      <sz val="10"/>
      <name val="Arial"/>
      <family val="2"/>
    </font>
    <font>
      <b/>
      <i/>
      <sz val="10"/>
      <name val="Arial"/>
      <family val="2"/>
    </font>
    <font>
      <b/>
      <sz val="8"/>
      <name val="Arial"/>
      <family val="2"/>
    </font>
    <font>
      <b/>
      <u/>
      <sz val="9"/>
      <color indexed="12"/>
      <name val="Arial"/>
      <family val="2"/>
    </font>
    <font>
      <b/>
      <sz val="11"/>
      <name val="Arial"/>
      <family val="2"/>
    </font>
    <font>
      <b/>
      <sz val="10"/>
      <color indexed="12"/>
      <name val="Arial"/>
      <family val="2"/>
    </font>
    <font>
      <u/>
      <sz val="7"/>
      <color indexed="62"/>
      <name val="Arial"/>
      <family val="2"/>
    </font>
    <font>
      <u/>
      <sz val="7"/>
      <color indexed="12"/>
      <name val="Arial"/>
      <family val="2"/>
    </font>
    <font>
      <sz val="9"/>
      <color indexed="8"/>
      <name val="Arial"/>
      <family val="2"/>
    </font>
    <font>
      <sz val="7"/>
      <color indexed="62"/>
      <name val="Arial"/>
      <family val="2"/>
    </font>
    <font>
      <b/>
      <u/>
      <sz val="9"/>
      <name val="Arial"/>
      <family val="2"/>
    </font>
    <font>
      <b/>
      <u/>
      <sz val="10"/>
      <name val="Arial"/>
      <family val="2"/>
    </font>
    <font>
      <b/>
      <sz val="12"/>
      <color indexed="12"/>
      <name val="Arial"/>
      <family val="2"/>
    </font>
    <font>
      <b/>
      <i/>
      <u/>
      <sz val="9"/>
      <color indexed="12"/>
      <name val="Arial"/>
      <family val="2"/>
    </font>
    <font>
      <b/>
      <sz val="11"/>
      <color indexed="12"/>
      <name val="Arial"/>
      <family val="2"/>
    </font>
    <font>
      <b/>
      <u/>
      <sz val="9"/>
      <color indexed="21"/>
      <name val="Arial"/>
      <family val="2"/>
    </font>
    <font>
      <i/>
      <sz val="7"/>
      <color indexed="12"/>
      <name val="Arial"/>
      <family val="2"/>
    </font>
    <font>
      <sz val="7"/>
      <color indexed="12"/>
      <name val="Arial"/>
      <family val="2"/>
    </font>
    <font>
      <sz val="9"/>
      <color indexed="9"/>
      <name val="Arial"/>
      <family val="2"/>
    </font>
    <font>
      <b/>
      <i/>
      <sz val="11"/>
      <name val="Arial"/>
      <family val="2"/>
    </font>
    <font>
      <b/>
      <i/>
      <sz val="12"/>
      <name val="Arial"/>
      <family val="2"/>
    </font>
    <font>
      <b/>
      <i/>
      <sz val="14"/>
      <name val="Arial"/>
      <family val="2"/>
    </font>
    <font>
      <sz val="9"/>
      <color indexed="48"/>
      <name val="Arial"/>
      <family val="2"/>
    </font>
    <font>
      <i/>
      <u/>
      <sz val="9"/>
      <name val="Arial"/>
      <family val="2"/>
    </font>
    <font>
      <i/>
      <sz val="8"/>
      <color indexed="62"/>
      <name val="Arial"/>
      <family val="2"/>
    </font>
    <font>
      <b/>
      <i/>
      <sz val="8"/>
      <name val="Arial"/>
      <family val="2"/>
    </font>
    <font>
      <sz val="8"/>
      <color indexed="48"/>
      <name val="Arial"/>
      <family val="2"/>
    </font>
    <font>
      <b/>
      <i/>
      <sz val="11"/>
      <color indexed="12"/>
      <name val="Arial"/>
      <family val="2"/>
    </font>
    <font>
      <i/>
      <sz val="11"/>
      <name val="Arial"/>
      <family val="2"/>
    </font>
    <font>
      <i/>
      <sz val="8"/>
      <color indexed="54"/>
      <name val="Arial"/>
      <family val="2"/>
    </font>
    <font>
      <sz val="9"/>
      <color indexed="10"/>
      <name val="Arial"/>
      <family val="2"/>
    </font>
    <font>
      <b/>
      <sz val="12"/>
      <name val="Arial"/>
      <family val="2"/>
    </font>
    <font>
      <sz val="9"/>
      <color indexed="81"/>
      <name val="Tahoma"/>
      <family val="2"/>
    </font>
    <font>
      <sz val="10"/>
      <name val="Arial"/>
      <family val="2"/>
      <charset val="1"/>
    </font>
    <font>
      <sz val="9"/>
      <name val="Arial"/>
      <family val="2"/>
      <charset val="1"/>
    </font>
    <font>
      <sz val="9"/>
      <color theme="1"/>
      <name val="Arial"/>
      <family val="2"/>
    </font>
    <font>
      <sz val="11"/>
      <color theme="1"/>
      <name val="Calibri"/>
      <family val="2"/>
      <scheme val="minor"/>
    </font>
    <font>
      <b/>
      <sz val="9"/>
      <color rgb="FFFF0000"/>
      <name val="Arial"/>
      <family val="2"/>
    </font>
    <font>
      <b/>
      <sz val="9"/>
      <color theme="1"/>
      <name val="Arial"/>
      <family val="2"/>
    </font>
    <font>
      <sz val="9"/>
      <name val="Calibri"/>
      <family val="3"/>
      <charset val="134"/>
      <scheme val="minor"/>
    </font>
    <font>
      <sz val="9"/>
      <color indexed="81"/>
      <name val="Arial"/>
      <family val="2"/>
    </font>
    <font>
      <sz val="9"/>
      <color theme="1"/>
      <name val="Calibri"/>
      <family val="2"/>
      <scheme val="minor"/>
    </font>
    <font>
      <b/>
      <sz val="9"/>
      <name val="宋体"/>
      <family val="2"/>
      <charset val="134"/>
    </font>
    <font>
      <b/>
      <i/>
      <sz val="10"/>
      <color rgb="FF0070C0"/>
      <name val="Arial"/>
      <family val="2"/>
    </font>
    <font>
      <b/>
      <sz val="10"/>
      <color rgb="FF0070C0"/>
      <name val="Arial"/>
      <family val="2"/>
    </font>
    <font>
      <b/>
      <sz val="9"/>
      <color rgb="FF0548DF"/>
      <name val="Arial"/>
      <family val="2"/>
    </font>
    <font>
      <sz val="9"/>
      <color rgb="FF0548DF"/>
      <name val="Arial"/>
      <family val="2"/>
    </font>
    <font>
      <b/>
      <u/>
      <sz val="9"/>
      <color theme="1"/>
      <name val="Arial"/>
      <family val="2"/>
    </font>
    <font>
      <i/>
      <sz val="8"/>
      <color theme="1"/>
      <name val="Arial"/>
      <family val="2"/>
    </font>
    <font>
      <b/>
      <sz val="8"/>
      <color theme="1"/>
      <name val="Arial"/>
      <family val="2"/>
    </font>
    <font>
      <b/>
      <i/>
      <sz val="9"/>
      <color rgb="FF0548DF"/>
      <name val="Arial"/>
      <family val="2"/>
    </font>
    <font>
      <i/>
      <sz val="9"/>
      <color indexed="62"/>
      <name val="Arial"/>
      <family val="2"/>
    </font>
    <font>
      <i/>
      <sz val="9"/>
      <color indexed="9"/>
      <name val="Arial"/>
      <family val="2"/>
    </font>
    <font>
      <b/>
      <i/>
      <sz val="12"/>
      <color theme="1"/>
      <name val="Arial"/>
      <family val="2"/>
    </font>
    <font>
      <i/>
      <u/>
      <sz val="8"/>
      <color indexed="62"/>
      <name val="Arial"/>
      <family val="2"/>
    </font>
    <font>
      <u/>
      <sz val="8"/>
      <color indexed="48"/>
      <name val="Arial"/>
      <family val="2"/>
    </font>
    <font>
      <b/>
      <i/>
      <sz val="9"/>
      <color theme="1"/>
      <name val="Arial"/>
      <family val="2"/>
    </font>
    <font>
      <b/>
      <i/>
      <sz val="8"/>
      <color indexed="12"/>
      <name val="Arial"/>
      <family val="2"/>
    </font>
    <font>
      <b/>
      <sz val="8"/>
      <color rgb="FF0548DF"/>
      <name val="Arial"/>
      <family val="2"/>
    </font>
    <font>
      <b/>
      <sz val="10"/>
      <color rgb="FF0548DF"/>
      <name val="Arial"/>
      <family val="2"/>
    </font>
    <font>
      <i/>
      <sz val="9"/>
      <color rgb="FF0548DF"/>
      <name val="Arial"/>
      <family val="2"/>
    </font>
    <font>
      <b/>
      <sz val="9"/>
      <color rgb="FF3A00FF"/>
      <name val="Arial"/>
      <family val="2"/>
    </font>
    <font>
      <sz val="9"/>
      <color rgb="FF3A00FF"/>
      <name val="Arial"/>
      <family val="2"/>
    </font>
    <font>
      <b/>
      <i/>
      <sz val="10"/>
      <color rgb="FF0000FF"/>
      <name val="Arial"/>
      <family val="2"/>
    </font>
    <font>
      <u/>
      <sz val="8"/>
      <color rgb="FF0000FF"/>
      <name val="Arial"/>
      <family val="2"/>
    </font>
    <font>
      <b/>
      <sz val="9"/>
      <color rgb="FF0000FF"/>
      <name val="Arial"/>
      <family val="2"/>
    </font>
    <font>
      <b/>
      <sz val="10"/>
      <color rgb="FF0000FF"/>
      <name val="Arial"/>
      <family val="2"/>
    </font>
    <font>
      <b/>
      <sz val="12"/>
      <color rgb="FF0000FF"/>
      <name val="Arial"/>
      <family val="2"/>
    </font>
    <font>
      <b/>
      <i/>
      <u/>
      <sz val="12"/>
      <color rgb="FF0000FF"/>
      <name val="Arial"/>
      <family val="2"/>
    </font>
    <font>
      <b/>
      <sz val="11"/>
      <color rgb="FF0000FF"/>
      <name val="Arial"/>
      <family val="2"/>
    </font>
    <font>
      <sz val="9"/>
      <color rgb="FF0000FF"/>
      <name val="Arial"/>
      <family val="2"/>
    </font>
    <font>
      <u/>
      <sz val="9"/>
      <color rgb="FF0000FF"/>
      <name val="Arial"/>
      <family val="2"/>
    </font>
    <font>
      <i/>
      <sz val="8"/>
      <color rgb="FF333399"/>
      <name val="Arial"/>
      <family val="2"/>
    </font>
    <font>
      <sz val="8"/>
      <color theme="1"/>
      <name val="Arial"/>
      <family val="2"/>
    </font>
  </fonts>
  <fills count="15">
    <fill>
      <patternFill patternType="none"/>
    </fill>
    <fill>
      <patternFill patternType="gray125"/>
    </fill>
    <fill>
      <patternFill patternType="solid">
        <fgColor indexed="31"/>
        <bgColor indexed="64"/>
      </patternFill>
    </fill>
    <fill>
      <patternFill patternType="solid">
        <fgColor indexed="13"/>
        <bgColor indexed="64"/>
      </patternFill>
    </fill>
    <fill>
      <patternFill patternType="solid">
        <fgColor indexed="42"/>
        <bgColor indexed="64"/>
      </patternFill>
    </fill>
    <fill>
      <patternFill patternType="solid">
        <fgColor indexed="26"/>
        <bgColor indexed="64"/>
      </patternFill>
    </fill>
    <fill>
      <patternFill patternType="solid">
        <fgColor indexed="48"/>
        <bgColor indexed="64"/>
      </patternFill>
    </fill>
    <fill>
      <patternFill patternType="solid">
        <fgColor indexed="22"/>
        <bgColor indexed="64"/>
      </patternFill>
    </fill>
    <fill>
      <patternFill patternType="solid">
        <fgColor indexed="23"/>
        <bgColor indexed="64"/>
      </patternFill>
    </fill>
    <fill>
      <patternFill patternType="solid">
        <fgColor indexed="9"/>
        <bgColor indexed="64"/>
      </patternFill>
    </fill>
    <fill>
      <patternFill patternType="solid">
        <fgColor theme="0"/>
        <bgColor indexed="64"/>
      </patternFill>
    </fill>
    <fill>
      <patternFill patternType="solid">
        <fgColor rgb="FFFFFFCC"/>
        <bgColor rgb="FFFFFFFF"/>
      </patternFill>
    </fill>
    <fill>
      <patternFill patternType="solid">
        <fgColor rgb="FFFFFF00"/>
        <bgColor indexed="64"/>
      </patternFill>
    </fill>
    <fill>
      <patternFill patternType="solid">
        <fgColor theme="2" tint="-9.9978637043366805E-2"/>
        <bgColor indexed="64"/>
      </patternFill>
    </fill>
    <fill>
      <patternFill patternType="solid">
        <fgColor theme="7" tint="0.59999389629810485"/>
        <bgColor indexed="64"/>
      </patternFill>
    </fill>
  </fills>
  <borders count="166">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double">
        <color indexed="64"/>
      </right>
      <top/>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hair">
        <color indexed="64"/>
      </right>
      <top/>
      <bottom/>
      <diagonal/>
    </border>
    <border>
      <left style="hair">
        <color indexed="64"/>
      </left>
      <right style="thin">
        <color indexed="64"/>
      </right>
      <top/>
      <bottom/>
      <diagonal/>
    </border>
    <border>
      <left style="hair">
        <color indexed="64"/>
      </left>
      <right style="hair">
        <color indexed="64"/>
      </right>
      <top/>
      <bottom/>
      <diagonal/>
    </border>
    <border>
      <left style="hair">
        <color indexed="64"/>
      </left>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medium">
        <color indexed="64"/>
      </right>
      <top/>
      <bottom/>
      <diagonal/>
    </border>
    <border>
      <left style="medium">
        <color indexed="64"/>
      </left>
      <right/>
      <top/>
      <bottom style="thin">
        <color indexed="64"/>
      </bottom>
      <diagonal/>
    </border>
    <border>
      <left/>
      <right style="hair">
        <color indexed="64"/>
      </right>
      <top/>
      <bottom style="thin">
        <color indexed="64"/>
      </bottom>
      <diagonal/>
    </border>
    <border>
      <left style="hair">
        <color indexed="64"/>
      </left>
      <right style="medium">
        <color indexed="64"/>
      </right>
      <top/>
      <bottom style="thin">
        <color indexed="64"/>
      </bottom>
      <diagonal/>
    </border>
    <border>
      <left/>
      <right style="hair">
        <color indexed="64"/>
      </right>
      <top style="thin">
        <color indexed="64"/>
      </top>
      <bottom/>
      <diagonal/>
    </border>
    <border>
      <left style="hair">
        <color indexed="64"/>
      </left>
      <right style="medium">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top style="thin">
        <color rgb="FFFF0000"/>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style="thin">
        <color theme="1"/>
      </left>
      <right style="thin">
        <color theme="1"/>
      </right>
      <top style="thin">
        <color theme="1"/>
      </top>
      <bottom style="thin">
        <color theme="1"/>
      </bottom>
      <diagonal/>
    </border>
    <border>
      <left/>
      <right style="thin">
        <color indexed="64"/>
      </right>
      <top/>
      <bottom style="thin">
        <color theme="1"/>
      </bottom>
      <diagonal/>
    </border>
    <border>
      <left/>
      <right/>
      <top/>
      <bottom style="thin">
        <color theme="1"/>
      </bottom>
      <diagonal/>
    </border>
    <border>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top/>
      <bottom style="medium">
        <color theme="1"/>
      </bottom>
      <diagonal/>
    </border>
    <border>
      <left/>
      <right/>
      <top/>
      <bottom style="medium">
        <color theme="1"/>
      </bottom>
      <diagonal/>
    </border>
    <border>
      <left style="thin">
        <color indexed="64"/>
      </left>
      <right style="hair">
        <color indexed="64"/>
      </right>
      <top/>
      <bottom style="medium">
        <color theme="1"/>
      </bottom>
      <diagonal/>
    </border>
    <border>
      <left style="hair">
        <color indexed="64"/>
      </left>
      <right style="thin">
        <color indexed="64"/>
      </right>
      <top/>
      <bottom style="medium">
        <color theme="1"/>
      </bottom>
      <diagonal/>
    </border>
    <border>
      <left style="thin">
        <color indexed="64"/>
      </left>
      <right style="hair">
        <color indexed="64"/>
      </right>
      <top style="thin">
        <color indexed="64"/>
      </top>
      <bottom style="medium">
        <color theme="1"/>
      </bottom>
      <diagonal/>
    </border>
    <border>
      <left style="hair">
        <color indexed="64"/>
      </left>
      <right style="hair">
        <color indexed="64"/>
      </right>
      <top style="thin">
        <color indexed="64"/>
      </top>
      <bottom style="medium">
        <color theme="1"/>
      </bottom>
      <diagonal/>
    </border>
    <border>
      <left/>
      <right style="thin">
        <color theme="1"/>
      </right>
      <top style="medium">
        <color theme="1"/>
      </top>
      <bottom style="thin">
        <color theme="1"/>
      </bottom>
      <diagonal/>
    </border>
    <border>
      <left/>
      <right style="thin">
        <color indexed="64"/>
      </right>
      <top style="thin">
        <color theme="1"/>
      </top>
      <bottom style="thin">
        <color theme="1"/>
      </bottom>
      <diagonal/>
    </border>
    <border>
      <left/>
      <right style="thin">
        <color theme="1"/>
      </right>
      <top/>
      <bottom style="thin">
        <color theme="1"/>
      </bottom>
      <diagonal/>
    </border>
    <border>
      <left style="hair">
        <color indexed="64"/>
      </left>
      <right style="thin">
        <color indexed="64"/>
      </right>
      <top/>
      <bottom style="thin">
        <color theme="1"/>
      </bottom>
      <diagonal/>
    </border>
    <border>
      <left style="thin">
        <color indexed="64"/>
      </left>
      <right style="thin">
        <color indexed="64"/>
      </right>
      <top style="thin">
        <color indexed="64"/>
      </top>
      <bottom style="thin">
        <color theme="1"/>
      </bottom>
      <diagonal/>
    </border>
    <border>
      <left style="hair">
        <color indexed="64"/>
      </left>
      <right style="thin">
        <color indexed="64"/>
      </right>
      <top style="thin">
        <color theme="1"/>
      </top>
      <bottom style="thin">
        <color theme="1"/>
      </bottom>
      <diagonal/>
    </border>
    <border>
      <left style="hair">
        <color indexed="64"/>
      </left>
      <right style="thin">
        <color indexed="64"/>
      </right>
      <top style="thin">
        <color indexed="64"/>
      </top>
      <bottom style="thin">
        <color theme="1"/>
      </bottom>
      <diagonal/>
    </border>
    <border>
      <left style="thin">
        <color rgb="FFFF0000"/>
      </left>
      <right style="thin">
        <color theme="1"/>
      </right>
      <top style="thin">
        <color rgb="FFFF0000"/>
      </top>
      <bottom style="thin">
        <color theme="1"/>
      </bottom>
      <diagonal/>
    </border>
    <border>
      <left style="thin">
        <color theme="1"/>
      </left>
      <right style="thin">
        <color theme="1"/>
      </right>
      <top style="thin">
        <color rgb="FFFF0000"/>
      </top>
      <bottom style="thin">
        <color theme="1"/>
      </bottom>
      <diagonal/>
    </border>
    <border>
      <left style="thin">
        <color theme="1"/>
      </left>
      <right style="thin">
        <color rgb="FFFF0000"/>
      </right>
      <top style="thin">
        <color rgb="FFFF0000"/>
      </top>
      <bottom style="thin">
        <color theme="1"/>
      </bottom>
      <diagonal/>
    </border>
    <border>
      <left style="thin">
        <color rgb="FFFF0000"/>
      </left>
      <right style="thin">
        <color theme="1"/>
      </right>
      <top style="thin">
        <color theme="1"/>
      </top>
      <bottom style="thin">
        <color theme="1"/>
      </bottom>
      <diagonal/>
    </border>
    <border>
      <left style="thin">
        <color theme="1"/>
      </left>
      <right style="thin">
        <color rgb="FFFF0000"/>
      </right>
      <top style="thin">
        <color theme="1"/>
      </top>
      <bottom style="thin">
        <color theme="1"/>
      </bottom>
      <diagonal/>
    </border>
    <border>
      <left style="thin">
        <color rgb="FFFF0000"/>
      </left>
      <right style="thin">
        <color theme="1"/>
      </right>
      <top style="thin">
        <color theme="1"/>
      </top>
      <bottom style="thin">
        <color rgb="FFFF0000"/>
      </bottom>
      <diagonal/>
    </border>
    <border>
      <left style="thin">
        <color theme="1"/>
      </left>
      <right style="thin">
        <color theme="1"/>
      </right>
      <top style="thin">
        <color theme="1"/>
      </top>
      <bottom style="thin">
        <color rgb="FFFF0000"/>
      </bottom>
      <diagonal/>
    </border>
    <border>
      <left style="thin">
        <color theme="1"/>
      </left>
      <right style="thin">
        <color rgb="FFFF0000"/>
      </right>
      <top style="thin">
        <color theme="1"/>
      </top>
      <bottom style="thin">
        <color rgb="FFFF0000"/>
      </bottom>
      <diagonal/>
    </border>
    <border>
      <left/>
      <right style="medium">
        <color theme="1"/>
      </right>
      <top/>
      <bottom style="medium">
        <color theme="1"/>
      </bottom>
      <diagonal/>
    </border>
    <border>
      <left style="medium">
        <color theme="8"/>
      </left>
      <right/>
      <top style="medium">
        <color theme="8"/>
      </top>
      <bottom/>
      <diagonal/>
    </border>
    <border>
      <left/>
      <right/>
      <top style="medium">
        <color theme="8"/>
      </top>
      <bottom/>
      <diagonal/>
    </border>
    <border>
      <left style="thin">
        <color indexed="64"/>
      </left>
      <right style="thin">
        <color indexed="64"/>
      </right>
      <top style="medium">
        <color theme="8"/>
      </top>
      <bottom style="thin">
        <color indexed="64"/>
      </bottom>
      <diagonal/>
    </border>
    <border>
      <left/>
      <right style="thin">
        <color indexed="64"/>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style="medium">
        <color theme="8"/>
      </right>
      <top style="medium">
        <color theme="8"/>
      </top>
      <bottom/>
      <diagonal/>
    </border>
    <border>
      <left style="hair">
        <color indexed="64"/>
      </left>
      <right style="thin">
        <color indexed="64"/>
      </right>
      <top style="medium">
        <color indexed="64"/>
      </top>
      <bottom/>
      <diagonal/>
    </border>
    <border>
      <left style="thin">
        <color indexed="64"/>
      </left>
      <right style="hair">
        <color indexed="64"/>
      </right>
      <top style="medium">
        <color indexed="64"/>
      </top>
      <bottom/>
      <diagonal/>
    </border>
    <border>
      <left style="thin">
        <color indexed="64"/>
      </left>
      <right/>
      <top/>
      <bottom style="medium">
        <color indexed="64"/>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bottom style="medium">
        <color theme="1"/>
      </bottom>
      <diagonal/>
    </border>
    <border>
      <left style="hair">
        <color indexed="64"/>
      </left>
      <right style="medium">
        <color indexed="64"/>
      </right>
      <top style="thin">
        <color indexed="64"/>
      </top>
      <bottom style="medium">
        <color theme="1"/>
      </bottom>
      <diagonal/>
    </border>
    <border>
      <left style="thin">
        <color indexed="64"/>
      </left>
      <right/>
      <top style="medium">
        <color theme="8"/>
      </top>
      <bottom style="thin">
        <color indexed="64"/>
      </bottom>
      <diagonal/>
    </border>
    <border>
      <left/>
      <right style="thin">
        <color indexed="64"/>
      </right>
      <top style="medium">
        <color theme="8"/>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right style="double">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indexed="64"/>
      </right>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medium">
        <color theme="8"/>
      </bottom>
      <diagonal/>
    </border>
    <border>
      <left style="thin">
        <color indexed="64"/>
      </left>
      <right style="thin">
        <color indexed="64"/>
      </right>
      <top style="medium">
        <color theme="8"/>
      </top>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s>
  <cellStyleXfs count="6">
    <xf numFmtId="0" fontId="0" fillId="0" borderId="0"/>
    <xf numFmtId="0" fontId="2" fillId="0" borderId="0" applyNumberFormat="0" applyFill="0" applyBorder="0" applyProtection="0">
      <alignment vertical="center" wrapText="1"/>
      <protection locked="0"/>
    </xf>
    <xf numFmtId="0" fontId="20" fillId="0" borderId="0"/>
    <xf numFmtId="0" fontId="20" fillId="0" borderId="0"/>
    <xf numFmtId="0" fontId="67" fillId="0" borderId="0"/>
    <xf numFmtId="0" fontId="70" fillId="0" borderId="0">
      <alignment vertical="center"/>
    </xf>
  </cellStyleXfs>
  <cellXfs count="1017">
    <xf numFmtId="0" fontId="0" fillId="0" borderId="0" xfId="0"/>
    <xf numFmtId="0" fontId="3" fillId="2" borderId="2" xfId="1" applyFont="1" applyFill="1" applyBorder="1" applyAlignment="1" applyProtection="1">
      <alignment horizontal="center" vertical="center" wrapText="1"/>
    </xf>
    <xf numFmtId="0" fontId="6" fillId="2" borderId="0" xfId="0" applyFont="1" applyFill="1" applyAlignment="1">
      <alignment horizontal="center" vertical="center"/>
    </xf>
    <xf numFmtId="0" fontId="1" fillId="0" borderId="0" xfId="0" applyFont="1" applyAlignment="1">
      <alignment horizontal="left"/>
    </xf>
    <xf numFmtId="0" fontId="7" fillId="0" borderId="6" xfId="0" applyFont="1" applyBorder="1"/>
    <xf numFmtId="0" fontId="9" fillId="0" borderId="0" xfId="0" applyFont="1" applyAlignment="1">
      <alignment vertical="top" wrapText="1"/>
    </xf>
    <xf numFmtId="0" fontId="7" fillId="0" borderId="0" xfId="0" applyFont="1"/>
    <xf numFmtId="0" fontId="7" fillId="0" borderId="0" xfId="0" applyFont="1" applyAlignment="1">
      <alignment vertical="center"/>
    </xf>
    <xf numFmtId="0" fontId="13" fillId="6" borderId="17" xfId="0" applyFont="1" applyFill="1" applyBorder="1" applyAlignment="1">
      <alignment horizontal="left" vertical="center" indent="1"/>
    </xf>
    <xf numFmtId="0" fontId="13" fillId="6" borderId="18" xfId="0" applyFont="1" applyFill="1" applyBorder="1" applyAlignment="1">
      <alignment horizontal="left" vertical="center" indent="1"/>
    </xf>
    <xf numFmtId="0" fontId="13" fillId="6" borderId="19" xfId="0" applyFont="1" applyFill="1" applyBorder="1" applyAlignment="1">
      <alignment horizontal="left" vertical="center" indent="1"/>
    </xf>
    <xf numFmtId="0" fontId="13" fillId="6" borderId="20" xfId="0" applyFont="1" applyFill="1" applyBorder="1" applyAlignment="1">
      <alignment vertical="center"/>
    </xf>
    <xf numFmtId="0" fontId="13" fillId="0" borderId="0" xfId="0" applyFont="1" applyAlignment="1">
      <alignment horizontal="left" vertical="center" indent="1"/>
    </xf>
    <xf numFmtId="0" fontId="14" fillId="0" borderId="24" xfId="0" applyFont="1" applyBorder="1"/>
    <xf numFmtId="0" fontId="7" fillId="0" borderId="0" xfId="0" quotePrefix="1" applyFont="1"/>
    <xf numFmtId="0" fontId="7" fillId="0" borderId="0" xfId="0" applyFont="1" applyAlignment="1">
      <alignment horizontal="left"/>
    </xf>
    <xf numFmtId="0" fontId="7" fillId="0" borderId="24" xfId="0" applyFont="1" applyBorder="1"/>
    <xf numFmtId="0" fontId="15" fillId="0" borderId="30" xfId="0" applyFont="1" applyBorder="1" applyAlignment="1">
      <alignment horizontal="center"/>
    </xf>
    <xf numFmtId="0" fontId="15" fillId="0" borderId="31" xfId="0" applyFont="1" applyBorder="1" applyAlignment="1">
      <alignment horizontal="center"/>
    </xf>
    <xf numFmtId="0" fontId="16" fillId="0" borderId="24" xfId="0" applyFont="1" applyBorder="1"/>
    <xf numFmtId="0" fontId="1" fillId="4" borderId="33" xfId="0" applyFont="1" applyFill="1" applyBorder="1" applyAlignment="1" applyProtection="1">
      <alignment horizontal="left" wrapText="1"/>
      <protection locked="0"/>
    </xf>
    <xf numFmtId="164" fontId="1" fillId="4" borderId="34" xfId="0" applyNumberFormat="1" applyFont="1" applyFill="1" applyBorder="1" applyAlignment="1" applyProtection="1">
      <alignment horizontal="left" wrapText="1"/>
      <protection locked="0"/>
    </xf>
    <xf numFmtId="0" fontId="1" fillId="4" borderId="36" xfId="0" applyFont="1" applyFill="1" applyBorder="1" applyAlignment="1" applyProtection="1">
      <alignment horizontal="left" wrapText="1"/>
      <protection locked="0"/>
    </xf>
    <xf numFmtId="164" fontId="1" fillId="4" borderId="37" xfId="0" applyNumberFormat="1" applyFont="1" applyFill="1" applyBorder="1" applyAlignment="1" applyProtection="1">
      <alignment horizontal="left" wrapText="1"/>
      <protection locked="0"/>
    </xf>
    <xf numFmtId="0" fontId="7" fillId="4" borderId="24" xfId="0" applyFont="1" applyFill="1" applyBorder="1" applyProtection="1">
      <protection locked="0"/>
    </xf>
    <xf numFmtId="0" fontId="1" fillId="4" borderId="39" xfId="0" applyFont="1" applyFill="1" applyBorder="1" applyAlignment="1" applyProtection="1">
      <alignment horizontal="left" wrapText="1"/>
      <protection locked="0"/>
    </xf>
    <xf numFmtId="164" fontId="1" fillId="4" borderId="40" xfId="0" applyNumberFormat="1" applyFont="1" applyFill="1" applyBorder="1" applyAlignment="1" applyProtection="1">
      <alignment horizontal="left" wrapText="1"/>
      <protection locked="0"/>
    </xf>
    <xf numFmtId="0" fontId="7" fillId="0" borderId="24" xfId="0" applyFont="1" applyBorder="1" applyAlignment="1">
      <alignment horizontal="left" indent="1"/>
    </xf>
    <xf numFmtId="0" fontId="7" fillId="0" borderId="0" xfId="0" applyFont="1" applyAlignment="1">
      <alignment horizontal="left" indent="1"/>
    </xf>
    <xf numFmtId="0" fontId="7" fillId="0" borderId="24" xfId="0" applyFont="1" applyBorder="1" applyAlignment="1">
      <alignment horizontal="left"/>
    </xf>
    <xf numFmtId="0" fontId="7" fillId="0" borderId="19" xfId="0" applyFont="1" applyBorder="1"/>
    <xf numFmtId="0" fontId="7" fillId="0" borderId="28" xfId="0" applyFont="1" applyBorder="1"/>
    <xf numFmtId="0" fontId="11" fillId="6" borderId="9" xfId="0" applyFont="1" applyFill="1" applyBorder="1" applyAlignment="1">
      <alignment horizontal="left" vertical="center" indent="1"/>
    </xf>
    <xf numFmtId="0" fontId="13" fillId="6" borderId="22" xfId="0" applyFont="1" applyFill="1" applyBorder="1" applyAlignment="1">
      <alignment vertical="center"/>
    </xf>
    <xf numFmtId="0" fontId="13" fillId="0" borderId="6" xfId="0" applyFont="1" applyBorder="1" applyAlignment="1">
      <alignment horizontal="left" vertical="center" indent="1"/>
    </xf>
    <xf numFmtId="0" fontId="15" fillId="0" borderId="32" xfId="0" applyFont="1" applyBorder="1" applyAlignment="1">
      <alignment horizontal="center"/>
    </xf>
    <xf numFmtId="0" fontId="1" fillId="5" borderId="33" xfId="0" applyFont="1" applyFill="1" applyBorder="1" applyAlignment="1" applyProtection="1">
      <alignment horizontal="left" wrapText="1"/>
      <protection locked="0"/>
    </xf>
    <xf numFmtId="0" fontId="1" fillId="5" borderId="34" xfId="0" applyFont="1" applyFill="1" applyBorder="1" applyAlignment="1" applyProtection="1">
      <alignment horizontal="left" wrapText="1"/>
      <protection locked="0"/>
    </xf>
    <xf numFmtId="0" fontId="1" fillId="5" borderId="35" xfId="0" applyFont="1" applyFill="1" applyBorder="1" applyAlignment="1" applyProtection="1">
      <alignment horizontal="left" wrapText="1"/>
      <protection locked="0"/>
    </xf>
    <xf numFmtId="0" fontId="1" fillId="5" borderId="36" xfId="0" applyFont="1" applyFill="1" applyBorder="1" applyAlignment="1" applyProtection="1">
      <alignment horizontal="left" wrapText="1"/>
      <protection locked="0"/>
    </xf>
    <xf numFmtId="0" fontId="1" fillId="5" borderId="37" xfId="0" applyFont="1" applyFill="1" applyBorder="1" applyAlignment="1" applyProtection="1">
      <alignment horizontal="left" wrapText="1"/>
      <protection locked="0"/>
    </xf>
    <xf numFmtId="0" fontId="1" fillId="5" borderId="38" xfId="0" applyFont="1" applyFill="1" applyBorder="1" applyAlignment="1" applyProtection="1">
      <alignment horizontal="left" wrapText="1"/>
      <protection locked="0"/>
    </xf>
    <xf numFmtId="164" fontId="1" fillId="5" borderId="36" xfId="0" applyNumberFormat="1" applyFont="1" applyFill="1" applyBorder="1" applyAlignment="1" applyProtection="1">
      <alignment horizontal="left" wrapText="1"/>
      <protection locked="0"/>
    </xf>
    <xf numFmtId="164" fontId="1" fillId="5" borderId="37" xfId="0" applyNumberFormat="1" applyFont="1" applyFill="1" applyBorder="1" applyAlignment="1" applyProtection="1">
      <alignment horizontal="left" wrapText="1"/>
      <protection locked="0"/>
    </xf>
    <xf numFmtId="164" fontId="1" fillId="5" borderId="38" xfId="0" applyNumberFormat="1" applyFont="1" applyFill="1" applyBorder="1" applyAlignment="1" applyProtection="1">
      <alignment horizontal="left" wrapText="1"/>
      <protection locked="0"/>
    </xf>
    <xf numFmtId="0" fontId="2" fillId="5" borderId="39" xfId="1" applyFill="1" applyBorder="1" applyAlignment="1" applyProtection="1">
      <alignment horizontal="left" wrapText="1"/>
      <protection locked="0"/>
    </xf>
    <xf numFmtId="0" fontId="17" fillId="5" borderId="40" xfId="1" applyFont="1" applyFill="1" applyBorder="1" applyAlignment="1" applyProtection="1">
      <alignment horizontal="left" wrapText="1"/>
      <protection locked="0"/>
    </xf>
    <xf numFmtId="0" fontId="2" fillId="5" borderId="40" xfId="1" applyFill="1" applyBorder="1" applyAlignment="1" applyProtection="1">
      <alignment horizontal="left" wrapText="1"/>
      <protection locked="0"/>
    </xf>
    <xf numFmtId="0" fontId="2" fillId="5" borderId="41" xfId="1" applyFill="1" applyBorder="1" applyAlignment="1" applyProtection="1">
      <alignment horizontal="left" wrapText="1"/>
      <protection locked="0"/>
    </xf>
    <xf numFmtId="0" fontId="13" fillId="6" borderId="9" xfId="0" applyFont="1" applyFill="1" applyBorder="1" applyAlignment="1">
      <alignment horizontal="left" vertical="center" indent="1"/>
    </xf>
    <xf numFmtId="0" fontId="15" fillId="0" borderId="44" xfId="0" applyFont="1" applyBorder="1" applyAlignment="1">
      <alignment horizontal="center" vertical="center"/>
    </xf>
    <xf numFmtId="0" fontId="5" fillId="5" borderId="33" xfId="0" applyFont="1" applyFill="1" applyBorder="1" applyAlignment="1" applyProtection="1">
      <alignment horizontal="center" vertical="center"/>
      <protection locked="0"/>
    </xf>
    <xf numFmtId="0" fontId="5" fillId="5" borderId="35" xfId="0" applyFont="1" applyFill="1" applyBorder="1" applyAlignment="1" applyProtection="1">
      <alignment horizontal="center"/>
      <protection locked="0"/>
    </xf>
    <xf numFmtId="0" fontId="5" fillId="5" borderId="36" xfId="0" applyFont="1" applyFill="1" applyBorder="1" applyAlignment="1" applyProtection="1">
      <alignment horizontal="center" vertical="center"/>
      <protection locked="0"/>
    </xf>
    <xf numFmtId="0" fontId="5" fillId="5" borderId="38" xfId="0" applyFont="1" applyFill="1" applyBorder="1" applyAlignment="1" applyProtection="1">
      <alignment horizontal="center"/>
      <protection locked="0"/>
    </xf>
    <xf numFmtId="0" fontId="5" fillId="5" borderId="36" xfId="0" applyFont="1" applyFill="1" applyBorder="1" applyAlignment="1" applyProtection="1">
      <alignment horizontal="center"/>
      <protection locked="0"/>
    </xf>
    <xf numFmtId="0" fontId="5" fillId="5" borderId="39" xfId="0" applyFont="1" applyFill="1" applyBorder="1" applyAlignment="1" applyProtection="1">
      <alignment horizontal="center"/>
      <protection locked="0"/>
    </xf>
    <xf numFmtId="0" fontId="5" fillId="5" borderId="41" xfId="0" applyFont="1" applyFill="1" applyBorder="1" applyAlignment="1" applyProtection="1">
      <alignment horizontal="center"/>
      <protection locked="0"/>
    </xf>
    <xf numFmtId="0" fontId="7" fillId="0" borderId="0" xfId="0" applyFont="1" applyAlignment="1">
      <alignment vertical="top"/>
    </xf>
    <xf numFmtId="0" fontId="14" fillId="0" borderId="48" xfId="0" applyFont="1" applyBorder="1" applyAlignment="1">
      <alignment horizontal="center"/>
    </xf>
    <xf numFmtId="0" fontId="14" fillId="0" borderId="49" xfId="0" applyFont="1" applyBorder="1" applyAlignment="1">
      <alignment horizontal="center"/>
    </xf>
    <xf numFmtId="0" fontId="5" fillId="5" borderId="42" xfId="0" applyFont="1" applyFill="1" applyBorder="1" applyAlignment="1" applyProtection="1">
      <alignment horizontal="left" wrapText="1"/>
      <protection locked="0"/>
    </xf>
    <xf numFmtId="0" fontId="5" fillId="5" borderId="51" xfId="0" applyFont="1" applyFill="1" applyBorder="1" applyAlignment="1" applyProtection="1">
      <alignment horizontal="left" wrapText="1"/>
      <protection locked="0"/>
    </xf>
    <xf numFmtId="0" fontId="1" fillId="5" borderId="42" xfId="0" applyFont="1" applyFill="1" applyBorder="1" applyAlignment="1" applyProtection="1">
      <alignment horizontal="left" wrapText="1"/>
      <protection locked="0"/>
    </xf>
    <xf numFmtId="0" fontId="1" fillId="5" borderId="51" xfId="0" applyFont="1" applyFill="1" applyBorder="1" applyAlignment="1" applyProtection="1">
      <alignment horizontal="left" wrapText="1"/>
      <protection locked="0"/>
    </xf>
    <xf numFmtId="0" fontId="1" fillId="5" borderId="18" xfId="0" applyFont="1" applyFill="1" applyBorder="1" applyAlignment="1" applyProtection="1">
      <alignment horizontal="left" wrapText="1"/>
      <protection locked="0"/>
    </xf>
    <xf numFmtId="0" fontId="1" fillId="5" borderId="49" xfId="0" applyFont="1" applyFill="1" applyBorder="1" applyAlignment="1" applyProtection="1">
      <alignment horizontal="left" wrapText="1"/>
      <protection locked="0"/>
    </xf>
    <xf numFmtId="0" fontId="15" fillId="0" borderId="48" xfId="0" applyFont="1" applyBorder="1" applyAlignment="1">
      <alignment horizontal="center"/>
    </xf>
    <xf numFmtId="0" fontId="15" fillId="0" borderId="49" xfId="0" applyFont="1" applyBorder="1" applyAlignment="1">
      <alignment horizontal="center"/>
    </xf>
    <xf numFmtId="0" fontId="7" fillId="0" borderId="19" xfId="0" applyFont="1" applyBorder="1" applyAlignment="1">
      <alignment vertical="top"/>
    </xf>
    <xf numFmtId="0" fontId="7" fillId="0" borderId="6" xfId="0" applyFont="1" applyBorder="1" applyAlignment="1">
      <alignment vertical="top"/>
    </xf>
    <xf numFmtId="0" fontId="7" fillId="3" borderId="17" xfId="0" applyFont="1" applyFill="1" applyBorder="1" applyAlignment="1">
      <alignment horizontal="center"/>
    </xf>
    <xf numFmtId="0" fontId="7" fillId="3" borderId="17" xfId="0" applyFont="1" applyFill="1" applyBorder="1"/>
    <xf numFmtId="0" fontId="7" fillId="0" borderId="19" xfId="0" applyFont="1" applyBorder="1" applyAlignment="1">
      <alignment horizontal="left"/>
    </xf>
    <xf numFmtId="0" fontId="7" fillId="0" borderId="17" xfId="0" applyFont="1" applyBorder="1"/>
    <xf numFmtId="0" fontId="20" fillId="0" borderId="0" xfId="0" applyFont="1"/>
    <xf numFmtId="0" fontId="7" fillId="0" borderId="0" xfId="0" applyFont="1" applyAlignment="1">
      <alignment horizontal="center" wrapText="1"/>
    </xf>
    <xf numFmtId="0" fontId="7" fillId="0" borderId="0" xfId="2" applyFont="1"/>
    <xf numFmtId="0" fontId="7" fillId="0" borderId="0" xfId="0" applyFont="1" applyAlignment="1">
      <alignment horizontal="left" vertical="top"/>
    </xf>
    <xf numFmtId="0" fontId="25" fillId="2" borderId="6" xfId="0" applyFont="1" applyFill="1" applyBorder="1" applyAlignment="1">
      <alignment horizontal="left" wrapText="1" indent="1"/>
    </xf>
    <xf numFmtId="0" fontId="2" fillId="2" borderId="6" xfId="1" applyFill="1" applyBorder="1" applyAlignment="1" applyProtection="1">
      <alignment horizontal="left" wrapText="1" indent="1"/>
    </xf>
    <xf numFmtId="0" fontId="25" fillId="2" borderId="6" xfId="0" applyFont="1" applyFill="1" applyBorder="1" applyAlignment="1">
      <alignment horizontal="left" vertical="top" wrapText="1" indent="1"/>
    </xf>
    <xf numFmtId="0" fontId="22" fillId="2" borderId="45" xfId="0" applyFont="1" applyFill="1" applyBorder="1" applyAlignment="1">
      <alignment horizontal="center" vertical="center" wrapText="1"/>
    </xf>
    <xf numFmtId="0" fontId="1" fillId="0" borderId="0" xfId="0" applyFont="1" applyAlignment="1">
      <alignment horizontal="left" wrapText="1" indent="1"/>
    </xf>
    <xf numFmtId="0" fontId="25" fillId="3" borderId="0" xfId="0" applyFont="1" applyFill="1" applyAlignment="1">
      <alignment horizontal="right" vertical="center"/>
    </xf>
    <xf numFmtId="1" fontId="1" fillId="0" borderId="0" xfId="0" applyNumberFormat="1" applyFont="1" applyAlignment="1">
      <alignment horizontal="left" vertical="top" wrapText="1" indent="1"/>
    </xf>
    <xf numFmtId="0" fontId="26" fillId="7" borderId="44" xfId="0" applyFont="1" applyFill="1" applyBorder="1" applyAlignment="1">
      <alignment horizontal="right" vertical="top"/>
    </xf>
    <xf numFmtId="1" fontId="26" fillId="7" borderId="44" xfId="0" applyNumberFormat="1" applyFont="1" applyFill="1" applyBorder="1" applyAlignment="1">
      <alignment horizontal="center" vertical="top"/>
    </xf>
    <xf numFmtId="1" fontId="26" fillId="7" borderId="9" xfId="0" applyNumberFormat="1" applyFont="1" applyFill="1" applyBorder="1" applyAlignment="1">
      <alignment vertical="top"/>
    </xf>
    <xf numFmtId="0" fontId="26" fillId="7" borderId="44" xfId="0" applyFont="1" applyFill="1" applyBorder="1" applyAlignment="1">
      <alignment horizontal="left" vertical="top"/>
    </xf>
    <xf numFmtId="0" fontId="25" fillId="3" borderId="0" xfId="0" applyFont="1" applyFill="1" applyAlignment="1">
      <alignment horizontal="left" vertical="center"/>
    </xf>
    <xf numFmtId="0" fontId="25" fillId="0" borderId="0" xfId="0" applyFont="1" applyAlignment="1">
      <alignment horizontal="left" wrapText="1" indent="1"/>
    </xf>
    <xf numFmtId="0" fontId="26" fillId="2" borderId="19" xfId="0" applyFont="1" applyFill="1" applyBorder="1" applyAlignment="1">
      <alignment horizontal="left" vertical="top" wrapText="1"/>
    </xf>
    <xf numFmtId="0" fontId="20" fillId="2" borderId="19" xfId="0" applyFont="1" applyFill="1" applyBorder="1"/>
    <xf numFmtId="0" fontId="29" fillId="2" borderId="19" xfId="0" applyFont="1" applyFill="1" applyBorder="1" applyAlignment="1">
      <alignment horizontal="left" vertical="center" wrapText="1"/>
    </xf>
    <xf numFmtId="0" fontId="29" fillId="2" borderId="47" xfId="0" applyFont="1" applyFill="1" applyBorder="1" applyAlignment="1">
      <alignment horizontal="left" vertical="center" wrapText="1"/>
    </xf>
    <xf numFmtId="0" fontId="26" fillId="0" borderId="0" xfId="0" applyFont="1" applyAlignment="1">
      <alignment horizontal="center" textRotation="180" wrapText="1"/>
    </xf>
    <xf numFmtId="0" fontId="29" fillId="0" borderId="0" xfId="0" applyFont="1" applyAlignment="1">
      <alignment horizontal="left" vertical="center" wrapText="1"/>
    </xf>
    <xf numFmtId="0" fontId="26" fillId="3" borderId="0" xfId="0" applyFont="1" applyFill="1" applyAlignment="1">
      <alignment horizontal="right" vertical="center"/>
    </xf>
    <xf numFmtId="0" fontId="26" fillId="0" borderId="0" xfId="0" applyFont="1" applyAlignment="1">
      <alignment horizontal="left" vertical="center" wrapText="1"/>
    </xf>
    <xf numFmtId="0" fontId="32" fillId="0" borderId="0" xfId="0" applyFont="1" applyAlignment="1">
      <alignment horizontal="left" wrapText="1"/>
    </xf>
    <xf numFmtId="0" fontId="26" fillId="0" borderId="0" xfId="0" applyFont="1" applyAlignment="1">
      <alignment horizontal="left" vertical="center"/>
    </xf>
    <xf numFmtId="1" fontId="26" fillId="7" borderId="9" xfId="0" applyNumberFormat="1" applyFont="1" applyFill="1" applyBorder="1" applyAlignment="1">
      <alignment horizontal="center" vertical="top"/>
    </xf>
    <xf numFmtId="0" fontId="26" fillId="7" borderId="56" xfId="0" applyFont="1" applyFill="1" applyBorder="1" applyAlignment="1">
      <alignment horizontal="left" vertical="top"/>
    </xf>
    <xf numFmtId="0" fontId="26" fillId="3" borderId="0" xfId="0" applyFont="1" applyFill="1" applyAlignment="1">
      <alignment horizontal="left" vertical="center"/>
    </xf>
    <xf numFmtId="0" fontId="33" fillId="2" borderId="0" xfId="0" applyFont="1" applyFill="1" applyAlignment="1">
      <alignment horizontal="center" textRotation="90"/>
    </xf>
    <xf numFmtId="0" fontId="34" fillId="0" borderId="5" xfId="0" applyFont="1" applyBorder="1" applyAlignment="1">
      <alignment horizontal="left" vertical="top"/>
    </xf>
    <xf numFmtId="0" fontId="20" fillId="0" borderId="6" xfId="0" applyFont="1" applyBorder="1" applyAlignment="1">
      <alignment horizontal="center"/>
    </xf>
    <xf numFmtId="0" fontId="20" fillId="0" borderId="0" xfId="0" applyFont="1" applyAlignment="1">
      <alignment horizontal="center" textRotation="180" wrapText="1"/>
    </xf>
    <xf numFmtId="0" fontId="20" fillId="0" borderId="0" xfId="0" applyFont="1" applyAlignment="1">
      <alignment horizontal="center" wrapText="1"/>
    </xf>
    <xf numFmtId="0" fontId="20" fillId="3" borderId="0" xfId="0" applyFont="1" applyFill="1" applyAlignment="1">
      <alignment horizontal="right" vertical="center"/>
    </xf>
    <xf numFmtId="0" fontId="20" fillId="0" borderId="0" xfId="0" applyFont="1" applyAlignment="1">
      <alignment horizontal="center"/>
    </xf>
    <xf numFmtId="0" fontId="26" fillId="7" borderId="59" xfId="0" applyFont="1" applyFill="1" applyBorder="1" applyAlignment="1">
      <alignment horizontal="right" vertical="top"/>
    </xf>
    <xf numFmtId="1" fontId="26" fillId="7" borderId="59" xfId="0" applyNumberFormat="1" applyFont="1" applyFill="1" applyBorder="1" applyAlignment="1">
      <alignment horizontal="center" vertical="top"/>
    </xf>
    <xf numFmtId="1" fontId="26" fillId="7" borderId="60" xfId="0" applyNumberFormat="1" applyFont="1" applyFill="1" applyBorder="1" applyAlignment="1">
      <alignment horizontal="center" vertical="top"/>
    </xf>
    <xf numFmtId="0" fontId="26" fillId="0" borderId="0" xfId="0" applyFont="1"/>
    <xf numFmtId="0" fontId="36" fillId="0" borderId="11" xfId="0" applyFont="1" applyBorder="1" applyAlignment="1">
      <alignment horizontal="left" vertical="top"/>
    </xf>
    <xf numFmtId="0" fontId="26" fillId="0" borderId="0" xfId="0" applyFont="1" applyAlignment="1">
      <alignment horizontal="center"/>
    </xf>
    <xf numFmtId="15" fontId="34" fillId="0" borderId="0" xfId="0" applyNumberFormat="1" applyFont="1" applyAlignment="1">
      <alignment horizontal="center" vertical="center" wrapText="1"/>
    </xf>
    <xf numFmtId="0" fontId="35" fillId="0" borderId="0" xfId="0" quotePrefix="1" applyFont="1" applyAlignment="1">
      <alignment horizontal="center" vertical="center" wrapText="1"/>
    </xf>
    <xf numFmtId="0" fontId="26" fillId="0" borderId="0" xfId="0" applyFont="1" applyAlignment="1">
      <alignment horizontal="center" wrapText="1"/>
    </xf>
    <xf numFmtId="0" fontId="26" fillId="7" borderId="11" xfId="0" applyFont="1" applyFill="1" applyBorder="1" applyAlignment="1">
      <alignment vertical="top"/>
    </xf>
    <xf numFmtId="0" fontId="26" fillId="7" borderId="0" xfId="0" applyFont="1" applyFill="1" applyAlignment="1">
      <alignment vertical="top"/>
    </xf>
    <xf numFmtId="0" fontId="15" fillId="0" borderId="30" xfId="0" applyFont="1" applyBorder="1" applyAlignment="1">
      <alignment horizontal="center" wrapText="1"/>
    </xf>
    <xf numFmtId="0" fontId="15" fillId="0" borderId="64" xfId="0" applyFont="1" applyBorder="1" applyAlignment="1">
      <alignment horizontal="center" wrapText="1"/>
    </xf>
    <xf numFmtId="0" fontId="26" fillId="7" borderId="18" xfId="0" applyFont="1" applyFill="1" applyBorder="1" applyAlignment="1">
      <alignment vertical="top"/>
    </xf>
    <xf numFmtId="0" fontId="26" fillId="7" borderId="19" xfId="0" applyFont="1" applyFill="1" applyBorder="1" applyAlignment="1">
      <alignment vertical="top"/>
    </xf>
    <xf numFmtId="0" fontId="26" fillId="7" borderId="66" xfId="0" applyFont="1" applyFill="1" applyBorder="1" applyAlignment="1">
      <alignment vertical="top"/>
    </xf>
    <xf numFmtId="0" fontId="25" fillId="2" borderId="0" xfId="0" applyFont="1" applyFill="1" applyAlignment="1">
      <alignment horizontal="center" textRotation="90"/>
    </xf>
    <xf numFmtId="0" fontId="31" fillId="7" borderId="61" xfId="0" applyFont="1" applyFill="1" applyBorder="1" applyAlignment="1">
      <alignment horizontal="left" textRotation="90"/>
    </xf>
    <xf numFmtId="0" fontId="31" fillId="7" borderId="62" xfId="0" applyFont="1" applyFill="1" applyBorder="1" applyAlignment="1">
      <alignment horizontal="left" textRotation="90"/>
    </xf>
    <xf numFmtId="1" fontId="2" fillId="7" borderId="19" xfId="1" applyNumberFormat="1" applyFill="1" applyBorder="1" applyAlignment="1" applyProtection="1">
      <alignment horizontal="center" vertical="center" wrapText="1"/>
    </xf>
    <xf numFmtId="1" fontId="2" fillId="7" borderId="47" xfId="1" applyNumberFormat="1" applyFill="1" applyBorder="1" applyAlignment="1" applyProtection="1">
      <alignment horizontal="center" vertical="center" wrapText="1"/>
    </xf>
    <xf numFmtId="0" fontId="25" fillId="7" borderId="65" xfId="0" applyFont="1" applyFill="1" applyBorder="1" applyAlignment="1">
      <alignment horizontal="left" vertical="top" wrapText="1"/>
    </xf>
    <xf numFmtId="0" fontId="2" fillId="7" borderId="0" xfId="1" applyNumberFormat="1" applyFill="1" applyBorder="1" applyAlignment="1" applyProtection="1">
      <alignment horizontal="center" wrapText="1"/>
    </xf>
    <xf numFmtId="0" fontId="25" fillId="0" borderId="0" xfId="0" applyFont="1" applyAlignment="1">
      <alignment horizontal="left" wrapText="1"/>
    </xf>
    <xf numFmtId="1" fontId="31" fillId="7" borderId="44" xfId="0" applyNumberFormat="1" applyFont="1" applyFill="1" applyBorder="1" applyAlignment="1">
      <alignment horizontal="left" wrapText="1"/>
    </xf>
    <xf numFmtId="0" fontId="25" fillId="0" borderId="0" xfId="0" applyFont="1" applyAlignment="1">
      <alignment horizontal="left"/>
    </xf>
    <xf numFmtId="0" fontId="7" fillId="0" borderId="0" xfId="0" applyFont="1" applyAlignment="1">
      <alignment horizontal="center" vertical="center"/>
    </xf>
    <xf numFmtId="1" fontId="15" fillId="7" borderId="44" xfId="0" quotePrefix="1" applyNumberFormat="1" applyFont="1" applyFill="1" applyBorder="1" applyAlignment="1">
      <alignment horizontal="center" vertical="top"/>
    </xf>
    <xf numFmtId="1" fontId="15" fillId="7" borderId="44" xfId="0" applyNumberFormat="1" applyFont="1" applyFill="1" applyBorder="1" applyAlignment="1">
      <alignment horizontal="center" vertical="top"/>
    </xf>
    <xf numFmtId="0" fontId="41" fillId="2" borderId="0" xfId="1" applyFont="1" applyFill="1" applyAlignment="1" applyProtection="1">
      <alignment horizontal="center" vertical="center"/>
    </xf>
    <xf numFmtId="0" fontId="7" fillId="0" borderId="0" xfId="0" applyFont="1" applyAlignment="1">
      <alignment horizontal="right"/>
    </xf>
    <xf numFmtId="1" fontId="7" fillId="0" borderId="0" xfId="0" applyNumberFormat="1" applyFont="1" applyAlignment="1">
      <alignment vertical="top"/>
    </xf>
    <xf numFmtId="0" fontId="20" fillId="0" borderId="0" xfId="0" applyFont="1" applyAlignment="1">
      <alignment horizontal="right"/>
    </xf>
    <xf numFmtId="0" fontId="41" fillId="2" borderId="0" xfId="1" applyFont="1" applyFill="1" applyAlignment="1" applyProtection="1">
      <alignment horizontal="center" vertical="center" wrapText="1"/>
    </xf>
    <xf numFmtId="0" fontId="7" fillId="0" borderId="0" xfId="0" applyFont="1" applyAlignment="1">
      <alignment horizontal="right" wrapText="1"/>
    </xf>
    <xf numFmtId="165" fontId="20" fillId="0" borderId="0" xfId="0" applyNumberFormat="1" applyFont="1" applyAlignment="1">
      <alignment horizontal="left" wrapText="1"/>
    </xf>
    <xf numFmtId="0" fontId="20" fillId="0" borderId="0" xfId="0" applyFont="1" applyAlignment="1">
      <alignment wrapText="1"/>
    </xf>
    <xf numFmtId="0" fontId="20" fillId="0" borderId="0" xfId="0" applyFont="1" applyAlignment="1">
      <alignment horizontal="right" wrapText="1"/>
    </xf>
    <xf numFmtId="0" fontId="20" fillId="0" borderId="0" xfId="0" applyFont="1" applyAlignment="1">
      <alignment horizontal="left" wrapText="1"/>
    </xf>
    <xf numFmtId="0" fontId="7" fillId="0" borderId="0" xfId="0" applyFont="1" applyAlignment="1">
      <alignment wrapText="1"/>
    </xf>
    <xf numFmtId="0" fontId="7" fillId="0" borderId="0" xfId="0" applyFont="1" applyAlignment="1">
      <alignment horizontal="left" wrapText="1"/>
    </xf>
    <xf numFmtId="0" fontId="20" fillId="0" borderId="0" xfId="0" applyFont="1" applyAlignment="1">
      <alignment horizontal="left"/>
    </xf>
    <xf numFmtId="166" fontId="20" fillId="0" borderId="0" xfId="0" applyNumberFormat="1" applyFont="1" applyAlignment="1">
      <alignment horizontal="left"/>
    </xf>
    <xf numFmtId="1" fontId="20" fillId="0" borderId="0" xfId="0" applyNumberFormat="1" applyFont="1"/>
    <xf numFmtId="166" fontId="47" fillId="0" borderId="0" xfId="0" applyNumberFormat="1" applyFont="1" applyAlignment="1">
      <alignment horizontal="center" wrapText="1"/>
    </xf>
    <xf numFmtId="0" fontId="1" fillId="0" borderId="0" xfId="0" applyFont="1" applyAlignment="1">
      <alignment vertical="top" wrapText="1"/>
    </xf>
    <xf numFmtId="9" fontId="1" fillId="0" borderId="0" xfId="0" applyNumberFormat="1" applyFont="1" applyAlignment="1">
      <alignment horizontal="left" vertical="top" wrapText="1"/>
    </xf>
    <xf numFmtId="0" fontId="41" fillId="7" borderId="0" xfId="1" applyFont="1" applyFill="1" applyBorder="1" applyAlignment="1" applyProtection="1">
      <alignment horizontal="center" vertical="center"/>
    </xf>
    <xf numFmtId="0" fontId="1" fillId="0" borderId="0" xfId="0" applyFont="1" applyAlignment="1">
      <alignment horizontal="center" vertical="center" wrapText="1"/>
    </xf>
    <xf numFmtId="0" fontId="1" fillId="0" borderId="0" xfId="0" applyFont="1" applyAlignment="1">
      <alignment horizontal="right" vertical="center" wrapText="1"/>
    </xf>
    <xf numFmtId="1" fontId="1" fillId="0" borderId="0" xfId="0" applyNumberFormat="1" applyFont="1" applyAlignment="1">
      <alignment wrapText="1"/>
    </xf>
    <xf numFmtId="0" fontId="1"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wrapText="1"/>
    </xf>
    <xf numFmtId="1" fontId="15" fillId="0" borderId="0" xfId="0" applyNumberFormat="1" applyFont="1" applyAlignment="1">
      <alignment wrapText="1"/>
    </xf>
    <xf numFmtId="0" fontId="15" fillId="0" borderId="0" xfId="0" applyFont="1" applyAlignment="1">
      <alignment horizontal="left" vertical="top" wrapText="1"/>
    </xf>
    <xf numFmtId="0" fontId="5" fillId="0" borderId="0" xfId="0" applyFont="1" applyAlignment="1">
      <alignment horizontal="center" vertical="top" wrapText="1"/>
    </xf>
    <xf numFmtId="165" fontId="5" fillId="0" borderId="0" xfId="0" applyNumberFormat="1" applyFont="1" applyAlignment="1">
      <alignment horizontal="center" vertical="top" wrapText="1"/>
    </xf>
    <xf numFmtId="0" fontId="15" fillId="0" borderId="0" xfId="0" applyFont="1" applyAlignment="1">
      <alignment horizontal="right" wrapText="1"/>
    </xf>
    <xf numFmtId="1" fontId="15" fillId="0" borderId="0" xfId="0" applyNumberFormat="1" applyFont="1" applyAlignment="1">
      <alignment vertical="top" wrapText="1"/>
    </xf>
    <xf numFmtId="0" fontId="37" fillId="0" borderId="0" xfId="0" applyFont="1" applyAlignment="1">
      <alignment horizontal="center" vertical="center" wrapText="1"/>
    </xf>
    <xf numFmtId="0" fontId="37" fillId="0" borderId="0" xfId="0" applyFont="1" applyAlignment="1">
      <alignment wrapText="1"/>
    </xf>
    <xf numFmtId="0" fontId="37" fillId="0" borderId="0" xfId="0" applyFont="1" applyAlignment="1">
      <alignment horizontal="center" textRotation="90" wrapText="1"/>
    </xf>
    <xf numFmtId="1" fontId="37" fillId="0" borderId="0" xfId="0" applyNumberFormat="1" applyFont="1" applyAlignment="1">
      <alignment wrapText="1"/>
    </xf>
    <xf numFmtId="0" fontId="37" fillId="0" borderId="0" xfId="0" applyFont="1" applyAlignment="1">
      <alignment horizontal="left" vertical="top" wrapText="1"/>
    </xf>
    <xf numFmtId="0" fontId="37" fillId="0" borderId="0" xfId="0" applyFont="1" applyAlignment="1">
      <alignment horizontal="center" vertical="top" wrapText="1"/>
    </xf>
    <xf numFmtId="165" fontId="37" fillId="0" borderId="0" xfId="0" applyNumberFormat="1" applyFont="1" applyAlignment="1">
      <alignment horizontal="center" vertical="top" wrapText="1"/>
    </xf>
    <xf numFmtId="0" fontId="37" fillId="0" borderId="0" xfId="0" applyFont="1" applyAlignment="1">
      <alignment horizontal="right" wrapText="1"/>
    </xf>
    <xf numFmtId="1" fontId="37" fillId="0" borderId="0" xfId="0" applyNumberFormat="1" applyFont="1" applyAlignment="1">
      <alignment vertical="top" wrapText="1"/>
    </xf>
    <xf numFmtId="0" fontId="7" fillId="0" borderId="0" xfId="0" applyFont="1" applyAlignment="1">
      <alignment horizontal="center" vertical="center" wrapText="1"/>
    </xf>
    <xf numFmtId="1" fontId="7" fillId="0" borderId="0" xfId="0" applyNumberFormat="1" applyFont="1" applyAlignment="1">
      <alignment wrapText="1"/>
    </xf>
    <xf numFmtId="0" fontId="7" fillId="0" borderId="0" xfId="0" applyFont="1" applyAlignment="1">
      <alignment horizontal="left" vertical="top" wrapText="1"/>
    </xf>
    <xf numFmtId="165" fontId="1" fillId="0" borderId="0" xfId="0" applyNumberFormat="1" applyFont="1" applyAlignment="1">
      <alignment horizontal="center" vertical="top" wrapText="1"/>
    </xf>
    <xf numFmtId="1" fontId="7" fillId="0" borderId="0" xfId="0" applyNumberFormat="1" applyFont="1" applyAlignment="1">
      <alignment vertical="top" wrapText="1"/>
    </xf>
    <xf numFmtId="0" fontId="7" fillId="0" borderId="0" xfId="0" applyFont="1" applyAlignment="1">
      <alignment vertical="top" wrapText="1"/>
    </xf>
    <xf numFmtId="0" fontId="37" fillId="0" borderId="0" xfId="0" applyFont="1" applyAlignment="1">
      <alignment vertical="top" wrapText="1"/>
    </xf>
    <xf numFmtId="0" fontId="49" fillId="0" borderId="0" xfId="0" applyFont="1" applyAlignment="1">
      <alignment horizontal="center" vertical="center" wrapText="1"/>
    </xf>
    <xf numFmtId="0" fontId="49" fillId="0" borderId="0" xfId="0" applyFont="1" applyAlignment="1">
      <alignment wrapText="1"/>
    </xf>
    <xf numFmtId="0" fontId="49" fillId="0" borderId="0" xfId="0" applyFont="1" applyAlignment="1">
      <alignment vertical="top" wrapText="1"/>
    </xf>
    <xf numFmtId="1" fontId="49" fillId="0" borderId="0" xfId="0" applyNumberFormat="1" applyFont="1" applyAlignment="1">
      <alignment wrapText="1"/>
    </xf>
    <xf numFmtId="0" fontId="49" fillId="0" borderId="0" xfId="0" applyFont="1" applyAlignment="1">
      <alignment horizontal="left" vertical="top" wrapText="1"/>
    </xf>
    <xf numFmtId="0" fontId="49" fillId="0" borderId="0" xfId="0" applyFont="1" applyAlignment="1">
      <alignment horizontal="center" vertical="top" wrapText="1"/>
    </xf>
    <xf numFmtId="165" fontId="49" fillId="0" borderId="0" xfId="0" applyNumberFormat="1" applyFont="1" applyAlignment="1">
      <alignment horizontal="center" vertical="top" wrapText="1"/>
    </xf>
    <xf numFmtId="0" fontId="49" fillId="0" borderId="0" xfId="0" applyFont="1" applyAlignment="1">
      <alignment horizontal="right" wrapText="1"/>
    </xf>
    <xf numFmtId="1" fontId="49" fillId="0" borderId="0" xfId="0" applyNumberFormat="1" applyFont="1" applyAlignment="1">
      <alignment vertical="top" wrapText="1"/>
    </xf>
    <xf numFmtId="0" fontId="43" fillId="2" borderId="0" xfId="0" applyFont="1" applyFill="1" applyAlignment="1">
      <alignment horizontal="center" vertical="center"/>
    </xf>
    <xf numFmtId="0" fontId="7" fillId="0" borderId="0" xfId="0" applyFont="1" applyAlignment="1">
      <alignment horizontal="center"/>
    </xf>
    <xf numFmtId="0" fontId="31" fillId="0" borderId="0" xfId="0" applyFont="1" applyAlignment="1">
      <alignment horizontal="center" vertical="top" wrapText="1"/>
    </xf>
    <xf numFmtId="165" fontId="25" fillId="0" borderId="0" xfId="0" applyNumberFormat="1" applyFont="1" applyAlignment="1">
      <alignment horizontal="center" vertical="top" wrapText="1"/>
    </xf>
    <xf numFmtId="1" fontId="7" fillId="0" borderId="0" xfId="0" applyNumberFormat="1" applyFont="1" applyAlignment="1">
      <alignment horizontal="center" vertical="top"/>
    </xf>
    <xf numFmtId="0" fontId="43" fillId="0" borderId="0" xfId="0" applyFont="1" applyAlignment="1">
      <alignment horizontal="center" vertical="center"/>
    </xf>
    <xf numFmtId="0" fontId="36" fillId="0" borderId="0" xfId="0" applyFont="1" applyAlignment="1">
      <alignment horizontal="left" vertical="top"/>
    </xf>
    <xf numFmtId="1" fontId="7" fillId="0" borderId="0" xfId="0" applyNumberFormat="1" applyFont="1"/>
    <xf numFmtId="0" fontId="26" fillId="0" borderId="0" xfId="0" applyFont="1" applyAlignment="1">
      <alignment horizontal="left" vertical="top" wrapText="1"/>
    </xf>
    <xf numFmtId="0" fontId="7" fillId="0" borderId="0" xfId="0" applyFont="1" applyAlignment="1">
      <alignment horizontal="left" vertical="top" wrapText="1" indent="1"/>
    </xf>
    <xf numFmtId="0" fontId="51" fillId="0" borderId="0" xfId="0" applyFont="1"/>
    <xf numFmtId="0" fontId="51" fillId="0" borderId="0" xfId="0" applyFont="1" applyAlignment="1">
      <alignment horizontal="center"/>
    </xf>
    <xf numFmtId="0" fontId="50" fillId="0" borderId="0" xfId="0" applyFont="1" applyAlignment="1">
      <alignment horizontal="left" vertical="center" indent="1"/>
    </xf>
    <xf numFmtId="9" fontId="51" fillId="0" borderId="0" xfId="0" applyNumberFormat="1" applyFont="1" applyAlignment="1">
      <alignment horizontal="center" vertical="center"/>
    </xf>
    <xf numFmtId="0" fontId="41" fillId="0" borderId="0" xfId="1" applyFont="1" applyFill="1" applyBorder="1" applyAlignment="1" applyProtection="1">
      <alignment horizontal="left" vertical="center"/>
    </xf>
    <xf numFmtId="0" fontId="51" fillId="3" borderId="0" xfId="0" applyFont="1" applyFill="1" applyAlignment="1">
      <alignment horizontal="right"/>
    </xf>
    <xf numFmtId="0" fontId="51" fillId="3" borderId="0" xfId="0" applyFont="1" applyFill="1"/>
    <xf numFmtId="0" fontId="1" fillId="0" borderId="0" xfId="0" applyFont="1" applyAlignment="1">
      <alignment horizontal="left" vertical="center"/>
    </xf>
    <xf numFmtId="0" fontId="7" fillId="3" borderId="0" xfId="0" applyFont="1" applyFill="1"/>
    <xf numFmtId="0" fontId="1" fillId="0" borderId="0" xfId="0" applyFont="1" applyAlignment="1">
      <alignment horizontal="center" vertical="center"/>
    </xf>
    <xf numFmtId="15" fontId="7" fillId="0" borderId="0" xfId="0" applyNumberFormat="1" applyFont="1"/>
    <xf numFmtId="0" fontId="18" fillId="0" borderId="0" xfId="0" quotePrefix="1" applyFont="1" applyAlignment="1">
      <alignment horizontal="left" vertical="center"/>
    </xf>
    <xf numFmtId="9" fontId="7" fillId="0" borderId="0" xfId="0" applyNumberFormat="1" applyFont="1" applyAlignment="1">
      <alignment horizontal="center" vertical="center"/>
    </xf>
    <xf numFmtId="1" fontId="7" fillId="0" borderId="0" xfId="0" applyNumberFormat="1" applyFont="1" applyAlignment="1">
      <alignment horizontal="center" vertical="center"/>
    </xf>
    <xf numFmtId="166" fontId="26" fillId="0" borderId="0" xfId="0" applyNumberFormat="1" applyFont="1" applyAlignment="1">
      <alignment horizontal="left" vertical="top"/>
    </xf>
    <xf numFmtId="0" fontId="15" fillId="3" borderId="0" xfId="0" applyFont="1" applyFill="1" applyAlignment="1">
      <alignment horizontal="center"/>
    </xf>
    <xf numFmtId="0" fontId="15" fillId="0" borderId="0" xfId="0" applyFont="1" applyAlignment="1">
      <alignment horizontal="center"/>
    </xf>
    <xf numFmtId="0" fontId="15" fillId="0" borderId="0" xfId="0" applyFont="1" applyAlignment="1">
      <alignment horizontal="center" wrapText="1"/>
    </xf>
    <xf numFmtId="0" fontId="15" fillId="3" borderId="0" xfId="0" applyFont="1" applyFill="1" applyAlignment="1">
      <alignment horizontal="center" wrapText="1"/>
    </xf>
    <xf numFmtId="166" fontId="7" fillId="0" borderId="0" xfId="0" applyNumberFormat="1" applyFont="1" applyAlignment="1">
      <alignment horizontal="left" vertical="top"/>
    </xf>
    <xf numFmtId="0" fontId="7" fillId="3" borderId="0" xfId="0" applyFont="1" applyFill="1" applyAlignment="1">
      <alignment vertical="center"/>
    </xf>
    <xf numFmtId="1" fontId="56" fillId="0" borderId="0" xfId="0" applyNumberFormat="1" applyFont="1" applyAlignment="1">
      <alignment horizontal="left" vertical="center"/>
    </xf>
    <xf numFmtId="166" fontId="15" fillId="0" borderId="44" xfId="0" applyNumberFormat="1" applyFont="1" applyBorder="1" applyAlignment="1">
      <alignment horizontal="center" vertical="top"/>
    </xf>
    <xf numFmtId="1" fontId="56" fillId="0" borderId="19" xfId="0" applyNumberFormat="1" applyFont="1" applyBorder="1" applyAlignment="1">
      <alignment horizontal="left" vertical="center"/>
    </xf>
    <xf numFmtId="1" fontId="56" fillId="0" borderId="6" xfId="0" applyNumberFormat="1" applyFont="1" applyBorder="1" applyAlignment="1">
      <alignment horizontal="left" vertical="center"/>
    </xf>
    <xf numFmtId="166" fontId="15" fillId="0" borderId="66" xfId="0" applyNumberFormat="1" applyFont="1" applyBorder="1" applyAlignment="1">
      <alignment horizontal="center" vertical="top"/>
    </xf>
    <xf numFmtId="0" fontId="52" fillId="6" borderId="0" xfId="0" applyFont="1" applyFill="1" applyAlignment="1">
      <alignment horizontal="center" vertical="center"/>
    </xf>
    <xf numFmtId="1" fontId="7" fillId="0" borderId="0" xfId="0" quotePrefix="1" applyNumberFormat="1" applyFont="1" applyAlignment="1">
      <alignment horizontal="left" vertical="center"/>
    </xf>
    <xf numFmtId="0" fontId="52" fillId="6" borderId="47" xfId="0" applyFont="1" applyFill="1" applyBorder="1" applyAlignment="1">
      <alignment horizontal="center" vertical="center"/>
    </xf>
    <xf numFmtId="0" fontId="56" fillId="0" borderId="0" xfId="0" applyFont="1" applyAlignment="1">
      <alignment horizontal="left" vertical="center"/>
    </xf>
    <xf numFmtId="2" fontId="7" fillId="0" borderId="0" xfId="0" applyNumberFormat="1" applyFont="1" applyAlignment="1">
      <alignment horizontal="left" vertical="top"/>
    </xf>
    <xf numFmtId="0" fontId="56" fillId="7" borderId="44" xfId="0" applyFont="1" applyFill="1" applyBorder="1" applyAlignment="1">
      <alignment horizontal="center" vertical="center"/>
    </xf>
    <xf numFmtId="166" fontId="15" fillId="7" borderId="44" xfId="0" applyNumberFormat="1" applyFont="1" applyFill="1" applyBorder="1" applyAlignment="1">
      <alignment horizontal="center" vertical="top"/>
    </xf>
    <xf numFmtId="1" fontId="7" fillId="7" borderId="44" xfId="0" applyNumberFormat="1" applyFont="1" applyFill="1" applyBorder="1" applyAlignment="1">
      <alignment horizontal="center" vertical="center"/>
    </xf>
    <xf numFmtId="1" fontId="56" fillId="0" borderId="45" xfId="0" applyNumberFormat="1" applyFont="1" applyBorder="1" applyAlignment="1">
      <alignment horizontal="left" vertical="center"/>
    </xf>
    <xf numFmtId="166" fontId="57" fillId="0" borderId="0" xfId="0" applyNumberFormat="1" applyFont="1" applyAlignment="1">
      <alignment horizontal="center"/>
    </xf>
    <xf numFmtId="0" fontId="56" fillId="0" borderId="47" xfId="0" applyFont="1" applyBorder="1" applyAlignment="1">
      <alignment horizontal="left" vertical="center"/>
    </xf>
    <xf numFmtId="1" fontId="58" fillId="0" borderId="0" xfId="0" applyNumberFormat="1" applyFont="1" applyAlignment="1">
      <alignment horizontal="left"/>
    </xf>
    <xf numFmtId="9" fontId="7" fillId="0" borderId="0" xfId="0" applyNumberFormat="1" applyFont="1" applyAlignment="1">
      <alignment vertical="center"/>
    </xf>
    <xf numFmtId="0" fontId="52" fillId="0" borderId="0" xfId="0" applyFont="1"/>
    <xf numFmtId="9" fontId="7" fillId="0" borderId="0" xfId="0" applyNumberFormat="1" applyFont="1" applyAlignment="1">
      <alignment horizontal="center" vertical="top"/>
    </xf>
    <xf numFmtId="166" fontId="15" fillId="0" borderId="69" xfId="0" applyNumberFormat="1" applyFont="1" applyBorder="1" applyAlignment="1">
      <alignment horizontal="center" vertical="top"/>
    </xf>
    <xf numFmtId="0" fontId="44" fillId="0" borderId="0" xfId="0" applyFont="1" applyAlignment="1">
      <alignment horizontal="left" wrapText="1"/>
    </xf>
    <xf numFmtId="0" fontId="7" fillId="3" borderId="0" xfId="0" applyFont="1" applyFill="1" applyAlignment="1">
      <alignment horizontal="center" wrapText="1"/>
    </xf>
    <xf numFmtId="0" fontId="1" fillId="0" borderId="0" xfId="0" applyFont="1" applyAlignment="1">
      <alignment horizontal="left" wrapText="1"/>
    </xf>
    <xf numFmtId="0" fontId="56" fillId="0" borderId="0" xfId="0" applyFont="1" applyAlignment="1">
      <alignment horizontal="left" vertical="center" wrapText="1"/>
    </xf>
    <xf numFmtId="0" fontId="56" fillId="0" borderId="0" xfId="0" applyFont="1" applyAlignment="1">
      <alignment horizontal="center"/>
    </xf>
    <xf numFmtId="0" fontId="7" fillId="3" borderId="0" xfId="0" applyFont="1" applyFill="1" applyAlignment="1">
      <alignment vertical="top"/>
    </xf>
    <xf numFmtId="2" fontId="7" fillId="0" borderId="0" xfId="0" applyNumberFormat="1" applyFont="1" applyAlignment="1">
      <alignment vertical="center"/>
    </xf>
    <xf numFmtId="49" fontId="20" fillId="0" borderId="0" xfId="0" applyNumberFormat="1" applyFont="1"/>
    <xf numFmtId="0" fontId="26" fillId="0" borderId="0" xfId="0" applyFont="1" applyAlignment="1">
      <alignment vertical="center"/>
    </xf>
    <xf numFmtId="0" fontId="52" fillId="0" borderId="0" xfId="0" applyFont="1" applyAlignment="1">
      <alignment horizontal="center"/>
    </xf>
    <xf numFmtId="0" fontId="52" fillId="3" borderId="0" xfId="0" applyFont="1" applyFill="1"/>
    <xf numFmtId="0" fontId="62" fillId="0" borderId="0" xfId="0" applyFont="1" applyAlignment="1">
      <alignment horizontal="left"/>
    </xf>
    <xf numFmtId="0" fontId="7" fillId="0" borderId="0" xfId="0" applyFont="1" applyAlignment="1">
      <alignment horizontal="center" vertical="top"/>
    </xf>
    <xf numFmtId="0" fontId="26" fillId="0" borderId="0" xfId="0" applyFont="1" applyAlignment="1">
      <alignment vertical="top"/>
    </xf>
    <xf numFmtId="1" fontId="15" fillId="0" borderId="44" xfId="0" applyNumberFormat="1" applyFont="1" applyBorder="1" applyAlignment="1">
      <alignment horizontal="center" vertical="center" wrapText="1"/>
    </xf>
    <xf numFmtId="0" fontId="7" fillId="3" borderId="0" xfId="0" applyFont="1" applyFill="1" applyAlignment="1">
      <alignment horizontal="left" vertical="top" wrapText="1" indent="1"/>
    </xf>
    <xf numFmtId="0" fontId="7" fillId="0" borderId="0" xfId="0" applyFont="1" applyAlignment="1">
      <alignment horizontal="left" vertical="top" indent="1"/>
    </xf>
    <xf numFmtId="0" fontId="42" fillId="0" borderId="0" xfId="0" applyFont="1" applyAlignment="1">
      <alignment horizontal="left" wrapText="1" indent="1"/>
    </xf>
    <xf numFmtId="0" fontId="7" fillId="0" borderId="0" xfId="0" applyFont="1" applyAlignment="1">
      <alignment horizontal="right" vertical="center" indent="1"/>
    </xf>
    <xf numFmtId="0" fontId="5" fillId="0" borderId="0" xfId="0" applyFont="1" applyAlignment="1">
      <alignment horizontal="center"/>
    </xf>
    <xf numFmtId="0" fontId="60" fillId="0" borderId="0" xfId="0" applyFont="1" applyAlignment="1">
      <alignment horizontal="center"/>
    </xf>
    <xf numFmtId="0" fontId="7" fillId="9" borderId="0" xfId="0" applyFont="1" applyFill="1"/>
    <xf numFmtId="15" fontId="63" fillId="0" borderId="0" xfId="0" applyNumberFormat="1" applyFont="1" applyAlignment="1">
      <alignment horizontal="center"/>
    </xf>
    <xf numFmtId="0" fontId="7" fillId="9" borderId="68" xfId="0" applyFont="1" applyFill="1" applyBorder="1"/>
    <xf numFmtId="0" fontId="1" fillId="0" borderId="0" xfId="0" applyFont="1" applyAlignment="1">
      <alignment horizontal="center" wrapText="1"/>
    </xf>
    <xf numFmtId="0" fontId="7" fillId="0" borderId="67" xfId="0" applyFont="1" applyBorder="1" applyAlignment="1">
      <alignment horizontal="right" vertical="center" indent="1"/>
    </xf>
    <xf numFmtId="0" fontId="36" fillId="0" borderId="0" xfId="0" applyFont="1"/>
    <xf numFmtId="0" fontId="60" fillId="0" borderId="0" xfId="0" applyFont="1"/>
    <xf numFmtId="0" fontId="7" fillId="0" borderId="68" xfId="0" applyFont="1" applyBorder="1" applyAlignment="1">
      <alignment horizontal="center"/>
    </xf>
    <xf numFmtId="0" fontId="5" fillId="0" borderId="0" xfId="0" applyFont="1" applyAlignment="1">
      <alignment horizontal="left" wrapText="1"/>
    </xf>
    <xf numFmtId="0" fontId="64" fillId="0" borderId="0" xfId="0" applyFont="1" applyAlignment="1">
      <alignment horizontal="right"/>
    </xf>
    <xf numFmtId="15" fontId="1" fillId="0" borderId="0" xfId="0" applyNumberFormat="1" applyFont="1" applyAlignment="1">
      <alignment horizontal="center"/>
    </xf>
    <xf numFmtId="0" fontId="42" fillId="0" borderId="0" xfId="0" applyFont="1" applyAlignment="1">
      <alignment horizontal="left"/>
    </xf>
    <xf numFmtId="0" fontId="42" fillId="3" borderId="0" xfId="0" applyFont="1" applyFill="1" applyAlignment="1">
      <alignment horizontal="left" wrapText="1" indent="1"/>
    </xf>
    <xf numFmtId="0" fontId="7" fillId="0" borderId="67" xfId="0" applyFont="1" applyBorder="1"/>
    <xf numFmtId="0" fontId="52" fillId="0" borderId="0" xfId="0" applyFont="1" applyProtection="1">
      <protection hidden="1"/>
    </xf>
    <xf numFmtId="0" fontId="60" fillId="0" borderId="0" xfId="0" applyFont="1" applyAlignment="1">
      <alignment horizontal="left"/>
    </xf>
    <xf numFmtId="0" fontId="7" fillId="0" borderId="15" xfId="0" applyFont="1" applyBorder="1" applyAlignment="1">
      <alignment horizontal="center"/>
    </xf>
    <xf numFmtId="9" fontId="26" fillId="0" borderId="0" xfId="0" applyNumberFormat="1" applyFont="1" applyAlignment="1">
      <alignment horizontal="center" vertical="center"/>
    </xf>
    <xf numFmtId="0" fontId="26" fillId="3" borderId="0" xfId="0" applyFont="1" applyFill="1"/>
    <xf numFmtId="0" fontId="20" fillId="3" borderId="0" xfId="0" applyFont="1" applyFill="1"/>
    <xf numFmtId="0" fontId="44" fillId="0" borderId="67" xfId="0" applyFont="1" applyBorder="1" applyAlignment="1">
      <alignment horizontal="left" indent="4"/>
    </xf>
    <xf numFmtId="0" fontId="44" fillId="0" borderId="0" xfId="0" applyFont="1" applyAlignment="1">
      <alignment wrapText="1"/>
    </xf>
    <xf numFmtId="0" fontId="65" fillId="9" borderId="67" xfId="0" applyFont="1" applyFill="1" applyBorder="1" applyAlignment="1">
      <alignment horizontal="center" vertical="center"/>
    </xf>
    <xf numFmtId="0" fontId="38" fillId="0" borderId="88" xfId="0" applyFont="1" applyBorder="1" applyAlignment="1">
      <alignment horizontal="left" vertical="center" indent="1"/>
    </xf>
    <xf numFmtId="0" fontId="7" fillId="0" borderId="0" xfId="0" applyFont="1" applyAlignment="1">
      <alignment vertical="center" wrapText="1"/>
    </xf>
    <xf numFmtId="0" fontId="7" fillId="0" borderId="0" xfId="0" quotePrefix="1" applyFont="1" applyAlignment="1">
      <alignment vertical="center" wrapText="1"/>
    </xf>
    <xf numFmtId="0" fontId="38" fillId="0" borderId="90" xfId="0" applyFont="1" applyBorder="1" applyAlignment="1">
      <alignment horizontal="left" vertical="center" indent="1"/>
    </xf>
    <xf numFmtId="0" fontId="65" fillId="9" borderId="14" xfId="0" applyFont="1" applyFill="1" applyBorder="1" applyAlignment="1">
      <alignment horizontal="center" vertical="center"/>
    </xf>
    <xf numFmtId="0" fontId="38" fillId="0" borderId="91" xfId="0" applyFont="1" applyBorder="1" applyAlignment="1">
      <alignment horizontal="left" vertical="center" indent="1"/>
    </xf>
    <xf numFmtId="0" fontId="22" fillId="2" borderId="5"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3" fillId="2" borderId="6" xfId="0" applyFont="1" applyFill="1" applyBorder="1" applyAlignment="1">
      <alignment horizontal="center" vertical="center" wrapText="1"/>
    </xf>
    <xf numFmtId="1" fontId="15" fillId="0" borderId="44" xfId="0" quotePrefix="1" applyNumberFormat="1" applyFont="1" applyBorder="1" applyAlignment="1">
      <alignment horizontal="center" vertical="top"/>
    </xf>
    <xf numFmtId="168" fontId="20" fillId="5" borderId="0" xfId="0" applyNumberFormat="1" applyFont="1" applyFill="1" applyAlignment="1" applyProtection="1">
      <alignment horizontal="left"/>
      <protection locked="0"/>
    </xf>
    <xf numFmtId="169" fontId="15" fillId="0" borderId="44" xfId="0" quotePrefix="1" applyNumberFormat="1" applyFont="1" applyBorder="1" applyAlignment="1">
      <alignment horizontal="center" vertical="center"/>
    </xf>
    <xf numFmtId="0" fontId="24" fillId="2" borderId="6" xfId="0" applyFont="1" applyFill="1" applyBorder="1" applyAlignment="1">
      <alignment vertical="center"/>
    </xf>
    <xf numFmtId="166" fontId="34" fillId="0" borderId="44" xfId="0" applyNumberFormat="1" applyFont="1" applyBorder="1" applyAlignment="1">
      <alignment horizontal="right"/>
    </xf>
    <xf numFmtId="0" fontId="34" fillId="0" borderId="44" xfId="0" applyFont="1" applyBorder="1" applyAlignment="1">
      <alignment horizontal="right"/>
    </xf>
    <xf numFmtId="0" fontId="46" fillId="0" borderId="44" xfId="0" applyFont="1" applyBorder="1" applyAlignment="1">
      <alignment horizontal="right"/>
    </xf>
    <xf numFmtId="0" fontId="20" fillId="12" borderId="0" xfId="0" applyFont="1" applyFill="1"/>
    <xf numFmtId="166" fontId="34" fillId="0" borderId="0" xfId="0" applyNumberFormat="1" applyFont="1" applyAlignment="1">
      <alignment horizontal="right" wrapText="1"/>
    </xf>
    <xf numFmtId="0" fontId="33" fillId="2" borderId="0" xfId="0" applyFont="1" applyFill="1" applyAlignment="1">
      <alignment horizontal="center" vertical="center" textRotation="90"/>
    </xf>
    <xf numFmtId="0" fontId="25" fillId="2" borderId="0" xfId="0" applyFont="1" applyFill="1" applyAlignment="1">
      <alignment horizontal="center" vertical="center" textRotation="90"/>
    </xf>
    <xf numFmtId="0" fontId="2" fillId="2" borderId="0" xfId="1" applyFill="1" applyAlignment="1" applyProtection="1">
      <alignment horizontal="center" vertical="center" textRotation="90" wrapText="1"/>
    </xf>
    <xf numFmtId="0" fontId="2" fillId="2" borderId="0" xfId="1" applyFill="1" applyAlignment="1" applyProtection="1">
      <alignment horizontal="center" vertical="center" wrapText="1"/>
    </xf>
    <xf numFmtId="0" fontId="2" fillId="2" borderId="0" xfId="1" applyFill="1" applyBorder="1" applyAlignment="1" applyProtection="1">
      <alignment horizontal="center" vertical="center" wrapText="1"/>
    </xf>
    <xf numFmtId="0" fontId="0" fillId="0" borderId="94" xfId="0" applyBorder="1" applyAlignment="1">
      <alignment vertical="top" wrapText="1"/>
    </xf>
    <xf numFmtId="0" fontId="0" fillId="0" borderId="0" xfId="0" applyAlignment="1">
      <alignment vertical="top" wrapText="1"/>
    </xf>
    <xf numFmtId="1" fontId="2" fillId="7" borderId="0" xfId="1" applyNumberFormat="1" applyFill="1" applyBorder="1" applyAlignment="1" applyProtection="1">
      <alignment horizontal="center" vertical="center" wrapText="1"/>
    </xf>
    <xf numFmtId="1" fontId="2" fillId="7" borderId="46" xfId="1" applyNumberFormat="1" applyFill="1" applyBorder="1" applyAlignment="1" applyProtection="1">
      <alignment horizontal="center" vertical="center" wrapText="1"/>
    </xf>
    <xf numFmtId="0" fontId="25" fillId="7" borderId="62" xfId="0" applyFont="1" applyFill="1" applyBorder="1" applyAlignment="1">
      <alignment horizontal="left" vertical="top" wrapText="1"/>
    </xf>
    <xf numFmtId="0" fontId="2" fillId="7" borderId="61" xfId="1" applyNumberFormat="1" applyFill="1" applyBorder="1" applyAlignment="1" applyProtection="1">
      <alignment horizontal="center" wrapText="1"/>
    </xf>
    <xf numFmtId="0" fontId="36" fillId="8" borderId="0" xfId="0" applyFont="1" applyFill="1" applyAlignment="1">
      <alignment horizontal="left" vertical="top"/>
    </xf>
    <xf numFmtId="0" fontId="26" fillId="8" borderId="0" xfId="0" applyFont="1" applyFill="1" applyAlignment="1">
      <alignment horizontal="center"/>
    </xf>
    <xf numFmtId="0" fontId="7" fillId="8" borderId="0" xfId="0" applyFont="1" applyFill="1"/>
    <xf numFmtId="0" fontId="7" fillId="8" borderId="0" xfId="0" applyFont="1" applyFill="1" applyAlignment="1">
      <alignment vertical="top"/>
    </xf>
    <xf numFmtId="1" fontId="7" fillId="8" borderId="0" xfId="0" applyNumberFormat="1" applyFont="1" applyFill="1"/>
    <xf numFmtId="0" fontId="7" fillId="8" borderId="0" xfId="0" applyFont="1" applyFill="1" applyAlignment="1">
      <alignment horizontal="left" vertical="top" wrapText="1"/>
    </xf>
    <xf numFmtId="0" fontId="31" fillId="8" borderId="0" xfId="0" applyFont="1" applyFill="1" applyAlignment="1">
      <alignment horizontal="center" vertical="top" wrapText="1"/>
    </xf>
    <xf numFmtId="165" fontId="25" fillId="8" borderId="0" xfId="0" applyNumberFormat="1" applyFont="1" applyFill="1" applyAlignment="1">
      <alignment horizontal="center" vertical="top" wrapText="1"/>
    </xf>
    <xf numFmtId="0" fontId="26" fillId="8" borderId="0" xfId="0" applyFont="1" applyFill="1" applyAlignment="1">
      <alignment horizontal="left" vertical="top" wrapText="1"/>
    </xf>
    <xf numFmtId="0" fontId="7" fillId="8" borderId="0" xfId="0" applyFont="1" applyFill="1" applyAlignment="1">
      <alignment horizontal="left" vertical="top" wrapText="1" indent="1"/>
    </xf>
    <xf numFmtId="166" fontId="36" fillId="0" borderId="44" xfId="0" applyNumberFormat="1" applyFont="1" applyBorder="1" applyAlignment="1">
      <alignment horizontal="center" vertical="top"/>
    </xf>
    <xf numFmtId="0" fontId="7" fillId="2" borderId="44" xfId="0" applyFont="1" applyFill="1" applyBorder="1" applyAlignment="1">
      <alignment horizontal="center" vertical="center"/>
    </xf>
    <xf numFmtId="166" fontId="36" fillId="0" borderId="44" xfId="3" applyNumberFormat="1" applyFont="1" applyBorder="1" applyAlignment="1">
      <alignment horizontal="center" vertical="top"/>
    </xf>
    <xf numFmtId="0" fontId="7" fillId="0" borderId="44" xfId="0" applyFont="1" applyBorder="1" applyAlignment="1">
      <alignment vertical="top" wrapText="1"/>
    </xf>
    <xf numFmtId="0" fontId="7" fillId="3" borderId="0" xfId="0" applyFont="1" applyFill="1" applyAlignment="1">
      <alignment horizontal="right" vertical="center"/>
    </xf>
    <xf numFmtId="0" fontId="7" fillId="3" borderId="0" xfId="0" applyFont="1" applyFill="1" applyAlignment="1">
      <alignment horizontal="left" vertical="center"/>
    </xf>
    <xf numFmtId="0" fontId="69" fillId="0" borderId="44" xfId="0" applyFont="1" applyBorder="1" applyAlignment="1">
      <alignment vertical="top" wrapText="1"/>
    </xf>
    <xf numFmtId="1" fontId="15" fillId="4" borderId="44" xfId="0" applyNumberFormat="1" applyFont="1" applyFill="1" applyBorder="1" applyAlignment="1" applyProtection="1">
      <alignment horizontal="center" vertical="center"/>
      <protection locked="0"/>
    </xf>
    <xf numFmtId="1" fontId="15" fillId="5" borderId="44" xfId="0" applyNumberFormat="1" applyFont="1" applyFill="1" applyBorder="1" applyAlignment="1" applyProtection="1">
      <alignment horizontal="center" vertical="center"/>
      <protection locked="0"/>
    </xf>
    <xf numFmtId="0" fontId="42" fillId="0" borderId="44" xfId="0" applyFont="1" applyBorder="1" applyAlignment="1">
      <alignment vertical="top" wrapText="1"/>
    </xf>
    <xf numFmtId="9" fontId="39" fillId="5" borderId="44" xfId="0" quotePrefix="1" applyNumberFormat="1" applyFont="1" applyFill="1" applyBorder="1" applyAlignment="1">
      <alignment horizontal="center" vertical="center" wrapText="1"/>
    </xf>
    <xf numFmtId="0" fontId="7" fillId="5" borderId="44" xfId="0" quotePrefix="1" applyFont="1" applyFill="1" applyBorder="1" applyAlignment="1">
      <alignment horizontal="center" vertical="center" wrapText="1"/>
    </xf>
    <xf numFmtId="1" fontId="2" fillId="7" borderId="11" xfId="1" applyNumberFormat="1" applyFill="1" applyBorder="1" applyAlignment="1" applyProtection="1">
      <alignment horizontal="center" vertical="center" wrapText="1"/>
    </xf>
    <xf numFmtId="0" fontId="2" fillId="7" borderId="62" xfId="1" applyFill="1" applyBorder="1" applyAlignment="1" applyProtection="1">
      <alignment horizontal="center" vertical="center" wrapText="1"/>
    </xf>
    <xf numFmtId="0" fontId="40" fillId="2" borderId="0" xfId="1" applyFont="1" applyFill="1" applyBorder="1" applyAlignment="1" applyProtection="1">
      <alignment horizontal="center" vertical="center"/>
    </xf>
    <xf numFmtId="0" fontId="41" fillId="2" borderId="0" xfId="1" applyFont="1" applyFill="1" applyBorder="1" applyAlignment="1" applyProtection="1">
      <alignment horizontal="center" vertical="center" wrapText="1"/>
    </xf>
    <xf numFmtId="0" fontId="26" fillId="2" borderId="56" xfId="0" applyFont="1" applyFill="1" applyBorder="1" applyAlignment="1">
      <alignment horizontal="center" textRotation="180" wrapText="1"/>
    </xf>
    <xf numFmtId="168" fontId="20" fillId="0" borderId="0" xfId="0" applyNumberFormat="1" applyFont="1" applyAlignment="1" applyProtection="1">
      <alignment horizontal="left"/>
      <protection locked="0"/>
    </xf>
    <xf numFmtId="0" fontId="43" fillId="8" borderId="0" xfId="0" applyFont="1" applyFill="1" applyAlignment="1">
      <alignment horizontal="center" vertical="center"/>
    </xf>
    <xf numFmtId="0" fontId="2" fillId="2" borderId="46" xfId="1" applyFill="1" applyBorder="1" applyAlignment="1" applyProtection="1">
      <alignment horizontal="center" vertical="center" wrapText="1"/>
    </xf>
    <xf numFmtId="0" fontId="27" fillId="2" borderId="0" xfId="0" applyFont="1" applyFill="1" applyAlignment="1">
      <alignment horizontal="center" vertical="center" wrapText="1"/>
    </xf>
    <xf numFmtId="1" fontId="2" fillId="7" borderId="56" xfId="1" applyNumberFormat="1" applyFill="1" applyBorder="1" applyAlignment="1" applyProtection="1">
      <alignment horizontal="center" vertical="center" wrapText="1"/>
    </xf>
    <xf numFmtId="0" fontId="30" fillId="2" borderId="0" xfId="0" applyFont="1" applyFill="1" applyAlignment="1">
      <alignment horizontal="center" vertical="center" wrapText="1"/>
    </xf>
    <xf numFmtId="165" fontId="25" fillId="2" borderId="0" xfId="0" applyNumberFormat="1" applyFont="1" applyFill="1" applyAlignment="1">
      <alignment horizontal="center" vertical="top" wrapText="1"/>
    </xf>
    <xf numFmtId="166" fontId="15" fillId="0" borderId="47" xfId="0" applyNumberFormat="1" applyFont="1" applyBorder="1" applyAlignment="1">
      <alignment horizontal="center" vertical="top"/>
    </xf>
    <xf numFmtId="1" fontId="15" fillId="0" borderId="66" xfId="0" quotePrefix="1" applyNumberFormat="1" applyFont="1" applyBorder="1" applyAlignment="1">
      <alignment horizontal="center" vertical="top"/>
    </xf>
    <xf numFmtId="0" fontId="52" fillId="6" borderId="111" xfId="0" applyFont="1" applyFill="1" applyBorder="1" applyAlignment="1">
      <alignment horizontal="center" vertical="center"/>
    </xf>
    <xf numFmtId="0" fontId="52" fillId="6" borderId="112" xfId="0" applyFont="1" applyFill="1" applyBorder="1" applyAlignment="1">
      <alignment horizontal="center" vertical="center"/>
    </xf>
    <xf numFmtId="166" fontId="15" fillId="0" borderId="8" xfId="0" applyNumberFormat="1" applyFont="1" applyBorder="1" applyAlignment="1">
      <alignment horizontal="center" vertical="top"/>
    </xf>
    <xf numFmtId="0" fontId="7" fillId="0" borderId="46" xfId="0" applyFont="1" applyBorder="1" applyAlignment="1">
      <alignment vertical="center"/>
    </xf>
    <xf numFmtId="0" fontId="52" fillId="6" borderId="113" xfId="0" applyFont="1" applyFill="1" applyBorder="1" applyAlignment="1">
      <alignment horizontal="center" vertical="center"/>
    </xf>
    <xf numFmtId="0" fontId="56" fillId="0" borderId="101" xfId="0" applyFont="1" applyBorder="1" applyAlignment="1">
      <alignment horizontal="left" vertical="center" wrapText="1"/>
    </xf>
    <xf numFmtId="0" fontId="56" fillId="0" borderId="101" xfId="0" applyFont="1" applyBorder="1" applyAlignment="1">
      <alignment horizontal="center"/>
    </xf>
    <xf numFmtId="0" fontId="56" fillId="0" borderId="114" xfId="0" applyFont="1" applyBorder="1" applyAlignment="1">
      <alignment horizontal="left" vertical="center" wrapText="1"/>
    </xf>
    <xf numFmtId="0" fontId="56" fillId="0" borderId="102" xfId="0" applyFont="1" applyBorder="1" applyAlignment="1">
      <alignment horizontal="center"/>
    </xf>
    <xf numFmtId="166" fontId="15" fillId="0" borderId="115" xfId="0" applyNumberFormat="1" applyFont="1" applyBorder="1" applyAlignment="1">
      <alignment horizontal="center" vertical="top"/>
    </xf>
    <xf numFmtId="0" fontId="52" fillId="6" borderId="114" xfId="0" applyFont="1" applyFill="1" applyBorder="1" applyAlignment="1">
      <alignment horizontal="center" vertical="center"/>
    </xf>
    <xf numFmtId="0" fontId="52" fillId="6" borderId="116" xfId="0" applyFont="1" applyFill="1" applyBorder="1" applyAlignment="1">
      <alignment horizontal="center" vertical="center"/>
    </xf>
    <xf numFmtId="0" fontId="52" fillId="6" borderId="117" xfId="0" applyFont="1" applyFill="1" applyBorder="1" applyAlignment="1">
      <alignment horizontal="center" vertical="center"/>
    </xf>
    <xf numFmtId="0" fontId="56" fillId="0" borderId="62" xfId="0" applyFont="1" applyBorder="1" applyAlignment="1">
      <alignment horizontal="left" vertical="center"/>
    </xf>
    <xf numFmtId="0" fontId="56" fillId="0" borderId="114" xfId="0" applyFont="1" applyBorder="1" applyAlignment="1">
      <alignment horizontal="left" vertical="center"/>
    </xf>
    <xf numFmtId="1" fontId="15" fillId="0" borderId="44" xfId="0" quotePrefix="1" applyNumberFormat="1" applyFont="1" applyBorder="1" applyAlignment="1">
      <alignment horizontal="center" vertical="center"/>
    </xf>
    <xf numFmtId="1" fontId="2" fillId="7" borderId="66" xfId="1" applyNumberFormat="1" applyFill="1" applyBorder="1" applyAlignment="1" applyProtection="1">
      <alignment horizontal="center" vertical="center" wrapText="1"/>
    </xf>
    <xf numFmtId="1" fontId="2" fillId="7" borderId="18" xfId="1" applyNumberFormat="1" applyFill="1" applyBorder="1" applyAlignment="1" applyProtection="1">
      <alignment horizontal="center" vertical="center" wrapText="1"/>
    </xf>
    <xf numFmtId="0" fontId="2" fillId="7" borderId="65" xfId="1" applyFill="1" applyBorder="1" applyAlignment="1" applyProtection="1">
      <alignment horizontal="center" vertical="center" wrapText="1"/>
    </xf>
    <xf numFmtId="0" fontId="20" fillId="0" borderId="46" xfId="0" applyFont="1" applyBorder="1" applyAlignment="1">
      <alignment horizontal="center"/>
    </xf>
    <xf numFmtId="0" fontId="34" fillId="0" borderId="127" xfId="0" applyFont="1" applyBorder="1" applyAlignment="1">
      <alignment horizontal="left"/>
    </xf>
    <xf numFmtId="0" fontId="20" fillId="0" borderId="128" xfId="0" applyFont="1" applyBorder="1" applyAlignment="1">
      <alignment horizontal="center"/>
    </xf>
    <xf numFmtId="0" fontId="15" fillId="0" borderId="129" xfId="0" applyFont="1" applyBorder="1" applyAlignment="1">
      <alignment horizontal="center" textRotation="90"/>
    </xf>
    <xf numFmtId="0" fontId="20" fillId="0" borderId="128" xfId="0" applyFont="1" applyBorder="1" applyAlignment="1">
      <alignment horizontal="left" wrapText="1"/>
    </xf>
    <xf numFmtId="0" fontId="20" fillId="0" borderId="128" xfId="0" applyFont="1" applyBorder="1"/>
    <xf numFmtId="0" fontId="20" fillId="0" borderId="130" xfId="0" applyFont="1" applyBorder="1" applyAlignment="1">
      <alignment horizontal="left" wrapText="1"/>
    </xf>
    <xf numFmtId="0" fontId="34" fillId="0" borderId="131" xfId="0" applyFont="1" applyBorder="1" applyAlignment="1">
      <alignment horizontal="left" wrapText="1"/>
    </xf>
    <xf numFmtId="0" fontId="34" fillId="0" borderId="131" xfId="0" applyFont="1" applyBorder="1" applyAlignment="1">
      <alignment horizontal="left"/>
    </xf>
    <xf numFmtId="0" fontId="3" fillId="0" borderId="131" xfId="1" applyFont="1" applyFill="1" applyBorder="1" applyAlignment="1" applyProtection="1">
      <alignment horizontal="center" vertical="center"/>
    </xf>
    <xf numFmtId="0" fontId="20" fillId="2" borderId="132" xfId="0" applyFont="1" applyFill="1" applyBorder="1" applyAlignment="1">
      <alignment horizontal="center"/>
    </xf>
    <xf numFmtId="166" fontId="47" fillId="0" borderId="131" xfId="0" applyNumberFormat="1" applyFont="1" applyBorder="1" applyAlignment="1">
      <alignment horizontal="left" vertical="top" wrapText="1"/>
    </xf>
    <xf numFmtId="0" fontId="1" fillId="2" borderId="132" xfId="0" applyFont="1" applyFill="1" applyBorder="1" applyAlignment="1">
      <alignment horizontal="center" vertical="center" wrapText="1"/>
    </xf>
    <xf numFmtId="0" fontId="15" fillId="0" borderId="131" xfId="0" applyFont="1" applyBorder="1" applyAlignment="1">
      <alignment horizontal="left" vertical="top" wrapText="1"/>
    </xf>
    <xf numFmtId="0" fontId="15" fillId="0" borderId="132" xfId="0" applyFont="1" applyBorder="1" applyAlignment="1">
      <alignment wrapText="1"/>
    </xf>
    <xf numFmtId="0" fontId="37" fillId="0" borderId="131" xfId="0" applyFont="1" applyBorder="1" applyAlignment="1">
      <alignment horizontal="left" vertical="top" wrapText="1"/>
    </xf>
    <xf numFmtId="0" fontId="37" fillId="0" borderId="132" xfId="0" applyFont="1" applyBorder="1" applyAlignment="1">
      <alignment wrapText="1"/>
    </xf>
    <xf numFmtId="0" fontId="7" fillId="0" borderId="132" xfId="0" applyFont="1" applyBorder="1" applyAlignment="1">
      <alignment wrapText="1"/>
    </xf>
    <xf numFmtId="0" fontId="49" fillId="0" borderId="131" xfId="0" applyFont="1" applyBorder="1" applyAlignment="1">
      <alignment horizontal="left" vertical="top" wrapText="1"/>
    </xf>
    <xf numFmtId="0" fontId="49" fillId="0" borderId="132" xfId="0" applyFont="1" applyBorder="1" applyAlignment="1">
      <alignment wrapText="1"/>
    </xf>
    <xf numFmtId="0" fontId="15" fillId="0" borderId="133" xfId="0" applyFont="1" applyBorder="1" applyAlignment="1">
      <alignment horizontal="left" vertical="top" wrapText="1"/>
    </xf>
    <xf numFmtId="0" fontId="7" fillId="0" borderId="134" xfId="0" applyFont="1" applyBorder="1" applyAlignment="1">
      <alignment horizontal="center" vertical="center" wrapText="1"/>
    </xf>
    <xf numFmtId="1" fontId="7" fillId="0" borderId="134" xfId="0" applyNumberFormat="1" applyFont="1" applyBorder="1" applyAlignment="1">
      <alignment wrapText="1"/>
    </xf>
    <xf numFmtId="0" fontId="7" fillId="0" borderId="134" xfId="0" applyFont="1" applyBorder="1" applyAlignment="1">
      <alignment horizontal="left" vertical="top" wrapText="1"/>
    </xf>
    <xf numFmtId="0" fontId="5" fillId="0" borderId="134" xfId="0" applyFont="1" applyBorder="1" applyAlignment="1">
      <alignment horizontal="center" vertical="top" wrapText="1"/>
    </xf>
    <xf numFmtId="165" fontId="1" fillId="0" borderId="134" xfId="0" applyNumberFormat="1" applyFont="1" applyBorder="1" applyAlignment="1">
      <alignment horizontal="center" vertical="top" wrapText="1"/>
    </xf>
    <xf numFmtId="0" fontId="7" fillId="0" borderId="135" xfId="0" applyFont="1" applyBorder="1" applyAlignment="1">
      <alignment wrapText="1"/>
    </xf>
    <xf numFmtId="0" fontId="20" fillId="5" borderId="0" xfId="0" applyFont="1" applyFill="1" applyAlignment="1" applyProtection="1">
      <alignment horizontal="left" wrapText="1"/>
      <protection locked="0"/>
    </xf>
    <xf numFmtId="168" fontId="25" fillId="0" borderId="0" xfId="0" applyNumberFormat="1" applyFont="1" applyAlignment="1">
      <alignment horizontal="center"/>
    </xf>
    <xf numFmtId="0" fontId="20" fillId="0" borderId="136" xfId="0" applyFont="1" applyBorder="1" applyAlignment="1">
      <alignment horizontal="center"/>
    </xf>
    <xf numFmtId="0" fontId="20" fillId="0" borderId="132" xfId="0" applyFont="1" applyBorder="1" applyAlignment="1">
      <alignment horizontal="center" wrapText="1"/>
    </xf>
    <xf numFmtId="0" fontId="20" fillId="0" borderId="132" xfId="0" applyFont="1" applyBorder="1" applyAlignment="1">
      <alignment horizontal="center"/>
    </xf>
    <xf numFmtId="0" fontId="1" fillId="0" borderId="132" xfId="0" applyFont="1" applyBorder="1" applyAlignment="1">
      <alignment horizontal="center" vertical="center" wrapText="1"/>
    </xf>
    <xf numFmtId="0" fontId="36" fillId="0" borderId="133" xfId="0" applyFont="1" applyBorder="1" applyAlignment="1">
      <alignment horizontal="center" vertical="top"/>
    </xf>
    <xf numFmtId="0" fontId="26" fillId="0" borderId="134" xfId="0" applyFont="1" applyBorder="1" applyAlignment="1">
      <alignment horizontal="center"/>
    </xf>
    <xf numFmtId="0" fontId="7" fillId="0" borderId="134" xfId="0" applyFont="1" applyBorder="1" applyAlignment="1">
      <alignment horizontal="center" vertical="top"/>
    </xf>
    <xf numFmtId="1" fontId="7" fillId="0" borderId="134" xfId="0" applyNumberFormat="1" applyFont="1" applyBorder="1" applyAlignment="1">
      <alignment horizontal="center"/>
    </xf>
    <xf numFmtId="0" fontId="7" fillId="0" borderId="134" xfId="0" applyFont="1" applyBorder="1" applyAlignment="1">
      <alignment horizontal="center" vertical="top" wrapText="1"/>
    </xf>
    <xf numFmtId="0" fontId="31" fillId="0" borderId="134" xfId="0" applyFont="1" applyBorder="1" applyAlignment="1">
      <alignment horizontal="center" vertical="top" wrapText="1"/>
    </xf>
    <xf numFmtId="165" fontId="25" fillId="0" borderId="134" xfId="0" applyNumberFormat="1" applyFont="1" applyBorder="1" applyAlignment="1">
      <alignment horizontal="center" vertical="top" wrapText="1"/>
    </xf>
    <xf numFmtId="0" fontId="26" fillId="0" borderId="134" xfId="0" applyFont="1" applyBorder="1" applyAlignment="1">
      <alignment horizontal="center" vertical="top" wrapText="1"/>
    </xf>
    <xf numFmtId="0" fontId="7" fillId="0" borderId="135" xfId="0" applyFont="1" applyBorder="1" applyAlignment="1">
      <alignment horizontal="center"/>
    </xf>
    <xf numFmtId="0" fontId="15" fillId="5" borderId="44" xfId="0" applyFont="1" applyFill="1" applyBorder="1" applyAlignment="1" applyProtection="1">
      <alignment horizontal="center" vertical="center"/>
      <protection locked="0"/>
    </xf>
    <xf numFmtId="0" fontId="76" fillId="5" borderId="44" xfId="0" applyFont="1" applyFill="1" applyBorder="1" applyAlignment="1" applyProtection="1">
      <alignment horizontal="center" vertical="center"/>
      <protection locked="0"/>
    </xf>
    <xf numFmtId="1" fontId="15" fillId="0" borderId="69" xfId="0" quotePrefix="1" applyNumberFormat="1" applyFont="1" applyBorder="1" applyAlignment="1">
      <alignment horizontal="center" vertical="top"/>
    </xf>
    <xf numFmtId="169" fontId="15" fillId="0" borderId="44" xfId="0" applyNumberFormat="1" applyFont="1" applyBorder="1" applyAlignment="1">
      <alignment horizontal="center" vertical="center" wrapText="1"/>
    </xf>
    <xf numFmtId="1" fontId="7" fillId="0" borderId="0" xfId="0" quotePrefix="1" applyNumberFormat="1" applyFont="1" applyAlignment="1">
      <alignment horizontal="center" vertical="center"/>
    </xf>
    <xf numFmtId="0" fontId="26" fillId="0" borderId="0" xfId="0" applyFont="1" applyAlignment="1">
      <alignment horizontal="left"/>
    </xf>
    <xf numFmtId="0" fontId="26" fillId="0" borderId="0" xfId="0" quotePrefix="1" applyFont="1" applyAlignment="1">
      <alignment horizontal="left"/>
    </xf>
    <xf numFmtId="0" fontId="15" fillId="0" borderId="129" xfId="0" applyFont="1" applyBorder="1" applyAlignment="1">
      <alignment horizontal="center" vertical="center" wrapText="1"/>
    </xf>
    <xf numFmtId="1" fontId="7" fillId="0" borderId="44" xfId="0" quotePrefix="1" applyNumberFormat="1" applyFont="1" applyBorder="1" applyAlignment="1">
      <alignment horizontal="center" vertical="center" wrapText="1"/>
    </xf>
    <xf numFmtId="1" fontId="7" fillId="0" borderId="44" xfId="0" applyNumberFormat="1" applyFont="1" applyBorder="1" applyAlignment="1">
      <alignment horizontal="center" vertical="center" wrapText="1"/>
    </xf>
    <xf numFmtId="1" fontId="7" fillId="0" borderId="44" xfId="0" quotePrefix="1" applyNumberFormat="1" applyFont="1" applyBorder="1" applyAlignment="1">
      <alignment horizontal="center" vertical="center"/>
    </xf>
    <xf numFmtId="0" fontId="7" fillId="0" borderId="44" xfId="0" applyFont="1" applyBorder="1" applyAlignment="1">
      <alignment horizontal="center" vertical="center"/>
    </xf>
    <xf numFmtId="0" fontId="77" fillId="0" borderId="6" xfId="0" quotePrefix="1" applyFont="1" applyBorder="1" applyAlignment="1">
      <alignment horizontal="center" vertical="center" wrapText="1"/>
    </xf>
    <xf numFmtId="0" fontId="77" fillId="0" borderId="0" xfId="0" quotePrefix="1" applyFont="1" applyAlignment="1">
      <alignment horizontal="center" vertical="center" wrapText="1"/>
    </xf>
    <xf numFmtId="15" fontId="78" fillId="0" borderId="0" xfId="0" applyNumberFormat="1" applyFont="1" applyAlignment="1">
      <alignment horizontal="center" vertical="center" wrapText="1"/>
    </xf>
    <xf numFmtId="0" fontId="52" fillId="0" borderId="67" xfId="0" applyFont="1" applyBorder="1"/>
    <xf numFmtId="0" fontId="44" fillId="0" borderId="0" xfId="0" applyFont="1"/>
    <xf numFmtId="0" fontId="7" fillId="0" borderId="0" xfId="0" quotePrefix="1" applyFont="1" applyAlignment="1">
      <alignment vertical="center"/>
    </xf>
    <xf numFmtId="0" fontId="53" fillId="0" borderId="0" xfId="0" applyFont="1" applyAlignment="1">
      <alignment horizontal="left"/>
    </xf>
    <xf numFmtId="0" fontId="7" fillId="2" borderId="151" xfId="0" applyFont="1" applyFill="1" applyBorder="1" applyAlignment="1">
      <alignment horizontal="center" vertical="center"/>
    </xf>
    <xf numFmtId="9" fontId="7" fillId="4" borderId="44" xfId="0" applyNumberFormat="1" applyFont="1" applyFill="1" applyBorder="1" applyAlignment="1" applyProtection="1">
      <alignment horizontal="left" vertical="top" wrapText="1"/>
      <protection locked="0"/>
    </xf>
    <xf numFmtId="0" fontId="16" fillId="0" borderId="44" xfId="0" applyFont="1" applyBorder="1" applyAlignment="1">
      <alignment vertical="top" wrapText="1"/>
    </xf>
    <xf numFmtId="0" fontId="15" fillId="0" borderId="17" xfId="0" applyFont="1" applyBorder="1" applyAlignment="1">
      <alignment horizontal="center" wrapText="1"/>
    </xf>
    <xf numFmtId="0" fontId="31" fillId="7" borderId="46" xfId="0" applyFont="1" applyFill="1" applyBorder="1" applyAlignment="1">
      <alignment horizontal="left" textRotation="90"/>
    </xf>
    <xf numFmtId="0" fontId="31" fillId="7" borderId="44" xfId="0" applyFont="1" applyFill="1" applyBorder="1" applyAlignment="1">
      <alignment horizontal="left" textRotation="90"/>
    </xf>
    <xf numFmtId="0" fontId="2" fillId="7" borderId="19" xfId="1" applyFill="1" applyBorder="1" applyAlignment="1" applyProtection="1">
      <alignment horizontal="center" vertical="center" wrapText="1"/>
    </xf>
    <xf numFmtId="0" fontId="2" fillId="7" borderId="44" xfId="1" applyNumberFormat="1" applyFill="1" applyBorder="1" applyAlignment="1" applyProtection="1">
      <alignment horizontal="center" vertical="center" wrapText="1"/>
    </xf>
    <xf numFmtId="0" fontId="2" fillId="7" borderId="44" xfId="1" applyNumberFormat="1" applyFill="1" applyBorder="1" applyAlignment="1" applyProtection="1">
      <alignment horizontal="center" wrapText="1"/>
    </xf>
    <xf numFmtId="166" fontId="36" fillId="0" borderId="69" xfId="0" applyNumberFormat="1" applyFont="1" applyBorder="1" applyAlignment="1">
      <alignment horizontal="center" vertical="top"/>
    </xf>
    <xf numFmtId="0" fontId="7" fillId="0" borderId="69" xfId="0" applyFont="1" applyBorder="1" applyAlignment="1">
      <alignment vertical="top" wrapText="1"/>
    </xf>
    <xf numFmtId="9" fontId="39" fillId="5" borderId="69" xfId="0" quotePrefix="1" applyNumberFormat="1" applyFont="1" applyFill="1" applyBorder="1" applyAlignment="1">
      <alignment horizontal="center" vertical="center" wrapText="1"/>
    </xf>
    <xf numFmtId="0" fontId="7" fillId="5" borderId="69" xfId="0" quotePrefix="1" applyFont="1" applyFill="1" applyBorder="1" applyAlignment="1">
      <alignment horizontal="center" vertical="center" wrapText="1"/>
    </xf>
    <xf numFmtId="9" fontId="7" fillId="4" borderId="69" xfId="0" applyNumberFormat="1" applyFont="1" applyFill="1" applyBorder="1" applyAlignment="1" applyProtection="1">
      <alignment horizontal="left" vertical="top" wrapText="1"/>
      <protection locked="0"/>
    </xf>
    <xf numFmtId="0" fontId="26" fillId="2" borderId="0" xfId="0" applyFont="1" applyFill="1" applyAlignment="1">
      <alignment horizontal="left" vertical="top" wrapText="1"/>
    </xf>
    <xf numFmtId="0" fontId="20" fillId="2" borderId="0" xfId="0" applyFont="1" applyFill="1"/>
    <xf numFmtId="0" fontId="29" fillId="2" borderId="0" xfId="0" applyFont="1" applyFill="1" applyAlignment="1">
      <alignment horizontal="left" vertical="center" wrapText="1"/>
    </xf>
    <xf numFmtId="0" fontId="34" fillId="0" borderId="1" xfId="0" applyFont="1" applyBorder="1" applyAlignment="1">
      <alignment horizontal="left" vertical="top"/>
    </xf>
    <xf numFmtId="0" fontId="20" fillId="0" borderId="2" xfId="0" applyFont="1" applyBorder="1" applyAlignment="1">
      <alignment horizontal="center"/>
    </xf>
    <xf numFmtId="0" fontId="12" fillId="0" borderId="2" xfId="0" applyFont="1" applyBorder="1" applyAlignment="1">
      <alignment horizontal="center" vertical="center" wrapText="1"/>
    </xf>
    <xf numFmtId="0" fontId="35" fillId="0" borderId="2" xfId="0" quotePrefix="1" applyFont="1" applyBorder="1" applyAlignment="1">
      <alignment horizontal="center" vertical="center" wrapText="1"/>
    </xf>
    <xf numFmtId="0" fontId="36" fillId="0" borderId="67" xfId="0" applyFont="1" applyBorder="1" applyAlignment="1">
      <alignment horizontal="left" vertical="top"/>
    </xf>
    <xf numFmtId="9" fontId="7" fillId="4" borderId="84" xfId="0" applyNumberFormat="1" applyFont="1" applyFill="1" applyBorder="1" applyAlignment="1" applyProtection="1">
      <alignment horizontal="left" vertical="top" wrapText="1"/>
      <protection locked="0"/>
    </xf>
    <xf numFmtId="9" fontId="7" fillId="4" borderId="153" xfId="0" applyNumberFormat="1" applyFont="1" applyFill="1" applyBorder="1" applyAlignment="1" applyProtection="1">
      <alignment horizontal="left" vertical="top" wrapText="1"/>
      <protection locked="0"/>
    </xf>
    <xf numFmtId="0" fontId="26" fillId="2" borderId="151" xfId="0" applyFont="1" applyFill="1" applyBorder="1" applyAlignment="1">
      <alignment horizontal="center" textRotation="180" wrapText="1"/>
    </xf>
    <xf numFmtId="0" fontId="7" fillId="2" borderId="154" xfId="0" applyFont="1" applyFill="1" applyBorder="1" applyAlignment="1">
      <alignment horizontal="center" vertical="center"/>
    </xf>
    <xf numFmtId="0" fontId="29" fillId="2" borderId="46" xfId="0" applyFont="1" applyFill="1" applyBorder="1" applyAlignment="1">
      <alignment horizontal="left" vertical="center" wrapText="1"/>
    </xf>
    <xf numFmtId="0" fontId="2" fillId="7" borderId="68" xfId="1" applyNumberFormat="1" applyFill="1" applyBorder="1" applyAlignment="1" applyProtection="1">
      <alignment horizontal="center" wrapText="1"/>
    </xf>
    <xf numFmtId="0" fontId="2" fillId="2" borderId="68" xfId="1" applyFill="1" applyBorder="1" applyAlignment="1" applyProtection="1">
      <alignment horizontal="center" vertical="center" wrapText="1"/>
    </xf>
    <xf numFmtId="0" fontId="7" fillId="2" borderId="155" xfId="0" applyFont="1" applyFill="1" applyBorder="1" applyAlignment="1">
      <alignment horizontal="center" vertical="center"/>
    </xf>
    <xf numFmtId="0" fontId="7" fillId="0" borderId="67" xfId="0" applyFont="1" applyBorder="1" applyAlignment="1">
      <alignment horizontal="right" vertical="center" wrapText="1" indent="1"/>
    </xf>
    <xf numFmtId="0" fontId="15" fillId="0" borderId="66" xfId="0" applyFont="1" applyBorder="1" applyAlignment="1">
      <alignment horizontal="center" vertical="center" wrapText="1"/>
    </xf>
    <xf numFmtId="0" fontId="34" fillId="0" borderId="0" xfId="0" applyFont="1" applyAlignment="1">
      <alignment horizontal="right" indent="1"/>
    </xf>
    <xf numFmtId="0" fontId="38" fillId="0" borderId="152" xfId="0" applyFont="1" applyBorder="1" applyAlignment="1">
      <alignment horizontal="left" vertical="center" indent="1"/>
    </xf>
    <xf numFmtId="168" fontId="20" fillId="0" borderId="47" xfId="0" applyNumberFormat="1" applyFont="1" applyBorder="1" applyAlignment="1" applyProtection="1">
      <alignment horizontal="left"/>
      <protection locked="0"/>
    </xf>
    <xf numFmtId="0" fontId="20" fillId="0" borderId="46" xfId="0" applyFont="1" applyBorder="1" applyAlignment="1" applyProtection="1">
      <alignment horizontal="left" wrapText="1"/>
      <protection locked="0"/>
    </xf>
    <xf numFmtId="0" fontId="20" fillId="2" borderId="136" xfId="0" applyFont="1" applyFill="1" applyBorder="1" applyAlignment="1">
      <alignment horizontal="center"/>
    </xf>
    <xf numFmtId="0" fontId="20" fillId="2" borderId="132" xfId="0" applyFont="1" applyFill="1" applyBorder="1" applyAlignment="1">
      <alignment horizontal="center" wrapText="1"/>
    </xf>
    <xf numFmtId="168" fontId="20" fillId="0" borderId="46" xfId="0" applyNumberFormat="1" applyFont="1" applyBorder="1" applyAlignment="1" applyProtection="1">
      <alignment horizontal="left"/>
      <protection locked="0"/>
    </xf>
    <xf numFmtId="0" fontId="20" fillId="0" borderId="46" xfId="0" applyFont="1" applyBorder="1" applyAlignment="1" applyProtection="1">
      <alignment horizontal="left"/>
      <protection locked="0"/>
    </xf>
    <xf numFmtId="0" fontId="2" fillId="2" borderId="0" xfId="1" applyFill="1" applyBorder="1" applyAlignment="1" applyProtection="1">
      <alignment horizontal="center" vertical="center" textRotation="90"/>
    </xf>
    <xf numFmtId="0" fontId="15" fillId="0" borderId="158" xfId="0" applyFont="1" applyBorder="1" applyAlignment="1">
      <alignment vertical="center"/>
    </xf>
    <xf numFmtId="0" fontId="7" fillId="0" borderId="56" xfId="0" applyFont="1" applyBorder="1" applyAlignment="1">
      <alignment horizontal="right" vertical="center" wrapText="1"/>
    </xf>
    <xf numFmtId="0" fontId="7" fillId="0" borderId="66" xfId="0" applyFont="1" applyBorder="1" applyAlignment="1">
      <alignment horizontal="right" vertical="center"/>
    </xf>
    <xf numFmtId="0" fontId="7" fillId="0" borderId="56" xfId="0" applyFont="1" applyBorder="1" applyAlignment="1">
      <alignment horizontal="right" vertical="center"/>
    </xf>
    <xf numFmtId="0" fontId="7" fillId="0" borderId="131" xfId="0" applyFont="1" applyBorder="1" applyAlignment="1">
      <alignment wrapText="1"/>
    </xf>
    <xf numFmtId="0" fontId="2" fillId="7" borderId="0" xfId="1" applyFill="1" applyBorder="1" applyAlignment="1" applyProtection="1">
      <alignment horizontal="center" vertical="center" wrapText="1"/>
    </xf>
    <xf numFmtId="0" fontId="15" fillId="0" borderId="0" xfId="0" applyFont="1" applyAlignment="1">
      <alignment horizontal="center" textRotation="90" wrapText="1"/>
    </xf>
    <xf numFmtId="0" fontId="7" fillId="0" borderId="44" xfId="0" applyFont="1" applyBorder="1" applyAlignment="1">
      <alignment horizontal="right" vertical="center"/>
    </xf>
    <xf numFmtId="0" fontId="15" fillId="0" borderId="73" xfId="0" applyFont="1" applyBorder="1" applyAlignment="1">
      <alignment horizontal="center" vertical="center" wrapText="1"/>
    </xf>
    <xf numFmtId="169" fontId="7" fillId="0" borderId="0" xfId="0" applyNumberFormat="1" applyFont="1" applyAlignment="1">
      <alignment horizontal="left" vertical="top" wrapText="1" indent="1"/>
    </xf>
    <xf numFmtId="169" fontId="7" fillId="0" borderId="0" xfId="0" applyNumberFormat="1" applyFont="1" applyAlignment="1">
      <alignment horizontal="left" vertical="top" indent="1"/>
    </xf>
    <xf numFmtId="0" fontId="15" fillId="13" borderId="44" xfId="0" applyFont="1" applyFill="1" applyBorder="1" applyAlignment="1">
      <alignment horizontal="center" vertical="center" wrapText="1"/>
    </xf>
    <xf numFmtId="0" fontId="15" fillId="13" borderId="66" xfId="0" applyFont="1" applyFill="1" applyBorder="1" applyAlignment="1">
      <alignment horizontal="center" vertical="center" wrapText="1"/>
    </xf>
    <xf numFmtId="0" fontId="15" fillId="13" borderId="44" xfId="0" applyFont="1" applyFill="1" applyBorder="1" applyAlignment="1">
      <alignment horizontal="center" vertical="center"/>
    </xf>
    <xf numFmtId="0" fontId="82" fillId="2" borderId="6" xfId="0" applyFont="1" applyFill="1" applyBorder="1" applyAlignment="1">
      <alignment horizontal="center" vertical="center" wrapText="1"/>
    </xf>
    <xf numFmtId="0" fontId="83" fillId="2" borderId="6" xfId="0" applyFont="1" applyFill="1" applyBorder="1" applyAlignment="1">
      <alignment vertical="center"/>
    </xf>
    <xf numFmtId="166" fontId="34" fillId="0" borderId="44" xfId="0" applyNumberFormat="1" applyFont="1" applyBorder="1" applyAlignment="1">
      <alignment horizontal="right" wrapText="1"/>
    </xf>
    <xf numFmtId="0" fontId="20" fillId="0" borderId="44" xfId="0" applyFont="1" applyBorder="1" applyAlignment="1">
      <alignment wrapText="1"/>
    </xf>
    <xf numFmtId="0" fontId="20" fillId="0" borderId="44" xfId="0" applyFont="1" applyBorder="1" applyAlignment="1">
      <alignment horizontal="right"/>
    </xf>
    <xf numFmtId="166" fontId="20" fillId="0" borderId="11" xfId="0" applyNumberFormat="1" applyFont="1" applyBorder="1" applyAlignment="1">
      <alignment horizontal="left"/>
    </xf>
    <xf numFmtId="166" fontId="34" fillId="0" borderId="56" xfId="0" applyNumberFormat="1" applyFont="1" applyBorder="1" applyAlignment="1">
      <alignment horizontal="right" wrapText="1"/>
    </xf>
    <xf numFmtId="166" fontId="39" fillId="0" borderId="158" xfId="0" applyNumberFormat="1" applyFont="1" applyBorder="1" applyAlignment="1">
      <alignment vertical="center"/>
    </xf>
    <xf numFmtId="0" fontId="15" fillId="0" borderId="129" xfId="0" applyFont="1" applyBorder="1" applyAlignment="1">
      <alignment horizontal="center" textRotation="90" wrapText="1"/>
    </xf>
    <xf numFmtId="1" fontId="15" fillId="0" borderId="56" xfId="0" quotePrefix="1" applyNumberFormat="1" applyFont="1" applyBorder="1" applyAlignment="1">
      <alignment horizontal="center" vertical="top"/>
    </xf>
    <xf numFmtId="169" fontId="15" fillId="0" borderId="90" xfId="0" quotePrefix="1" applyNumberFormat="1" applyFont="1" applyBorder="1" applyAlignment="1">
      <alignment horizontal="center" vertical="center"/>
    </xf>
    <xf numFmtId="1" fontId="11" fillId="0" borderId="44" xfId="0" applyNumberFormat="1" applyFont="1" applyBorder="1" applyAlignment="1">
      <alignment horizontal="center" vertical="center" wrapText="1"/>
    </xf>
    <xf numFmtId="0" fontId="11" fillId="0" borderId="0" xfId="0" applyFont="1" applyAlignment="1">
      <alignment horizontal="left" vertical="top" wrapText="1" indent="1"/>
    </xf>
    <xf numFmtId="0" fontId="85" fillId="0" borderId="0" xfId="0" applyFont="1" applyAlignment="1">
      <alignment horizontal="left" vertical="top" wrapText="1" indent="1"/>
    </xf>
    <xf numFmtId="169" fontId="86" fillId="6" borderId="162" xfId="0" quotePrefix="1" applyNumberFormat="1" applyFont="1" applyFill="1" applyBorder="1" applyAlignment="1">
      <alignment horizontal="center" vertical="center"/>
    </xf>
    <xf numFmtId="169" fontId="86" fillId="6" borderId="73" xfId="0" quotePrefix="1" applyNumberFormat="1" applyFont="1" applyFill="1" applyBorder="1" applyAlignment="1">
      <alignment horizontal="center" vertical="center"/>
    </xf>
    <xf numFmtId="1" fontId="86" fillId="6" borderId="73" xfId="0" applyNumberFormat="1" applyFont="1" applyFill="1" applyBorder="1" applyAlignment="1">
      <alignment horizontal="center" vertical="center"/>
    </xf>
    <xf numFmtId="1" fontId="11" fillId="0" borderId="44" xfId="0" quotePrefix="1" applyNumberFormat="1" applyFont="1" applyBorder="1" applyAlignment="1">
      <alignment horizontal="center" vertical="center" wrapText="1"/>
    </xf>
    <xf numFmtId="169" fontId="15" fillId="0" borderId="152" xfId="0" quotePrefix="1" applyNumberFormat="1" applyFont="1" applyBorder="1" applyAlignment="1">
      <alignment horizontal="center" vertical="center"/>
    </xf>
    <xf numFmtId="169" fontId="15" fillId="0" borderId="163" xfId="0" quotePrefix="1" applyNumberFormat="1" applyFont="1" applyBorder="1" applyAlignment="1">
      <alignment horizontal="center" vertical="center"/>
    </xf>
    <xf numFmtId="169" fontId="15" fillId="0" borderId="66" xfId="0" applyNumberFormat="1" applyFont="1" applyBorder="1" applyAlignment="1">
      <alignment horizontal="center" vertical="center" wrapText="1"/>
    </xf>
    <xf numFmtId="0" fontId="7" fillId="0" borderId="78" xfId="0" applyFont="1" applyBorder="1"/>
    <xf numFmtId="0" fontId="14" fillId="0" borderId="19" xfId="0" applyFont="1" applyBorder="1" applyAlignment="1">
      <alignment horizontal="right" wrapText="1"/>
    </xf>
    <xf numFmtId="0" fontId="5" fillId="0" borderId="19" xfId="0" applyFont="1" applyBorder="1"/>
    <xf numFmtId="0" fontId="60" fillId="0" borderId="19" xfId="0" applyFont="1" applyBorder="1"/>
    <xf numFmtId="0" fontId="7" fillId="0" borderId="19" xfId="0" applyFont="1" applyBorder="1" applyAlignment="1">
      <alignment horizontal="center" wrapText="1"/>
    </xf>
    <xf numFmtId="0" fontId="15" fillId="0" borderId="19" xfId="0" applyFont="1" applyBorder="1" applyAlignment="1">
      <alignment horizontal="right"/>
    </xf>
    <xf numFmtId="0" fontId="5" fillId="0" borderId="19" xfId="0" applyFont="1" applyBorder="1" applyAlignment="1">
      <alignment horizontal="left" wrapText="1"/>
    </xf>
    <xf numFmtId="0" fontId="5" fillId="0" borderId="149" xfId="0" applyFont="1" applyBorder="1" applyAlignment="1">
      <alignment horizontal="left" wrapText="1"/>
    </xf>
    <xf numFmtId="0" fontId="3" fillId="0" borderId="0" xfId="0" applyFont="1" applyAlignment="1">
      <alignment horizontal="left" wrapText="1" indent="1"/>
    </xf>
    <xf numFmtId="0" fontId="16" fillId="0" borderId="0" xfId="0" applyFont="1"/>
    <xf numFmtId="0" fontId="45" fillId="0" borderId="0" xfId="0" applyFont="1" applyAlignment="1">
      <alignment horizontal="right" indent="1"/>
    </xf>
    <xf numFmtId="0" fontId="88" fillId="0" borderId="68" xfId="0" applyFont="1" applyBorder="1"/>
    <xf numFmtId="0" fontId="16" fillId="0" borderId="67" xfId="0" applyFont="1" applyBorder="1" applyAlignment="1">
      <alignment horizontal="center" wrapText="1"/>
    </xf>
    <xf numFmtId="0" fontId="44" fillId="0" borderId="0" xfId="0" applyFont="1" applyAlignment="1">
      <alignment horizontal="right" indent="1"/>
    </xf>
    <xf numFmtId="0" fontId="37" fillId="0" borderId="6" xfId="0" applyFont="1" applyBorder="1" applyAlignment="1">
      <alignment horizontal="left" wrapText="1" indent="1"/>
    </xf>
    <xf numFmtId="0" fontId="37" fillId="0" borderId="0" xfId="0" applyFont="1" applyAlignment="1">
      <alignment horizontal="left" wrapText="1" indent="1"/>
    </xf>
    <xf numFmtId="0" fontId="16" fillId="9" borderId="0" xfId="0" applyFont="1" applyFill="1"/>
    <xf numFmtId="0" fontId="16" fillId="9" borderId="68" xfId="0" applyFont="1" applyFill="1" applyBorder="1"/>
    <xf numFmtId="0" fontId="16" fillId="0" borderId="68" xfId="0" applyFont="1" applyBorder="1" applyAlignment="1">
      <alignment horizontal="center"/>
    </xf>
    <xf numFmtId="0" fontId="16" fillId="0" borderId="78" xfId="0" applyFont="1" applyBorder="1"/>
    <xf numFmtId="0" fontId="16" fillId="0" borderId="19" xfId="0" applyFont="1" applyBorder="1"/>
    <xf numFmtId="0" fontId="44" fillId="0" borderId="19" xfId="0" applyFont="1" applyBorder="1" applyAlignment="1">
      <alignment horizontal="left" vertical="center" indent="1"/>
    </xf>
    <xf numFmtId="0" fontId="89" fillId="0" borderId="19" xfId="0" applyFont="1" applyBorder="1" applyAlignment="1">
      <alignment horizontal="left"/>
    </xf>
    <xf numFmtId="0" fontId="16" fillId="0" borderId="19" xfId="0" applyFont="1" applyBorder="1" applyAlignment="1">
      <alignment horizontal="center"/>
    </xf>
    <xf numFmtId="1" fontId="16" fillId="0" borderId="19" xfId="0" applyNumberFormat="1" applyFont="1" applyBorder="1" applyAlignment="1">
      <alignment vertical="top"/>
    </xf>
    <xf numFmtId="0" fontId="16" fillId="0" borderId="149" xfId="0" applyFont="1" applyBorder="1" applyAlignment="1">
      <alignment horizontal="center"/>
    </xf>
    <xf numFmtId="0" fontId="61" fillId="0" borderId="78" xfId="0" applyFont="1" applyBorder="1" applyAlignment="1">
      <alignment horizontal="left" wrapText="1"/>
    </xf>
    <xf numFmtId="0" fontId="61" fillId="0" borderId="19" xfId="0" applyFont="1" applyBorder="1" applyAlignment="1">
      <alignment horizontal="left" wrapText="1"/>
    </xf>
    <xf numFmtId="0" fontId="61" fillId="0" borderId="47" xfId="0" applyFont="1" applyBorder="1" applyAlignment="1">
      <alignment horizontal="left" wrapText="1"/>
    </xf>
    <xf numFmtId="1" fontId="15" fillId="0" borderId="66" xfId="0" applyNumberFormat="1" applyFont="1" applyBorder="1" applyAlignment="1">
      <alignment horizontal="center" vertical="center" wrapText="1"/>
    </xf>
    <xf numFmtId="0" fontId="53" fillId="0" borderId="162" xfId="0" applyFont="1" applyBorder="1" applyAlignment="1">
      <alignment horizontal="center" vertical="center"/>
    </xf>
    <xf numFmtId="0" fontId="54" fillId="0" borderId="67" xfId="0" applyFont="1" applyBorder="1" applyAlignment="1">
      <alignment horizontal="center" vertical="center"/>
    </xf>
    <xf numFmtId="0" fontId="54" fillId="0" borderId="14" xfId="0" applyFont="1" applyBorder="1" applyAlignment="1">
      <alignment horizontal="center" vertical="center"/>
    </xf>
    <xf numFmtId="0" fontId="26" fillId="0" borderId="15" xfId="0" applyFont="1" applyBorder="1" applyAlignment="1">
      <alignment horizontal="left" vertical="center"/>
    </xf>
    <xf numFmtId="0" fontId="59" fillId="0" borderId="0" xfId="0" applyFont="1" applyAlignment="1">
      <alignment horizontal="right" vertical="center"/>
    </xf>
    <xf numFmtId="0" fontId="59" fillId="0" borderId="2" xfId="0" applyFont="1" applyBorder="1" applyAlignment="1">
      <alignment horizontal="right" vertical="center"/>
    </xf>
    <xf numFmtId="0" fontId="79" fillId="0" borderId="91" xfId="0" applyFont="1" applyBorder="1" applyAlignment="1">
      <alignment horizontal="left" vertical="center" textRotation="90" wrapText="1"/>
    </xf>
    <xf numFmtId="166" fontId="92" fillId="0" borderId="59" xfId="0" applyNumberFormat="1" applyFont="1" applyBorder="1" applyAlignment="1">
      <alignment horizontal="center" vertical="top"/>
    </xf>
    <xf numFmtId="0" fontId="80" fillId="0" borderId="59" xfId="0" applyFont="1" applyBorder="1" applyAlignment="1">
      <alignment vertical="top" wrapText="1"/>
    </xf>
    <xf numFmtId="9" fontId="93" fillId="5" borderId="59" xfId="0" quotePrefix="1" applyNumberFormat="1" applyFont="1" applyFill="1" applyBorder="1" applyAlignment="1">
      <alignment horizontal="center" vertical="center" wrapText="1"/>
    </xf>
    <xf numFmtId="0" fontId="80" fillId="5" borderId="59" xfId="0" quotePrefix="1" applyFont="1" applyFill="1" applyBorder="1" applyAlignment="1">
      <alignment horizontal="center" vertical="center" wrapText="1"/>
    </xf>
    <xf numFmtId="9" fontId="80" fillId="4" borderId="59" xfId="0" applyNumberFormat="1" applyFont="1" applyFill="1" applyBorder="1" applyAlignment="1" applyProtection="1">
      <alignment horizontal="left" vertical="top" wrapText="1"/>
      <protection locked="0"/>
    </xf>
    <xf numFmtId="9" fontId="80" fillId="4" borderId="87" xfId="0" applyNumberFormat="1" applyFont="1" applyFill="1" applyBorder="1" applyAlignment="1" applyProtection="1">
      <alignment horizontal="left" vertical="top" wrapText="1"/>
      <protection locked="0"/>
    </xf>
    <xf numFmtId="0" fontId="94" fillId="0" borderId="59" xfId="0" applyFont="1" applyBorder="1" applyAlignment="1">
      <alignment vertical="top" wrapText="1"/>
    </xf>
    <xf numFmtId="0" fontId="97" fillId="0" borderId="6" xfId="0" applyFont="1" applyBorder="1" applyAlignment="1">
      <alignment horizontal="center" vertical="center" wrapText="1"/>
    </xf>
    <xf numFmtId="0" fontId="98" fillId="7" borderId="61" xfId="1" applyNumberFormat="1" applyFont="1" applyFill="1" applyBorder="1" applyAlignment="1" applyProtection="1">
      <alignment horizontal="center" vertical="center" wrapText="1"/>
    </xf>
    <xf numFmtId="0" fontId="98" fillId="7" borderId="76" xfId="1" applyFont="1" applyFill="1" applyBorder="1" applyAlignment="1" applyProtection="1">
      <alignment horizontal="center" vertical="center" wrapText="1"/>
    </xf>
    <xf numFmtId="9" fontId="99" fillId="5" borderId="44" xfId="0" quotePrefix="1" applyNumberFormat="1" applyFont="1" applyFill="1" applyBorder="1" applyAlignment="1">
      <alignment horizontal="center" vertical="center" wrapText="1"/>
    </xf>
    <xf numFmtId="9" fontId="100" fillId="5" borderId="44" xfId="0" quotePrefix="1" applyNumberFormat="1" applyFont="1" applyFill="1" applyBorder="1" applyAlignment="1">
      <alignment horizontal="center" vertical="center" wrapText="1"/>
    </xf>
    <xf numFmtId="0" fontId="101" fillId="0" borderId="44" xfId="0" applyFont="1" applyBorder="1" applyAlignment="1">
      <alignment horizontal="right" vertical="center" wrapText="1"/>
    </xf>
    <xf numFmtId="0" fontId="101" fillId="0" borderId="44" xfId="0" applyFont="1" applyBorder="1" applyAlignment="1">
      <alignment horizontal="right"/>
    </xf>
    <xf numFmtId="9" fontId="100" fillId="5" borderId="44" xfId="0" quotePrefix="1" applyNumberFormat="1" applyFont="1" applyFill="1" applyBorder="1" applyAlignment="1">
      <alignment horizontal="left" vertical="top" wrapText="1"/>
    </xf>
    <xf numFmtId="0" fontId="104" fillId="5" borderId="44" xfId="0" applyFont="1" applyFill="1" applyBorder="1" applyAlignment="1" applyProtection="1">
      <alignment horizontal="left" vertical="top" wrapText="1"/>
      <protection locked="0"/>
    </xf>
    <xf numFmtId="0" fontId="104" fillId="5" borderId="44" xfId="0" quotePrefix="1" applyFont="1" applyFill="1" applyBorder="1" applyAlignment="1" applyProtection="1">
      <alignment horizontal="left" vertical="top" wrapText="1"/>
      <protection locked="0"/>
    </xf>
    <xf numFmtId="0" fontId="104" fillId="5" borderId="69" xfId="0" applyFont="1" applyFill="1" applyBorder="1" applyAlignment="1" applyProtection="1">
      <alignment horizontal="left" vertical="top" wrapText="1"/>
      <protection locked="0"/>
    </xf>
    <xf numFmtId="0" fontId="104" fillId="5" borderId="59" xfId="0" applyFont="1" applyFill="1" applyBorder="1" applyAlignment="1" applyProtection="1">
      <alignment horizontal="left" vertical="top" wrapText="1"/>
      <protection locked="0"/>
    </xf>
    <xf numFmtId="170" fontId="104" fillId="5" borderId="44" xfId="0" applyNumberFormat="1" applyFont="1" applyFill="1" applyBorder="1" applyAlignment="1" applyProtection="1">
      <alignment horizontal="center" vertical="center"/>
      <protection locked="0"/>
    </xf>
    <xf numFmtId="170" fontId="104" fillId="5" borderId="44" xfId="0" quotePrefix="1" applyNumberFormat="1" applyFont="1" applyFill="1" applyBorder="1" applyAlignment="1">
      <alignment horizontal="center" vertical="center" wrapText="1"/>
    </xf>
    <xf numFmtId="170" fontId="1" fillId="5" borderId="44" xfId="0" applyNumberFormat="1" applyFont="1" applyFill="1" applyBorder="1" applyAlignment="1" applyProtection="1">
      <alignment horizontal="center" vertical="center"/>
      <protection locked="0"/>
    </xf>
    <xf numFmtId="170" fontId="1" fillId="5" borderId="69" xfId="0" applyNumberFormat="1" applyFont="1" applyFill="1" applyBorder="1" applyAlignment="1" applyProtection="1">
      <alignment horizontal="center" vertical="center"/>
      <protection locked="0"/>
    </xf>
    <xf numFmtId="170" fontId="80" fillId="5" borderId="59" xfId="0" applyNumberFormat="1" applyFont="1" applyFill="1" applyBorder="1" applyAlignment="1" applyProtection="1">
      <alignment horizontal="center" vertical="center"/>
      <protection locked="0"/>
    </xf>
    <xf numFmtId="0" fontId="106" fillId="0" borderId="68" xfId="0" applyFont="1" applyBorder="1"/>
    <xf numFmtId="169" fontId="101" fillId="14" borderId="73" xfId="0" applyNumberFormat="1" applyFont="1" applyFill="1" applyBorder="1" applyAlignment="1">
      <alignment horizontal="center" vertical="center" wrapText="1"/>
    </xf>
    <xf numFmtId="169" fontId="15" fillId="14" borderId="59" xfId="0" quotePrefix="1" applyNumberFormat="1" applyFont="1" applyFill="1" applyBorder="1" applyAlignment="1">
      <alignment horizontal="center" vertical="center"/>
    </xf>
    <xf numFmtId="1" fontId="15" fillId="14" borderId="72" xfId="0" quotePrefix="1" applyNumberFormat="1" applyFont="1" applyFill="1" applyBorder="1" applyAlignment="1">
      <alignment horizontal="center" vertical="center"/>
    </xf>
    <xf numFmtId="1" fontId="15" fillId="14" borderId="148" xfId="0" quotePrefix="1" applyNumberFormat="1" applyFont="1" applyFill="1" applyBorder="1" applyAlignment="1">
      <alignment horizontal="center" vertical="center"/>
    </xf>
    <xf numFmtId="169" fontId="15" fillId="14" borderId="15" xfId="0" quotePrefix="1" applyNumberFormat="1" applyFont="1" applyFill="1" applyBorder="1" applyAlignment="1">
      <alignment horizontal="center" vertical="center"/>
    </xf>
    <xf numFmtId="1" fontId="72" fillId="14" borderId="139" xfId="0" applyNumberFormat="1" applyFont="1" applyFill="1" applyBorder="1" applyAlignment="1">
      <alignment horizontal="left" vertical="center" wrapText="1"/>
    </xf>
    <xf numFmtId="0" fontId="107" fillId="2" borderId="1" xfId="1" applyFont="1" applyFill="1" applyBorder="1" applyAlignment="1" applyProtection="1">
      <alignment horizontal="left" vertical="top"/>
    </xf>
    <xf numFmtId="0" fontId="107" fillId="2" borderId="6" xfId="0" applyFont="1" applyFill="1" applyBorder="1" applyAlignment="1">
      <alignment horizontal="left" wrapText="1" indent="1"/>
    </xf>
    <xf numFmtId="49" fontId="7" fillId="4" borderId="44" xfId="0" applyNumberFormat="1" applyFont="1" applyFill="1" applyBorder="1" applyAlignment="1" applyProtection="1">
      <alignment vertical="top" wrapText="1"/>
      <protection locked="0"/>
    </xf>
    <xf numFmtId="49" fontId="7" fillId="4" borderId="44" xfId="0" applyNumberFormat="1" applyFont="1" applyFill="1" applyBorder="1" applyAlignment="1" applyProtection="1">
      <alignment horizontal="left" vertical="top" wrapText="1"/>
      <protection locked="0"/>
    </xf>
    <xf numFmtId="0" fontId="2" fillId="2" borderId="0" xfId="1" applyFill="1" applyProtection="1">
      <alignment vertical="center" wrapText="1"/>
    </xf>
    <xf numFmtId="0" fontId="15" fillId="0" borderId="44" xfId="0" applyFont="1" applyBorder="1" applyAlignment="1">
      <alignment horizontal="center" vertical="center" wrapText="1"/>
    </xf>
    <xf numFmtId="0" fontId="72" fillId="5" borderId="44" xfId="0" applyFont="1" applyFill="1" applyBorder="1" applyAlignment="1" applyProtection="1">
      <alignment horizontal="center" vertical="center"/>
      <protection locked="0"/>
    </xf>
    <xf numFmtId="1" fontId="72" fillId="5" borderId="44" xfId="0" applyNumberFormat="1" applyFont="1" applyFill="1" applyBorder="1" applyAlignment="1" applyProtection="1">
      <alignment horizontal="center" vertical="center"/>
      <protection locked="0"/>
    </xf>
    <xf numFmtId="0" fontId="72" fillId="5" borderId="69" xfId="0" applyFont="1" applyFill="1" applyBorder="1" applyAlignment="1" applyProtection="1">
      <alignment horizontal="center" vertical="center"/>
      <protection locked="0"/>
    </xf>
    <xf numFmtId="1" fontId="72" fillId="5" borderId="69" xfId="0" applyNumberFormat="1" applyFont="1" applyFill="1" applyBorder="1" applyAlignment="1" applyProtection="1">
      <alignment horizontal="center" vertical="center"/>
      <protection locked="0"/>
    </xf>
    <xf numFmtId="0" fontId="72" fillId="5" borderId="59" xfId="0" applyFont="1" applyFill="1" applyBorder="1" applyAlignment="1" applyProtection="1">
      <alignment horizontal="center" vertical="center"/>
      <protection locked="0"/>
    </xf>
    <xf numFmtId="1" fontId="72" fillId="5" borderId="59" xfId="0" applyNumberFormat="1" applyFont="1" applyFill="1" applyBorder="1" applyAlignment="1" applyProtection="1">
      <alignment horizontal="center" vertical="center"/>
      <protection locked="0"/>
    </xf>
    <xf numFmtId="0" fontId="1" fillId="5" borderId="54" xfId="0" applyFont="1" applyFill="1" applyBorder="1" applyAlignment="1" applyProtection="1">
      <alignment horizontal="left" wrapText="1"/>
      <protection locked="0"/>
    </xf>
    <xf numFmtId="0" fontId="1" fillId="5" borderId="29" xfId="0" applyFont="1" applyFill="1" applyBorder="1" applyAlignment="1" applyProtection="1">
      <alignment horizontal="left" wrapText="1"/>
      <protection locked="0"/>
    </xf>
    <xf numFmtId="0" fontId="1" fillId="5" borderId="53" xfId="0" applyFont="1" applyFill="1" applyBorder="1" applyAlignment="1" applyProtection="1">
      <alignment horizontal="left" wrapText="1"/>
      <protection locked="0"/>
    </xf>
    <xf numFmtId="0" fontId="1" fillId="5" borderId="26" xfId="0" applyFont="1" applyFill="1" applyBorder="1" applyAlignment="1" applyProtection="1">
      <alignment horizontal="left" wrapText="1"/>
      <protection locked="0"/>
    </xf>
    <xf numFmtId="0" fontId="15" fillId="0" borderId="9" xfId="0" applyFont="1" applyBorder="1" applyAlignment="1">
      <alignment horizontal="center" vertical="center"/>
    </xf>
    <xf numFmtId="0" fontId="15" fillId="0" borderId="17" xfId="0" applyFont="1" applyBorder="1" applyAlignment="1">
      <alignment horizontal="center" vertical="center"/>
    </xf>
    <xf numFmtId="0" fontId="15" fillId="0" borderId="8" xfId="0" applyFont="1" applyBorder="1" applyAlignment="1">
      <alignment horizontal="center" vertical="center"/>
    </xf>
    <xf numFmtId="0" fontId="15" fillId="0" borderId="50" xfId="0" applyFont="1" applyBorder="1" applyAlignment="1">
      <alignment horizontal="center"/>
    </xf>
    <xf numFmtId="0" fontId="15" fillId="0" borderId="47" xfId="0" applyFont="1" applyBorder="1" applyAlignment="1">
      <alignment horizontal="center"/>
    </xf>
    <xf numFmtId="0" fontId="1" fillId="5" borderId="52" xfId="0" applyFont="1" applyFill="1" applyBorder="1" applyAlignment="1" applyProtection="1">
      <alignment horizontal="left" wrapText="1"/>
      <protection locked="0"/>
    </xf>
    <xf numFmtId="0" fontId="1" fillId="5" borderId="23" xfId="0" applyFont="1" applyFill="1" applyBorder="1" applyAlignment="1" applyProtection="1">
      <alignment horizontal="left" wrapText="1"/>
      <protection locked="0"/>
    </xf>
    <xf numFmtId="0" fontId="5" fillId="5" borderId="52" xfId="0" applyFont="1" applyFill="1" applyBorder="1" applyAlignment="1" applyProtection="1">
      <alignment horizontal="left" wrapText="1"/>
      <protection locked="0"/>
    </xf>
    <xf numFmtId="0" fontId="5" fillId="5" borderId="23" xfId="0" applyFont="1" applyFill="1" applyBorder="1" applyAlignment="1" applyProtection="1">
      <alignment horizontal="left" wrapText="1"/>
      <protection locked="0"/>
    </xf>
    <xf numFmtId="0" fontId="5" fillId="5" borderId="25" xfId="0" applyFont="1" applyFill="1" applyBorder="1" applyAlignment="1" applyProtection="1">
      <alignment horizontal="left" wrapText="1"/>
      <protection locked="0"/>
    </xf>
    <xf numFmtId="0" fontId="5" fillId="5" borderId="26" xfId="0" applyFont="1" applyFill="1" applyBorder="1" applyAlignment="1" applyProtection="1">
      <alignment horizontal="left" wrapText="1"/>
      <protection locked="0"/>
    </xf>
    <xf numFmtId="0" fontId="1" fillId="5" borderId="25" xfId="0" applyFont="1" applyFill="1" applyBorder="1" applyAlignment="1" applyProtection="1">
      <alignment horizontal="left"/>
      <protection locked="0"/>
    </xf>
    <xf numFmtId="0" fontId="1" fillId="5" borderId="24" xfId="0" applyFont="1" applyFill="1" applyBorder="1" applyAlignment="1" applyProtection="1">
      <alignment horizontal="left"/>
      <protection locked="0"/>
    </xf>
    <xf numFmtId="0" fontId="1" fillId="5" borderId="26" xfId="0" applyFont="1" applyFill="1" applyBorder="1" applyAlignment="1" applyProtection="1">
      <alignment horizontal="left"/>
      <protection locked="0"/>
    </xf>
    <xf numFmtId="0" fontId="1" fillId="5" borderId="27" xfId="0" applyFont="1" applyFill="1" applyBorder="1" applyAlignment="1" applyProtection="1">
      <alignment horizontal="left"/>
      <protection locked="0"/>
    </xf>
    <xf numFmtId="0" fontId="1" fillId="5" borderId="28" xfId="0" applyFont="1" applyFill="1" applyBorder="1" applyAlignment="1" applyProtection="1">
      <alignment horizontal="left"/>
      <protection locked="0"/>
    </xf>
    <xf numFmtId="0" fontId="1" fillId="5" borderId="29" xfId="0" applyFont="1" applyFill="1" applyBorder="1" applyAlignment="1" applyProtection="1">
      <alignment horizontal="left"/>
      <protection locked="0"/>
    </xf>
    <xf numFmtId="0" fontId="15" fillId="0" borderId="9" xfId="0" applyFont="1" applyBorder="1" applyAlignment="1">
      <alignment horizontal="center"/>
    </xf>
    <xf numFmtId="0" fontId="15" fillId="0" borderId="8" xfId="0" applyFont="1" applyBorder="1" applyAlignment="1">
      <alignment horizontal="center"/>
    </xf>
    <xf numFmtId="0" fontId="68" fillId="11" borderId="44" xfId="4" applyFont="1" applyFill="1" applyBorder="1" applyAlignment="1" applyProtection="1">
      <alignment horizontal="left" vertical="top" wrapText="1"/>
      <protection locked="0"/>
    </xf>
    <xf numFmtId="0" fontId="7" fillId="4" borderId="5" xfId="0" applyFont="1" applyFill="1" applyBorder="1" applyAlignment="1" applyProtection="1">
      <alignment horizontal="left" vertical="top" wrapText="1"/>
      <protection locked="0"/>
    </xf>
    <xf numFmtId="0" fontId="7" fillId="4" borderId="45" xfId="0" applyFont="1" applyFill="1" applyBorder="1" applyAlignment="1" applyProtection="1">
      <alignment horizontal="left" vertical="top" wrapText="1"/>
      <protection locked="0"/>
    </xf>
    <xf numFmtId="0" fontId="7" fillId="4" borderId="11" xfId="0" applyFont="1" applyFill="1" applyBorder="1" applyAlignment="1" applyProtection="1">
      <alignment horizontal="left" vertical="top" wrapText="1"/>
      <protection locked="0"/>
    </xf>
    <xf numFmtId="0" fontId="7" fillId="4" borderId="46" xfId="0" applyFont="1" applyFill="1" applyBorder="1" applyAlignment="1" applyProtection="1">
      <alignment horizontal="left" vertical="top" wrapText="1"/>
      <protection locked="0"/>
    </xf>
    <xf numFmtId="0" fontId="7" fillId="4" borderId="18" xfId="0" applyFont="1" applyFill="1" applyBorder="1" applyAlignment="1" applyProtection="1">
      <alignment horizontal="left" vertical="top" wrapText="1"/>
      <protection locked="0"/>
    </xf>
    <xf numFmtId="0" fontId="7" fillId="4" borderId="47" xfId="0" applyFont="1" applyFill="1" applyBorder="1" applyAlignment="1" applyProtection="1">
      <alignment horizontal="left" vertical="top" wrapText="1"/>
      <protection locked="0"/>
    </xf>
    <xf numFmtId="0" fontId="14" fillId="0" borderId="50" xfId="0" applyFont="1" applyBorder="1" applyAlignment="1">
      <alignment horizontal="center"/>
    </xf>
    <xf numFmtId="0" fontId="14" fillId="0" borderId="47" xfId="0" applyFont="1" applyBorder="1" applyAlignment="1">
      <alignment horizontal="center"/>
    </xf>
    <xf numFmtId="0" fontId="1" fillId="4" borderId="27" xfId="0" applyFont="1" applyFill="1" applyBorder="1" applyAlignment="1" applyProtection="1">
      <alignment horizontal="left" wrapText="1"/>
      <protection locked="0"/>
    </xf>
    <xf numFmtId="0" fontId="1" fillId="4" borderId="28" xfId="0" applyFont="1" applyFill="1" applyBorder="1" applyAlignment="1" applyProtection="1">
      <alignment horizontal="left" wrapText="1"/>
      <protection locked="0"/>
    </xf>
    <xf numFmtId="0" fontId="1" fillId="4" borderId="29" xfId="0" applyFont="1" applyFill="1" applyBorder="1" applyAlignment="1" applyProtection="1">
      <alignment horizontal="left" wrapText="1"/>
      <protection locked="0"/>
    </xf>
    <xf numFmtId="0" fontId="5" fillId="5" borderId="21" xfId="0" applyFont="1" applyFill="1" applyBorder="1" applyProtection="1">
      <protection locked="0"/>
    </xf>
    <xf numFmtId="0" fontId="5" fillId="5" borderId="22" xfId="0" applyFont="1" applyFill="1" applyBorder="1" applyProtection="1">
      <protection locked="0"/>
    </xf>
    <xf numFmtId="0" fontId="5" fillId="5" borderId="23" xfId="0" applyFont="1" applyFill="1" applyBorder="1" applyProtection="1">
      <protection locked="0"/>
    </xf>
    <xf numFmtId="15" fontId="19" fillId="5" borderId="25" xfId="0" applyNumberFormat="1" applyFont="1" applyFill="1" applyBorder="1" applyAlignment="1" applyProtection="1">
      <alignment horizontal="left"/>
      <protection locked="0"/>
    </xf>
    <xf numFmtId="15" fontId="19" fillId="5" borderId="24" xfId="0" applyNumberFormat="1" applyFont="1" applyFill="1" applyBorder="1" applyAlignment="1" applyProtection="1">
      <alignment horizontal="left"/>
      <protection locked="0"/>
    </xf>
    <xf numFmtId="15" fontId="19" fillId="5" borderId="26" xfId="0" applyNumberFormat="1" applyFont="1" applyFill="1" applyBorder="1" applyAlignment="1" applyProtection="1">
      <alignment horizontal="left"/>
      <protection locked="0"/>
    </xf>
    <xf numFmtId="15" fontId="6" fillId="5" borderId="25" xfId="0" applyNumberFormat="1" applyFont="1" applyFill="1" applyBorder="1" applyAlignment="1" applyProtection="1">
      <alignment horizontal="left"/>
      <protection locked="0"/>
    </xf>
    <xf numFmtId="15" fontId="6" fillId="5" borderId="24" xfId="0" applyNumberFormat="1" applyFont="1" applyFill="1" applyBorder="1" applyAlignment="1" applyProtection="1">
      <alignment horizontal="left"/>
      <protection locked="0"/>
    </xf>
    <xf numFmtId="15" fontId="6" fillId="5" borderId="26" xfId="0" applyNumberFormat="1" applyFont="1" applyFill="1" applyBorder="1" applyAlignment="1" applyProtection="1">
      <alignment horizontal="left"/>
      <protection locked="0"/>
    </xf>
    <xf numFmtId="0" fontId="15" fillId="0" borderId="9" xfId="0" applyFont="1" applyBorder="1" applyAlignment="1">
      <alignment horizontal="center" wrapText="1"/>
    </xf>
    <xf numFmtId="0" fontId="15" fillId="0" borderId="17" xfId="0" applyFont="1" applyBorder="1" applyAlignment="1">
      <alignment horizontal="center" wrapText="1"/>
    </xf>
    <xf numFmtId="0" fontId="15" fillId="0" borderId="8" xfId="0" applyFont="1" applyBorder="1" applyAlignment="1">
      <alignment horizontal="center" wrapText="1"/>
    </xf>
    <xf numFmtId="0" fontId="1" fillId="4" borderId="42" xfId="0" applyFont="1" applyFill="1" applyBorder="1" applyAlignment="1" applyProtection="1">
      <alignment horizontal="left" wrapText="1"/>
      <protection locked="0"/>
    </xf>
    <xf numFmtId="0" fontId="1" fillId="4" borderId="20" xfId="0" applyFont="1" applyFill="1" applyBorder="1" applyAlignment="1" applyProtection="1">
      <alignment horizontal="left" wrapText="1"/>
      <protection locked="0"/>
    </xf>
    <xf numFmtId="0" fontId="1" fillId="4" borderId="43" xfId="0" applyFont="1" applyFill="1" applyBorder="1" applyAlignment="1" applyProtection="1">
      <alignment horizontal="left" wrapText="1"/>
      <protection locked="0"/>
    </xf>
    <xf numFmtId="0" fontId="1" fillId="4" borderId="25" xfId="0" applyFont="1" applyFill="1" applyBorder="1" applyAlignment="1" applyProtection="1">
      <alignment horizontal="left" wrapText="1"/>
      <protection locked="0"/>
    </xf>
    <xf numFmtId="0" fontId="1" fillId="4" borderId="24" xfId="0" applyFont="1" applyFill="1" applyBorder="1" applyAlignment="1" applyProtection="1">
      <alignment horizontal="left" wrapText="1"/>
      <protection locked="0"/>
    </xf>
    <xf numFmtId="0" fontId="1" fillId="4" borderId="26" xfId="0" applyFont="1" applyFill="1" applyBorder="1" applyAlignment="1" applyProtection="1">
      <alignment horizontal="left" wrapText="1"/>
      <protection locked="0"/>
    </xf>
    <xf numFmtId="15" fontId="1" fillId="4" borderId="25" xfId="0" applyNumberFormat="1" applyFont="1" applyFill="1" applyBorder="1" applyAlignment="1" applyProtection="1">
      <alignment horizontal="left" wrapText="1"/>
      <protection locked="0"/>
    </xf>
    <xf numFmtId="15" fontId="1" fillId="4" borderId="24" xfId="0" applyNumberFormat="1" applyFont="1" applyFill="1" applyBorder="1" applyAlignment="1" applyProtection="1">
      <alignment horizontal="left" wrapText="1"/>
      <protection locked="0"/>
    </xf>
    <xf numFmtId="15" fontId="1" fillId="4" borderId="26" xfId="0" applyNumberFormat="1" applyFont="1" applyFill="1" applyBorder="1" applyAlignment="1" applyProtection="1">
      <alignment horizontal="left" wrapText="1"/>
      <protection locked="0"/>
    </xf>
    <xf numFmtId="0" fontId="1" fillId="4" borderId="27" xfId="0" applyFont="1" applyFill="1" applyBorder="1" applyAlignment="1" applyProtection="1">
      <alignment horizontal="left" wrapText="1" indent="1"/>
      <protection locked="0"/>
    </xf>
    <xf numFmtId="0" fontId="1" fillId="4" borderId="28" xfId="0" applyFont="1" applyFill="1" applyBorder="1" applyAlignment="1" applyProtection="1">
      <alignment horizontal="left" wrapText="1" indent="1"/>
      <protection locked="0"/>
    </xf>
    <xf numFmtId="0" fontId="1" fillId="4" borderId="29" xfId="0" applyFont="1" applyFill="1" applyBorder="1" applyAlignment="1" applyProtection="1">
      <alignment horizontal="left" wrapText="1" indent="1"/>
      <protection locked="0"/>
    </xf>
    <xf numFmtId="49" fontId="2" fillId="4" borderId="37" xfId="1" applyNumberFormat="1" applyFill="1" applyBorder="1" applyAlignment="1" applyProtection="1">
      <alignment horizontal="left" wrapText="1"/>
      <protection locked="0"/>
    </xf>
    <xf numFmtId="49" fontId="2" fillId="4" borderId="38" xfId="1" applyNumberFormat="1" applyFill="1" applyBorder="1" applyAlignment="1" applyProtection="1">
      <alignment horizontal="left" wrapText="1"/>
      <protection locked="0"/>
    </xf>
    <xf numFmtId="49" fontId="2" fillId="4" borderId="40" xfId="1" applyNumberFormat="1" applyFill="1" applyBorder="1" applyAlignment="1" applyProtection="1">
      <alignment horizontal="left" wrapText="1"/>
      <protection locked="0"/>
    </xf>
    <xf numFmtId="49" fontId="2" fillId="4" borderId="41" xfId="1" applyNumberFormat="1" applyFill="1" applyBorder="1" applyAlignment="1" applyProtection="1">
      <alignment horizontal="left" wrapText="1"/>
      <protection locked="0"/>
    </xf>
    <xf numFmtId="0" fontId="1" fillId="4" borderId="21" xfId="0" applyFont="1" applyFill="1" applyBorder="1" applyAlignment="1" applyProtection="1">
      <alignment horizontal="left" wrapText="1"/>
      <protection locked="0"/>
    </xf>
    <xf numFmtId="0" fontId="1" fillId="4" borderId="22" xfId="0" applyFont="1" applyFill="1" applyBorder="1" applyAlignment="1" applyProtection="1">
      <alignment horizontal="left" wrapText="1"/>
      <protection locked="0"/>
    </xf>
    <xf numFmtId="0" fontId="1" fillId="4" borderId="23" xfId="0" applyFont="1" applyFill="1" applyBorder="1" applyAlignment="1" applyProtection="1">
      <alignment horizontal="left" wrapText="1"/>
      <protection locked="0"/>
    </xf>
    <xf numFmtId="0" fontId="1" fillId="4" borderId="25" xfId="0" applyFont="1" applyFill="1" applyBorder="1" applyAlignment="1" applyProtection="1">
      <alignment horizontal="left" wrapText="1" indent="1"/>
      <protection locked="0"/>
    </xf>
    <xf numFmtId="0" fontId="1" fillId="4" borderId="24" xfId="0" applyFont="1" applyFill="1" applyBorder="1" applyAlignment="1" applyProtection="1">
      <alignment horizontal="left" wrapText="1" indent="1"/>
      <protection locked="0"/>
    </xf>
    <xf numFmtId="0" fontId="1" fillId="4" borderId="26" xfId="0" applyFont="1" applyFill="1" applyBorder="1" applyAlignment="1" applyProtection="1">
      <alignment horizontal="left" wrapText="1" indent="1"/>
      <protection locked="0"/>
    </xf>
    <xf numFmtId="0" fontId="5" fillId="4" borderId="25" xfId="0" applyFont="1" applyFill="1" applyBorder="1" applyAlignment="1" applyProtection="1">
      <alignment horizontal="left" wrapText="1"/>
      <protection locked="0"/>
    </xf>
    <xf numFmtId="0" fontId="5" fillId="4" borderId="24" xfId="0" applyFont="1" applyFill="1" applyBorder="1" applyAlignment="1" applyProtection="1">
      <alignment horizontal="left" wrapText="1"/>
      <protection locked="0"/>
    </xf>
    <xf numFmtId="0" fontId="5" fillId="4" borderId="26" xfId="0" applyFont="1" applyFill="1" applyBorder="1" applyAlignment="1" applyProtection="1">
      <alignment horizontal="left" wrapText="1"/>
      <protection locked="0"/>
    </xf>
    <xf numFmtId="164" fontId="1" fillId="4" borderId="25" xfId="0" applyNumberFormat="1" applyFont="1" applyFill="1" applyBorder="1" applyAlignment="1" applyProtection="1">
      <alignment horizontal="left" wrapText="1"/>
      <protection locked="0"/>
    </xf>
    <xf numFmtId="164" fontId="1" fillId="4" borderId="24" xfId="0" applyNumberFormat="1" applyFont="1" applyFill="1" applyBorder="1" applyAlignment="1" applyProtection="1">
      <alignment horizontal="left" wrapText="1"/>
      <protection locked="0"/>
    </xf>
    <xf numFmtId="164" fontId="1" fillId="4" borderId="26" xfId="0" applyNumberFormat="1" applyFont="1" applyFill="1" applyBorder="1" applyAlignment="1" applyProtection="1">
      <alignment horizontal="left" wrapText="1"/>
      <protection locked="0"/>
    </xf>
    <xf numFmtId="0" fontId="2" fillId="4" borderId="25" xfId="1" applyNumberFormat="1" applyFill="1" applyBorder="1" applyAlignment="1" applyProtection="1">
      <alignment horizontal="left" wrapText="1"/>
      <protection locked="0"/>
    </xf>
    <xf numFmtId="0" fontId="2" fillId="4" borderId="24" xfId="1" applyNumberFormat="1" applyFill="1" applyBorder="1" applyAlignment="1" applyProtection="1">
      <alignment horizontal="left" wrapText="1"/>
      <protection locked="0"/>
    </xf>
    <xf numFmtId="0" fontId="2" fillId="4" borderId="26" xfId="1" applyNumberFormat="1" applyFill="1" applyBorder="1" applyAlignment="1" applyProtection="1">
      <alignment horizontal="left" wrapText="1"/>
      <protection locked="0"/>
    </xf>
    <xf numFmtId="0" fontId="15" fillId="0" borderId="31" xfId="0" applyFont="1" applyBorder="1" applyAlignment="1">
      <alignment horizontal="center"/>
    </xf>
    <xf numFmtId="0" fontId="15" fillId="0" borderId="32" xfId="0" applyFont="1" applyBorder="1" applyAlignment="1">
      <alignment horizontal="center"/>
    </xf>
    <xf numFmtId="49" fontId="17" fillId="4" borderId="34" xfId="1" applyNumberFormat="1" applyFont="1" applyFill="1" applyBorder="1" applyAlignment="1" applyProtection="1">
      <alignment horizontal="left" wrapText="1"/>
      <protection locked="0"/>
    </xf>
    <xf numFmtId="49" fontId="2" fillId="4" borderId="35" xfId="1" applyNumberFormat="1" applyFill="1" applyBorder="1" applyAlignment="1" applyProtection="1">
      <alignment horizontal="left" wrapText="1"/>
      <protection locked="0"/>
    </xf>
    <xf numFmtId="0" fontId="5" fillId="4" borderId="21" xfId="0" applyFont="1" applyFill="1" applyBorder="1" applyAlignment="1" applyProtection="1">
      <alignment horizontal="left" wrapText="1"/>
      <protection locked="0"/>
    </xf>
    <xf numFmtId="0" fontId="5" fillId="4" borderId="22" xfId="0" applyFont="1" applyFill="1" applyBorder="1" applyAlignment="1" applyProtection="1">
      <alignment horizontal="left" wrapText="1"/>
      <protection locked="0"/>
    </xf>
    <xf numFmtId="0" fontId="5" fillId="4" borderId="23" xfId="0" applyFont="1" applyFill="1" applyBorder="1" applyAlignment="1" applyProtection="1">
      <alignment horizontal="left" wrapText="1"/>
      <protection locked="0"/>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xf>
    <xf numFmtId="0" fontId="10" fillId="0" borderId="12" xfId="0" applyFont="1" applyBorder="1" applyAlignment="1">
      <alignment horizontal="center"/>
    </xf>
    <xf numFmtId="0" fontId="10" fillId="0" borderId="6" xfId="0" applyFont="1" applyBorder="1" applyAlignment="1">
      <alignment horizontal="center"/>
    </xf>
    <xf numFmtId="0" fontId="10" fillId="0" borderId="13" xfId="0" applyFont="1" applyBorder="1" applyAlignment="1">
      <alignment horizontal="center"/>
    </xf>
    <xf numFmtId="0" fontId="12" fillId="0" borderId="14" xfId="0" applyFont="1" applyBorder="1" applyAlignment="1">
      <alignment horizontal="center" vertical="top"/>
    </xf>
    <xf numFmtId="0" fontId="12" fillId="0" borderId="15" xfId="0" applyFont="1" applyBorder="1" applyAlignment="1">
      <alignment horizontal="center" vertical="top"/>
    </xf>
    <xf numFmtId="0" fontId="12" fillId="0" borderId="16" xfId="0" applyFont="1" applyBorder="1" applyAlignment="1">
      <alignment horizontal="center" vertical="top"/>
    </xf>
    <xf numFmtId="165" fontId="25" fillId="2" borderId="0" xfId="0" applyNumberFormat="1" applyFont="1" applyFill="1" applyAlignment="1">
      <alignment horizontal="center" vertical="top" wrapText="1"/>
    </xf>
    <xf numFmtId="165" fontId="25" fillId="2" borderId="46" xfId="0" applyNumberFormat="1" applyFont="1" applyFill="1" applyBorder="1" applyAlignment="1">
      <alignment horizontal="center" vertical="top" wrapText="1"/>
    </xf>
    <xf numFmtId="0" fontId="7" fillId="0" borderId="97" xfId="0" applyFont="1" applyBorder="1" applyAlignment="1">
      <alignment horizontal="left" vertical="center" wrapText="1"/>
    </xf>
    <xf numFmtId="0" fontId="7" fillId="0" borderId="98" xfId="0" applyFont="1" applyBorder="1" applyAlignment="1">
      <alignment horizontal="left" vertical="center" wrapText="1"/>
    </xf>
    <xf numFmtId="0" fontId="103" fillId="0" borderId="97" xfId="0" applyFont="1" applyBorder="1" applyAlignment="1">
      <alignment horizontal="center" vertical="center" wrapText="1"/>
    </xf>
    <xf numFmtId="0" fontId="103" fillId="0" borderId="98" xfId="0" applyFont="1" applyBorder="1" applyAlignment="1">
      <alignment horizontal="center" vertical="center" wrapText="1"/>
    </xf>
    <xf numFmtId="0" fontId="38" fillId="0" borderId="95" xfId="0" applyFont="1" applyBorder="1" applyAlignment="1">
      <alignment horizontal="center" vertical="center" wrapText="1"/>
    </xf>
    <xf numFmtId="0" fontId="38" fillId="0" borderId="96" xfId="0" applyFont="1" applyBorder="1" applyAlignment="1">
      <alignment horizontal="center" vertical="center" wrapText="1"/>
    </xf>
    <xf numFmtId="0" fontId="2" fillId="7" borderId="134" xfId="1" applyFill="1" applyBorder="1" applyAlignment="1" applyProtection="1">
      <alignment horizontal="center" vertical="center" wrapText="1"/>
    </xf>
    <xf numFmtId="0" fontId="7" fillId="0" borderId="99" xfId="0" applyFont="1" applyBorder="1" applyAlignment="1">
      <alignment horizontal="left" vertical="center" wrapText="1"/>
    </xf>
    <xf numFmtId="0" fontId="7" fillId="0" borderId="126" xfId="0" applyFont="1" applyBorder="1" applyAlignment="1">
      <alignment horizontal="left" vertical="center" wrapText="1"/>
    </xf>
    <xf numFmtId="0" fontId="15" fillId="0" borderId="95" xfId="0" applyFont="1" applyBorder="1" applyAlignment="1">
      <alignment horizontal="center" vertical="center" wrapText="1"/>
    </xf>
    <xf numFmtId="0" fontId="15" fillId="0" borderId="96" xfId="0" applyFont="1" applyBorder="1" applyAlignment="1">
      <alignment horizontal="center" vertical="center" wrapText="1"/>
    </xf>
    <xf numFmtId="0" fontId="7" fillId="0" borderId="97" xfId="0" applyFont="1" applyBorder="1" applyAlignment="1">
      <alignment vertical="top" wrapText="1"/>
    </xf>
    <xf numFmtId="0" fontId="7" fillId="0" borderId="98" xfId="0" applyFont="1" applyBorder="1" applyAlignment="1">
      <alignment vertical="top" wrapText="1"/>
    </xf>
    <xf numFmtId="0" fontId="7" fillId="0" borderId="99" xfId="0" applyFont="1" applyBorder="1" applyAlignment="1">
      <alignment vertical="top" wrapText="1"/>
    </xf>
    <xf numFmtId="0" fontId="7" fillId="0" borderId="126" xfId="0" applyFont="1" applyBorder="1" applyAlignment="1">
      <alignment vertical="top" wrapText="1"/>
    </xf>
    <xf numFmtId="0" fontId="7" fillId="0" borderId="97" xfId="0" applyFont="1" applyBorder="1" applyAlignment="1">
      <alignment horizontal="left" vertical="top" wrapText="1"/>
    </xf>
    <xf numFmtId="0" fontId="7" fillId="0" borderId="98" xfId="0" applyFont="1" applyBorder="1" applyAlignment="1">
      <alignment horizontal="left" vertical="top" wrapText="1"/>
    </xf>
    <xf numFmtId="1" fontId="36" fillId="0" borderId="44" xfId="0" applyNumberFormat="1" applyFont="1" applyBorder="1" applyAlignment="1">
      <alignment horizontal="center" wrapText="1"/>
    </xf>
    <xf numFmtId="0" fontId="7" fillId="2" borderId="56" xfId="0" applyFont="1" applyFill="1" applyBorder="1" applyAlignment="1">
      <alignment horizontal="center" vertical="center" textRotation="180" wrapText="1"/>
    </xf>
    <xf numFmtId="0" fontId="75" fillId="0" borderId="56" xfId="0" applyFont="1" applyBorder="1" applyAlignment="1">
      <alignment vertical="center" wrapText="1"/>
    </xf>
    <xf numFmtId="0" fontId="15" fillId="0" borderId="45" xfId="0" applyFont="1" applyBorder="1" applyAlignment="1">
      <alignment horizontal="center" wrapText="1"/>
    </xf>
    <xf numFmtId="0" fontId="15" fillId="0" borderId="46" xfId="0" applyFont="1" applyBorder="1" applyAlignment="1">
      <alignment horizontal="center" wrapText="1"/>
    </xf>
    <xf numFmtId="0" fontId="15" fillId="0" borderId="47" xfId="0" applyFont="1" applyBorder="1" applyAlignment="1">
      <alignment horizontal="center" wrapText="1"/>
    </xf>
    <xf numFmtId="168" fontId="26" fillId="5" borderId="44" xfId="0" applyNumberFormat="1" applyFont="1" applyFill="1" applyBorder="1" applyAlignment="1" applyProtection="1">
      <alignment horizontal="left" wrapText="1"/>
      <protection locked="0"/>
    </xf>
    <xf numFmtId="0" fontId="45" fillId="0" borderId="128" xfId="0" applyFont="1" applyBorder="1" applyAlignment="1">
      <alignment horizontal="center" vertical="center"/>
    </xf>
    <xf numFmtId="0" fontId="101" fillId="0" borderId="9" xfId="0" applyFont="1" applyBorder="1" applyAlignment="1">
      <alignment horizontal="center" vertical="center" wrapText="1"/>
    </xf>
    <xf numFmtId="0" fontId="101" fillId="0" borderId="17" xfId="0" applyFont="1" applyBorder="1" applyAlignment="1">
      <alignment horizontal="center" vertical="center" wrapText="1"/>
    </xf>
    <xf numFmtId="0" fontId="101" fillId="0" borderId="8" xfId="0" applyFont="1" applyBorder="1" applyAlignment="1">
      <alignment horizontal="center" vertical="center" wrapText="1"/>
    </xf>
    <xf numFmtId="0" fontId="15" fillId="0" borderId="100" xfId="0" applyFont="1" applyBorder="1" applyAlignment="1">
      <alignment horizontal="center" wrapText="1"/>
    </xf>
    <xf numFmtId="167" fontId="15" fillId="0" borderId="44" xfId="0" applyNumberFormat="1" applyFont="1" applyBorder="1" applyAlignment="1">
      <alignment horizontal="center" wrapText="1"/>
    </xf>
    <xf numFmtId="0" fontId="107" fillId="2" borderId="6" xfId="0" applyFont="1" applyFill="1" applyBorder="1" applyAlignment="1">
      <alignment horizontal="left" vertical="center"/>
    </xf>
    <xf numFmtId="0" fontId="28" fillId="4" borderId="5" xfId="0" applyFont="1" applyFill="1" applyBorder="1" applyAlignment="1">
      <alignment horizontal="center" vertical="center" wrapText="1"/>
    </xf>
    <xf numFmtId="0" fontId="28" fillId="4" borderId="18"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28" fillId="5" borderId="19" xfId="0" applyFont="1" applyFill="1" applyBorder="1" applyAlignment="1">
      <alignment horizontal="center" vertical="center" wrapText="1"/>
    </xf>
    <xf numFmtId="0" fontId="15" fillId="0" borderId="5" xfId="0" applyFont="1" applyBorder="1" applyAlignment="1">
      <alignment horizontal="center" textRotation="90" wrapText="1"/>
    </xf>
    <xf numFmtId="0" fontId="15" fillId="0" borderId="11" xfId="0" applyFont="1" applyBorder="1" applyAlignment="1">
      <alignment horizontal="center" textRotation="90" wrapText="1"/>
    </xf>
    <xf numFmtId="0" fontId="15" fillId="0" borderId="18" xfId="0" applyFont="1" applyBorder="1" applyAlignment="1">
      <alignment horizontal="center" textRotation="90" wrapText="1"/>
    </xf>
    <xf numFmtId="0" fontId="15" fillId="0" borderId="44" xfId="0" applyFont="1" applyBorder="1" applyAlignment="1">
      <alignment horizontal="center" vertical="top" wrapText="1"/>
    </xf>
    <xf numFmtId="0" fontId="98" fillId="0" borderId="100" xfId="1" applyFont="1" applyFill="1" applyBorder="1" applyAlignment="1" applyProtection="1">
      <alignment horizontal="center" vertical="center" wrapText="1"/>
    </xf>
    <xf numFmtId="0" fontId="15" fillId="0" borderId="44" xfId="0" applyFont="1" applyBorder="1" applyAlignment="1">
      <alignment horizontal="center" wrapText="1"/>
    </xf>
    <xf numFmtId="166" fontId="15" fillId="0" borderId="44" xfId="0" applyNumberFormat="1" applyFont="1" applyBorder="1" applyAlignment="1">
      <alignment horizontal="center" wrapText="1"/>
    </xf>
    <xf numFmtId="0" fontId="15" fillId="0" borderId="100" xfId="0" applyFont="1" applyBorder="1" applyAlignment="1">
      <alignment horizontal="center" vertical="center" wrapText="1"/>
    </xf>
    <xf numFmtId="0" fontId="2" fillId="0" borderId="18" xfId="1" applyFill="1" applyBorder="1" applyProtection="1">
      <alignment vertical="center" wrapText="1"/>
    </xf>
    <xf numFmtId="0" fontId="2" fillId="0" borderId="47" xfId="1" applyFill="1" applyBorder="1" applyProtection="1">
      <alignment vertical="center" wrapText="1"/>
    </xf>
    <xf numFmtId="165" fontId="15" fillId="0" borderId="100" xfId="0" applyNumberFormat="1" applyFont="1" applyBorder="1" applyAlignment="1">
      <alignment horizontal="center" vertical="center" wrapText="1"/>
    </xf>
    <xf numFmtId="165" fontId="15" fillId="0" borderId="45" xfId="0" applyNumberFormat="1" applyFont="1" applyBorder="1" applyAlignment="1">
      <alignment horizontal="center" vertical="center" wrapText="1"/>
    </xf>
    <xf numFmtId="165" fontId="15" fillId="0" borderId="46" xfId="0" applyNumberFormat="1" applyFont="1" applyBorder="1" applyAlignment="1">
      <alignment horizontal="center" vertical="center" wrapText="1"/>
    </xf>
    <xf numFmtId="165" fontId="15" fillId="0" borderId="47" xfId="0" applyNumberFormat="1" applyFont="1" applyBorder="1" applyAlignment="1">
      <alignment horizontal="center" vertical="center" wrapText="1"/>
    </xf>
    <xf numFmtId="0" fontId="2" fillId="7" borderId="11" xfId="1" applyFill="1" applyBorder="1" applyProtection="1">
      <alignment vertical="center" wrapText="1"/>
    </xf>
    <xf numFmtId="0" fontId="2" fillId="7" borderId="46" xfId="1" applyFill="1" applyBorder="1" applyProtection="1">
      <alignment vertical="center" wrapText="1"/>
    </xf>
    <xf numFmtId="0" fontId="98" fillId="7" borderId="0" xfId="1" applyFont="1" applyFill="1" applyBorder="1" applyAlignment="1" applyProtection="1">
      <alignment horizontal="center" vertical="center" wrapText="1"/>
    </xf>
    <xf numFmtId="166" fontId="102" fillId="0" borderId="0" xfId="0" applyNumberFormat="1" applyFont="1" applyAlignment="1">
      <alignment horizontal="center" vertical="center" wrapText="1"/>
    </xf>
    <xf numFmtId="0" fontId="26" fillId="5" borderId="9" xfId="0" applyFont="1" applyFill="1" applyBorder="1" applyAlignment="1" applyProtection="1">
      <alignment horizontal="left" wrapText="1"/>
      <protection locked="0"/>
    </xf>
    <xf numFmtId="0" fontId="26" fillId="5" borderId="17" xfId="0" applyFont="1" applyFill="1" applyBorder="1" applyAlignment="1" applyProtection="1">
      <alignment horizontal="left" wrapText="1"/>
      <protection locked="0"/>
    </xf>
    <xf numFmtId="0" fontId="26" fillId="5" borderId="8" xfId="0" applyFont="1" applyFill="1" applyBorder="1" applyAlignment="1" applyProtection="1">
      <alignment horizontal="left" wrapText="1"/>
      <protection locked="0"/>
    </xf>
    <xf numFmtId="168" fontId="26" fillId="5" borderId="9" xfId="0" applyNumberFormat="1" applyFont="1" applyFill="1" applyBorder="1" applyAlignment="1" applyProtection="1">
      <alignment horizontal="left" wrapText="1"/>
      <protection locked="0"/>
    </xf>
    <xf numFmtId="168" fontId="26" fillId="5" borderId="17" xfId="0" applyNumberFormat="1" applyFont="1" applyFill="1" applyBorder="1" applyAlignment="1" applyProtection="1">
      <alignment horizontal="left" wrapText="1"/>
      <protection locked="0"/>
    </xf>
    <xf numFmtId="168" fontId="26" fillId="5" borderId="8" xfId="0" applyNumberFormat="1" applyFont="1" applyFill="1" applyBorder="1" applyAlignment="1" applyProtection="1">
      <alignment horizontal="left" wrapText="1"/>
      <protection locked="0"/>
    </xf>
    <xf numFmtId="168" fontId="25" fillId="0" borderId="9" xfId="0" applyNumberFormat="1" applyFont="1" applyBorder="1" applyAlignment="1">
      <alignment horizontal="center" vertical="center"/>
    </xf>
    <xf numFmtId="168" fontId="25" fillId="0" borderId="17" xfId="0" applyNumberFormat="1" applyFont="1" applyBorder="1" applyAlignment="1">
      <alignment horizontal="center" vertical="center"/>
    </xf>
    <xf numFmtId="168" fontId="25" fillId="0" borderId="8" xfId="0" applyNumberFormat="1" applyFont="1" applyBorder="1" applyAlignment="1">
      <alignment horizontal="center" vertical="center"/>
    </xf>
    <xf numFmtId="0" fontId="15" fillId="0" borderId="69" xfId="0" applyFont="1" applyBorder="1" applyAlignment="1">
      <alignment horizontal="center" vertical="center" textRotation="90" wrapText="1"/>
    </xf>
    <xf numFmtId="0" fontId="15" fillId="0" borderId="56" xfId="0" applyFont="1" applyBorder="1" applyAlignment="1">
      <alignment horizontal="center" vertical="center" textRotation="90" wrapText="1"/>
    </xf>
    <xf numFmtId="0" fontId="15" fillId="0" borderId="66" xfId="0" applyFont="1" applyBorder="1" applyAlignment="1">
      <alignment horizontal="center" vertical="center" textRotation="90" wrapText="1"/>
    </xf>
    <xf numFmtId="0" fontId="44" fillId="0" borderId="67" xfId="0" applyFont="1" applyBorder="1" applyAlignment="1">
      <alignment horizontal="right" vertical="center" wrapText="1" indent="1"/>
    </xf>
    <xf numFmtId="0" fontId="44" fillId="0" borderId="46" xfId="0" applyFont="1" applyBorder="1" applyAlignment="1">
      <alignment horizontal="right" vertical="center" wrapText="1" indent="1"/>
    </xf>
    <xf numFmtId="0" fontId="25" fillId="5" borderId="9" xfId="0" applyFont="1" applyFill="1" applyBorder="1" applyAlignment="1" applyProtection="1">
      <alignment horizontal="left" vertical="top" wrapText="1" indent="1"/>
      <protection locked="0"/>
    </xf>
    <xf numFmtId="0" fontId="25" fillId="5" borderId="17" xfId="0" applyFont="1" applyFill="1" applyBorder="1" applyAlignment="1" applyProtection="1">
      <alignment horizontal="left" vertical="top" wrapText="1" indent="1"/>
      <protection locked="0"/>
    </xf>
    <xf numFmtId="0" fontId="25" fillId="5" borderId="8" xfId="0" applyFont="1" applyFill="1" applyBorder="1" applyAlignment="1" applyProtection="1">
      <alignment horizontal="left" vertical="top" wrapText="1" indent="1"/>
      <protection locked="0"/>
    </xf>
    <xf numFmtId="0" fontId="59" fillId="0" borderId="67" xfId="0" applyFont="1" applyBorder="1" applyAlignment="1">
      <alignment horizontal="left" vertical="center" wrapText="1" indent="1"/>
    </xf>
    <xf numFmtId="0" fontId="29" fillId="0" borderId="0" xfId="0" applyFont="1" applyAlignment="1">
      <alignment horizontal="left" vertical="center" wrapText="1" indent="1"/>
    </xf>
    <xf numFmtId="0" fontId="29" fillId="0" borderId="6" xfId="0" applyFont="1" applyBorder="1" applyAlignment="1">
      <alignment horizontal="left" vertical="center" wrapText="1" indent="1"/>
    </xf>
    <xf numFmtId="0" fontId="29" fillId="0" borderId="13" xfId="0" applyFont="1" applyBorder="1" applyAlignment="1">
      <alignment horizontal="left" vertical="center" wrapText="1" indent="1"/>
    </xf>
    <xf numFmtId="0" fontId="44" fillId="0" borderId="67" xfId="0" applyFont="1" applyBorder="1" applyAlignment="1">
      <alignment horizontal="right" vertical="center" indent="1"/>
    </xf>
    <xf numFmtId="0" fontId="44" fillId="0" borderId="46" xfId="0" applyFont="1" applyBorder="1" applyAlignment="1">
      <alignment horizontal="right" vertical="center" indent="1"/>
    </xf>
    <xf numFmtId="0" fontId="1" fillId="5" borderId="9" xfId="0" applyFont="1" applyFill="1" applyBorder="1" applyAlignment="1" applyProtection="1">
      <alignment horizontal="left" wrapText="1" indent="1"/>
      <protection locked="0"/>
    </xf>
    <xf numFmtId="0" fontId="1" fillId="5" borderId="17" xfId="0" applyFont="1" applyFill="1" applyBorder="1" applyAlignment="1" applyProtection="1">
      <alignment horizontal="left" wrapText="1" indent="1"/>
      <protection locked="0"/>
    </xf>
    <xf numFmtId="0" fontId="1" fillId="5" borderId="8" xfId="0" applyFont="1" applyFill="1" applyBorder="1" applyAlignment="1" applyProtection="1">
      <alignment horizontal="left" wrapText="1" indent="1"/>
      <protection locked="0"/>
    </xf>
    <xf numFmtId="0" fontId="7" fillId="0" borderId="0" xfId="0" applyFont="1" applyAlignment="1">
      <alignment horizontal="center"/>
    </xf>
    <xf numFmtId="0" fontId="7" fillId="0" borderId="0" xfId="0" applyFont="1" applyAlignment="1">
      <alignment horizontal="left" vertical="top"/>
    </xf>
    <xf numFmtId="0" fontId="107" fillId="2" borderId="15" xfId="1" applyFont="1" applyFill="1" applyBorder="1" applyAlignment="1" applyProtection="1">
      <alignment horizontal="right" vertical="center"/>
    </xf>
    <xf numFmtId="0" fontId="107" fillId="2" borderId="0" xfId="1" applyFont="1" applyFill="1" applyBorder="1" applyAlignment="1" applyProtection="1">
      <alignment horizontal="right" vertical="center"/>
    </xf>
    <xf numFmtId="171" fontId="5" fillId="5" borderId="9" xfId="0" applyNumberFormat="1" applyFont="1" applyFill="1" applyBorder="1" applyAlignment="1" applyProtection="1">
      <alignment horizontal="center"/>
      <protection locked="0"/>
    </xf>
    <xf numFmtId="171" fontId="5" fillId="5" borderId="8" xfId="0" applyNumberFormat="1" applyFont="1" applyFill="1" applyBorder="1" applyAlignment="1" applyProtection="1">
      <alignment horizontal="center"/>
      <protection locked="0"/>
    </xf>
    <xf numFmtId="0" fontId="15" fillId="0" borderId="67" xfId="0" applyFont="1" applyBorder="1" applyAlignment="1">
      <alignment horizontal="right" vertical="center" wrapText="1" indent="1"/>
    </xf>
    <xf numFmtId="0" fontId="15" fillId="0" borderId="46" xfId="0" applyFont="1" applyBorder="1" applyAlignment="1">
      <alignment horizontal="right" vertical="center" wrapText="1" indent="1"/>
    </xf>
    <xf numFmtId="1" fontId="101" fillId="14" borderId="74" xfId="0" applyNumberFormat="1" applyFont="1" applyFill="1" applyBorder="1" applyAlignment="1">
      <alignment horizontal="center" vertical="center" wrapText="1"/>
    </xf>
    <xf numFmtId="1" fontId="101" fillId="14" borderId="70" xfId="0" applyNumberFormat="1" applyFont="1" applyFill="1" applyBorder="1" applyAlignment="1">
      <alignment horizontal="center" vertical="center" wrapText="1"/>
    </xf>
    <xf numFmtId="1" fontId="101" fillId="14" borderId="83" xfId="0" applyNumberFormat="1" applyFont="1" applyFill="1" applyBorder="1" applyAlignment="1">
      <alignment horizontal="center" vertical="center" wrapText="1"/>
    </xf>
    <xf numFmtId="0" fontId="54" fillId="14" borderId="156" xfId="0" applyFont="1" applyFill="1" applyBorder="1" applyAlignment="1">
      <alignment horizontal="center" vertical="center" wrapText="1"/>
    </xf>
    <xf numFmtId="0" fontId="54" fillId="14" borderId="71" xfId="0" applyFont="1" applyFill="1" applyBorder="1" applyAlignment="1">
      <alignment horizontal="center" vertical="center" wrapText="1"/>
    </xf>
    <xf numFmtId="0" fontId="29" fillId="0" borderId="68" xfId="0" applyFont="1" applyBorder="1" applyAlignment="1">
      <alignment horizontal="left" vertical="center" wrapText="1" indent="1"/>
    </xf>
    <xf numFmtId="0" fontId="15" fillId="0" borderId="67" xfId="0" applyFont="1" applyBorder="1" applyAlignment="1">
      <alignment horizontal="right" vertical="center" indent="1"/>
    </xf>
    <xf numFmtId="0" fontId="15" fillId="0" borderId="46" xfId="0" applyFont="1" applyBorder="1" applyAlignment="1">
      <alignment horizontal="right" vertical="center" indent="1"/>
    </xf>
    <xf numFmtId="170" fontId="5" fillId="5" borderId="9" xfId="0" applyNumberFormat="1" applyFont="1" applyFill="1" applyBorder="1" applyAlignment="1" applyProtection="1">
      <alignment horizontal="center"/>
      <protection locked="0"/>
    </xf>
    <xf numFmtId="170" fontId="5" fillId="5" borderId="8" xfId="0" applyNumberFormat="1" applyFont="1" applyFill="1" applyBorder="1" applyAlignment="1" applyProtection="1">
      <alignment horizontal="center"/>
      <protection locked="0"/>
    </xf>
    <xf numFmtId="0" fontId="54" fillId="14" borderId="70" xfId="0" applyFont="1" applyFill="1" applyBorder="1" applyAlignment="1">
      <alignment horizontal="center" vertical="center" wrapText="1"/>
    </xf>
    <xf numFmtId="0" fontId="11" fillId="14" borderId="74" xfId="0" applyFont="1" applyFill="1" applyBorder="1" applyAlignment="1">
      <alignment horizontal="center" vertical="center" wrapText="1"/>
    </xf>
    <xf numFmtId="0" fontId="11" fillId="14" borderId="71" xfId="0" applyFont="1" applyFill="1" applyBorder="1" applyAlignment="1">
      <alignment horizontal="center" vertical="center" wrapText="1"/>
    </xf>
    <xf numFmtId="169" fontId="101" fillId="14" borderId="74" xfId="0" applyNumberFormat="1" applyFont="1" applyFill="1" applyBorder="1" applyAlignment="1">
      <alignment horizontal="center" vertical="center" wrapText="1"/>
    </xf>
    <xf numFmtId="169" fontId="101" fillId="14" borderId="70" xfId="0" applyNumberFormat="1" applyFont="1" applyFill="1" applyBorder="1" applyAlignment="1">
      <alignment horizontal="center" vertical="center" wrapText="1"/>
    </xf>
    <xf numFmtId="0" fontId="11" fillId="14" borderId="70" xfId="0" applyFont="1" applyFill="1" applyBorder="1" applyAlignment="1">
      <alignment horizontal="center" vertical="center" wrapText="1"/>
    </xf>
    <xf numFmtId="0" fontId="15" fillId="0" borderId="66" xfId="0" applyFont="1" applyBorder="1" applyAlignment="1">
      <alignment horizontal="center" vertical="center" wrapText="1"/>
    </xf>
    <xf numFmtId="0" fontId="15" fillId="0" borderId="66" xfId="0" applyFont="1" applyBorder="1" applyAlignment="1">
      <alignment horizontal="left" vertical="center" wrapText="1" indent="1"/>
    </xf>
    <xf numFmtId="0" fontId="15" fillId="0" borderId="89" xfId="0" applyFont="1" applyBorder="1" applyAlignment="1">
      <alignment horizontal="left" vertical="center" wrapText="1" indent="1"/>
    </xf>
    <xf numFmtId="0" fontId="15" fillId="0" borderId="44" xfId="0" applyFont="1" applyBorder="1" applyAlignment="1">
      <alignment horizontal="center" vertical="center" wrapText="1"/>
    </xf>
    <xf numFmtId="0" fontId="15" fillId="0" borderId="9" xfId="0" applyFont="1" applyBorder="1" applyAlignment="1">
      <alignment horizontal="left" vertical="center" wrapText="1" indent="1"/>
    </xf>
    <xf numFmtId="0" fontId="15" fillId="0" borderId="17" xfId="0" applyFont="1" applyBorder="1" applyAlignment="1">
      <alignment horizontal="left" vertical="center" wrapText="1" indent="1"/>
    </xf>
    <xf numFmtId="0" fontId="15" fillId="0" borderId="8" xfId="0" applyFont="1" applyBorder="1" applyAlignment="1">
      <alignment horizontal="left" vertical="center" wrapText="1" indent="1"/>
    </xf>
    <xf numFmtId="0" fontId="15" fillId="0" borderId="44" xfId="0" applyFont="1" applyBorder="1" applyAlignment="1">
      <alignment horizontal="left" vertical="center" wrapText="1" indent="1"/>
    </xf>
    <xf numFmtId="0" fontId="15" fillId="0" borderId="84" xfId="0" applyFont="1" applyBorder="1" applyAlignment="1">
      <alignment horizontal="left" vertical="center" wrapText="1" indent="1"/>
    </xf>
    <xf numFmtId="0" fontId="87" fillId="14" borderId="156" xfId="0" applyFont="1" applyFill="1" applyBorder="1" applyAlignment="1">
      <alignment horizontal="center" vertical="center"/>
    </xf>
    <xf numFmtId="0" fontId="87" fillId="14" borderId="70" xfId="0" applyFont="1" applyFill="1" applyBorder="1" applyAlignment="1">
      <alignment horizontal="center" vertical="center"/>
    </xf>
    <xf numFmtId="0" fontId="87" fillId="14" borderId="83" xfId="0" applyFont="1" applyFill="1" applyBorder="1" applyAlignment="1">
      <alignment horizontal="center" vertical="center"/>
    </xf>
    <xf numFmtId="0" fontId="20" fillId="0" borderId="67" xfId="0" applyFont="1" applyBorder="1" applyAlignment="1">
      <alignment horizontal="left" wrapText="1" indent="4"/>
    </xf>
    <xf numFmtId="0" fontId="20" fillId="0" borderId="0" xfId="0" applyFont="1" applyAlignment="1">
      <alignment horizontal="left" wrapText="1" indent="4"/>
    </xf>
    <xf numFmtId="0" fontId="20" fillId="0" borderId="68" xfId="0" applyFont="1" applyBorder="1" applyAlignment="1">
      <alignment horizontal="left" wrapText="1" indent="4"/>
    </xf>
    <xf numFmtId="0" fontId="15" fillId="0" borderId="73" xfId="0" applyFont="1" applyBorder="1" applyAlignment="1">
      <alignment horizontal="center" vertical="center" wrapText="1"/>
    </xf>
    <xf numFmtId="0" fontId="15" fillId="0" borderId="73" xfId="0" applyFont="1" applyBorder="1" applyAlignment="1">
      <alignment horizontal="center" vertical="center"/>
    </xf>
    <xf numFmtId="0" fontId="15" fillId="0" borderId="164" xfId="0" applyFont="1" applyBorder="1" applyAlignment="1">
      <alignment horizontal="center" vertical="center"/>
    </xf>
    <xf numFmtId="0" fontId="42" fillId="0" borderId="44" xfId="0" applyFont="1" applyBorder="1" applyAlignment="1">
      <alignment horizontal="left" vertical="center" wrapText="1" indent="1"/>
    </xf>
    <xf numFmtId="0" fontId="15" fillId="0" borderId="148" xfId="0" applyFont="1" applyBorder="1" applyAlignment="1">
      <alignment horizontal="center" vertical="center" wrapText="1"/>
    </xf>
    <xf numFmtId="1" fontId="5" fillId="0" borderId="60" xfId="0" applyNumberFormat="1" applyFont="1" applyBorder="1" applyAlignment="1">
      <alignment horizontal="left" vertical="center" wrapText="1"/>
    </xf>
    <xf numFmtId="1" fontId="5" fillId="0" borderId="85" xfId="0" applyNumberFormat="1" applyFont="1" applyBorder="1" applyAlignment="1">
      <alignment horizontal="left" vertical="center" wrapText="1"/>
    </xf>
    <xf numFmtId="1" fontId="5" fillId="0" borderId="86" xfId="0" applyNumberFormat="1" applyFont="1" applyBorder="1" applyAlignment="1">
      <alignment horizontal="left" vertical="center" wrapText="1"/>
    </xf>
    <xf numFmtId="0" fontId="15" fillId="0" borderId="59" xfId="0" applyFont="1" applyBorder="1" applyAlignment="1">
      <alignment horizontal="left" vertical="center" wrapText="1" indent="1"/>
    </xf>
    <xf numFmtId="0" fontId="15" fillId="0" borderId="87" xfId="0" applyFont="1" applyBorder="1" applyAlignment="1">
      <alignment horizontal="left" vertical="center" wrapText="1" indent="1"/>
    </xf>
    <xf numFmtId="0" fontId="15" fillId="0" borderId="59" xfId="0" applyFont="1" applyBorder="1" applyAlignment="1">
      <alignment horizontal="center" vertical="center" wrapText="1"/>
    </xf>
    <xf numFmtId="0" fontId="15" fillId="0" borderId="9" xfId="0" applyFont="1" applyBorder="1" applyAlignment="1">
      <alignment vertical="center"/>
    </xf>
    <xf numFmtId="0" fontId="15" fillId="0" borderId="17" xfId="0" applyFont="1" applyBorder="1" applyAlignment="1">
      <alignment vertical="center"/>
    </xf>
    <xf numFmtId="0" fontId="15" fillId="0" borderId="8" xfId="0" applyFont="1" applyBorder="1" applyAlignment="1">
      <alignment vertical="center"/>
    </xf>
    <xf numFmtId="0" fontId="15" fillId="0" borderId="8" xfId="0" applyFont="1" applyBorder="1" applyAlignment="1">
      <alignment horizontal="center" vertical="center" wrapText="1"/>
    </xf>
    <xf numFmtId="0" fontId="15" fillId="0" borderId="84" xfId="0" applyFont="1" applyBorder="1" applyAlignment="1">
      <alignment horizontal="center" vertical="center" wrapText="1"/>
    </xf>
    <xf numFmtId="0" fontId="54" fillId="0" borderId="67" xfId="0" applyFont="1" applyBorder="1" applyAlignment="1">
      <alignment horizontal="center" vertical="center" wrapText="1"/>
    </xf>
    <xf numFmtId="0" fontId="54" fillId="0" borderId="46" xfId="0" applyFont="1" applyBorder="1" applyAlignment="1">
      <alignment horizontal="center" vertical="center" wrapText="1"/>
    </xf>
    <xf numFmtId="0" fontId="54" fillId="0" borderId="78" xfId="0" applyFont="1" applyBorder="1" applyAlignment="1">
      <alignment horizontal="center" vertical="center" wrapText="1"/>
    </xf>
    <xf numFmtId="0" fontId="54" fillId="0" borderId="47" xfId="0" applyFont="1" applyBorder="1" applyAlignment="1">
      <alignment horizontal="center" vertical="center" wrapText="1"/>
    </xf>
    <xf numFmtId="0" fontId="15" fillId="0" borderId="18" xfId="0" applyFont="1" applyBorder="1" applyAlignment="1">
      <alignment vertical="center" wrapText="1"/>
    </xf>
    <xf numFmtId="0" fontId="15" fillId="0" borderId="19" xfId="0" applyFont="1" applyBorder="1" applyAlignment="1">
      <alignment vertical="center" wrapText="1"/>
    </xf>
    <xf numFmtId="0" fontId="15" fillId="0" borderId="47" xfId="0" applyFont="1" applyBorder="1" applyAlignment="1">
      <alignment vertical="center" wrapText="1"/>
    </xf>
    <xf numFmtId="0" fontId="15" fillId="0" borderId="18" xfId="0" quotePrefix="1" applyFont="1" applyBorder="1" applyAlignment="1">
      <alignment horizontal="center" vertical="center" wrapText="1"/>
    </xf>
    <xf numFmtId="0" fontId="15" fillId="0" borderId="19" xfId="0" quotePrefix="1" applyFont="1" applyBorder="1" applyAlignment="1">
      <alignment horizontal="center" vertical="center" wrapText="1"/>
    </xf>
    <xf numFmtId="0" fontId="15" fillId="0" borderId="149" xfId="0" quotePrefix="1" applyFont="1" applyBorder="1" applyAlignment="1">
      <alignment horizontal="center" vertical="center" wrapText="1"/>
    </xf>
    <xf numFmtId="0" fontId="15" fillId="0" borderId="9" xfId="0" applyFont="1" applyBorder="1" applyAlignment="1">
      <alignment vertical="center" wrapText="1"/>
    </xf>
    <xf numFmtId="0" fontId="15" fillId="0" borderId="17" xfId="0" applyFont="1" applyBorder="1" applyAlignment="1">
      <alignment vertical="center" wrapText="1"/>
    </xf>
    <xf numFmtId="0" fontId="15" fillId="0" borderId="8" xfId="0" applyFont="1" applyBorder="1" applyAlignment="1">
      <alignment vertical="center" wrapText="1"/>
    </xf>
    <xf numFmtId="0" fontId="11" fillId="0" borderId="90" xfId="0" applyFont="1" applyBorder="1" applyAlignment="1">
      <alignment horizontal="right" vertical="top" wrapText="1"/>
    </xf>
    <xf numFmtId="0" fontId="11" fillId="0" borderId="44" xfId="0" applyFont="1" applyBorder="1" applyAlignment="1">
      <alignment horizontal="right" vertical="top" wrapText="1"/>
    </xf>
    <xf numFmtId="0" fontId="11" fillId="0" borderId="90" xfId="0" applyFont="1" applyBorder="1" applyAlignment="1">
      <alignment horizontal="right" vertical="center" wrapText="1"/>
    </xf>
    <xf numFmtId="0" fontId="11" fillId="0" borderId="44" xfId="0" applyFont="1" applyBorder="1" applyAlignment="1">
      <alignment horizontal="right" vertical="center" wrapText="1"/>
    </xf>
    <xf numFmtId="0" fontId="98" fillId="10" borderId="12" xfId="1" applyFont="1" applyFill="1" applyBorder="1" applyProtection="1">
      <alignment vertical="center" wrapText="1"/>
    </xf>
    <xf numFmtId="0" fontId="98" fillId="10" borderId="6" xfId="1" applyFont="1" applyFill="1" applyBorder="1" applyProtection="1">
      <alignment vertical="center" wrapText="1"/>
    </xf>
    <xf numFmtId="0" fontId="90" fillId="0" borderId="14" xfId="0" applyFont="1" applyBorder="1" applyAlignment="1">
      <alignment vertical="top" wrapText="1"/>
    </xf>
    <xf numFmtId="0" fontId="91" fillId="0" borderId="15" xfId="0" applyFont="1" applyBorder="1" applyAlignment="1">
      <alignment vertical="top" wrapText="1"/>
    </xf>
    <xf numFmtId="1" fontId="7" fillId="14" borderId="15" xfId="0" applyNumberFormat="1" applyFont="1" applyFill="1" applyBorder="1" applyAlignment="1">
      <alignment horizontal="center" vertical="center" wrapText="1"/>
    </xf>
    <xf numFmtId="1" fontId="7" fillId="14" borderId="16" xfId="0" applyNumberFormat="1" applyFont="1" applyFill="1" applyBorder="1" applyAlignment="1">
      <alignment horizontal="center" vertical="center" wrapText="1"/>
    </xf>
    <xf numFmtId="1" fontId="72" fillId="0" borderId="44" xfId="0" applyNumberFormat="1" applyFont="1" applyBorder="1" applyAlignment="1">
      <alignment horizontal="left" vertical="center" wrapText="1"/>
    </xf>
    <xf numFmtId="1" fontId="72" fillId="0" borderId="84" xfId="0" applyNumberFormat="1" applyFont="1" applyBorder="1" applyAlignment="1">
      <alignment horizontal="left" vertical="center" wrapText="1"/>
    </xf>
    <xf numFmtId="1" fontId="72" fillId="0" borderId="44" xfId="0" applyNumberFormat="1" applyFont="1" applyBorder="1" applyAlignment="1">
      <alignment horizontal="left" vertical="center"/>
    </xf>
    <xf numFmtId="1" fontId="72" fillId="0" borderId="84" xfId="0" applyNumberFormat="1" applyFont="1" applyBorder="1" applyAlignment="1">
      <alignment horizontal="left" vertical="center"/>
    </xf>
    <xf numFmtId="1" fontId="13" fillId="6" borderId="74" xfId="0" applyNumberFormat="1" applyFont="1" applyFill="1" applyBorder="1" applyAlignment="1">
      <alignment horizontal="left" vertical="center"/>
    </xf>
    <xf numFmtId="1" fontId="13" fillId="6" borderId="70" xfId="0" applyNumberFormat="1" applyFont="1" applyFill="1" applyBorder="1" applyAlignment="1">
      <alignment horizontal="left" vertical="center"/>
    </xf>
    <xf numFmtId="1" fontId="13" fillId="6" borderId="83" xfId="0" applyNumberFormat="1" applyFont="1" applyFill="1" applyBorder="1" applyAlignment="1">
      <alignment horizontal="left" vertical="center"/>
    </xf>
    <xf numFmtId="1" fontId="15" fillId="0" borderId="82" xfId="0" quotePrefix="1" applyNumberFormat="1" applyFont="1" applyBorder="1" applyAlignment="1">
      <alignment horizontal="center" vertical="center"/>
    </xf>
    <xf numFmtId="1" fontId="15" fillId="0" borderId="77" xfId="0" quotePrefix="1" applyNumberFormat="1" applyFont="1" applyBorder="1" applyAlignment="1">
      <alignment horizontal="center" vertical="center"/>
    </xf>
    <xf numFmtId="166" fontId="15" fillId="0" borderId="12" xfId="0" applyNumberFormat="1" applyFont="1" applyBorder="1" applyAlignment="1">
      <alignment horizontal="center" vertical="center"/>
    </xf>
    <xf numFmtId="166" fontId="15" fillId="0" borderId="67" xfId="0" applyNumberFormat="1" applyFont="1" applyBorder="1" applyAlignment="1">
      <alignment horizontal="center" vertical="center"/>
    </xf>
    <xf numFmtId="0" fontId="15" fillId="0" borderId="81" xfId="0" applyFont="1" applyBorder="1" applyAlignment="1">
      <alignment horizontal="left" vertical="center" wrapText="1"/>
    </xf>
    <xf numFmtId="0" fontId="15" fillId="0" borderId="75" xfId="0" applyFont="1" applyBorder="1" applyAlignment="1">
      <alignment horizontal="left" vertical="center" wrapText="1"/>
    </xf>
    <xf numFmtId="1" fontId="15" fillId="0" borderId="58" xfId="0" applyNumberFormat="1" applyFont="1" applyBorder="1" applyAlignment="1">
      <alignment horizontal="center" vertical="center"/>
    </xf>
    <xf numFmtId="1" fontId="15" fillId="0" borderId="63" xfId="0" applyNumberFormat="1" applyFont="1" applyBorder="1" applyAlignment="1">
      <alignment horizontal="center" vertical="center"/>
    </xf>
    <xf numFmtId="1" fontId="15" fillId="0" borderId="57" xfId="0" quotePrefix="1" applyNumberFormat="1" applyFont="1" applyBorder="1" applyAlignment="1">
      <alignment horizontal="center" vertical="center"/>
    </xf>
    <xf numFmtId="1" fontId="15" fillId="0" borderId="61" xfId="0" quotePrefix="1" applyNumberFormat="1" applyFont="1" applyBorder="1" applyAlignment="1">
      <alignment horizontal="center" vertical="center"/>
    </xf>
    <xf numFmtId="1" fontId="15" fillId="0" borderId="48" xfId="0" quotePrefix="1" applyNumberFormat="1" applyFont="1" applyBorder="1" applyAlignment="1">
      <alignment horizontal="center" vertical="center"/>
    </xf>
    <xf numFmtId="1" fontId="15" fillId="0" borderId="58" xfId="0" quotePrefix="1" applyNumberFormat="1" applyFont="1" applyBorder="1" applyAlignment="1">
      <alignment horizontal="center" vertical="center"/>
    </xf>
    <xf numFmtId="1" fontId="15" fillId="0" borderId="63" xfId="0" quotePrefix="1" applyNumberFormat="1" applyFont="1" applyBorder="1" applyAlignment="1">
      <alignment horizontal="center" vertical="center"/>
    </xf>
    <xf numFmtId="1" fontId="15" fillId="0" borderId="49" xfId="0" quotePrefix="1" applyNumberFormat="1" applyFont="1" applyBorder="1" applyAlignment="1">
      <alignment horizontal="center" vertical="center"/>
    </xf>
    <xf numFmtId="1" fontId="15" fillId="0" borderId="80" xfId="0" quotePrefix="1" applyNumberFormat="1" applyFont="1" applyBorder="1" applyAlignment="1">
      <alignment horizontal="center" vertical="center"/>
    </xf>
    <xf numFmtId="0" fontId="87" fillId="0" borderId="156" xfId="0" applyFont="1" applyBorder="1" applyAlignment="1">
      <alignment horizontal="center" vertical="center"/>
    </xf>
    <xf numFmtId="0" fontId="87" fillId="0" borderId="70" xfId="0" applyFont="1" applyBorder="1" applyAlignment="1">
      <alignment horizontal="center" vertical="center"/>
    </xf>
    <xf numFmtId="0" fontId="87" fillId="0" borderId="83" xfId="0" applyFont="1" applyBorder="1" applyAlignment="1">
      <alignment horizontal="center" vertical="center"/>
    </xf>
    <xf numFmtId="0" fontId="53" fillId="0" borderId="18" xfId="0" applyFont="1" applyBorder="1" applyAlignment="1">
      <alignment horizontal="center" vertical="center" wrapText="1"/>
    </xf>
    <xf numFmtId="0" fontId="53" fillId="0" borderId="19" xfId="0" applyFont="1" applyBorder="1" applyAlignment="1">
      <alignment horizontal="center" vertical="center" wrapText="1"/>
    </xf>
    <xf numFmtId="0" fontId="53" fillId="0" borderId="149" xfId="0" applyFont="1" applyBorder="1" applyAlignment="1">
      <alignment horizontal="center" vertical="center" wrapText="1"/>
    </xf>
    <xf numFmtId="166" fontId="15" fillId="0" borderId="78" xfId="0" applyNumberFormat="1" applyFont="1" applyBorder="1" applyAlignment="1">
      <alignment horizontal="center" vertical="center"/>
    </xf>
    <xf numFmtId="0" fontId="15" fillId="0" borderId="79" xfId="0" applyFont="1" applyBorder="1" applyAlignment="1">
      <alignment horizontal="left" vertical="center" wrapText="1"/>
    </xf>
    <xf numFmtId="1" fontId="15" fillId="0" borderId="49" xfId="0" applyNumberFormat="1" applyFont="1" applyBorder="1" applyAlignment="1">
      <alignment horizontal="center" vertical="center"/>
    </xf>
    <xf numFmtId="0" fontId="15" fillId="0" borderId="12"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144" xfId="0" applyFont="1" applyBorder="1" applyAlignment="1">
      <alignment horizontal="center" vertical="center" wrapText="1"/>
    </xf>
    <xf numFmtId="0" fontId="15" fillId="0" borderId="103" xfId="0" applyFont="1" applyBorder="1" applyAlignment="1">
      <alignment horizontal="center" vertical="center" wrapText="1"/>
    </xf>
    <xf numFmtId="0" fontId="15" fillId="0" borderId="69" xfId="0" applyFont="1" applyBorder="1" applyAlignment="1">
      <alignment horizontal="center" wrapText="1"/>
    </xf>
    <xf numFmtId="0" fontId="15" fillId="0" borderId="104" xfId="0" applyFont="1" applyBorder="1" applyAlignment="1">
      <alignment horizontal="center" wrapText="1"/>
    </xf>
    <xf numFmtId="0" fontId="105" fillId="0" borderId="3" xfId="1" applyFont="1" applyFill="1" applyBorder="1" applyAlignment="1" applyProtection="1">
      <alignment horizontal="center" vertical="center" wrapText="1"/>
    </xf>
    <xf numFmtId="0" fontId="105" fillId="0" borderId="11" xfId="1" applyFont="1" applyFill="1" applyBorder="1" applyAlignment="1" applyProtection="1">
      <alignment horizontal="center" vertical="center" wrapText="1"/>
    </xf>
    <xf numFmtId="0" fontId="105" fillId="0" borderId="105" xfId="1" applyFont="1" applyFill="1" applyBorder="1" applyAlignment="1" applyProtection="1">
      <alignment horizontal="center" vertical="center" wrapText="1"/>
    </xf>
    <xf numFmtId="0" fontId="105" fillId="0" borderId="138" xfId="1" applyFont="1" applyFill="1" applyBorder="1" applyAlignment="1" applyProtection="1">
      <alignment horizontal="center" vertical="center" wrapText="1"/>
    </xf>
    <xf numFmtId="0" fontId="105" fillId="0" borderId="61" xfId="1" applyFont="1" applyFill="1" applyBorder="1" applyAlignment="1" applyProtection="1">
      <alignment horizontal="center" vertical="center" wrapText="1"/>
    </xf>
    <xf numFmtId="0" fontId="105" fillId="0" borderId="107" xfId="1" applyFont="1" applyFill="1" applyBorder="1" applyAlignment="1" applyProtection="1">
      <alignment horizontal="center" vertical="center" wrapText="1"/>
    </xf>
    <xf numFmtId="0" fontId="15" fillId="0" borderId="137" xfId="1" applyFont="1" applyFill="1" applyBorder="1" applyAlignment="1" applyProtection="1">
      <alignment horizontal="center" vertical="center" wrapText="1"/>
    </xf>
    <xf numFmtId="0" fontId="15" fillId="0" borderId="62" xfId="0" applyFont="1" applyBorder="1" applyAlignment="1">
      <alignment horizontal="center" vertical="center" wrapText="1"/>
    </xf>
    <xf numFmtId="0" fontId="15" fillId="0" borderId="108" xfId="0" applyFont="1" applyBorder="1" applyAlignment="1">
      <alignment horizontal="center" vertical="center" wrapText="1"/>
    </xf>
    <xf numFmtId="1" fontId="15" fillId="0" borderId="6" xfId="0" applyNumberFormat="1" applyFont="1" applyBorder="1" applyAlignment="1">
      <alignment horizontal="center" vertical="center" wrapText="1"/>
    </xf>
    <xf numFmtId="1" fontId="15" fillId="0" borderId="45" xfId="0" applyNumberFormat="1" applyFont="1" applyBorder="1" applyAlignment="1">
      <alignment horizontal="center" vertical="center" wrapText="1"/>
    </xf>
    <xf numFmtId="1" fontId="15" fillId="0" borderId="106" xfId="0" applyNumberFormat="1" applyFont="1" applyBorder="1" applyAlignment="1">
      <alignment horizontal="center" vertical="center" wrapText="1"/>
    </xf>
    <xf numFmtId="1" fontId="15" fillId="0" borderId="103" xfId="0" applyNumberFormat="1" applyFont="1" applyBorder="1" applyAlignment="1">
      <alignment horizontal="center" vertical="center" wrapText="1"/>
    </xf>
    <xf numFmtId="0" fontId="105" fillId="0" borderId="137" xfId="1" applyFont="1" applyFill="1" applyBorder="1" applyAlignment="1" applyProtection="1">
      <alignment horizontal="center" vertical="center" wrapText="1"/>
    </xf>
    <xf numFmtId="0" fontId="105" fillId="0" borderId="62" xfId="1" applyFont="1" applyFill="1" applyBorder="1" applyAlignment="1" applyProtection="1">
      <alignment horizontal="center" vertical="center" wrapText="1"/>
    </xf>
    <xf numFmtId="0" fontId="105" fillId="0" borderId="108" xfId="1" applyFont="1" applyFill="1" applyBorder="1" applyAlignment="1" applyProtection="1">
      <alignment horizontal="center" vertical="center" wrapText="1"/>
    </xf>
    <xf numFmtId="0" fontId="84" fillId="0" borderId="70" xfId="0" applyFont="1" applyBorder="1" applyAlignment="1">
      <alignment horizontal="center" vertical="center"/>
    </xf>
    <xf numFmtId="0" fontId="84" fillId="0" borderId="71" xfId="0" applyFont="1" applyBorder="1" applyAlignment="1">
      <alignment horizontal="center" vertical="center"/>
    </xf>
    <xf numFmtId="0" fontId="11" fillId="0" borderId="156" xfId="0" applyFont="1" applyBorder="1" applyAlignment="1">
      <alignment horizontal="center" vertical="center" wrapText="1"/>
    </xf>
    <xf numFmtId="0" fontId="11" fillId="0" borderId="70" xfId="0" applyFont="1" applyBorder="1" applyAlignment="1">
      <alignment horizontal="center" vertical="center" wrapText="1"/>
    </xf>
    <xf numFmtId="0" fontId="53" fillId="0" borderId="1" xfId="0" applyFont="1" applyBorder="1" applyAlignment="1">
      <alignment horizontal="right" vertical="center"/>
    </xf>
    <xf numFmtId="0" fontId="53" fillId="0" borderId="2" xfId="0" applyFont="1" applyBorder="1" applyAlignment="1">
      <alignment horizontal="right" vertical="center"/>
    </xf>
    <xf numFmtId="1" fontId="79" fillId="0" borderId="74" xfId="0" applyNumberFormat="1" applyFont="1" applyBorder="1" applyAlignment="1">
      <alignment horizontal="left" vertical="center" wrapText="1"/>
    </xf>
    <xf numFmtId="1" fontId="79" fillId="0" borderId="70" xfId="0" applyNumberFormat="1" applyFont="1" applyBorder="1" applyAlignment="1">
      <alignment horizontal="left" vertical="center" wrapText="1"/>
    </xf>
    <xf numFmtId="1" fontId="79" fillId="0" borderId="83" xfId="0" applyNumberFormat="1" applyFont="1" applyBorder="1" applyAlignment="1">
      <alignment horizontal="left" vertical="center" wrapText="1"/>
    </xf>
    <xf numFmtId="0" fontId="55" fillId="0" borderId="0" xfId="0" applyFont="1" applyAlignment="1">
      <alignment horizontal="center" vertical="center"/>
    </xf>
    <xf numFmtId="0" fontId="55" fillId="0" borderId="15" xfId="0" applyFont="1" applyBorder="1" applyAlignment="1">
      <alignment horizontal="center" vertical="center"/>
    </xf>
    <xf numFmtId="1" fontId="79" fillId="0" borderId="9" xfId="0" applyNumberFormat="1" applyFont="1" applyBorder="1" applyAlignment="1">
      <alignment horizontal="left" vertical="center" wrapText="1"/>
    </xf>
    <xf numFmtId="1" fontId="79" fillId="0" borderId="17" xfId="0" applyNumberFormat="1" applyFont="1" applyBorder="1" applyAlignment="1">
      <alignment horizontal="left" vertical="center" wrapText="1"/>
    </xf>
    <xf numFmtId="1" fontId="79" fillId="0" borderId="10" xfId="0" applyNumberFormat="1" applyFont="1" applyBorder="1" applyAlignment="1">
      <alignment horizontal="left" vertical="center" wrapText="1"/>
    </xf>
    <xf numFmtId="0" fontId="15" fillId="0" borderId="159" xfId="0" applyFont="1" applyBorder="1" applyAlignment="1">
      <alignment horizontal="center" vertical="center"/>
    </xf>
    <xf numFmtId="0" fontId="15" fillId="0" borderId="160" xfId="0" applyFont="1" applyBorder="1" applyAlignment="1">
      <alignment horizontal="center" vertical="center"/>
    </xf>
    <xf numFmtId="0" fontId="15" fillId="0" borderId="161" xfId="0" applyFont="1" applyBorder="1" applyAlignment="1">
      <alignment horizontal="center" vertical="center"/>
    </xf>
    <xf numFmtId="168" fontId="26" fillId="0" borderId="60" xfId="0" applyNumberFormat="1" applyFont="1" applyBorder="1" applyAlignment="1">
      <alignment horizontal="center" vertical="center"/>
    </xf>
    <xf numFmtId="168" fontId="26" fillId="0" borderId="85" xfId="0" applyNumberFormat="1" applyFont="1" applyBorder="1" applyAlignment="1">
      <alignment horizontal="center" vertical="center"/>
    </xf>
    <xf numFmtId="168" fontId="26" fillId="0" borderId="86" xfId="0" applyNumberFormat="1" applyFont="1" applyBorder="1" applyAlignment="1">
      <alignment horizontal="center" vertical="center"/>
    </xf>
    <xf numFmtId="1" fontId="15" fillId="0" borderId="140" xfId="0" applyNumberFormat="1" applyFont="1" applyBorder="1" applyAlignment="1">
      <alignment horizontal="center" vertical="center" wrapText="1"/>
    </xf>
    <xf numFmtId="1" fontId="15" fillId="0" borderId="30" xfId="0" applyNumberFormat="1" applyFont="1" applyBorder="1" applyAlignment="1">
      <alignment horizontal="center" vertical="center" wrapText="1"/>
    </xf>
    <xf numFmtId="1" fontId="15" fillId="0" borderId="109" xfId="0" applyNumberFormat="1" applyFont="1" applyBorder="1" applyAlignment="1">
      <alignment horizontal="center" vertical="center" wrapText="1"/>
    </xf>
    <xf numFmtId="1" fontId="15" fillId="0" borderId="141" xfId="0" applyNumberFormat="1" applyFont="1" applyBorder="1" applyAlignment="1">
      <alignment horizontal="center" vertical="center" wrapText="1"/>
    </xf>
    <xf numFmtId="1" fontId="15" fillId="0" borderId="31" xfId="0" applyNumberFormat="1" applyFont="1" applyBorder="1" applyAlignment="1">
      <alignment horizontal="center" vertical="center" wrapText="1"/>
    </xf>
    <xf numFmtId="1" fontId="15" fillId="0" borderId="110" xfId="0" applyNumberFormat="1" applyFont="1" applyBorder="1" applyAlignment="1">
      <alignment horizontal="center" vertical="center" wrapText="1"/>
    </xf>
    <xf numFmtId="1" fontId="15" fillId="0" borderId="142" xfId="0" applyNumberFormat="1" applyFont="1" applyBorder="1" applyAlignment="1">
      <alignment horizontal="center" vertical="center" wrapText="1"/>
    </xf>
    <xf numFmtId="1" fontId="15" fillId="0" borderId="143" xfId="0" applyNumberFormat="1" applyFont="1" applyBorder="1" applyAlignment="1">
      <alignment horizontal="center" vertical="center" wrapText="1"/>
    </xf>
    <xf numFmtId="1" fontId="15" fillId="0" borderId="145" xfId="0" applyNumberFormat="1" applyFont="1" applyBorder="1" applyAlignment="1">
      <alignment horizontal="center" vertical="center" wrapText="1"/>
    </xf>
    <xf numFmtId="0" fontId="7" fillId="0" borderId="67" xfId="0" applyFont="1" applyBorder="1" applyAlignment="1">
      <alignment horizontal="left" vertical="top" wrapText="1"/>
    </xf>
    <xf numFmtId="0" fontId="7" fillId="0" borderId="0" xfId="0" applyFont="1" applyAlignment="1">
      <alignment horizontal="left" vertical="top" wrapText="1"/>
    </xf>
    <xf numFmtId="0" fontId="7" fillId="0" borderId="68" xfId="0" applyFont="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2" fillId="7" borderId="157" xfId="1" applyFill="1" applyBorder="1" applyAlignment="1" applyProtection="1">
      <alignment horizontal="center" vertical="center" wrapText="1"/>
    </xf>
    <xf numFmtId="0" fontId="48" fillId="0" borderId="67" xfId="0" applyFont="1" applyBorder="1" applyAlignment="1">
      <alignment horizontal="center" vertical="center" wrapText="1"/>
    </xf>
    <xf numFmtId="0" fontId="48" fillId="0" borderId="0" xfId="0" applyFont="1" applyAlignment="1">
      <alignment horizontal="center" vertical="center" wrapText="1"/>
    </xf>
    <xf numFmtId="0" fontId="48" fillId="0" borderId="68" xfId="0" applyFont="1" applyBorder="1" applyAlignment="1">
      <alignment horizontal="center" vertical="center" wrapText="1"/>
    </xf>
    <xf numFmtId="0" fontId="7" fillId="0" borderId="67" xfId="0" applyFont="1" applyBorder="1" applyAlignment="1">
      <alignment horizontal="left" vertical="center" wrapText="1"/>
    </xf>
    <xf numFmtId="0" fontId="7" fillId="0" borderId="0" xfId="0" applyFont="1" applyAlignment="1">
      <alignment horizontal="left" vertical="center" wrapText="1"/>
    </xf>
    <xf numFmtId="0" fontId="7" fillId="0" borderId="68" xfId="0"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0" xfId="0" applyFont="1" applyAlignment="1">
      <alignment horizontal="center" vertical="center" wrapText="1"/>
    </xf>
    <xf numFmtId="0" fontId="7" fillId="0" borderId="68"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4" xfId="0" applyFont="1" applyBorder="1" applyAlignment="1">
      <alignment horizontal="center" vertical="center" wrapText="1"/>
    </xf>
    <xf numFmtId="166" fontId="34" fillId="0" borderId="9" xfId="0" applyNumberFormat="1" applyFont="1" applyBorder="1" applyAlignment="1">
      <alignment horizontal="right" vertical="center" wrapText="1"/>
    </xf>
    <xf numFmtId="166" fontId="34" fillId="0" borderId="8" xfId="0" applyNumberFormat="1" applyFont="1" applyBorder="1" applyAlignment="1">
      <alignment horizontal="right" vertical="center" wrapText="1"/>
    </xf>
    <xf numFmtId="0" fontId="20" fillId="0" borderId="9" xfId="0" applyFont="1" applyBorder="1" applyAlignment="1">
      <alignment horizontal="right"/>
    </xf>
    <xf numFmtId="0" fontId="20" fillId="0" borderId="8" xfId="0" applyFont="1" applyBorder="1" applyAlignment="1">
      <alignment horizontal="right"/>
    </xf>
    <xf numFmtId="0" fontId="71" fillId="0" borderId="92" xfId="0" applyFont="1" applyBorder="1" applyAlignment="1">
      <alignment horizontal="right"/>
    </xf>
    <xf numFmtId="0" fontId="71" fillId="0" borderId="93" xfId="0" applyFont="1" applyBorder="1" applyAlignment="1">
      <alignment horizontal="right"/>
    </xf>
    <xf numFmtId="0" fontId="7" fillId="0" borderId="118" xfId="0" applyFont="1" applyBorder="1" applyAlignment="1">
      <alignment horizontal="center" vertical="top" wrapText="1"/>
    </xf>
    <xf numFmtId="0" fontId="7" fillId="0" borderId="119" xfId="0" applyFont="1" applyBorder="1" applyAlignment="1">
      <alignment horizontal="center" vertical="top" wrapText="1"/>
    </xf>
    <xf numFmtId="0" fontId="7" fillId="0" borderId="120" xfId="0" applyFont="1" applyBorder="1" applyAlignment="1">
      <alignment horizontal="center" vertical="top" wrapText="1"/>
    </xf>
    <xf numFmtId="0" fontId="7" fillId="0" borderId="121" xfId="0" applyFont="1" applyBorder="1" applyAlignment="1">
      <alignment horizontal="center" vertical="top" wrapText="1"/>
    </xf>
    <xf numFmtId="0" fontId="7" fillId="0" borderId="100" xfId="0" applyFont="1" applyBorder="1" applyAlignment="1">
      <alignment horizontal="center" vertical="top" wrapText="1"/>
    </xf>
    <xf numFmtId="0" fontId="7" fillId="0" borderId="122" xfId="0" applyFont="1" applyBorder="1" applyAlignment="1">
      <alignment horizontal="center" vertical="top" wrapText="1"/>
    </xf>
    <xf numFmtId="0" fontId="7" fillId="0" borderId="123" xfId="0" applyFont="1" applyBorder="1" applyAlignment="1">
      <alignment horizontal="center" vertical="top" wrapText="1"/>
    </xf>
    <xf numFmtId="0" fontId="7" fillId="0" borderId="124" xfId="0" applyFont="1" applyBorder="1" applyAlignment="1">
      <alignment horizontal="center" vertical="top" wrapText="1"/>
    </xf>
    <xf numFmtId="0" fontId="7" fillId="0" borderId="125" xfId="0" applyFont="1" applyBorder="1" applyAlignment="1">
      <alignment horizontal="center" vertical="top" wrapText="1"/>
    </xf>
    <xf numFmtId="0" fontId="7" fillId="0" borderId="44" xfId="0" applyFont="1" applyBorder="1" applyAlignment="1">
      <alignment horizontal="right" vertical="center" wrapText="1"/>
    </xf>
    <xf numFmtId="0" fontId="7" fillId="0" borderId="44" xfId="0" applyFont="1" applyBorder="1" applyAlignment="1">
      <alignment horizontal="right" vertical="center"/>
    </xf>
    <xf numFmtId="0" fontId="2" fillId="0" borderId="78" xfId="1" applyFill="1" applyBorder="1" applyProtection="1">
      <alignment vertical="center" wrapText="1"/>
    </xf>
    <xf numFmtId="165" fontId="15" fillId="0" borderId="73" xfId="0" applyNumberFormat="1" applyFont="1" applyBorder="1" applyAlignment="1">
      <alignment horizontal="center" vertical="center" wrapText="1"/>
    </xf>
    <xf numFmtId="165" fontId="15" fillId="0" borderId="44" xfId="0" applyNumberFormat="1" applyFont="1" applyBorder="1" applyAlignment="1">
      <alignment horizontal="center" vertical="center" wrapText="1"/>
    </xf>
    <xf numFmtId="165" fontId="15" fillId="0" borderId="150" xfId="0" applyNumberFormat="1" applyFont="1" applyBorder="1" applyAlignment="1">
      <alignment horizontal="center" vertical="center" wrapText="1"/>
    </xf>
    <xf numFmtId="166" fontId="15" fillId="0" borderId="73" xfId="0" applyNumberFormat="1" applyFont="1" applyBorder="1" applyAlignment="1">
      <alignment horizontal="center" vertical="center" wrapText="1"/>
    </xf>
    <xf numFmtId="166" fontId="15" fillId="0" borderId="44" xfId="0" applyNumberFormat="1" applyFont="1" applyBorder="1" applyAlignment="1">
      <alignment horizontal="center" vertical="center" wrapText="1"/>
    </xf>
    <xf numFmtId="167" fontId="15" fillId="0" borderId="73" xfId="0" applyNumberFormat="1" applyFont="1" applyBorder="1" applyAlignment="1">
      <alignment horizontal="center" vertical="center" wrapText="1"/>
    </xf>
    <xf numFmtId="167" fontId="15" fillId="0" borderId="44" xfId="0" applyNumberFormat="1" applyFont="1" applyBorder="1" applyAlignment="1">
      <alignment horizontal="center" vertical="center" wrapText="1"/>
    </xf>
    <xf numFmtId="0" fontId="26" fillId="2" borderId="55" xfId="0" applyFont="1" applyFill="1" applyBorder="1" applyAlignment="1">
      <alignment horizontal="center" textRotation="180" wrapText="1"/>
    </xf>
    <xf numFmtId="0" fontId="0" fillId="0" borderId="55" xfId="0" applyBorder="1" applyAlignment="1">
      <alignment wrapText="1"/>
    </xf>
    <xf numFmtId="0" fontId="0" fillId="0" borderId="151" xfId="0" applyBorder="1" applyAlignment="1">
      <alignment wrapText="1"/>
    </xf>
    <xf numFmtId="0" fontId="29" fillId="2" borderId="11" xfId="0" applyFont="1" applyFill="1" applyBorder="1" applyAlignment="1">
      <alignment horizontal="center" vertical="center" wrapText="1"/>
    </xf>
    <xf numFmtId="0" fontId="29" fillId="2" borderId="0" xfId="0" applyFont="1" applyFill="1" applyAlignment="1">
      <alignment horizontal="center" vertical="center" wrapText="1"/>
    </xf>
    <xf numFmtId="0" fontId="36" fillId="0" borderId="73" xfId="0" applyFont="1" applyBorder="1" applyAlignment="1">
      <alignment horizontal="center" textRotation="90" wrapText="1"/>
    </xf>
    <xf numFmtId="0" fontId="36" fillId="0" borderId="44" xfId="0" applyFont="1" applyBorder="1" applyAlignment="1">
      <alignment horizontal="center" textRotation="90" wrapText="1"/>
    </xf>
    <xf numFmtId="0" fontId="36" fillId="0" borderId="150" xfId="0" applyFont="1" applyBorder="1" applyAlignment="1">
      <alignment horizontal="center" textRotation="90" wrapText="1"/>
    </xf>
    <xf numFmtId="0" fontId="36" fillId="0" borderId="46" xfId="0" applyFont="1" applyBorder="1" applyAlignment="1">
      <alignment horizontal="center" textRotation="90" wrapText="1"/>
    </xf>
    <xf numFmtId="0" fontId="36" fillId="0" borderId="47" xfId="0" applyFont="1" applyBorder="1" applyAlignment="1">
      <alignment horizontal="center" textRotation="90" wrapText="1"/>
    </xf>
    <xf numFmtId="0" fontId="2" fillId="0" borderId="73" xfId="1" applyFill="1" applyBorder="1" applyAlignment="1" applyProtection="1">
      <alignment horizontal="center" vertical="center" wrapText="1"/>
    </xf>
    <xf numFmtId="0" fontId="2" fillId="0" borderId="44" xfId="1" applyFill="1" applyBorder="1" applyAlignment="1" applyProtection="1">
      <alignment horizontal="center" vertical="center" wrapText="1"/>
    </xf>
    <xf numFmtId="0" fontId="2" fillId="0" borderId="150" xfId="1" applyFill="1" applyBorder="1" applyAlignment="1" applyProtection="1">
      <alignment horizontal="center" vertical="center" wrapText="1"/>
    </xf>
    <xf numFmtId="0" fontId="2" fillId="0" borderId="46" xfId="1" applyFill="1" applyBorder="1" applyAlignment="1" applyProtection="1">
      <alignment horizontal="center" vertical="center" wrapText="1"/>
    </xf>
    <xf numFmtId="0" fontId="2" fillId="0" borderId="101" xfId="1" applyFill="1" applyBorder="1" applyAlignment="1" applyProtection="1">
      <alignment horizontal="center" vertical="center" wrapText="1"/>
    </xf>
    <xf numFmtId="0" fontId="15" fillId="0" borderId="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8" xfId="0" applyFont="1" applyBorder="1" applyAlignment="1">
      <alignment horizontal="center" vertical="center" wrapText="1"/>
    </xf>
    <xf numFmtId="0" fontId="3" fillId="10" borderId="5" xfId="1" applyFont="1" applyFill="1" applyBorder="1" applyAlignment="1" applyProtection="1">
      <alignment horizontal="center" vertical="center" wrapText="1"/>
    </xf>
    <xf numFmtId="0" fontId="3" fillId="10" borderId="6" xfId="1" applyFont="1" applyFill="1" applyBorder="1" applyAlignment="1" applyProtection="1">
      <alignment horizontal="center" vertical="center" wrapText="1"/>
    </xf>
    <xf numFmtId="0" fontId="3" fillId="10" borderId="45" xfId="1" applyFont="1" applyFill="1" applyBorder="1" applyAlignment="1" applyProtection="1">
      <alignment horizontal="center" vertical="center" wrapText="1"/>
    </xf>
    <xf numFmtId="0" fontId="3" fillId="10" borderId="18" xfId="1" applyFont="1" applyFill="1" applyBorder="1" applyAlignment="1" applyProtection="1">
      <alignment horizontal="center" vertical="center" wrapText="1"/>
    </xf>
    <xf numFmtId="0" fontId="3" fillId="10" borderId="0" xfId="1" applyFont="1" applyFill="1" applyBorder="1" applyAlignment="1" applyProtection="1">
      <alignment horizontal="center" vertical="center" wrapText="1"/>
    </xf>
    <xf numFmtId="0" fontId="3" fillId="10" borderId="46" xfId="1" applyFont="1" applyFill="1" applyBorder="1" applyAlignment="1" applyProtection="1">
      <alignment horizontal="center" vertical="center" wrapText="1"/>
    </xf>
    <xf numFmtId="0" fontId="28" fillId="4" borderId="11" xfId="0" applyFont="1" applyFill="1" applyBorder="1" applyAlignment="1">
      <alignment horizontal="center" vertical="center" wrapText="1"/>
    </xf>
    <xf numFmtId="0" fontId="28" fillId="5" borderId="0" xfId="0" applyFont="1" applyFill="1" applyAlignment="1">
      <alignment horizontal="center" vertical="center" wrapText="1"/>
    </xf>
    <xf numFmtId="0" fontId="2" fillId="7" borderId="78" xfId="1" applyFill="1" applyBorder="1" applyProtection="1">
      <alignment vertical="center" wrapText="1"/>
    </xf>
    <xf numFmtId="0" fontId="2" fillId="7" borderId="47" xfId="1" applyFill="1" applyBorder="1" applyProtection="1">
      <alignment vertical="center" wrapText="1"/>
    </xf>
    <xf numFmtId="166" fontId="39" fillId="0" borderId="146" xfId="0" applyNumberFormat="1" applyFont="1" applyBorder="1" applyAlignment="1">
      <alignment horizontal="center" vertical="center"/>
    </xf>
    <xf numFmtId="166" fontId="39" fillId="0" borderId="147" xfId="0" applyNumberFormat="1" applyFont="1" applyBorder="1" applyAlignment="1">
      <alignment horizontal="center" vertical="center"/>
    </xf>
    <xf numFmtId="0" fontId="15" fillId="0" borderId="152" xfId="0" applyFont="1" applyBorder="1" applyAlignment="1">
      <alignment horizontal="center" vertical="center" textRotation="90" wrapText="1"/>
    </xf>
    <xf numFmtId="0" fontId="15" fillId="0" borderId="88" xfId="0" applyFont="1" applyBorder="1" applyAlignment="1">
      <alignment horizontal="center" vertical="center" textRotation="90" wrapText="1"/>
    </xf>
    <xf numFmtId="0" fontId="15" fillId="0" borderId="165" xfId="0" applyFont="1" applyBorder="1" applyAlignment="1">
      <alignment horizontal="center" vertical="center" textRotation="90" wrapText="1"/>
    </xf>
    <xf numFmtId="168" fontId="26" fillId="5" borderId="44" xfId="0" applyNumberFormat="1" applyFont="1" applyFill="1" applyBorder="1" applyAlignment="1" applyProtection="1">
      <alignment horizontal="center" vertical="center" wrapText="1"/>
      <protection locked="0"/>
    </xf>
    <xf numFmtId="0" fontId="26" fillId="5" borderId="44" xfId="0" applyFont="1" applyFill="1" applyBorder="1" applyAlignment="1" applyProtection="1">
      <alignment horizontal="center" vertical="center"/>
      <protection locked="0"/>
    </xf>
    <xf numFmtId="168" fontId="26" fillId="5" borderId="44" xfId="0" applyNumberFormat="1" applyFont="1" applyFill="1" applyBorder="1" applyAlignment="1" applyProtection="1">
      <alignment horizontal="center" vertical="center"/>
      <protection locked="0"/>
    </xf>
    <xf numFmtId="0" fontId="15" fillId="0" borderId="68" xfId="0" applyFont="1" applyBorder="1" applyAlignment="1">
      <alignment horizontal="center" vertical="center" wrapText="1"/>
    </xf>
    <xf numFmtId="0" fontId="15" fillId="0" borderId="149" xfId="0" applyFont="1" applyBorder="1" applyAlignment="1">
      <alignment horizontal="center" vertical="center" wrapText="1"/>
    </xf>
  </cellXfs>
  <cellStyles count="6">
    <cellStyle name="Hyperlink" xfId="1" builtinId="8"/>
    <cellStyle name="Normal" xfId="0" builtinId="0"/>
    <cellStyle name="Normal 2" xfId="5" xr:uid="{00000000-0005-0000-0000-000002000000}"/>
    <cellStyle name="Normal 5" xfId="4" xr:uid="{00000000-0005-0000-0000-000003000000}"/>
    <cellStyle name="Normal_ESAC Jun 2005-Simple CHN (4)" xfId="2" xr:uid="{00000000-0005-0000-0000-000004000000}"/>
    <cellStyle name="Normal_ESAC Workbook 2007-09 draft 2.2" xfId="3" xr:uid="{00000000-0005-0000-0000-000005000000}"/>
  </cellStyles>
  <dxfs count="48">
    <dxf>
      <font>
        <b/>
        <i val="0"/>
        <condense val="0"/>
        <extend val="0"/>
        <color indexed="17"/>
      </font>
    </dxf>
    <dxf>
      <font>
        <b/>
        <i val="0"/>
        <condense val="0"/>
        <extend val="0"/>
        <color indexed="13"/>
      </font>
    </dxf>
    <dxf>
      <font>
        <b/>
        <i val="0"/>
        <condense val="0"/>
        <extend val="0"/>
        <color indexed="10"/>
      </font>
    </dxf>
    <dxf>
      <fill>
        <patternFill>
          <bgColor indexed="51"/>
        </patternFill>
      </fill>
    </dxf>
    <dxf>
      <font>
        <b/>
        <i val="0"/>
        <condense val="0"/>
        <extend val="0"/>
        <color indexed="9"/>
      </font>
      <fill>
        <patternFill>
          <bgColor indexed="17"/>
        </patternFill>
      </fill>
    </dxf>
    <dxf>
      <font>
        <b/>
        <i val="0"/>
        <condense val="0"/>
        <extend val="0"/>
        <color indexed="8"/>
      </font>
      <fill>
        <patternFill>
          <bgColor indexed="13"/>
        </patternFill>
      </fill>
    </dxf>
    <dxf>
      <font>
        <b/>
        <i val="0"/>
        <condense val="0"/>
        <extend val="0"/>
        <color indexed="9"/>
      </font>
      <fill>
        <patternFill>
          <bgColor indexed="10"/>
        </patternFill>
      </fill>
    </dxf>
    <dxf>
      <font>
        <b/>
        <i val="0"/>
        <condense val="0"/>
        <extend val="0"/>
        <color indexed="26"/>
      </font>
    </dxf>
    <dxf>
      <font>
        <b/>
        <i val="0"/>
        <strike val="0"/>
        <condense val="0"/>
        <extend val="0"/>
        <color indexed="10"/>
      </font>
      <fill>
        <patternFill>
          <bgColor indexed="34"/>
        </patternFill>
      </fill>
    </dxf>
    <dxf>
      <font>
        <b/>
        <i val="0"/>
        <condense val="0"/>
        <extend val="0"/>
        <color indexed="17"/>
      </font>
    </dxf>
    <dxf>
      <font>
        <b/>
        <i val="0"/>
        <condense val="0"/>
        <extend val="0"/>
        <color indexed="10"/>
      </font>
    </dxf>
    <dxf>
      <font>
        <b/>
        <i val="0"/>
        <condense val="0"/>
        <extend val="0"/>
        <color indexed="9"/>
      </font>
      <fill>
        <patternFill>
          <bgColor indexed="17"/>
        </patternFill>
      </fill>
    </dxf>
    <dxf>
      <font>
        <b/>
        <i val="0"/>
        <condense val="0"/>
        <extend val="0"/>
        <color indexed="8"/>
      </font>
      <fill>
        <patternFill>
          <bgColor indexed="13"/>
        </patternFill>
      </fill>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indexed="8"/>
      </font>
      <fill>
        <patternFill>
          <bgColor indexed="13"/>
        </patternFill>
      </fill>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indexed="8"/>
      </font>
      <fill>
        <patternFill>
          <bgColor indexed="13"/>
        </patternFill>
      </fill>
    </dxf>
    <dxf>
      <font>
        <b/>
        <i val="0"/>
        <condense val="0"/>
        <extend val="0"/>
        <color indexed="9"/>
      </font>
      <fill>
        <patternFill>
          <bgColor indexed="10"/>
        </patternFill>
      </fill>
    </dxf>
    <dxf>
      <fill>
        <patternFill>
          <bgColor indexed="51"/>
        </patternFill>
      </fill>
    </dxf>
    <dxf>
      <fill>
        <patternFill>
          <bgColor indexed="51"/>
        </patternFill>
      </fill>
    </dxf>
    <dxf>
      <fill>
        <patternFill>
          <bgColor indexed="51"/>
        </patternFill>
      </fill>
    </dxf>
    <dxf>
      <fill>
        <patternFill>
          <bgColor indexed="51"/>
        </patternFill>
      </fill>
    </dxf>
    <dxf>
      <font>
        <b/>
        <i val="0"/>
        <condense val="0"/>
        <extend val="0"/>
        <color indexed="17"/>
      </font>
    </dxf>
    <dxf>
      <font>
        <b/>
        <i val="0"/>
        <condense val="0"/>
        <extend val="0"/>
        <color indexed="13"/>
      </font>
    </dxf>
    <dxf>
      <font>
        <b/>
        <i val="0"/>
        <condense val="0"/>
        <extend val="0"/>
        <color indexed="10"/>
      </font>
    </dxf>
    <dxf>
      <font>
        <b/>
        <i val="0"/>
        <condense val="0"/>
        <extend val="0"/>
        <color indexed="17"/>
      </font>
    </dxf>
    <dxf>
      <font>
        <b/>
        <i val="0"/>
        <condense val="0"/>
        <extend val="0"/>
        <color indexed="13"/>
      </font>
    </dxf>
    <dxf>
      <font>
        <b/>
        <i val="0"/>
        <condense val="0"/>
        <extend val="0"/>
        <color indexed="10"/>
      </font>
    </dxf>
    <dxf>
      <font>
        <b/>
        <i val="0"/>
        <condense val="0"/>
        <extend val="0"/>
        <color indexed="17"/>
      </font>
    </dxf>
    <dxf>
      <font>
        <b/>
        <i val="0"/>
        <condense val="0"/>
        <extend val="0"/>
        <color indexed="13"/>
      </font>
    </dxf>
    <dxf>
      <font>
        <b/>
        <i val="0"/>
        <condense val="0"/>
        <extend val="0"/>
        <color indexed="10"/>
      </font>
    </dxf>
    <dxf>
      <font>
        <b/>
        <i val="0"/>
        <condense val="0"/>
        <extend val="0"/>
        <color indexed="17"/>
      </font>
    </dxf>
    <dxf>
      <font>
        <b/>
        <i val="0"/>
        <condense val="0"/>
        <extend val="0"/>
        <color indexed="13"/>
      </font>
    </dxf>
    <dxf>
      <font>
        <b/>
        <i val="0"/>
        <condense val="0"/>
        <extend val="0"/>
        <color indexed="10"/>
      </font>
    </dxf>
    <dxf>
      <fill>
        <patternFill>
          <bgColor indexed="51"/>
        </patternFill>
      </fill>
    </dxf>
    <dxf>
      <font>
        <b/>
        <i val="0"/>
        <condense val="0"/>
        <extend val="0"/>
        <color indexed="26"/>
      </font>
    </dxf>
    <dxf>
      <font>
        <b/>
        <i val="0"/>
        <strike val="0"/>
        <condense val="0"/>
        <extend val="0"/>
        <color indexed="10"/>
      </font>
      <fill>
        <patternFill>
          <bgColor indexed="34"/>
        </patternFill>
      </fill>
    </dxf>
    <dxf>
      <font>
        <b/>
        <i val="0"/>
        <condense val="0"/>
        <extend val="0"/>
        <color indexed="9"/>
      </font>
      <fill>
        <patternFill>
          <bgColor indexed="17"/>
        </patternFill>
      </fill>
    </dxf>
    <dxf>
      <font>
        <b/>
        <i val="0"/>
        <condense val="0"/>
        <extend val="0"/>
        <color indexed="8"/>
      </font>
      <fill>
        <patternFill>
          <bgColor indexed="13"/>
        </patternFill>
      </fill>
    </dxf>
    <dxf>
      <font>
        <b/>
        <i val="0"/>
        <condense val="0"/>
        <extend val="0"/>
        <color indexed="9"/>
      </font>
      <fill>
        <patternFill>
          <bgColor indexed="10"/>
        </patternFill>
      </fill>
    </dxf>
    <dxf>
      <fill>
        <patternFill>
          <bgColor indexed="23"/>
        </patternFill>
      </fill>
    </dxf>
    <dxf>
      <font>
        <b/>
        <i val="0"/>
        <condense val="0"/>
        <extend val="0"/>
        <color indexed="42"/>
      </font>
    </dxf>
    <dxf>
      <fill>
        <patternFill>
          <bgColor indexed="51"/>
        </patternFill>
      </fill>
    </dxf>
    <dxf>
      <fill>
        <patternFill>
          <bgColor indexed="51"/>
        </patternFill>
      </fill>
    </dxf>
  </dxfs>
  <tableStyles count="0" defaultTableStyle="TableStyleMedium2" defaultPivotStyle="PivotStyleLight16"/>
  <colors>
    <mruColors>
      <color rgb="FF0000FF"/>
      <color rgb="FF3A00FF"/>
      <color rgb="FF0548DF"/>
      <color rgb="FF3008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13921</xdr:colOff>
      <xdr:row>0</xdr:row>
      <xdr:rowOff>0</xdr:rowOff>
    </xdr:from>
    <xdr:to>
      <xdr:col>5</xdr:col>
      <xdr:colOff>8623</xdr:colOff>
      <xdr:row>4</xdr:row>
      <xdr:rowOff>6350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6309946" y="0"/>
          <a:ext cx="4893727" cy="866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95250</xdr:rowOff>
    </xdr:from>
    <xdr:to>
      <xdr:col>3</xdr:col>
      <xdr:colOff>14613</xdr:colOff>
      <xdr:row>5</xdr:row>
      <xdr:rowOff>0</xdr:rowOff>
    </xdr:to>
    <xdr:pic>
      <xdr:nvPicPr>
        <xdr:cNvPr id="3" name="Picture 5">
          <a:extLst>
            <a:ext uri="{FF2B5EF4-FFF2-40B4-BE49-F238E27FC236}">
              <a16:creationId xmlns:a16="http://schemas.microsoft.com/office/drawing/2014/main" id="{54B92260-8F3D-4D17-99A4-5CA2EE8DF674}"/>
            </a:ext>
          </a:extLst>
        </xdr:cNvPr>
        <xdr:cNvPicPr>
          <a:picLocks noChangeAspect="1"/>
        </xdr:cNvPicPr>
      </xdr:nvPicPr>
      <xdr:blipFill>
        <a:blip xmlns:r="http://schemas.openxmlformats.org/officeDocument/2006/relationships" r:embed="rId1" cstate="print"/>
        <a:stretch>
          <a:fillRect/>
        </a:stretch>
      </xdr:blipFill>
      <xdr:spPr>
        <a:xfrm>
          <a:off x="0" y="243417"/>
          <a:ext cx="1295196" cy="571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494242</xdr:colOff>
      <xdr:row>121</xdr:row>
      <xdr:rowOff>247145</xdr:rowOff>
    </xdr:from>
    <xdr:to>
      <xdr:col>1</xdr:col>
      <xdr:colOff>894292</xdr:colOff>
      <xdr:row>121</xdr:row>
      <xdr:rowOff>580520</xdr:rowOff>
    </xdr:to>
    <xdr:sp macro="" textlink="">
      <xdr:nvSpPr>
        <xdr:cNvPr id="4" name="AutoShape 554">
          <a:extLst>
            <a:ext uri="{FF2B5EF4-FFF2-40B4-BE49-F238E27FC236}">
              <a16:creationId xmlns:a16="http://schemas.microsoft.com/office/drawing/2014/main" id="{00000000-0008-0000-0200-000004000000}"/>
            </a:ext>
          </a:extLst>
        </xdr:cNvPr>
        <xdr:cNvSpPr>
          <a:spLocks noChangeArrowheads="1"/>
        </xdr:cNvSpPr>
      </xdr:nvSpPr>
      <xdr:spPr bwMode="auto">
        <a:xfrm>
          <a:off x="928159" y="25414312"/>
          <a:ext cx="400050" cy="333375"/>
        </a:xfrm>
        <a:prstGeom prst="upArrow">
          <a:avLst>
            <a:gd name="adj1" fmla="val 50000"/>
            <a:gd name="adj2" fmla="val 25000"/>
          </a:avLst>
        </a:prstGeom>
        <a:solidFill>
          <a:srgbClr val="008000"/>
        </a:solidFill>
        <a:ln w="9525">
          <a:solidFill>
            <a:srgbClr val="000000"/>
          </a:solidFill>
          <a:miter lim="800000"/>
          <a:headEnd/>
          <a:tailEnd/>
        </a:ln>
      </xdr:spPr>
    </xdr:sp>
    <xdr:clientData/>
  </xdr:twoCellAnchor>
  <xdr:twoCellAnchor>
    <xdr:from>
      <xdr:col>1</xdr:col>
      <xdr:colOff>521759</xdr:colOff>
      <xdr:row>122</xdr:row>
      <xdr:rowOff>474134</xdr:rowOff>
    </xdr:from>
    <xdr:to>
      <xdr:col>1</xdr:col>
      <xdr:colOff>988484</xdr:colOff>
      <xdr:row>122</xdr:row>
      <xdr:rowOff>826559</xdr:rowOff>
    </xdr:to>
    <xdr:sp macro="" textlink="">
      <xdr:nvSpPr>
        <xdr:cNvPr id="5" name="AutoShape 555">
          <a:extLst>
            <a:ext uri="{FF2B5EF4-FFF2-40B4-BE49-F238E27FC236}">
              <a16:creationId xmlns:a16="http://schemas.microsoft.com/office/drawing/2014/main" id="{00000000-0008-0000-0200-000005000000}"/>
            </a:ext>
          </a:extLst>
        </xdr:cNvPr>
        <xdr:cNvSpPr>
          <a:spLocks noChangeArrowheads="1"/>
        </xdr:cNvSpPr>
      </xdr:nvSpPr>
      <xdr:spPr bwMode="auto">
        <a:xfrm>
          <a:off x="1029759" y="27599217"/>
          <a:ext cx="466725" cy="352425"/>
        </a:xfrm>
        <a:prstGeom prst="leftRightArrow">
          <a:avLst>
            <a:gd name="adj1" fmla="val 50000"/>
            <a:gd name="adj2" fmla="val 26486"/>
          </a:avLst>
        </a:prstGeom>
        <a:solidFill>
          <a:srgbClr val="FFFF00"/>
        </a:solidFill>
        <a:ln w="9525">
          <a:solidFill>
            <a:srgbClr val="000000"/>
          </a:solidFill>
          <a:miter lim="800000"/>
          <a:headEnd/>
          <a:tailEnd/>
        </a:ln>
      </xdr:spPr>
    </xdr:sp>
    <xdr:clientData/>
  </xdr:twoCellAnchor>
  <xdr:twoCellAnchor editAs="oneCell">
    <xdr:from>
      <xdr:col>0</xdr:col>
      <xdr:colOff>21166</xdr:colOff>
      <xdr:row>0</xdr:row>
      <xdr:rowOff>0</xdr:rowOff>
    </xdr:from>
    <xdr:to>
      <xdr:col>1</xdr:col>
      <xdr:colOff>1048210</xdr:colOff>
      <xdr:row>4</xdr:row>
      <xdr:rowOff>10582</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21166" y="0"/>
          <a:ext cx="1460961" cy="677332"/>
        </a:xfrm>
        <a:prstGeom prst="rect">
          <a:avLst/>
        </a:prstGeom>
      </xdr:spPr>
    </xdr:pic>
    <xdr:clientData/>
  </xdr:twoCellAnchor>
  <xdr:twoCellAnchor>
    <xdr:from>
      <xdr:col>1</xdr:col>
      <xdr:colOff>1174751</xdr:colOff>
      <xdr:row>122</xdr:row>
      <xdr:rowOff>455084</xdr:rowOff>
    </xdr:from>
    <xdr:to>
      <xdr:col>1</xdr:col>
      <xdr:colOff>1574801</xdr:colOff>
      <xdr:row>122</xdr:row>
      <xdr:rowOff>788459</xdr:rowOff>
    </xdr:to>
    <xdr:sp macro="" textlink="">
      <xdr:nvSpPr>
        <xdr:cNvPr id="7" name="AutoShape 554">
          <a:extLst>
            <a:ext uri="{FF2B5EF4-FFF2-40B4-BE49-F238E27FC236}">
              <a16:creationId xmlns:a16="http://schemas.microsoft.com/office/drawing/2014/main" id="{4A5413F5-DA57-491E-AEFB-C59DB5D86831}"/>
            </a:ext>
          </a:extLst>
        </xdr:cNvPr>
        <xdr:cNvSpPr>
          <a:spLocks noChangeArrowheads="1"/>
        </xdr:cNvSpPr>
      </xdr:nvSpPr>
      <xdr:spPr bwMode="auto">
        <a:xfrm>
          <a:off x="1682751" y="27580167"/>
          <a:ext cx="400050" cy="333375"/>
        </a:xfrm>
        <a:prstGeom prst="upArrow">
          <a:avLst>
            <a:gd name="adj1" fmla="val 50000"/>
            <a:gd name="adj2" fmla="val 25000"/>
          </a:avLst>
        </a:prstGeom>
        <a:solidFill>
          <a:srgbClr val="008000"/>
        </a:solidFill>
        <a:ln w="9525">
          <a:solidFill>
            <a:srgbClr val="000000"/>
          </a:solidFill>
          <a:miter lim="800000"/>
          <a:headEnd/>
          <a:tailEnd/>
        </a:ln>
      </xdr:spPr>
    </xdr:sp>
    <xdr:clientData/>
  </xdr:twoCellAnchor>
  <xdr:twoCellAnchor>
    <xdr:from>
      <xdr:col>1</xdr:col>
      <xdr:colOff>497416</xdr:colOff>
      <xdr:row>123</xdr:row>
      <xdr:rowOff>486833</xdr:rowOff>
    </xdr:from>
    <xdr:to>
      <xdr:col>1</xdr:col>
      <xdr:colOff>964141</xdr:colOff>
      <xdr:row>123</xdr:row>
      <xdr:rowOff>839258</xdr:rowOff>
    </xdr:to>
    <xdr:sp macro="" textlink="">
      <xdr:nvSpPr>
        <xdr:cNvPr id="8" name="AutoShape 555">
          <a:extLst>
            <a:ext uri="{FF2B5EF4-FFF2-40B4-BE49-F238E27FC236}">
              <a16:creationId xmlns:a16="http://schemas.microsoft.com/office/drawing/2014/main" id="{3A0BA772-8EB7-4B60-B095-648FC068A336}"/>
            </a:ext>
          </a:extLst>
        </xdr:cNvPr>
        <xdr:cNvSpPr>
          <a:spLocks noChangeArrowheads="1"/>
        </xdr:cNvSpPr>
      </xdr:nvSpPr>
      <xdr:spPr bwMode="auto">
        <a:xfrm>
          <a:off x="1005416" y="28945416"/>
          <a:ext cx="466725" cy="352425"/>
        </a:xfrm>
        <a:prstGeom prst="leftRightArrow">
          <a:avLst>
            <a:gd name="adj1" fmla="val 50000"/>
            <a:gd name="adj2" fmla="val 26486"/>
          </a:avLst>
        </a:prstGeom>
        <a:solidFill>
          <a:srgbClr val="FFFF00"/>
        </a:solidFill>
        <a:ln w="9525">
          <a:solidFill>
            <a:srgbClr val="000000"/>
          </a:solidFill>
          <a:miter lim="800000"/>
          <a:headEnd/>
          <a:tailEnd/>
        </a:ln>
      </xdr:spPr>
    </xdr:sp>
    <xdr:clientData/>
  </xdr:twoCellAnchor>
  <xdr:twoCellAnchor>
    <xdr:from>
      <xdr:col>1</xdr:col>
      <xdr:colOff>1121833</xdr:colOff>
      <xdr:row>123</xdr:row>
      <xdr:rowOff>486833</xdr:rowOff>
    </xdr:from>
    <xdr:to>
      <xdr:col>1</xdr:col>
      <xdr:colOff>1521883</xdr:colOff>
      <xdr:row>123</xdr:row>
      <xdr:rowOff>858308</xdr:rowOff>
    </xdr:to>
    <xdr:sp macro="" textlink="">
      <xdr:nvSpPr>
        <xdr:cNvPr id="9" name="AutoShape 552">
          <a:extLst>
            <a:ext uri="{FF2B5EF4-FFF2-40B4-BE49-F238E27FC236}">
              <a16:creationId xmlns:a16="http://schemas.microsoft.com/office/drawing/2014/main" id="{C2E06D04-6CBC-459C-9840-AF99F7E71D7E}"/>
            </a:ext>
          </a:extLst>
        </xdr:cNvPr>
        <xdr:cNvSpPr>
          <a:spLocks noChangeArrowheads="1"/>
        </xdr:cNvSpPr>
      </xdr:nvSpPr>
      <xdr:spPr bwMode="auto">
        <a:xfrm>
          <a:off x="1629833" y="28945416"/>
          <a:ext cx="400050" cy="371475"/>
        </a:xfrm>
        <a:prstGeom prst="downArrow">
          <a:avLst>
            <a:gd name="adj1" fmla="val 50000"/>
            <a:gd name="adj2" fmla="val 25000"/>
          </a:avLst>
        </a:prstGeom>
        <a:solidFill>
          <a:srgbClr val="FF0000"/>
        </a:solidFill>
        <a:ln w="9525">
          <a:solidFill>
            <a:srgbClr val="000000"/>
          </a:solidFill>
          <a:miter lim="800000"/>
          <a:headEnd/>
          <a:tailEnd/>
        </a:ln>
      </xdr:spPr>
    </xdr:sp>
    <xdr:clientData/>
  </xdr:twoCellAnchor>
  <xdr:twoCellAnchor>
    <xdr:from>
      <xdr:col>1</xdr:col>
      <xdr:colOff>518584</xdr:colOff>
      <xdr:row>124</xdr:row>
      <xdr:rowOff>391583</xdr:rowOff>
    </xdr:from>
    <xdr:to>
      <xdr:col>1</xdr:col>
      <xdr:colOff>918634</xdr:colOff>
      <xdr:row>124</xdr:row>
      <xdr:rowOff>763058</xdr:rowOff>
    </xdr:to>
    <xdr:sp macro="" textlink="">
      <xdr:nvSpPr>
        <xdr:cNvPr id="10" name="AutoShape 552">
          <a:extLst>
            <a:ext uri="{FF2B5EF4-FFF2-40B4-BE49-F238E27FC236}">
              <a16:creationId xmlns:a16="http://schemas.microsoft.com/office/drawing/2014/main" id="{4C19936C-A44B-4A73-A9A8-C0C6CD3320D6}"/>
            </a:ext>
          </a:extLst>
        </xdr:cNvPr>
        <xdr:cNvSpPr>
          <a:spLocks noChangeArrowheads="1"/>
        </xdr:cNvSpPr>
      </xdr:nvSpPr>
      <xdr:spPr bwMode="auto">
        <a:xfrm>
          <a:off x="952501" y="29157083"/>
          <a:ext cx="400050" cy="371475"/>
        </a:xfrm>
        <a:prstGeom prst="downArrow">
          <a:avLst>
            <a:gd name="adj1" fmla="val 50000"/>
            <a:gd name="adj2" fmla="val 25000"/>
          </a:avLst>
        </a:prstGeom>
        <a:solidFill>
          <a:srgbClr val="FF0000"/>
        </a:solidFill>
        <a:ln w="9525">
          <a:solidFill>
            <a:srgbClr val="000000"/>
          </a:solidFill>
          <a:miter lim="800000"/>
          <a:headEnd/>
          <a:tailEnd/>
        </a:ln>
      </xdr:spPr>
    </xdr:sp>
    <xdr:clientData/>
  </xdr:twoCellAnchor>
  <xdr:twoCellAnchor>
    <xdr:from>
      <xdr:col>1</xdr:col>
      <xdr:colOff>518583</xdr:colOff>
      <xdr:row>125</xdr:row>
      <xdr:rowOff>137583</xdr:rowOff>
    </xdr:from>
    <xdr:to>
      <xdr:col>1</xdr:col>
      <xdr:colOff>918633</xdr:colOff>
      <xdr:row>125</xdr:row>
      <xdr:rowOff>509058</xdr:rowOff>
    </xdr:to>
    <xdr:sp macro="" textlink="">
      <xdr:nvSpPr>
        <xdr:cNvPr id="11" name="AutoShape 552">
          <a:extLst>
            <a:ext uri="{FF2B5EF4-FFF2-40B4-BE49-F238E27FC236}">
              <a16:creationId xmlns:a16="http://schemas.microsoft.com/office/drawing/2014/main" id="{4DAD3C4A-FDB7-456E-A6A0-2D4A1D66A4DC}"/>
            </a:ext>
          </a:extLst>
        </xdr:cNvPr>
        <xdr:cNvSpPr>
          <a:spLocks noChangeArrowheads="1"/>
        </xdr:cNvSpPr>
      </xdr:nvSpPr>
      <xdr:spPr bwMode="auto">
        <a:xfrm>
          <a:off x="1026583" y="31263166"/>
          <a:ext cx="400050" cy="371475"/>
        </a:xfrm>
        <a:prstGeom prst="downArrow">
          <a:avLst>
            <a:gd name="adj1" fmla="val 50000"/>
            <a:gd name="adj2" fmla="val 25000"/>
          </a:avLst>
        </a:prstGeom>
        <a:solidFill>
          <a:srgbClr val="FF0000"/>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9525</xdr:colOff>
      <xdr:row>2</xdr:row>
      <xdr:rowOff>97378</xdr:rowOff>
    </xdr:to>
    <xdr:pic>
      <xdr:nvPicPr>
        <xdr:cNvPr id="2" name="Picture 1">
          <a:extLst>
            <a:ext uri="{FF2B5EF4-FFF2-40B4-BE49-F238E27FC236}">
              <a16:creationId xmlns:a16="http://schemas.microsoft.com/office/drawing/2014/main" id="{2E3FFB85-75E6-4AA8-9F64-B7F43B1646CA}"/>
            </a:ext>
          </a:extLst>
        </xdr:cNvPr>
        <xdr:cNvPicPr>
          <a:picLocks noChangeAspect="1"/>
        </xdr:cNvPicPr>
      </xdr:nvPicPr>
      <xdr:blipFill>
        <a:blip xmlns:r="http://schemas.openxmlformats.org/officeDocument/2006/relationships" r:embed="rId1"/>
        <a:stretch>
          <a:fillRect/>
        </a:stretch>
      </xdr:blipFill>
      <xdr:spPr>
        <a:xfrm>
          <a:off x="0" y="0"/>
          <a:ext cx="1300692" cy="414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E321"/>
  <sheetViews>
    <sheetView topLeftCell="A2" zoomScaleNormal="100" workbookViewId="0">
      <selection activeCell="A14" sqref="A14:D14"/>
    </sheetView>
  </sheetViews>
  <sheetFormatPr defaultColWidth="9.21875" defaultRowHeight="11.4"/>
  <cols>
    <col min="1" max="1" width="24.21875" style="6" customWidth="1"/>
    <col min="2" max="2" width="29.5546875" style="6" customWidth="1"/>
    <col min="3" max="4" width="14.44140625" style="6" customWidth="1"/>
    <col min="5" max="5" width="64.21875" style="6" customWidth="1"/>
    <col min="6" max="16384" width="9.21875" style="6"/>
  </cols>
  <sheetData>
    <row r="1" spans="1:5" s="3" customFormat="1">
      <c r="A1" s="582" t="s">
        <v>0</v>
      </c>
      <c r="B1" s="1"/>
      <c r="C1" s="679" t="s">
        <v>1</v>
      </c>
      <c r="D1" s="680"/>
      <c r="E1" s="2"/>
    </row>
    <row r="2" spans="1:5" ht="26.55" customHeight="1">
      <c r="A2" s="681" t="s">
        <v>2</v>
      </c>
      <c r="B2" s="682"/>
      <c r="C2" s="683" t="s">
        <v>3</v>
      </c>
      <c r="D2" s="684"/>
      <c r="E2" s="5"/>
    </row>
    <row r="3" spans="1:5" s="7" customFormat="1" ht="13.2" customHeight="1">
      <c r="A3" s="685" t="s">
        <v>4</v>
      </c>
      <c r="B3" s="686"/>
      <c r="C3" s="686"/>
      <c r="D3" s="687"/>
      <c r="E3" s="5"/>
    </row>
    <row r="4" spans="1:5" s="7" customFormat="1" ht="16.5" customHeight="1" thickBot="1">
      <c r="A4" s="688" t="s">
        <v>5</v>
      </c>
      <c r="B4" s="689"/>
      <c r="C4" s="689"/>
      <c r="D4" s="690"/>
      <c r="E4" s="5"/>
    </row>
    <row r="5" spans="1:5" s="12" customFormat="1">
      <c r="A5" s="9"/>
      <c r="B5" s="10"/>
      <c r="C5" s="10"/>
      <c r="D5" s="10"/>
      <c r="E5" s="11" t="s">
        <v>6</v>
      </c>
    </row>
    <row r="6" spans="1:5" ht="12">
      <c r="A6" s="676" t="s">
        <v>707</v>
      </c>
      <c r="B6" s="677"/>
      <c r="C6" s="677"/>
      <c r="D6" s="678"/>
      <c r="E6" s="13" t="s">
        <v>7</v>
      </c>
    </row>
    <row r="7" spans="1:5">
      <c r="A7" s="644"/>
      <c r="B7" s="645"/>
      <c r="C7" s="645"/>
      <c r="D7" s="646"/>
      <c r="E7" s="16" t="s">
        <v>8</v>
      </c>
    </row>
    <row r="8" spans="1:5">
      <c r="A8" s="644"/>
      <c r="B8" s="645"/>
      <c r="C8" s="645"/>
      <c r="D8" s="646"/>
      <c r="E8" s="16" t="s">
        <v>9</v>
      </c>
    </row>
    <row r="9" spans="1:5" ht="12">
      <c r="A9" s="663"/>
      <c r="B9" s="664"/>
      <c r="C9" s="664"/>
      <c r="D9" s="665"/>
      <c r="E9" s="13" t="s">
        <v>10</v>
      </c>
    </row>
    <row r="10" spans="1:5" ht="12">
      <c r="A10" s="663"/>
      <c r="B10" s="664"/>
      <c r="C10" s="664"/>
      <c r="D10" s="665"/>
      <c r="E10" s="13" t="s">
        <v>11</v>
      </c>
    </row>
    <row r="11" spans="1:5" ht="12">
      <c r="A11" s="663"/>
      <c r="B11" s="664"/>
      <c r="C11" s="664"/>
      <c r="D11" s="665"/>
      <c r="E11" s="13" t="s">
        <v>12</v>
      </c>
    </row>
    <row r="12" spans="1:5" ht="12">
      <c r="A12" s="663"/>
      <c r="B12" s="664"/>
      <c r="C12" s="664"/>
      <c r="D12" s="665"/>
      <c r="E12" s="13" t="s">
        <v>13</v>
      </c>
    </row>
    <row r="13" spans="1:5">
      <c r="A13" s="666"/>
      <c r="B13" s="667"/>
      <c r="C13" s="667"/>
      <c r="D13" s="668"/>
      <c r="E13" s="16" t="s">
        <v>14</v>
      </c>
    </row>
    <row r="14" spans="1:5">
      <c r="A14" s="669"/>
      <c r="B14" s="670"/>
      <c r="C14" s="670"/>
      <c r="D14" s="671"/>
      <c r="E14" s="16" t="s">
        <v>15</v>
      </c>
    </row>
    <row r="15" spans="1:5">
      <c r="A15" s="644"/>
      <c r="B15" s="645"/>
      <c r="C15" s="645"/>
      <c r="D15" s="646"/>
      <c r="E15" s="16" t="s">
        <v>16</v>
      </c>
    </row>
    <row r="16" spans="1:5">
      <c r="A16" s="644"/>
      <c r="B16" s="645"/>
      <c r="C16" s="645"/>
      <c r="D16" s="646"/>
      <c r="E16" s="16" t="s">
        <v>17</v>
      </c>
    </row>
    <row r="17" spans="1:5">
      <c r="A17" s="644"/>
      <c r="B17" s="645"/>
      <c r="C17" s="645"/>
      <c r="D17" s="646"/>
      <c r="E17" s="16" t="s">
        <v>18</v>
      </c>
    </row>
    <row r="18" spans="1:5">
      <c r="A18" s="626"/>
      <c r="B18" s="627"/>
      <c r="C18" s="627"/>
      <c r="D18" s="628"/>
      <c r="E18" s="16" t="s">
        <v>19</v>
      </c>
    </row>
    <row r="19" spans="1:5" ht="12">
      <c r="A19" s="17" t="s">
        <v>20</v>
      </c>
      <c r="B19" s="18" t="s">
        <v>21</v>
      </c>
      <c r="C19" s="672" t="s">
        <v>22</v>
      </c>
      <c r="D19" s="673"/>
      <c r="E19" s="19" t="s">
        <v>23</v>
      </c>
    </row>
    <row r="20" spans="1:5" ht="13.2">
      <c r="A20" s="20"/>
      <c r="B20" s="21"/>
      <c r="C20" s="674"/>
      <c r="D20" s="675"/>
      <c r="E20" s="16" t="s">
        <v>24</v>
      </c>
    </row>
    <row r="21" spans="1:5">
      <c r="A21" s="22"/>
      <c r="B21" s="23"/>
      <c r="C21" s="653"/>
      <c r="D21" s="654"/>
      <c r="E21" s="16" t="s">
        <v>25</v>
      </c>
    </row>
    <row r="22" spans="1:5">
      <c r="A22" s="22"/>
      <c r="B22" s="23"/>
      <c r="C22" s="653"/>
      <c r="D22" s="654"/>
      <c r="E22" s="16" t="s">
        <v>26</v>
      </c>
    </row>
    <row r="23" spans="1:5">
      <c r="A23" s="22"/>
      <c r="B23" s="23"/>
      <c r="C23" s="653"/>
      <c r="D23" s="654"/>
      <c r="E23" s="16" t="s">
        <v>27</v>
      </c>
    </row>
    <row r="24" spans="1:5">
      <c r="A24" s="22"/>
      <c r="B24" s="23"/>
      <c r="C24" s="653"/>
      <c r="D24" s="654"/>
      <c r="E24" s="16" t="s">
        <v>28</v>
      </c>
    </row>
    <row r="25" spans="1:5">
      <c r="A25" s="22"/>
      <c r="B25" s="23"/>
      <c r="C25" s="653"/>
      <c r="D25" s="654"/>
      <c r="E25" s="16" t="s">
        <v>29</v>
      </c>
    </row>
    <row r="26" spans="1:5">
      <c r="A26" s="22"/>
      <c r="B26" s="23"/>
      <c r="C26" s="653"/>
      <c r="D26" s="654"/>
      <c r="E26" s="24" t="s">
        <v>30</v>
      </c>
    </row>
    <row r="27" spans="1:5">
      <c r="A27" s="25"/>
      <c r="B27" s="26"/>
      <c r="C27" s="655"/>
      <c r="D27" s="656"/>
      <c r="E27" s="24" t="s">
        <v>30</v>
      </c>
    </row>
    <row r="28" spans="1:5">
      <c r="A28" s="657"/>
      <c r="B28" s="658"/>
      <c r="C28" s="658"/>
      <c r="D28" s="659"/>
      <c r="E28" s="16" t="s">
        <v>31</v>
      </c>
    </row>
    <row r="29" spans="1:5">
      <c r="A29" s="644"/>
      <c r="B29" s="645"/>
      <c r="C29" s="645"/>
      <c r="D29" s="646"/>
      <c r="E29" s="16" t="s">
        <v>32</v>
      </c>
    </row>
    <row r="30" spans="1:5">
      <c r="A30" s="644"/>
      <c r="B30" s="645"/>
      <c r="C30" s="645"/>
      <c r="D30" s="646"/>
      <c r="E30" s="16" t="s">
        <v>33</v>
      </c>
    </row>
    <row r="31" spans="1:5">
      <c r="A31" s="644"/>
      <c r="B31" s="645"/>
      <c r="C31" s="645"/>
      <c r="D31" s="646"/>
      <c r="E31" s="16" t="s">
        <v>34</v>
      </c>
    </row>
    <row r="32" spans="1:5">
      <c r="A32" s="644"/>
      <c r="B32" s="645"/>
      <c r="C32" s="645"/>
      <c r="D32" s="646"/>
      <c r="E32" s="16" t="s">
        <v>35</v>
      </c>
    </row>
    <row r="33" spans="1:5" s="28" customFormat="1">
      <c r="A33" s="660"/>
      <c r="B33" s="661"/>
      <c r="C33" s="661"/>
      <c r="D33" s="662"/>
      <c r="E33" s="27" t="s">
        <v>36</v>
      </c>
    </row>
    <row r="34" spans="1:5" s="28" customFormat="1">
      <c r="A34" s="660"/>
      <c r="B34" s="661"/>
      <c r="C34" s="661"/>
      <c r="D34" s="662"/>
      <c r="E34" s="27" t="s">
        <v>37</v>
      </c>
    </row>
    <row r="35" spans="1:5" s="28" customFormat="1">
      <c r="A35" s="660"/>
      <c r="B35" s="661"/>
      <c r="C35" s="661"/>
      <c r="D35" s="662"/>
      <c r="E35" s="27" t="s">
        <v>38</v>
      </c>
    </row>
    <row r="36" spans="1:5" s="15" customFormat="1">
      <c r="A36" s="644"/>
      <c r="B36" s="645"/>
      <c r="C36" s="645"/>
      <c r="D36" s="646"/>
      <c r="E36" s="29" t="s">
        <v>39</v>
      </c>
    </row>
    <row r="37" spans="1:5" s="28" customFormat="1">
      <c r="A37" s="650"/>
      <c r="B37" s="651"/>
      <c r="C37" s="651"/>
      <c r="D37" s="652"/>
      <c r="E37" s="27" t="s">
        <v>40</v>
      </c>
    </row>
    <row r="38" spans="1:5" ht="12">
      <c r="A38" s="638" t="s">
        <v>41</v>
      </c>
      <c r="B38" s="639"/>
      <c r="C38" s="639"/>
      <c r="D38" s="640"/>
      <c r="E38" s="19" t="s">
        <v>41</v>
      </c>
    </row>
    <row r="39" spans="1:5">
      <c r="A39" s="641"/>
      <c r="B39" s="642"/>
      <c r="C39" s="642"/>
      <c r="D39" s="643"/>
      <c r="E39" s="16" t="s">
        <v>42</v>
      </c>
    </row>
    <row r="40" spans="1:5">
      <c r="A40" s="644"/>
      <c r="B40" s="645"/>
      <c r="C40" s="645"/>
      <c r="D40" s="646"/>
      <c r="E40" s="16" t="s">
        <v>43</v>
      </c>
    </row>
    <row r="41" spans="1:5">
      <c r="A41" s="647"/>
      <c r="B41" s="648"/>
      <c r="C41" s="648"/>
      <c r="D41" s="649"/>
      <c r="E41" s="16" t="s">
        <v>44</v>
      </c>
    </row>
    <row r="42" spans="1:5">
      <c r="A42" s="644"/>
      <c r="B42" s="645"/>
      <c r="C42" s="645"/>
      <c r="D42" s="646"/>
      <c r="E42" s="16" t="s">
        <v>45</v>
      </c>
    </row>
    <row r="43" spans="1:5" s="30" customFormat="1">
      <c r="A43" s="626"/>
      <c r="B43" s="627"/>
      <c r="C43" s="627"/>
      <c r="D43" s="628"/>
      <c r="E43" s="31" t="s">
        <v>46</v>
      </c>
    </row>
    <row r="44" spans="1:5" s="34" customFormat="1">
      <c r="A44" s="32"/>
      <c r="B44" s="8"/>
      <c r="C44" s="8"/>
      <c r="D44" s="8"/>
      <c r="E44" s="33" t="s">
        <v>47</v>
      </c>
    </row>
    <row r="45" spans="1:5" ht="12">
      <c r="A45" s="629" t="s">
        <v>94</v>
      </c>
      <c r="B45" s="630"/>
      <c r="C45" s="630"/>
      <c r="D45" s="631"/>
      <c r="E45" s="13" t="s">
        <v>48</v>
      </c>
    </row>
    <row r="46" spans="1:5">
      <c r="A46" s="632"/>
      <c r="B46" s="633"/>
      <c r="C46" s="633"/>
      <c r="D46" s="634"/>
      <c r="E46" s="16" t="s">
        <v>49</v>
      </c>
    </row>
    <row r="47" spans="1:5" ht="12">
      <c r="A47" s="635" t="s">
        <v>700</v>
      </c>
      <c r="B47" s="636"/>
      <c r="C47" s="636"/>
      <c r="D47" s="637"/>
      <c r="E47" s="13" t="s">
        <v>50</v>
      </c>
    </row>
    <row r="48" spans="1:5" ht="12">
      <c r="A48" s="635"/>
      <c r="B48" s="636"/>
      <c r="C48" s="636"/>
      <c r="D48" s="637"/>
      <c r="E48" s="13" t="s">
        <v>51</v>
      </c>
    </row>
    <row r="49" spans="1:5" ht="12">
      <c r="A49" s="607" t="s">
        <v>98</v>
      </c>
      <c r="B49" s="608"/>
      <c r="C49" s="607"/>
      <c r="D49" s="608"/>
      <c r="E49" s="13" t="s">
        <v>52</v>
      </c>
    </row>
    <row r="50" spans="1:5">
      <c r="A50" s="609"/>
      <c r="B50" s="610"/>
      <c r="C50" s="610"/>
      <c r="D50" s="611"/>
      <c r="E50" s="16" t="s">
        <v>53</v>
      </c>
    </row>
    <row r="51" spans="1:5">
      <c r="A51" s="609" t="s">
        <v>701</v>
      </c>
      <c r="B51" s="610"/>
      <c r="C51" s="610"/>
      <c r="D51" s="611"/>
      <c r="E51" s="16" t="s">
        <v>54</v>
      </c>
    </row>
    <row r="52" spans="1:5">
      <c r="A52" s="612"/>
      <c r="B52" s="613"/>
      <c r="C52" s="613"/>
      <c r="D52" s="614"/>
      <c r="E52" s="16" t="s">
        <v>55</v>
      </c>
    </row>
    <row r="53" spans="1:5" ht="12">
      <c r="A53" s="17" t="s">
        <v>56</v>
      </c>
      <c r="B53" s="18" t="s">
        <v>57</v>
      </c>
      <c r="C53" s="18" t="s">
        <v>58</v>
      </c>
      <c r="D53" s="35" t="s">
        <v>59</v>
      </c>
      <c r="E53" s="19" t="s">
        <v>60</v>
      </c>
    </row>
    <row r="54" spans="1:5">
      <c r="A54" s="36" t="s">
        <v>702</v>
      </c>
      <c r="B54" s="37"/>
      <c r="C54" s="37"/>
      <c r="D54" s="38"/>
      <c r="E54" s="16" t="s">
        <v>20</v>
      </c>
    </row>
    <row r="55" spans="1:5" ht="22.8">
      <c r="A55" s="39" t="s">
        <v>705</v>
      </c>
      <c r="B55" s="40"/>
      <c r="C55" s="40"/>
      <c r="D55" s="41"/>
      <c r="E55" s="16" t="s">
        <v>61</v>
      </c>
    </row>
    <row r="56" spans="1:5">
      <c r="A56" s="42" t="s">
        <v>703</v>
      </c>
      <c r="B56" s="43"/>
      <c r="C56" s="43"/>
      <c r="D56" s="44"/>
      <c r="E56" s="16" t="s">
        <v>62</v>
      </c>
    </row>
    <row r="57" spans="1:5" s="30" customFormat="1" ht="13.2">
      <c r="A57" s="45" t="s">
        <v>704</v>
      </c>
      <c r="B57" s="46"/>
      <c r="C57" s="47"/>
      <c r="D57" s="48"/>
      <c r="E57" s="31" t="s">
        <v>63</v>
      </c>
    </row>
    <row r="58" spans="1:5" s="34" customFormat="1">
      <c r="A58" s="49"/>
      <c r="B58" s="8"/>
      <c r="C58" s="8"/>
      <c r="D58" s="8"/>
      <c r="E58" s="33" t="s">
        <v>64</v>
      </c>
    </row>
    <row r="59" spans="1:5" ht="12">
      <c r="A59" s="615" t="s">
        <v>65</v>
      </c>
      <c r="B59" s="616"/>
      <c r="C59" s="50" t="s">
        <v>66</v>
      </c>
      <c r="D59" s="50" t="s">
        <v>67</v>
      </c>
      <c r="E59" s="16" t="s">
        <v>68</v>
      </c>
    </row>
    <row r="60" spans="1:5" ht="12" customHeight="1">
      <c r="A60" s="617" t="s">
        <v>69</v>
      </c>
      <c r="B60" s="617"/>
      <c r="C60" s="51" t="s">
        <v>706</v>
      </c>
      <c r="D60" s="52"/>
      <c r="E60" s="16" t="s">
        <v>70</v>
      </c>
    </row>
    <row r="61" spans="1:5" ht="12">
      <c r="A61" s="617"/>
      <c r="B61" s="617"/>
      <c r="C61" s="53" t="s">
        <v>706</v>
      </c>
      <c r="D61" s="54"/>
      <c r="E61" s="16" t="s">
        <v>71</v>
      </c>
    </row>
    <row r="62" spans="1:5" ht="12">
      <c r="A62" s="617"/>
      <c r="B62" s="617"/>
      <c r="C62" s="53" t="s">
        <v>706</v>
      </c>
      <c r="D62" s="54"/>
      <c r="E62" s="16" t="s">
        <v>72</v>
      </c>
    </row>
    <row r="63" spans="1:5" ht="12">
      <c r="A63" s="617"/>
      <c r="B63" s="617"/>
      <c r="C63" s="53" t="s">
        <v>706</v>
      </c>
      <c r="D63" s="54"/>
      <c r="E63" s="16" t="s">
        <v>73</v>
      </c>
    </row>
    <row r="64" spans="1:5" ht="12">
      <c r="A64" s="617"/>
      <c r="B64" s="617"/>
      <c r="C64" s="53" t="s">
        <v>706</v>
      </c>
      <c r="D64" s="54"/>
      <c r="E64" s="16" t="s">
        <v>74</v>
      </c>
    </row>
    <row r="65" spans="1:5" ht="12">
      <c r="A65" s="617"/>
      <c r="B65" s="617"/>
      <c r="C65" s="53" t="s">
        <v>706</v>
      </c>
      <c r="D65" s="54"/>
      <c r="E65" s="16" t="s">
        <v>75</v>
      </c>
    </row>
    <row r="66" spans="1:5" ht="12">
      <c r="A66" s="617"/>
      <c r="B66" s="617"/>
      <c r="C66" s="53" t="s">
        <v>706</v>
      </c>
      <c r="D66" s="54"/>
      <c r="E66" s="16" t="s">
        <v>76</v>
      </c>
    </row>
    <row r="67" spans="1:5" ht="12">
      <c r="A67" s="618"/>
      <c r="B67" s="619"/>
      <c r="C67" s="55" t="s">
        <v>706</v>
      </c>
      <c r="D67" s="54"/>
      <c r="E67" s="16" t="s">
        <v>77</v>
      </c>
    </row>
    <row r="68" spans="1:5" ht="12">
      <c r="A68" s="620"/>
      <c r="B68" s="621"/>
      <c r="C68" s="55"/>
      <c r="D68" s="54"/>
      <c r="E68" s="16" t="s">
        <v>78</v>
      </c>
    </row>
    <row r="69" spans="1:5" ht="12">
      <c r="A69" s="620"/>
      <c r="B69" s="621"/>
      <c r="C69" s="55"/>
      <c r="D69" s="54"/>
      <c r="E69" s="16" t="s">
        <v>79</v>
      </c>
    </row>
    <row r="70" spans="1:5" ht="12">
      <c r="A70" s="620"/>
      <c r="B70" s="621"/>
      <c r="C70" s="55" t="s">
        <v>706</v>
      </c>
      <c r="D70" s="54"/>
      <c r="E70" s="16" t="s">
        <v>80</v>
      </c>
    </row>
    <row r="71" spans="1:5" ht="12">
      <c r="A71" s="620"/>
      <c r="B71" s="621"/>
      <c r="C71" s="55" t="s">
        <v>706</v>
      </c>
      <c r="D71" s="54"/>
      <c r="E71" s="16" t="s">
        <v>81</v>
      </c>
    </row>
    <row r="72" spans="1:5" s="30" customFormat="1" ht="12">
      <c r="A72" s="622"/>
      <c r="B72" s="623"/>
      <c r="C72" s="56"/>
      <c r="D72" s="57"/>
      <c r="E72" s="30" t="s">
        <v>82</v>
      </c>
    </row>
    <row r="73" spans="1:5" s="34" customFormat="1">
      <c r="A73" s="49"/>
      <c r="B73" s="8"/>
      <c r="C73" s="8"/>
      <c r="D73" s="8"/>
      <c r="E73" s="33" t="s">
        <v>83</v>
      </c>
    </row>
    <row r="74" spans="1:5" s="58" customFormat="1" ht="12">
      <c r="A74" s="598" t="s">
        <v>84</v>
      </c>
      <c r="B74" s="599"/>
      <c r="C74" s="599"/>
      <c r="D74" s="600"/>
      <c r="E74" s="16" t="s">
        <v>84</v>
      </c>
    </row>
    <row r="75" spans="1:5" s="58" customFormat="1" ht="12">
      <c r="A75" s="59" t="s">
        <v>85</v>
      </c>
      <c r="B75" s="60" t="s">
        <v>86</v>
      </c>
      <c r="C75" s="624" t="s">
        <v>61</v>
      </c>
      <c r="D75" s="625"/>
      <c r="E75" s="16" t="s">
        <v>87</v>
      </c>
    </row>
    <row r="76" spans="1:5" s="58" customFormat="1" ht="12">
      <c r="A76" s="61" t="s">
        <v>697</v>
      </c>
      <c r="B76" s="62" t="s">
        <v>698</v>
      </c>
      <c r="C76" s="605" t="s">
        <v>699</v>
      </c>
      <c r="D76" s="606"/>
      <c r="E76" s="13" t="s">
        <v>88</v>
      </c>
    </row>
    <row r="77" spans="1:5" s="58" customFormat="1">
      <c r="A77" s="63"/>
      <c r="B77" s="64"/>
      <c r="C77" s="596"/>
      <c r="D77" s="597"/>
      <c r="E77" s="16"/>
    </row>
    <row r="78" spans="1:5" s="58" customFormat="1">
      <c r="A78" s="63"/>
      <c r="B78" s="64"/>
      <c r="C78" s="596"/>
      <c r="D78" s="597"/>
      <c r="E78" s="16"/>
    </row>
    <row r="79" spans="1:5" s="58" customFormat="1">
      <c r="A79" s="63"/>
      <c r="B79" s="64"/>
      <c r="C79" s="596"/>
      <c r="D79" s="597"/>
      <c r="E79" s="16"/>
    </row>
    <row r="80" spans="1:5" s="58" customFormat="1">
      <c r="A80" s="63"/>
      <c r="B80" s="64"/>
      <c r="C80" s="596"/>
      <c r="D80" s="597"/>
      <c r="E80" s="16"/>
    </row>
    <row r="81" spans="1:5" s="58" customFormat="1">
      <c r="A81" s="65"/>
      <c r="B81" s="66"/>
      <c r="C81" s="594"/>
      <c r="D81" s="595"/>
      <c r="E81" s="16"/>
    </row>
    <row r="82" spans="1:5" s="58" customFormat="1" ht="12">
      <c r="A82" s="598" t="s">
        <v>89</v>
      </c>
      <c r="B82" s="599"/>
      <c r="C82" s="599"/>
      <c r="D82" s="600"/>
      <c r="E82" s="16" t="s">
        <v>90</v>
      </c>
    </row>
    <row r="83" spans="1:5" s="58" customFormat="1" ht="12">
      <c r="A83" s="67" t="s">
        <v>85</v>
      </c>
      <c r="B83" s="68" t="s">
        <v>86</v>
      </c>
      <c r="C83" s="601" t="s">
        <v>61</v>
      </c>
      <c r="D83" s="602"/>
      <c r="E83" s="16" t="s">
        <v>87</v>
      </c>
    </row>
    <row r="84" spans="1:5" s="58" customFormat="1">
      <c r="A84" s="63"/>
      <c r="B84" s="64"/>
      <c r="C84" s="603"/>
      <c r="D84" s="604"/>
      <c r="E84" s="16"/>
    </row>
    <row r="85" spans="1:5" s="58" customFormat="1">
      <c r="A85" s="63"/>
      <c r="B85" s="64"/>
      <c r="C85" s="596"/>
      <c r="D85" s="597"/>
      <c r="E85" s="16"/>
    </row>
    <row r="86" spans="1:5" s="58" customFormat="1">
      <c r="A86" s="63"/>
      <c r="B86" s="64"/>
      <c r="C86" s="596"/>
      <c r="D86" s="597"/>
      <c r="E86" s="16"/>
    </row>
    <row r="87" spans="1:5" s="58" customFormat="1">
      <c r="A87" s="63"/>
      <c r="B87" s="64"/>
      <c r="C87" s="596"/>
      <c r="D87" s="597"/>
      <c r="E87" s="16"/>
    </row>
    <row r="88" spans="1:5" s="69" customFormat="1">
      <c r="A88" s="65"/>
      <c r="B88" s="66"/>
      <c r="C88" s="594"/>
      <c r="D88" s="595"/>
      <c r="E88" s="31"/>
    </row>
    <row r="89" spans="1:5" s="70" customFormat="1"/>
    <row r="90" spans="1:5" s="58" customFormat="1"/>
    <row r="91" spans="1:5" s="58" customFormat="1"/>
    <row r="92" spans="1:5" s="58" customFormat="1"/>
    <row r="93" spans="1:5" s="58" customFormat="1"/>
    <row r="94" spans="1:5" s="58" customFormat="1"/>
    <row r="95" spans="1:5" s="58" customFormat="1"/>
    <row r="96" spans="1:5" s="58" customFormat="1"/>
    <row r="97" spans="1:5" s="58" customFormat="1"/>
    <row r="98" spans="1:5" s="58" customFormat="1"/>
    <row r="99" spans="1:5" s="58" customFormat="1"/>
    <row r="100" spans="1:5" s="58" customFormat="1"/>
    <row r="101" spans="1:5" s="58" customFormat="1"/>
    <row r="102" spans="1:5" s="58" customFormat="1"/>
    <row r="103" spans="1:5" s="58" customFormat="1"/>
    <row r="104" spans="1:5" s="58" customFormat="1"/>
    <row r="105" spans="1:5" s="58" customFormat="1"/>
    <row r="107" spans="1:5" hidden="1">
      <c r="A107" s="71" t="s">
        <v>91</v>
      </c>
      <c r="B107" s="71"/>
      <c r="C107" s="71"/>
      <c r="D107" s="71"/>
      <c r="E107" s="72"/>
    </row>
    <row r="108" spans="1:5" hidden="1">
      <c r="A108" s="30" t="s">
        <v>92</v>
      </c>
      <c r="B108" s="73" t="s">
        <v>93</v>
      </c>
      <c r="C108" s="30" t="s">
        <v>12</v>
      </c>
      <c r="D108" s="74"/>
    </row>
    <row r="109" spans="1:5" hidden="1">
      <c r="A109" s="15"/>
      <c r="B109" s="15"/>
    </row>
    <row r="110" spans="1:5" ht="14.4" hidden="1">
      <c r="A110" t="s">
        <v>94</v>
      </c>
      <c r="B110" s="75" t="s">
        <v>95</v>
      </c>
      <c r="C110" s="6" t="s">
        <v>96</v>
      </c>
      <c r="E110"/>
    </row>
    <row r="111" spans="1:5" ht="14.4" hidden="1">
      <c r="A111" s="6" t="s">
        <v>97</v>
      </c>
      <c r="B111" s="75" t="s">
        <v>98</v>
      </c>
      <c r="C111" s="6" t="s">
        <v>99</v>
      </c>
      <c r="E111"/>
    </row>
    <row r="112" spans="1:5" ht="14.4" hidden="1">
      <c r="A112" t="s">
        <v>100</v>
      </c>
      <c r="B112" s="75" t="s">
        <v>101</v>
      </c>
      <c r="C112" s="6" t="s">
        <v>102</v>
      </c>
      <c r="E112"/>
    </row>
    <row r="113" spans="1:5" ht="14.4" hidden="1">
      <c r="A113" t="s">
        <v>103</v>
      </c>
      <c r="B113" s="75" t="s">
        <v>104</v>
      </c>
      <c r="C113" s="6" t="s">
        <v>105</v>
      </c>
      <c r="E113"/>
    </row>
    <row r="114" spans="1:5" ht="14.4" hidden="1">
      <c r="A114" t="s">
        <v>106</v>
      </c>
      <c r="B114" s="75" t="s">
        <v>107</v>
      </c>
      <c r="C114" s="6" t="s">
        <v>108</v>
      </c>
      <c r="E114"/>
    </row>
    <row r="115" spans="1:5" ht="14.4" hidden="1">
      <c r="A115"/>
      <c r="B115" s="75" t="s">
        <v>109</v>
      </c>
      <c r="C115" s="6" t="s">
        <v>110</v>
      </c>
      <c r="E115"/>
    </row>
    <row r="116" spans="1:5" ht="14.4" hidden="1">
      <c r="A116"/>
      <c r="B116" s="75" t="s">
        <v>111</v>
      </c>
      <c r="C116" s="6" t="s">
        <v>112</v>
      </c>
      <c r="E116"/>
    </row>
    <row r="117" spans="1:5" ht="14.4" hidden="1">
      <c r="A117"/>
      <c r="B117" s="75" t="s">
        <v>113</v>
      </c>
      <c r="C117" s="6" t="s">
        <v>114</v>
      </c>
      <c r="E117"/>
    </row>
    <row r="118" spans="1:5" ht="14.4" hidden="1">
      <c r="A118"/>
      <c r="B118" s="75" t="s">
        <v>115</v>
      </c>
      <c r="C118" s="6" t="s">
        <v>116</v>
      </c>
      <c r="E118"/>
    </row>
    <row r="119" spans="1:5" ht="14.4" hidden="1">
      <c r="A119"/>
      <c r="B119" s="309" t="s">
        <v>117</v>
      </c>
      <c r="C119" s="6" t="s">
        <v>118</v>
      </c>
      <c r="E119"/>
    </row>
    <row r="120" spans="1:5" ht="14.4" hidden="1">
      <c r="A120"/>
      <c r="B120" s="309" t="s">
        <v>119</v>
      </c>
      <c r="C120" s="6" t="s">
        <v>120</v>
      </c>
      <c r="E120"/>
    </row>
    <row r="121" spans="1:5" ht="14.4" hidden="1">
      <c r="A121"/>
      <c r="B121" s="309" t="s">
        <v>121</v>
      </c>
      <c r="C121" s="6" t="s">
        <v>122</v>
      </c>
      <c r="E121"/>
    </row>
    <row r="122" spans="1:5" ht="14.4" hidden="1">
      <c r="A122"/>
      <c r="B122" s="309" t="s">
        <v>123</v>
      </c>
      <c r="C122" s="6" t="s">
        <v>124</v>
      </c>
      <c r="E122"/>
    </row>
    <row r="123" spans="1:5" ht="14.4" hidden="1">
      <c r="A123"/>
      <c r="B123" s="309" t="s">
        <v>125</v>
      </c>
      <c r="C123" s="6" t="s">
        <v>126</v>
      </c>
      <c r="E123"/>
    </row>
    <row r="124" spans="1:5" ht="14.4" hidden="1">
      <c r="A124"/>
      <c r="B124" s="309" t="s">
        <v>127</v>
      </c>
      <c r="C124" s="6" t="s">
        <v>128</v>
      </c>
      <c r="E124"/>
    </row>
    <row r="125" spans="1:5" ht="14.4" hidden="1">
      <c r="A125"/>
      <c r="B125" s="309" t="s">
        <v>129</v>
      </c>
      <c r="C125" s="6" t="s">
        <v>130</v>
      </c>
      <c r="E125"/>
    </row>
    <row r="126" spans="1:5" ht="14.4" hidden="1">
      <c r="A126"/>
      <c r="B126" s="75" t="s">
        <v>131</v>
      </c>
      <c r="C126" s="6" t="s">
        <v>132</v>
      </c>
      <c r="E126"/>
    </row>
    <row r="127" spans="1:5" ht="14.4" hidden="1">
      <c r="A127"/>
      <c r="B127" s="75" t="s">
        <v>133</v>
      </c>
      <c r="C127" s="6" t="s">
        <v>134</v>
      </c>
      <c r="E127"/>
    </row>
    <row r="128" spans="1:5" ht="14.4" hidden="1">
      <c r="A128"/>
      <c r="B128" s="75" t="s">
        <v>135</v>
      </c>
      <c r="C128" s="6" t="s">
        <v>136</v>
      </c>
      <c r="E128"/>
    </row>
    <row r="129" spans="1:5" ht="14.4" hidden="1">
      <c r="A129"/>
      <c r="B129" s="75" t="s">
        <v>137</v>
      </c>
      <c r="C129" s="6" t="s">
        <v>138</v>
      </c>
      <c r="E129"/>
    </row>
    <row r="130" spans="1:5" ht="14.4" hidden="1">
      <c r="A130"/>
      <c r="B130" s="75" t="s">
        <v>139</v>
      </c>
      <c r="C130" s="6" t="s">
        <v>140</v>
      </c>
      <c r="E130"/>
    </row>
    <row r="131" spans="1:5" ht="14.4" hidden="1">
      <c r="A131"/>
      <c r="B131" s="75" t="s">
        <v>141</v>
      </c>
      <c r="C131" s="6" t="s">
        <v>142</v>
      </c>
      <c r="E131"/>
    </row>
    <row r="132" spans="1:5" ht="14.4" hidden="1">
      <c r="A132"/>
      <c r="B132" s="75" t="s">
        <v>143</v>
      </c>
      <c r="C132" s="6" t="s">
        <v>144</v>
      </c>
      <c r="E132"/>
    </row>
    <row r="133" spans="1:5" ht="14.4" hidden="1">
      <c r="A133"/>
      <c r="B133" s="75" t="s">
        <v>145</v>
      </c>
      <c r="C133" s="6" t="s">
        <v>146</v>
      </c>
      <c r="E133"/>
    </row>
    <row r="134" spans="1:5" ht="14.4" hidden="1">
      <c r="A134"/>
      <c r="B134" s="75" t="s">
        <v>147</v>
      </c>
      <c r="C134" s="6" t="s">
        <v>148</v>
      </c>
      <c r="E134"/>
    </row>
    <row r="135" spans="1:5" ht="14.4" hidden="1">
      <c r="A135"/>
      <c r="B135" s="75" t="s">
        <v>149</v>
      </c>
      <c r="C135" s="6" t="s">
        <v>150</v>
      </c>
      <c r="E135"/>
    </row>
    <row r="136" spans="1:5" ht="14.4" hidden="1">
      <c r="A136"/>
      <c r="B136" s="75" t="s">
        <v>151</v>
      </c>
      <c r="C136" s="6" t="s">
        <v>152</v>
      </c>
      <c r="E136"/>
    </row>
    <row r="137" spans="1:5" ht="14.4" hidden="1">
      <c r="A137"/>
      <c r="B137" s="75" t="s">
        <v>153</v>
      </c>
      <c r="C137" s="6" t="s">
        <v>154</v>
      </c>
      <c r="E137"/>
    </row>
    <row r="138" spans="1:5" ht="14.4" hidden="1">
      <c r="A138"/>
      <c r="B138" s="75" t="s">
        <v>155</v>
      </c>
      <c r="C138" s="6" t="s">
        <v>156</v>
      </c>
      <c r="E138"/>
    </row>
    <row r="139" spans="1:5" ht="14.4" hidden="1">
      <c r="A139"/>
      <c r="B139" s="75" t="s">
        <v>157</v>
      </c>
      <c r="C139" s="6" t="s">
        <v>158</v>
      </c>
      <c r="E139"/>
    </row>
    <row r="140" spans="1:5" ht="14.4" hidden="1">
      <c r="A140"/>
      <c r="B140" s="75" t="s">
        <v>159</v>
      </c>
      <c r="C140" s="6" t="s">
        <v>160</v>
      </c>
      <c r="E140"/>
    </row>
    <row r="141" spans="1:5" ht="14.4" hidden="1">
      <c r="A141"/>
      <c r="B141" s="75" t="s">
        <v>161</v>
      </c>
      <c r="C141" s="6" t="s">
        <v>162</v>
      </c>
      <c r="E141"/>
    </row>
    <row r="142" spans="1:5" ht="14.4" hidden="1">
      <c r="A142"/>
      <c r="B142" s="75" t="s">
        <v>163</v>
      </c>
      <c r="C142" s="6" t="s">
        <v>164</v>
      </c>
      <c r="E142"/>
    </row>
    <row r="143" spans="1:5" ht="14.4" hidden="1">
      <c r="A143"/>
      <c r="B143" s="75" t="s">
        <v>165</v>
      </c>
      <c r="C143" s="6" t="s">
        <v>166</v>
      </c>
      <c r="E143"/>
    </row>
    <row r="144" spans="1:5" ht="14.4" hidden="1">
      <c r="A144"/>
      <c r="B144" s="75" t="s">
        <v>167</v>
      </c>
      <c r="C144" s="6" t="s">
        <v>168</v>
      </c>
      <c r="D144" s="76"/>
      <c r="E144"/>
    </row>
    <row r="145" spans="1:5" ht="14.4" hidden="1">
      <c r="B145" s="75" t="s">
        <v>169</v>
      </c>
      <c r="C145" s="6" t="s">
        <v>170</v>
      </c>
      <c r="E145"/>
    </row>
    <row r="146" spans="1:5" ht="14.4" hidden="1">
      <c r="A146"/>
      <c r="B146" s="75" t="s">
        <v>171</v>
      </c>
      <c r="C146" s="6" t="s">
        <v>172</v>
      </c>
      <c r="E146"/>
    </row>
    <row r="147" spans="1:5" ht="14.4" hidden="1">
      <c r="A147"/>
      <c r="B147" s="75" t="s">
        <v>173</v>
      </c>
      <c r="C147" s="6" t="s">
        <v>174</v>
      </c>
      <c r="E147"/>
    </row>
    <row r="148" spans="1:5" ht="14.4" hidden="1">
      <c r="A148"/>
      <c r="B148" s="75" t="s">
        <v>175</v>
      </c>
      <c r="C148" s="6" t="s">
        <v>176</v>
      </c>
      <c r="E148"/>
    </row>
    <row r="149" spans="1:5" ht="14.4" hidden="1">
      <c r="A149"/>
      <c r="B149" s="75" t="s">
        <v>177</v>
      </c>
      <c r="C149" s="6" t="s">
        <v>178</v>
      </c>
      <c r="E149"/>
    </row>
    <row r="150" spans="1:5" ht="14.4" hidden="1">
      <c r="A150"/>
      <c r="B150" s="75" t="s">
        <v>179</v>
      </c>
      <c r="C150" s="6" t="s">
        <v>180</v>
      </c>
      <c r="E150"/>
    </row>
    <row r="151" spans="1:5" ht="14.4" hidden="1">
      <c r="B151" s="75" t="s">
        <v>181</v>
      </c>
      <c r="C151" s="6" t="s">
        <v>182</v>
      </c>
      <c r="E151"/>
    </row>
    <row r="152" spans="1:5" ht="14.4" hidden="1">
      <c r="A152"/>
      <c r="B152" s="75" t="s">
        <v>183</v>
      </c>
      <c r="C152" s="6" t="s">
        <v>184</v>
      </c>
      <c r="E152"/>
    </row>
    <row r="153" spans="1:5" ht="14.4" hidden="1">
      <c r="A153"/>
      <c r="B153" s="75" t="s">
        <v>185</v>
      </c>
      <c r="C153" s="6" t="s">
        <v>186</v>
      </c>
      <c r="E153"/>
    </row>
    <row r="154" spans="1:5" ht="14.4" hidden="1">
      <c r="A154"/>
      <c r="B154" s="75" t="s">
        <v>187</v>
      </c>
      <c r="C154" s="6" t="s">
        <v>188</v>
      </c>
      <c r="E154"/>
    </row>
    <row r="155" spans="1:5" ht="14.4" hidden="1">
      <c r="A155"/>
      <c r="B155" s="75" t="s">
        <v>189</v>
      </c>
      <c r="C155" s="6" t="s">
        <v>190</v>
      </c>
      <c r="E155"/>
    </row>
    <row r="156" spans="1:5" ht="14.4" hidden="1">
      <c r="B156" s="75" t="s">
        <v>191</v>
      </c>
      <c r="C156" s="6" t="s">
        <v>192</v>
      </c>
      <c r="E156"/>
    </row>
    <row r="157" spans="1:5" ht="14.4" hidden="1">
      <c r="A157"/>
      <c r="B157" s="75" t="s">
        <v>193</v>
      </c>
      <c r="C157" s="6" t="s">
        <v>194</v>
      </c>
      <c r="E157"/>
    </row>
    <row r="158" spans="1:5" ht="14.4" hidden="1">
      <c r="A158"/>
      <c r="B158" s="75" t="s">
        <v>195</v>
      </c>
      <c r="C158" s="6" t="s">
        <v>196</v>
      </c>
      <c r="E158"/>
    </row>
    <row r="159" spans="1:5" ht="14.4" hidden="1">
      <c r="A159"/>
      <c r="B159" s="75" t="s">
        <v>197</v>
      </c>
      <c r="C159" s="6" t="s">
        <v>198</v>
      </c>
      <c r="E159"/>
    </row>
    <row r="160" spans="1:5" ht="14.4" hidden="1">
      <c r="A160"/>
      <c r="B160" s="75" t="s">
        <v>199</v>
      </c>
      <c r="C160" s="6" t="s">
        <v>200</v>
      </c>
      <c r="E160"/>
    </row>
    <row r="161" spans="1:5" ht="14.4" hidden="1">
      <c r="A161"/>
      <c r="B161" s="75" t="s">
        <v>201</v>
      </c>
      <c r="C161" s="6" t="s">
        <v>202</v>
      </c>
      <c r="E161"/>
    </row>
    <row r="162" spans="1:5" ht="14.4" hidden="1">
      <c r="A162"/>
      <c r="B162" s="75" t="s">
        <v>203</v>
      </c>
      <c r="C162" s="6" t="s">
        <v>204</v>
      </c>
      <c r="E162" s="75"/>
    </row>
    <row r="163" spans="1:5" ht="14.4" hidden="1">
      <c r="A163"/>
      <c r="B163" s="75" t="s">
        <v>205</v>
      </c>
      <c r="C163" s="6" t="s">
        <v>206</v>
      </c>
      <c r="E163"/>
    </row>
    <row r="164" spans="1:5" ht="14.4" hidden="1">
      <c r="A164"/>
      <c r="B164" s="75" t="s">
        <v>207</v>
      </c>
      <c r="C164" s="6" t="s">
        <v>208</v>
      </c>
      <c r="D164" s="76"/>
      <c r="E164"/>
    </row>
    <row r="165" spans="1:5" ht="14.4" hidden="1">
      <c r="A165"/>
      <c r="B165" s="75" t="s">
        <v>209</v>
      </c>
      <c r="C165" s="6" t="s">
        <v>210</v>
      </c>
      <c r="D165" s="76"/>
      <c r="E165"/>
    </row>
    <row r="166" spans="1:5" ht="14.4" hidden="1">
      <c r="A166"/>
      <c r="B166" s="75" t="s">
        <v>211</v>
      </c>
      <c r="C166" s="6" t="s">
        <v>212</v>
      </c>
      <c r="D166" s="76"/>
    </row>
    <row r="167" spans="1:5" ht="14.4" hidden="1">
      <c r="A167"/>
      <c r="B167" s="75" t="s">
        <v>159</v>
      </c>
      <c r="C167" s="6" t="s">
        <v>213</v>
      </c>
      <c r="D167" s="76"/>
    </row>
    <row r="168" spans="1:5" ht="14.4" hidden="1">
      <c r="A168"/>
      <c r="B168" s="75" t="s">
        <v>214</v>
      </c>
      <c r="C168" s="6" t="s">
        <v>215</v>
      </c>
    </row>
    <row r="169" spans="1:5" ht="14.4" hidden="1">
      <c r="A169"/>
      <c r="B169" s="75" t="s">
        <v>216</v>
      </c>
      <c r="C169" s="6" t="s">
        <v>217</v>
      </c>
    </row>
    <row r="170" spans="1:5" ht="13.2" hidden="1">
      <c r="B170" s="75" t="s">
        <v>218</v>
      </c>
      <c r="C170" s="6" t="s">
        <v>219</v>
      </c>
    </row>
    <row r="171" spans="1:5" ht="13.2" hidden="1">
      <c r="B171" s="75" t="s">
        <v>220</v>
      </c>
      <c r="C171" s="6" t="s">
        <v>221</v>
      </c>
    </row>
    <row r="172" spans="1:5" ht="13.2" hidden="1">
      <c r="B172" s="75" t="s">
        <v>222</v>
      </c>
      <c r="C172" s="6" t="s">
        <v>223</v>
      </c>
      <c r="D172" s="76"/>
    </row>
    <row r="173" spans="1:5" ht="13.2" hidden="1">
      <c r="B173" s="75" t="s">
        <v>224</v>
      </c>
      <c r="C173" s="6" t="s">
        <v>225</v>
      </c>
      <c r="D173" s="76"/>
    </row>
    <row r="174" spans="1:5" ht="13.2" hidden="1">
      <c r="B174" s="75" t="s">
        <v>226</v>
      </c>
      <c r="C174" s="6" t="s">
        <v>227</v>
      </c>
    </row>
    <row r="175" spans="1:5" ht="13.2" hidden="1">
      <c r="B175" s="75" t="s">
        <v>228</v>
      </c>
      <c r="C175" s="6" t="s">
        <v>229</v>
      </c>
    </row>
    <row r="176" spans="1:5" ht="13.2" hidden="1">
      <c r="B176" s="75" t="s">
        <v>230</v>
      </c>
      <c r="C176" s="6" t="s">
        <v>231</v>
      </c>
    </row>
    <row r="177" spans="1:4" ht="13.2" hidden="1">
      <c r="B177" s="75" t="s">
        <v>232</v>
      </c>
      <c r="C177" s="6" t="s">
        <v>233</v>
      </c>
    </row>
    <row r="178" spans="1:4" ht="13.2" hidden="1">
      <c r="B178" s="75" t="s">
        <v>234</v>
      </c>
      <c r="C178" s="6" t="s">
        <v>235</v>
      </c>
    </row>
    <row r="179" spans="1:4" ht="13.2" hidden="1">
      <c r="B179" s="75" t="s">
        <v>236</v>
      </c>
      <c r="C179" s="6" t="s">
        <v>237</v>
      </c>
    </row>
    <row r="180" spans="1:4" ht="13.2" hidden="1">
      <c r="B180" s="75" t="s">
        <v>238</v>
      </c>
      <c r="C180" s="6" t="s">
        <v>239</v>
      </c>
    </row>
    <row r="181" spans="1:4" ht="13.2" hidden="1">
      <c r="B181" s="75" t="s">
        <v>240</v>
      </c>
      <c r="C181" s="6" t="s">
        <v>241</v>
      </c>
    </row>
    <row r="182" spans="1:4" ht="13.2" hidden="1">
      <c r="B182" s="75" t="s">
        <v>242</v>
      </c>
      <c r="C182" s="6" t="s">
        <v>243</v>
      </c>
    </row>
    <row r="183" spans="1:4" ht="13.2" hidden="1">
      <c r="B183" s="75" t="s">
        <v>244</v>
      </c>
      <c r="C183" s="6" t="s">
        <v>245</v>
      </c>
      <c r="D183" s="77"/>
    </row>
    <row r="184" spans="1:4" ht="13.2" hidden="1">
      <c r="B184" s="75" t="s">
        <v>246</v>
      </c>
      <c r="C184" s="6" t="s">
        <v>247</v>
      </c>
    </row>
    <row r="185" spans="1:4" ht="13.2" hidden="1">
      <c r="B185" s="75" t="s">
        <v>248</v>
      </c>
      <c r="C185" s="6" t="s">
        <v>249</v>
      </c>
    </row>
    <row r="186" spans="1:4" ht="13.2" hidden="1">
      <c r="B186" s="75" t="s">
        <v>250</v>
      </c>
      <c r="C186" s="6" t="s">
        <v>251</v>
      </c>
    </row>
    <row r="187" spans="1:4" ht="13.2" hidden="1">
      <c r="A187" s="77"/>
      <c r="B187" s="75" t="s">
        <v>252</v>
      </c>
      <c r="C187" s="6" t="s">
        <v>253</v>
      </c>
    </row>
    <row r="188" spans="1:4" ht="13.2" hidden="1">
      <c r="B188" s="75" t="s">
        <v>254</v>
      </c>
      <c r="C188" s="6" t="s">
        <v>255</v>
      </c>
    </row>
    <row r="189" spans="1:4" ht="13.2" hidden="1">
      <c r="A189" s="58"/>
      <c r="B189" s="75" t="s">
        <v>256</v>
      </c>
      <c r="C189" s="6" t="s">
        <v>257</v>
      </c>
    </row>
    <row r="190" spans="1:4" ht="13.2" hidden="1">
      <c r="A190" s="58"/>
      <c r="B190" s="75" t="s">
        <v>258</v>
      </c>
      <c r="C190" s="6" t="s">
        <v>259</v>
      </c>
    </row>
    <row r="191" spans="1:4" ht="13.2" hidden="1">
      <c r="A191" s="58"/>
      <c r="B191" s="75" t="s">
        <v>260</v>
      </c>
      <c r="C191" s="6" t="s">
        <v>261</v>
      </c>
    </row>
    <row r="192" spans="1:4" ht="13.2" hidden="1">
      <c r="A192" s="58"/>
      <c r="B192" s="75" t="s">
        <v>262</v>
      </c>
      <c r="C192" s="6" t="s">
        <v>263</v>
      </c>
    </row>
    <row r="193" spans="1:4" ht="13.2" hidden="1">
      <c r="A193" s="58"/>
      <c r="B193" s="75" t="s">
        <v>264</v>
      </c>
      <c r="C193" s="6" t="s">
        <v>265</v>
      </c>
    </row>
    <row r="194" spans="1:4" ht="13.2" hidden="1">
      <c r="A194" s="58"/>
      <c r="B194" s="75" t="s">
        <v>266</v>
      </c>
      <c r="C194" s="6" t="s">
        <v>267</v>
      </c>
    </row>
    <row r="195" spans="1:4" ht="13.2" hidden="1">
      <c r="A195" s="58"/>
      <c r="B195" s="75" t="s">
        <v>268</v>
      </c>
      <c r="C195" s="6" t="s">
        <v>269</v>
      </c>
      <c r="D195" s="77"/>
    </row>
    <row r="196" spans="1:4" ht="13.2" hidden="1">
      <c r="A196" s="58"/>
      <c r="B196" s="75" t="s">
        <v>268</v>
      </c>
      <c r="C196" s="6" t="s">
        <v>270</v>
      </c>
    </row>
    <row r="197" spans="1:4" hidden="1">
      <c r="C197" s="6" t="s">
        <v>271</v>
      </c>
      <c r="D197" s="58"/>
    </row>
    <row r="198" spans="1:4" hidden="1">
      <c r="C198" s="6" t="s">
        <v>272</v>
      </c>
      <c r="D198" s="58"/>
    </row>
    <row r="199" spans="1:4">
      <c r="D199" s="58"/>
    </row>
    <row r="200" spans="1:4">
      <c r="D200" s="58"/>
    </row>
    <row r="201" spans="1:4">
      <c r="D201" s="58"/>
    </row>
    <row r="202" spans="1:4" ht="13.2">
      <c r="B202" s="75"/>
      <c r="D202" s="58"/>
    </row>
    <row r="203" spans="1:4" ht="13.2">
      <c r="B203" s="75"/>
      <c r="D203" s="58"/>
    </row>
    <row r="204" spans="1:4" ht="13.2">
      <c r="B204" s="75"/>
      <c r="D204" s="58"/>
    </row>
    <row r="205" spans="1:4">
      <c r="B205" s="78"/>
    </row>
    <row r="206" spans="1:4">
      <c r="B206" s="78"/>
    </row>
    <row r="321" spans="1:5">
      <c r="A321" s="71" t="s">
        <v>91</v>
      </c>
      <c r="B321" s="71"/>
      <c r="C321" s="71"/>
      <c r="D321" s="71"/>
      <c r="E321" s="72"/>
    </row>
  </sheetData>
  <sheetProtection algorithmName="SHA-512" hashValue="O/wPjUTdKFsUbGlbuBBiNwEO2dvmG2rI7LLS2oj2Lqcp04SvJdvLf/KOfTRRbLoKyacUbQeB3uZtZA7stZP6Dw==" saltValue="o/vO1bSijidpIClUH5KrZA==" spinCount="100000" sheet="1" objects="1" scenarios="1"/>
  <mergeCells count="70">
    <mergeCell ref="A6:D6"/>
    <mergeCell ref="C1:D1"/>
    <mergeCell ref="A2:B2"/>
    <mergeCell ref="C2:D2"/>
    <mergeCell ref="A3:D3"/>
    <mergeCell ref="A4:D4"/>
    <mergeCell ref="A7:D7"/>
    <mergeCell ref="A8:D8"/>
    <mergeCell ref="A9:D9"/>
    <mergeCell ref="A10:D10"/>
    <mergeCell ref="A11:D11"/>
    <mergeCell ref="A12:D12"/>
    <mergeCell ref="A13:D13"/>
    <mergeCell ref="C25:D25"/>
    <mergeCell ref="A14:D14"/>
    <mergeCell ref="A15:D15"/>
    <mergeCell ref="A16:D16"/>
    <mergeCell ref="A17:D17"/>
    <mergeCell ref="A18:D18"/>
    <mergeCell ref="C19:D19"/>
    <mergeCell ref="C20:D20"/>
    <mergeCell ref="C21:D21"/>
    <mergeCell ref="C22:D22"/>
    <mergeCell ref="C23:D23"/>
    <mergeCell ref="C24:D24"/>
    <mergeCell ref="A37:D37"/>
    <mergeCell ref="C26:D26"/>
    <mergeCell ref="C27:D27"/>
    <mergeCell ref="A28:D28"/>
    <mergeCell ref="A29:D29"/>
    <mergeCell ref="A30:D30"/>
    <mergeCell ref="A31:D31"/>
    <mergeCell ref="A32:D32"/>
    <mergeCell ref="A33:D33"/>
    <mergeCell ref="A34:D34"/>
    <mergeCell ref="A35:D35"/>
    <mergeCell ref="A36:D36"/>
    <mergeCell ref="A38:D38"/>
    <mergeCell ref="A39:D39"/>
    <mergeCell ref="A40:D40"/>
    <mergeCell ref="A41:D41"/>
    <mergeCell ref="A42:D42"/>
    <mergeCell ref="A43:D43"/>
    <mergeCell ref="A45:D45"/>
    <mergeCell ref="A46:D46"/>
    <mergeCell ref="A47:D47"/>
    <mergeCell ref="A48:D48"/>
    <mergeCell ref="C76:D76"/>
    <mergeCell ref="A49:B49"/>
    <mergeCell ref="C49:D49"/>
    <mergeCell ref="A50:D50"/>
    <mergeCell ref="A51:D51"/>
    <mergeCell ref="A52:D52"/>
    <mergeCell ref="A59:B59"/>
    <mergeCell ref="A60:B66"/>
    <mergeCell ref="A67:B72"/>
    <mergeCell ref="A74:D74"/>
    <mergeCell ref="C75:D75"/>
    <mergeCell ref="C88:D88"/>
    <mergeCell ref="C77:D77"/>
    <mergeCell ref="C78:D78"/>
    <mergeCell ref="C79:D79"/>
    <mergeCell ref="C80:D80"/>
    <mergeCell ref="C81:D81"/>
    <mergeCell ref="A82:D82"/>
    <mergeCell ref="C83:D83"/>
    <mergeCell ref="C84:D84"/>
    <mergeCell ref="C85:D85"/>
    <mergeCell ref="C86:D86"/>
    <mergeCell ref="C87:D87"/>
  </mergeCells>
  <phoneticPr fontId="73" type="noConversion"/>
  <dataValidations count="6">
    <dataValidation type="list" allowBlank="1" showInputMessage="1" showErrorMessage="1" errorTitle="Country" error="Please select country name from the list." promptTitle="Country" prompt="Please select country from list." sqref="A11:D11" xr:uid="{00000000-0002-0000-0000-000003000000}">
      <formula1>$C$109:$C$198</formula1>
    </dataValidation>
    <dataValidation type="list" errorStyle="warning" allowBlank="1" showInputMessage="1" showErrorMessage="1" errorTitle="Auditing Division" error="Click on dropdown arrow to select Division name. These are the Division names as listed on the Emerson Procurement site. Do not modify or abbreviate them. Type-in your Division name only if it is not listed." promptTitle="Division Name" prompt="Please select Division that is doing the audit._x000a__x000a_SCO AUDITORS:  Select the Division that asked the SCO to conduct the audit. Select the SCO ONLY IF the SCO is conducting the audit for general use (not for a special Division)." sqref="A45:D45" xr:uid="{00000000-0002-0000-0000-000004000000}">
      <formula1>$A$110:$A$114</formula1>
    </dataValidation>
    <dataValidation type="date" operator="greaterThanOrEqual" allowBlank="1" showInputMessage="1" showErrorMessage="1" errorTitle="Input Error Alert" error="The Corrective Action Verification date must be the equal to or later than the On-Site Audit date." sqref="A48:D48" xr:uid="{00000000-0002-0000-0000-000006000000}">
      <formula1>A47</formula1>
    </dataValidation>
    <dataValidation type="date" operator="lessThanOrEqual" allowBlank="1" showInputMessage="1" showErrorMessage="1" errorTitle="Input Error Alert" error="The Supplier Self-Audit date must be equal to or earlier than the On-Site Audit date." sqref="A46:D46" xr:uid="{00000000-0002-0000-0000-000007000000}">
      <formula1>A47</formula1>
    </dataValidation>
    <dataValidation type="list" errorStyle="warning" allowBlank="1" showInputMessage="1" showErrorMessage="1" errorTitle="Commodity Family #2 (secondary)" error="Choose from the dropdown list. Check with your Purchasing Manager or Buyer if uncertain. Type new item only if neccessary (40 char. max.)." promptTitle="Commodity Family #2 (secondary)" prompt="Select the secondary Commodity Family that best describes the second highest volume part/product provided by this supplier." sqref="C49:D49" xr:uid="{00000000-0002-0000-0000-000000000000}">
      <formula1>$B$109:$B$204</formula1>
    </dataValidation>
    <dataValidation type="list" errorStyle="warning" allowBlank="1" showInputMessage="1" showErrorMessage="1" errorTitle="Commodity Family #1 (primary)" error="Choose from the dropdown list. Check with your Purchasing Manager or Buyer if uncertain. Type new item only if neccessary (40 char. max.)." promptTitle="Commodity Family #1 (primary)" prompt="Select the primary Commodity Family that best describes the highest volume part/product provided by this supplier." sqref="A49:B49" xr:uid="{00000000-0002-0000-0000-000001000000}">
      <formula1>$B$109:$B$204</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AK132"/>
  <sheetViews>
    <sheetView showGridLines="0" tabSelected="1" zoomScaleNormal="100" workbookViewId="0">
      <pane xSplit="3" ySplit="6" topLeftCell="D7" activePane="bottomRight" state="frozen"/>
      <selection pane="topRight" activeCell="AB1" sqref="AB1"/>
      <selection pane="bottomLeft" activeCell="A7" sqref="A7"/>
      <selection pane="bottomRight" activeCell="K7" sqref="K7"/>
    </sheetView>
  </sheetViews>
  <sheetFormatPr defaultColWidth="0" defaultRowHeight="11.4"/>
  <cols>
    <col min="1" max="1" width="2.77734375" style="202" customWidth="1"/>
    <col min="2" max="2" width="9.21875" style="203" customWidth="1"/>
    <col min="3" max="3" width="4.77734375" style="117" customWidth="1"/>
    <col min="4" max="4" width="25.77734375" style="6" customWidth="1"/>
    <col min="5" max="5" width="37.21875" style="6" customWidth="1"/>
    <col min="6" max="7" width="4.44140625" style="58" customWidth="1"/>
    <col min="8" max="10" width="9.21875" style="204" customWidth="1"/>
    <col min="11" max="11" width="37.21875" style="183" customWidth="1"/>
    <col min="12" max="12" width="11.44140625" style="199" customWidth="1"/>
    <col min="13" max="13" width="12.21875" style="200" customWidth="1"/>
    <col min="14" max="14" width="7" style="205" customWidth="1"/>
    <col min="15" max="17" width="25.44140625" style="206" customWidth="1"/>
    <col min="18" max="18" width="30.21875" style="206" bestFit="1" customWidth="1"/>
    <col min="19" max="19" width="25.44140625" style="206" customWidth="1"/>
    <col min="20" max="20" width="4" style="6" customWidth="1"/>
    <col min="21" max="22" width="5.5546875" style="6" customWidth="1"/>
    <col min="23" max="23" width="7.44140625" style="142" hidden="1" customWidth="1"/>
    <col min="24" max="26" width="7.44140625" style="143" hidden="1" customWidth="1"/>
    <col min="27" max="27" width="2.21875" style="6" hidden="1" customWidth="1"/>
    <col min="28" max="28" width="14.44140625" style="6" hidden="1" customWidth="1"/>
    <col min="29" max="33" width="8.77734375" style="6" hidden="1" customWidth="1"/>
    <col min="34" max="35" width="9.21875" style="6" hidden="1" customWidth="1"/>
    <col min="36" max="36" width="5.21875" style="15" hidden="1" customWidth="1"/>
    <col min="37" max="37" width="0" style="6" hidden="1" customWidth="1"/>
    <col min="38" max="16384" width="9.21875" style="6" hidden="1"/>
  </cols>
  <sheetData>
    <row r="1" spans="1:37" s="83" customFormat="1" ht="12" customHeight="1">
      <c r="A1" s="691"/>
      <c r="B1" s="691"/>
      <c r="C1" s="692"/>
      <c r="D1" s="724" t="s">
        <v>2</v>
      </c>
      <c r="E1" s="726" t="s">
        <v>3</v>
      </c>
      <c r="F1" s="728" t="s">
        <v>273</v>
      </c>
      <c r="G1" s="728" t="s">
        <v>274</v>
      </c>
      <c r="H1" s="493">
        <f>COUNTIF(H7:H86,100)</f>
        <v>0</v>
      </c>
      <c r="I1" s="493">
        <f>COUNTIF(I7:I86,100)</f>
        <v>0</v>
      </c>
      <c r="J1" s="493">
        <f>COUNTIF(J7:J86,100)</f>
        <v>0</v>
      </c>
      <c r="K1" s="494" t="str">
        <f>IF(SUM($I$1:$J$1)&gt;=2,"Refer to VSAC Auditor Scoring Guide when using score of '100'.","")</f>
        <v/>
      </c>
      <c r="L1" s="305"/>
      <c r="M1" s="723" t="s">
        <v>0</v>
      </c>
      <c r="N1" s="723"/>
      <c r="O1" s="723"/>
      <c r="P1" s="79"/>
      <c r="Q1" s="80"/>
      <c r="R1" s="81"/>
      <c r="S1" s="82"/>
      <c r="T1" s="711" t="s">
        <v>275</v>
      </c>
      <c r="W1" s="84" t="s">
        <v>276</v>
      </c>
      <c r="X1" s="85"/>
      <c r="Y1" s="85"/>
      <c r="Z1" s="85"/>
      <c r="AA1" s="3"/>
      <c r="AB1" s="86" t="s">
        <v>277</v>
      </c>
      <c r="AC1" s="87">
        <v>0</v>
      </c>
      <c r="AD1" s="87">
        <v>40</v>
      </c>
      <c r="AE1" s="87">
        <v>60</v>
      </c>
      <c r="AF1" s="87">
        <v>70</v>
      </c>
      <c r="AG1" s="87">
        <v>80</v>
      </c>
      <c r="AH1" s="102">
        <v>100</v>
      </c>
      <c r="AI1" s="89" t="s">
        <v>278</v>
      </c>
      <c r="AJ1" s="90" t="s">
        <v>279</v>
      </c>
      <c r="AK1" s="91"/>
    </row>
    <row r="2" spans="1:37" s="99" customFormat="1" ht="13.2">
      <c r="A2" s="355"/>
      <c r="B2" s="355"/>
      <c r="C2" s="355"/>
      <c r="D2" s="725"/>
      <c r="E2" s="727"/>
      <c r="F2" s="729"/>
      <c r="G2" s="729"/>
      <c r="H2" s="352"/>
      <c r="I2" s="354"/>
      <c r="J2" s="352"/>
      <c r="K2" s="352"/>
      <c r="L2" s="355"/>
      <c r="M2" s="355"/>
      <c r="N2" s="92"/>
      <c r="O2" s="93"/>
      <c r="P2" s="94"/>
      <c r="Q2" s="94"/>
      <c r="R2" s="94"/>
      <c r="S2" s="95"/>
      <c r="T2" s="712"/>
      <c r="U2" s="96"/>
      <c r="V2" s="96"/>
      <c r="W2" s="98" t="s">
        <v>276</v>
      </c>
      <c r="Y2" s="100"/>
      <c r="Z2" s="100"/>
      <c r="AA2" s="101"/>
      <c r="AB2" s="86" t="s">
        <v>280</v>
      </c>
      <c r="AC2" s="87">
        <v>0</v>
      </c>
      <c r="AD2" s="87">
        <v>40</v>
      </c>
      <c r="AE2" s="87">
        <v>60</v>
      </c>
      <c r="AF2" s="87">
        <v>70</v>
      </c>
      <c r="AG2" s="87">
        <v>80</v>
      </c>
      <c r="AH2" s="102">
        <v>100</v>
      </c>
      <c r="AI2" s="103" t="s">
        <v>281</v>
      </c>
      <c r="AJ2" s="104" t="s">
        <v>279</v>
      </c>
    </row>
    <row r="3" spans="1:37" s="75" customFormat="1" ht="15" customHeight="1" thickBot="1">
      <c r="A3" s="311"/>
      <c r="B3" s="106"/>
      <c r="C3" s="107"/>
      <c r="D3" s="558" t="s">
        <v>282</v>
      </c>
      <c r="E3" s="431" t="str">
        <f>IF('Supplier Profile &amp; Audit Plan'!$A$6="","",'Supplier Profile &amp; Audit Plan'!$A$6)</f>
        <v>Savannah Tank &amp; Equipment Corp.</v>
      </c>
      <c r="F3" s="729"/>
      <c r="G3" s="729"/>
      <c r="H3" s="732" t="s">
        <v>283</v>
      </c>
      <c r="I3" s="732" t="s">
        <v>284</v>
      </c>
      <c r="J3" s="732" t="s">
        <v>285</v>
      </c>
      <c r="K3" s="735" t="s">
        <v>286</v>
      </c>
      <c r="L3" s="721" t="s">
        <v>287</v>
      </c>
      <c r="M3" s="738" t="s">
        <v>288</v>
      </c>
      <c r="N3" s="739" t="s">
        <v>289</v>
      </c>
      <c r="O3" s="733" t="s">
        <v>290</v>
      </c>
      <c r="P3" s="734" t="s">
        <v>291</v>
      </c>
      <c r="Q3" s="731" t="s">
        <v>292</v>
      </c>
      <c r="R3" s="722" t="s">
        <v>293</v>
      </c>
      <c r="S3" s="713" t="s">
        <v>294</v>
      </c>
      <c r="T3" s="712"/>
      <c r="U3" s="108"/>
      <c r="V3" s="108"/>
      <c r="W3" s="110" t="s">
        <v>276</v>
      </c>
      <c r="X3" s="710" t="s">
        <v>295</v>
      </c>
      <c r="Y3" s="710" t="s">
        <v>296</v>
      </c>
      <c r="Z3" s="710" t="s">
        <v>297</v>
      </c>
      <c r="AA3" s="111"/>
      <c r="AB3" s="112" t="s">
        <v>298</v>
      </c>
      <c r="AC3" s="113">
        <v>0</v>
      </c>
      <c r="AD3" s="113">
        <v>40</v>
      </c>
      <c r="AE3" s="113">
        <v>60</v>
      </c>
      <c r="AF3" s="113">
        <v>70</v>
      </c>
      <c r="AG3" s="113">
        <v>80</v>
      </c>
      <c r="AH3" s="114">
        <v>100</v>
      </c>
      <c r="AI3" s="103" t="s">
        <v>299</v>
      </c>
      <c r="AJ3" s="104" t="s">
        <v>279</v>
      </c>
      <c r="AK3" s="115"/>
    </row>
    <row r="4" spans="1:37" s="115" customFormat="1" ht="12.75" customHeight="1">
      <c r="A4" s="311"/>
      <c r="B4" s="116"/>
      <c r="C4" s="117"/>
      <c r="D4" s="433" t="str">
        <f>IF('Supplier Profile &amp; Audit Plan'!$A$47&gt;0,'Supplier Profile &amp; Audit Plan'!$A$47,'Supplier Profile &amp; Audit Plan'!$A$46)</f>
        <v>TBD</v>
      </c>
      <c r="E4" s="432" t="str">
        <f>IF('Supplier Profile &amp; Audit Plan'!$A$49="","",'Supplier Profile &amp; Audit Plan'!$A$49)</f>
        <v>Sheet Metal &amp; Enclosure</v>
      </c>
      <c r="F4" s="729"/>
      <c r="G4" s="729"/>
      <c r="H4" s="732"/>
      <c r="I4" s="732"/>
      <c r="J4" s="732"/>
      <c r="K4" s="735"/>
      <c r="L4" s="721"/>
      <c r="M4" s="738"/>
      <c r="N4" s="740"/>
      <c r="O4" s="733"/>
      <c r="P4" s="734"/>
      <c r="Q4" s="731"/>
      <c r="R4" s="722"/>
      <c r="S4" s="714"/>
      <c r="T4" s="712"/>
      <c r="U4" s="108"/>
      <c r="V4" s="108"/>
      <c r="W4" s="98" t="s">
        <v>276</v>
      </c>
      <c r="X4" s="710"/>
      <c r="Y4" s="710"/>
      <c r="Z4" s="710"/>
      <c r="AA4" s="117"/>
      <c r="AB4" s="121"/>
      <c r="AC4" s="122"/>
      <c r="AD4" s="122"/>
      <c r="AE4" s="122"/>
      <c r="AF4" s="122"/>
      <c r="AG4" s="122"/>
      <c r="AH4" s="122"/>
      <c r="AI4" s="103" t="s">
        <v>300</v>
      </c>
      <c r="AJ4" s="104" t="s">
        <v>279</v>
      </c>
    </row>
    <row r="5" spans="1:37" s="115" customFormat="1" ht="12.75" customHeight="1">
      <c r="A5" s="311"/>
      <c r="B5" s="736"/>
      <c r="C5" s="737"/>
      <c r="D5" s="123" t="s">
        <v>301</v>
      </c>
      <c r="E5" s="124" t="s">
        <v>302</v>
      </c>
      <c r="F5" s="730"/>
      <c r="G5" s="730"/>
      <c r="H5" s="732"/>
      <c r="I5" s="732"/>
      <c r="J5" s="732"/>
      <c r="K5" s="735"/>
      <c r="L5" s="721"/>
      <c r="M5" s="738"/>
      <c r="N5" s="741"/>
      <c r="O5" s="733"/>
      <c r="P5" s="734"/>
      <c r="Q5" s="731"/>
      <c r="R5" s="722"/>
      <c r="S5" s="715"/>
      <c r="T5" s="712"/>
      <c r="U5" s="108"/>
      <c r="V5" s="108"/>
      <c r="W5" s="98" t="s">
        <v>276</v>
      </c>
      <c r="X5" s="710"/>
      <c r="Y5" s="710"/>
      <c r="Z5" s="710"/>
      <c r="AA5" s="117"/>
      <c r="AB5" s="125"/>
      <c r="AC5" s="126"/>
      <c r="AD5" s="126"/>
      <c r="AE5" s="126"/>
      <c r="AF5" s="126"/>
      <c r="AG5" s="126"/>
      <c r="AH5" s="126"/>
      <c r="AI5" s="127"/>
      <c r="AJ5" s="104" t="s">
        <v>279</v>
      </c>
    </row>
    <row r="6" spans="1:37" s="137" customFormat="1" ht="10.199999999999999">
      <c r="A6" s="312"/>
      <c r="B6" s="742"/>
      <c r="C6" s="743"/>
      <c r="D6" s="559" t="s">
        <v>303</v>
      </c>
      <c r="E6" s="560" t="s">
        <v>304</v>
      </c>
      <c r="F6" s="129"/>
      <c r="G6" s="130"/>
      <c r="H6" s="353"/>
      <c r="I6" s="353"/>
      <c r="J6" s="353"/>
      <c r="K6" s="344" t="s">
        <v>305</v>
      </c>
      <c r="L6" s="318"/>
      <c r="M6" s="319"/>
      <c r="N6" s="320"/>
      <c r="O6" s="345" t="s">
        <v>306</v>
      </c>
      <c r="P6" s="134"/>
      <c r="Q6" s="321"/>
      <c r="R6" s="134"/>
      <c r="S6" s="134"/>
      <c r="T6" s="348"/>
      <c r="U6" s="135"/>
      <c r="V6" s="135"/>
      <c r="W6" s="98" t="s">
        <v>276</v>
      </c>
      <c r="X6" s="136"/>
      <c r="Y6" s="136"/>
      <c r="Z6" s="136"/>
      <c r="AA6" s="115"/>
      <c r="AB6" s="115"/>
      <c r="AC6" s="115"/>
      <c r="AD6" s="115"/>
      <c r="AE6" s="115"/>
      <c r="AF6" s="115"/>
      <c r="AG6" s="115"/>
      <c r="AH6" s="115"/>
      <c r="AI6" s="115"/>
      <c r="AJ6" s="104" t="s">
        <v>279</v>
      </c>
      <c r="AK6" s="115"/>
    </row>
    <row r="7" spans="1:37" ht="74.25" customHeight="1">
      <c r="A7" s="313" t="s">
        <v>307</v>
      </c>
      <c r="B7" s="755" t="s">
        <v>308</v>
      </c>
      <c r="C7" s="229">
        <v>1.1000000000000001</v>
      </c>
      <c r="D7" s="335" t="s">
        <v>309</v>
      </c>
      <c r="E7" s="335" t="s">
        <v>310</v>
      </c>
      <c r="F7" s="492"/>
      <c r="G7" s="492"/>
      <c r="H7" s="339"/>
      <c r="I7" s="340"/>
      <c r="J7" s="340"/>
      <c r="K7" s="566"/>
      <c r="L7" s="561" t="str">
        <f t="shared" ref="L7:L70" si="0">IF(I7="","",IF(F7&lt;&gt;"","",IF(I7&gt;=70,"N","Y")))</f>
        <v/>
      </c>
      <c r="M7" s="570"/>
      <c r="N7" s="343" t="str">
        <f t="shared" ref="N7:N70" si="1">IF(I7="","",IF(I7&gt;=70,"",IF(SUM(IF(I7&gt;=70,1,-1)+IF(J7&gt;=70,1,-1))&gt;=0,"Closed","Open")))</f>
        <v/>
      </c>
      <c r="O7" s="584"/>
      <c r="P7" s="585"/>
      <c r="Q7" s="585"/>
      <c r="R7" s="585"/>
      <c r="S7" s="585"/>
      <c r="T7" s="333">
        <v>1</v>
      </c>
      <c r="U7" s="138"/>
      <c r="V7" s="138"/>
      <c r="W7" s="98" t="s">
        <v>276</v>
      </c>
      <c r="X7" s="139" t="str">
        <f>IF(COUNTA($F7,$G7)&gt;0,"n/a",IF(H7="","",H7))</f>
        <v/>
      </c>
      <c r="Y7" s="140" t="str">
        <f>IF(COUNTA($F7,$G7)&gt;0,"n/a",IF(I7="","",I7))</f>
        <v/>
      </c>
      <c r="Z7" s="140" t="str">
        <f>IF(COUNTA($F7,$G7)&gt;0,"n/a",IF(J7="","",J7))</f>
        <v/>
      </c>
      <c r="AJ7" s="104" t="s">
        <v>279</v>
      </c>
    </row>
    <row r="8" spans="1:37" ht="57">
      <c r="A8" s="314">
        <v>1</v>
      </c>
      <c r="B8" s="756"/>
      <c r="C8" s="229">
        <v>1.2</v>
      </c>
      <c r="D8" s="338" t="s">
        <v>311</v>
      </c>
      <c r="E8" s="338" t="s">
        <v>312</v>
      </c>
      <c r="F8" s="492"/>
      <c r="G8" s="492"/>
      <c r="H8" s="339"/>
      <c r="I8" s="340"/>
      <c r="J8" s="340"/>
      <c r="K8" s="566"/>
      <c r="L8" s="561" t="str">
        <f t="shared" si="0"/>
        <v/>
      </c>
      <c r="M8" s="570"/>
      <c r="N8" s="343" t="str">
        <f t="shared" si="1"/>
        <v/>
      </c>
      <c r="O8" s="584"/>
      <c r="P8" s="585"/>
      <c r="Q8" s="585"/>
      <c r="R8" s="585"/>
      <c r="S8" s="585"/>
      <c r="T8" s="333">
        <v>2</v>
      </c>
      <c r="U8" s="138"/>
      <c r="V8" s="138"/>
      <c r="W8" s="336" t="s">
        <v>276</v>
      </c>
      <c r="X8" s="139" t="str">
        <f t="shared" ref="X8:X71" si="2">IF(COUNTA($F8,$G8)&gt;0,"n/a",IF(H8="","",H8))</f>
        <v/>
      </c>
      <c r="Y8" s="140" t="str">
        <f t="shared" ref="Y8:Y71" si="3">IF(COUNTA($F8,$G8)&gt;0,"n/a",IF(I8="","",I8))</f>
        <v/>
      </c>
      <c r="Z8" s="140" t="str">
        <f t="shared" ref="Z8:Z71" si="4">IF(COUNTA($F8,$G8)&gt;0,"n/a",IF(J8="","",J8))</f>
        <v/>
      </c>
      <c r="AJ8" s="337" t="s">
        <v>279</v>
      </c>
    </row>
    <row r="9" spans="1:37" ht="57">
      <c r="A9" s="314">
        <v>2</v>
      </c>
      <c r="B9" s="756"/>
      <c r="C9" s="332">
        <v>1.3</v>
      </c>
      <c r="D9" s="335" t="s">
        <v>313</v>
      </c>
      <c r="E9" s="335" t="s">
        <v>314</v>
      </c>
      <c r="F9" s="419"/>
      <c r="G9" s="419"/>
      <c r="H9" s="339"/>
      <c r="I9" s="340"/>
      <c r="J9" s="340"/>
      <c r="K9" s="566"/>
      <c r="L9" s="562" t="str">
        <f t="shared" si="0"/>
        <v/>
      </c>
      <c r="M9" s="570"/>
      <c r="N9" s="343" t="str">
        <f t="shared" si="1"/>
        <v/>
      </c>
      <c r="O9" s="584"/>
      <c r="P9" s="585"/>
      <c r="Q9" s="585"/>
      <c r="R9" s="585"/>
      <c r="S9" s="585"/>
      <c r="T9" s="333">
        <v>3</v>
      </c>
      <c r="U9" s="138"/>
      <c r="V9" s="138"/>
      <c r="W9" s="98" t="s">
        <v>276</v>
      </c>
      <c r="X9" s="139" t="str">
        <f t="shared" si="2"/>
        <v/>
      </c>
      <c r="Y9" s="140" t="str">
        <f t="shared" si="3"/>
        <v/>
      </c>
      <c r="Z9" s="140" t="str">
        <f t="shared" si="4"/>
        <v/>
      </c>
      <c r="AJ9" s="104" t="s">
        <v>279</v>
      </c>
    </row>
    <row r="10" spans="1:37" ht="45.6">
      <c r="A10" s="314">
        <v>3</v>
      </c>
      <c r="B10" s="756"/>
      <c r="C10" s="332">
        <v>1.4</v>
      </c>
      <c r="D10" s="335" t="s">
        <v>315</v>
      </c>
      <c r="E10" s="335" t="s">
        <v>316</v>
      </c>
      <c r="F10" s="419"/>
      <c r="G10" s="419"/>
      <c r="H10" s="339"/>
      <c r="I10" s="340"/>
      <c r="J10" s="340"/>
      <c r="K10" s="567"/>
      <c r="L10" s="562" t="str">
        <f t="shared" si="0"/>
        <v/>
      </c>
      <c r="M10" s="570"/>
      <c r="N10" s="343" t="str">
        <f t="shared" si="1"/>
        <v/>
      </c>
      <c r="O10" s="584"/>
      <c r="P10" s="585"/>
      <c r="Q10" s="585"/>
      <c r="R10" s="585"/>
      <c r="S10" s="585"/>
      <c r="T10" s="333">
        <v>4</v>
      </c>
      <c r="U10" s="138"/>
      <c r="V10" s="138"/>
      <c r="W10" s="98" t="s">
        <v>276</v>
      </c>
      <c r="X10" s="139" t="str">
        <f t="shared" si="2"/>
        <v/>
      </c>
      <c r="Y10" s="140" t="str">
        <f t="shared" si="3"/>
        <v/>
      </c>
      <c r="Z10" s="140" t="str">
        <f t="shared" si="4"/>
        <v/>
      </c>
      <c r="AJ10" s="104" t="s">
        <v>279</v>
      </c>
    </row>
    <row r="11" spans="1:37" ht="74.25" customHeight="1">
      <c r="A11" s="314">
        <v>4</v>
      </c>
      <c r="B11" s="756"/>
      <c r="C11" s="332">
        <v>1.5</v>
      </c>
      <c r="D11" s="335" t="s">
        <v>317</v>
      </c>
      <c r="E11" s="335" t="s">
        <v>318</v>
      </c>
      <c r="F11" s="492"/>
      <c r="G11" s="492"/>
      <c r="H11" s="339"/>
      <c r="I11" s="340"/>
      <c r="J11" s="340"/>
      <c r="K11" s="566"/>
      <c r="L11" s="562" t="str">
        <f t="shared" si="0"/>
        <v/>
      </c>
      <c r="M11" s="570"/>
      <c r="N11" s="343" t="str">
        <f t="shared" si="1"/>
        <v/>
      </c>
      <c r="O11" s="584"/>
      <c r="P11" s="585"/>
      <c r="Q11" s="585"/>
      <c r="R11" s="585"/>
      <c r="S11" s="585"/>
      <c r="T11" s="333">
        <v>5</v>
      </c>
      <c r="U11" s="138"/>
      <c r="V11" s="138"/>
      <c r="W11" s="98" t="s">
        <v>276</v>
      </c>
      <c r="X11" s="139" t="str">
        <f t="shared" si="2"/>
        <v/>
      </c>
      <c r="Y11" s="140" t="str">
        <f t="shared" si="3"/>
        <v/>
      </c>
      <c r="Z11" s="140" t="str">
        <f t="shared" si="4"/>
        <v/>
      </c>
      <c r="AJ11" s="104" t="s">
        <v>279</v>
      </c>
    </row>
    <row r="12" spans="1:37" ht="68.400000000000006">
      <c r="A12" s="314">
        <v>5</v>
      </c>
      <c r="B12" s="757"/>
      <c r="C12" s="332">
        <v>1.6</v>
      </c>
      <c r="D12" s="335" t="s">
        <v>319</v>
      </c>
      <c r="E12" s="335" t="s">
        <v>320</v>
      </c>
      <c r="F12" s="419"/>
      <c r="G12" s="419"/>
      <c r="H12" s="339"/>
      <c r="I12" s="340"/>
      <c r="J12" s="340"/>
      <c r="K12" s="566"/>
      <c r="L12" s="562" t="str">
        <f t="shared" si="0"/>
        <v/>
      </c>
      <c r="M12" s="570"/>
      <c r="N12" s="343" t="str">
        <f t="shared" si="1"/>
        <v/>
      </c>
      <c r="O12" s="584"/>
      <c r="P12" s="585"/>
      <c r="Q12" s="585"/>
      <c r="R12" s="585"/>
      <c r="S12" s="585"/>
      <c r="T12" s="333">
        <v>6</v>
      </c>
      <c r="U12" s="138"/>
      <c r="V12" s="138"/>
      <c r="W12" s="98" t="s">
        <v>276</v>
      </c>
      <c r="X12" s="139" t="str">
        <f t="shared" si="2"/>
        <v/>
      </c>
      <c r="Y12" s="140" t="str">
        <f t="shared" si="3"/>
        <v/>
      </c>
      <c r="Z12" s="140" t="str">
        <f t="shared" si="4"/>
        <v/>
      </c>
      <c r="AJ12" s="104" t="s">
        <v>279</v>
      </c>
    </row>
    <row r="13" spans="1:37" ht="91.2">
      <c r="A13" s="314">
        <v>6</v>
      </c>
      <c r="B13" s="755" t="s">
        <v>321</v>
      </c>
      <c r="C13" s="332">
        <v>2.1</v>
      </c>
      <c r="D13" s="335" t="s">
        <v>322</v>
      </c>
      <c r="E13" s="335" t="s">
        <v>323</v>
      </c>
      <c r="F13" s="419"/>
      <c r="G13" s="419"/>
      <c r="H13" s="339"/>
      <c r="I13" s="340"/>
      <c r="J13" s="340"/>
      <c r="K13" s="566"/>
      <c r="L13" s="562" t="str">
        <f t="shared" si="0"/>
        <v/>
      </c>
      <c r="M13" s="570"/>
      <c r="N13" s="343" t="str">
        <f t="shared" si="1"/>
        <v/>
      </c>
      <c r="O13" s="584"/>
      <c r="P13" s="585"/>
      <c r="Q13" s="585"/>
      <c r="R13" s="585"/>
      <c r="S13" s="585"/>
      <c r="T13" s="333">
        <v>7</v>
      </c>
      <c r="U13" s="138"/>
      <c r="V13" s="138"/>
      <c r="W13" s="98" t="s">
        <v>276</v>
      </c>
      <c r="X13" s="139" t="str">
        <f t="shared" si="2"/>
        <v/>
      </c>
      <c r="Y13" s="140" t="str">
        <f t="shared" si="3"/>
        <v/>
      </c>
      <c r="Z13" s="140" t="str">
        <f t="shared" si="4"/>
        <v/>
      </c>
      <c r="AJ13" s="104" t="s">
        <v>279</v>
      </c>
    </row>
    <row r="14" spans="1:37" ht="87.75" customHeight="1">
      <c r="A14" s="314">
        <v>7</v>
      </c>
      <c r="B14" s="756"/>
      <c r="C14" s="332">
        <v>2.2000000000000002</v>
      </c>
      <c r="D14" s="335" t="s">
        <v>324</v>
      </c>
      <c r="E14" s="335" t="s">
        <v>325</v>
      </c>
      <c r="F14" s="419"/>
      <c r="G14" s="419"/>
      <c r="H14" s="339"/>
      <c r="I14" s="340"/>
      <c r="J14" s="340"/>
      <c r="K14" s="566"/>
      <c r="L14" s="562" t="str">
        <f t="shared" si="0"/>
        <v/>
      </c>
      <c r="M14" s="570"/>
      <c r="N14" s="343" t="str">
        <f t="shared" si="1"/>
        <v/>
      </c>
      <c r="O14" s="584"/>
      <c r="P14" s="585"/>
      <c r="Q14" s="585"/>
      <c r="R14" s="585"/>
      <c r="S14" s="585"/>
      <c r="T14" s="333">
        <v>8</v>
      </c>
      <c r="U14" s="138"/>
      <c r="V14" s="138"/>
      <c r="W14" s="98" t="s">
        <v>276</v>
      </c>
      <c r="X14" s="139" t="str">
        <f t="shared" si="2"/>
        <v/>
      </c>
      <c r="Y14" s="140" t="str">
        <f t="shared" si="3"/>
        <v/>
      </c>
      <c r="Z14" s="140" t="str">
        <f t="shared" si="4"/>
        <v/>
      </c>
      <c r="AJ14" s="104" t="s">
        <v>279</v>
      </c>
    </row>
    <row r="15" spans="1:37" ht="79.8">
      <c r="A15" s="314">
        <v>8</v>
      </c>
      <c r="B15" s="756"/>
      <c r="C15" s="332">
        <v>2.2999999999999998</v>
      </c>
      <c r="D15" s="335" t="s">
        <v>326</v>
      </c>
      <c r="E15" s="335" t="s">
        <v>327</v>
      </c>
      <c r="F15" s="492"/>
      <c r="G15" s="492"/>
      <c r="H15" s="339"/>
      <c r="I15" s="340"/>
      <c r="J15" s="340"/>
      <c r="K15" s="566"/>
      <c r="L15" s="562" t="str">
        <f t="shared" si="0"/>
        <v/>
      </c>
      <c r="M15" s="570"/>
      <c r="N15" s="343" t="str">
        <f t="shared" si="1"/>
        <v/>
      </c>
      <c r="O15" s="584"/>
      <c r="P15" s="585"/>
      <c r="Q15" s="585"/>
      <c r="R15" s="585"/>
      <c r="S15" s="585"/>
      <c r="T15" s="333">
        <v>9</v>
      </c>
      <c r="U15" s="138"/>
      <c r="V15" s="138"/>
      <c r="W15" s="98" t="s">
        <v>276</v>
      </c>
      <c r="X15" s="139" t="str">
        <f t="shared" si="2"/>
        <v/>
      </c>
      <c r="Y15" s="140" t="str">
        <f t="shared" si="3"/>
        <v/>
      </c>
      <c r="Z15" s="140" t="str">
        <f t="shared" si="4"/>
        <v/>
      </c>
      <c r="AJ15" s="104" t="s">
        <v>279</v>
      </c>
    </row>
    <row r="16" spans="1:37" ht="72.75" customHeight="1">
      <c r="A16" s="314">
        <v>9</v>
      </c>
      <c r="B16" s="757"/>
      <c r="C16" s="332">
        <v>2.4</v>
      </c>
      <c r="D16" s="338" t="s">
        <v>328</v>
      </c>
      <c r="E16" s="338" t="s">
        <v>329</v>
      </c>
      <c r="F16" s="419"/>
      <c r="G16" s="419"/>
      <c r="H16" s="339"/>
      <c r="I16" s="340"/>
      <c r="J16" s="340"/>
      <c r="K16" s="566"/>
      <c r="L16" s="562" t="str">
        <f t="shared" si="0"/>
        <v/>
      </c>
      <c r="M16" s="570"/>
      <c r="N16" s="343" t="str">
        <f t="shared" si="1"/>
        <v/>
      </c>
      <c r="O16" s="584"/>
      <c r="P16" s="585"/>
      <c r="Q16" s="585"/>
      <c r="R16" s="585"/>
      <c r="S16" s="585"/>
      <c r="T16" s="333">
        <v>10</v>
      </c>
      <c r="U16" s="138"/>
      <c r="V16" s="138"/>
      <c r="W16" s="98" t="s">
        <v>276</v>
      </c>
      <c r="X16" s="139" t="str">
        <f t="shared" si="2"/>
        <v/>
      </c>
      <c r="Y16" s="140" t="str">
        <f t="shared" si="3"/>
        <v/>
      </c>
      <c r="Z16" s="140" t="str">
        <f t="shared" si="4"/>
        <v/>
      </c>
      <c r="AJ16" s="104" t="s">
        <v>279</v>
      </c>
    </row>
    <row r="17" spans="1:36" ht="57">
      <c r="A17" s="314">
        <v>10</v>
      </c>
      <c r="B17" s="755" t="s">
        <v>330</v>
      </c>
      <c r="C17" s="332">
        <v>3.1</v>
      </c>
      <c r="D17" s="335" t="s">
        <v>331</v>
      </c>
      <c r="E17" s="335" t="s">
        <v>332</v>
      </c>
      <c r="F17" s="492"/>
      <c r="G17" s="492"/>
      <c r="H17" s="339"/>
      <c r="I17" s="340"/>
      <c r="J17" s="340"/>
      <c r="K17" s="566"/>
      <c r="L17" s="562" t="str">
        <f t="shared" si="0"/>
        <v/>
      </c>
      <c r="M17" s="570"/>
      <c r="N17" s="343" t="str">
        <f t="shared" si="1"/>
        <v/>
      </c>
      <c r="O17" s="584"/>
      <c r="P17" s="585"/>
      <c r="Q17" s="585"/>
      <c r="R17" s="585"/>
      <c r="S17" s="585"/>
      <c r="T17" s="333">
        <v>11</v>
      </c>
      <c r="U17" s="138"/>
      <c r="V17" s="138"/>
      <c r="W17" s="98" t="s">
        <v>276</v>
      </c>
      <c r="X17" s="139" t="str">
        <f t="shared" si="2"/>
        <v/>
      </c>
      <c r="Y17" s="140" t="str">
        <f t="shared" si="3"/>
        <v/>
      </c>
      <c r="Z17" s="140" t="str">
        <f t="shared" si="4"/>
        <v/>
      </c>
      <c r="AJ17" s="104" t="s">
        <v>279</v>
      </c>
    </row>
    <row r="18" spans="1:36" ht="68.400000000000006">
      <c r="A18" s="314">
        <v>11</v>
      </c>
      <c r="B18" s="756"/>
      <c r="C18" s="332">
        <v>3.2</v>
      </c>
      <c r="D18" s="335" t="s">
        <v>333</v>
      </c>
      <c r="E18" s="335" t="s">
        <v>334</v>
      </c>
      <c r="F18" s="419"/>
      <c r="G18" s="419"/>
      <c r="H18" s="339"/>
      <c r="I18" s="340"/>
      <c r="J18" s="340"/>
      <c r="K18" s="566"/>
      <c r="L18" s="562" t="str">
        <f t="shared" si="0"/>
        <v/>
      </c>
      <c r="M18" s="570"/>
      <c r="N18" s="343" t="str">
        <f t="shared" si="1"/>
        <v/>
      </c>
      <c r="O18" s="584"/>
      <c r="P18" s="585"/>
      <c r="Q18" s="585"/>
      <c r="R18" s="585"/>
      <c r="S18" s="585"/>
      <c r="T18" s="333">
        <v>12</v>
      </c>
      <c r="U18" s="138"/>
      <c r="V18" s="138"/>
      <c r="W18" s="98" t="s">
        <v>276</v>
      </c>
      <c r="X18" s="139" t="str">
        <f t="shared" si="2"/>
        <v/>
      </c>
      <c r="Y18" s="140" t="str">
        <f t="shared" si="3"/>
        <v/>
      </c>
      <c r="Z18" s="140" t="str">
        <f t="shared" si="4"/>
        <v/>
      </c>
      <c r="AJ18" s="104" t="s">
        <v>279</v>
      </c>
    </row>
    <row r="19" spans="1:36" ht="45.6">
      <c r="A19" s="314">
        <v>12</v>
      </c>
      <c r="B19" s="757"/>
      <c r="C19" s="332">
        <v>3.3</v>
      </c>
      <c r="D19" s="335" t="s">
        <v>335</v>
      </c>
      <c r="E19" s="335" t="s">
        <v>336</v>
      </c>
      <c r="F19" s="419"/>
      <c r="G19" s="419"/>
      <c r="H19" s="339"/>
      <c r="I19" s="340"/>
      <c r="J19" s="340"/>
      <c r="K19" s="566"/>
      <c r="L19" s="562" t="str">
        <f t="shared" si="0"/>
        <v/>
      </c>
      <c r="M19" s="570"/>
      <c r="N19" s="343" t="str">
        <f t="shared" si="1"/>
        <v/>
      </c>
      <c r="O19" s="584"/>
      <c r="P19" s="585"/>
      <c r="Q19" s="585"/>
      <c r="R19" s="585"/>
      <c r="S19" s="585"/>
      <c r="T19" s="333">
        <v>13</v>
      </c>
      <c r="U19" s="138"/>
      <c r="V19" s="138"/>
      <c r="W19" s="98" t="s">
        <v>276</v>
      </c>
      <c r="X19" s="139" t="str">
        <f t="shared" si="2"/>
        <v/>
      </c>
      <c r="Y19" s="140" t="str">
        <f t="shared" si="3"/>
        <v/>
      </c>
      <c r="Z19" s="140" t="str">
        <f t="shared" si="4"/>
        <v/>
      </c>
      <c r="AJ19" s="104" t="s">
        <v>279</v>
      </c>
    </row>
    <row r="20" spans="1:36" ht="79.8">
      <c r="A20" s="314">
        <v>13</v>
      </c>
      <c r="B20" s="755" t="s">
        <v>337</v>
      </c>
      <c r="C20" s="332">
        <v>4.0999999999999996</v>
      </c>
      <c r="D20" s="338" t="s">
        <v>338</v>
      </c>
      <c r="E20" s="338" t="s">
        <v>339</v>
      </c>
      <c r="F20" s="419"/>
      <c r="G20" s="419"/>
      <c r="H20" s="339"/>
      <c r="I20" s="340"/>
      <c r="J20" s="340"/>
      <c r="K20" s="566"/>
      <c r="L20" s="562" t="str">
        <f t="shared" si="0"/>
        <v/>
      </c>
      <c r="M20" s="570"/>
      <c r="N20" s="343" t="str">
        <f t="shared" si="1"/>
        <v/>
      </c>
      <c r="O20" s="584"/>
      <c r="P20" s="585"/>
      <c r="Q20" s="585"/>
      <c r="R20" s="585"/>
      <c r="S20" s="585"/>
      <c r="T20" s="333">
        <v>14</v>
      </c>
      <c r="U20" s="138"/>
      <c r="V20" s="138"/>
      <c r="W20" s="98" t="s">
        <v>276</v>
      </c>
      <c r="X20" s="139" t="str">
        <f t="shared" si="2"/>
        <v/>
      </c>
      <c r="Y20" s="140" t="str">
        <f t="shared" si="3"/>
        <v/>
      </c>
      <c r="Z20" s="140" t="str">
        <f t="shared" si="4"/>
        <v/>
      </c>
      <c r="AJ20" s="104" t="s">
        <v>279</v>
      </c>
    </row>
    <row r="21" spans="1:36" ht="57">
      <c r="A21" s="314">
        <v>14</v>
      </c>
      <c r="B21" s="756"/>
      <c r="C21" s="332">
        <v>4.2</v>
      </c>
      <c r="D21" s="338" t="s">
        <v>340</v>
      </c>
      <c r="E21" s="338" t="s">
        <v>341</v>
      </c>
      <c r="F21" s="419"/>
      <c r="G21" s="419"/>
      <c r="H21" s="339"/>
      <c r="I21" s="340"/>
      <c r="J21" s="340"/>
      <c r="K21" s="566"/>
      <c r="L21" s="562" t="str">
        <f t="shared" si="0"/>
        <v/>
      </c>
      <c r="M21" s="570"/>
      <c r="N21" s="343" t="str">
        <f t="shared" si="1"/>
        <v/>
      </c>
      <c r="O21" s="584"/>
      <c r="P21" s="585"/>
      <c r="Q21" s="585"/>
      <c r="R21" s="585"/>
      <c r="S21" s="585"/>
      <c r="T21" s="333">
        <v>15</v>
      </c>
      <c r="U21" s="138"/>
      <c r="V21" s="138"/>
      <c r="W21" s="98" t="s">
        <v>276</v>
      </c>
      <c r="X21" s="139" t="str">
        <f t="shared" si="2"/>
        <v/>
      </c>
      <c r="Y21" s="140" t="str">
        <f t="shared" si="3"/>
        <v/>
      </c>
      <c r="Z21" s="140" t="str">
        <f t="shared" si="4"/>
        <v/>
      </c>
      <c r="AJ21" s="104" t="s">
        <v>279</v>
      </c>
    </row>
    <row r="22" spans="1:36" ht="57">
      <c r="A22" s="314">
        <v>15</v>
      </c>
      <c r="B22" s="756"/>
      <c r="C22" s="332">
        <v>4.3</v>
      </c>
      <c r="D22" s="338" t="s">
        <v>342</v>
      </c>
      <c r="E22" s="338" t="s">
        <v>343</v>
      </c>
      <c r="F22" s="419"/>
      <c r="G22" s="419"/>
      <c r="H22" s="339"/>
      <c r="I22" s="340"/>
      <c r="J22" s="340"/>
      <c r="K22" s="566"/>
      <c r="L22" s="562" t="str">
        <f t="shared" si="0"/>
        <v/>
      </c>
      <c r="M22" s="570"/>
      <c r="N22" s="343" t="str">
        <f t="shared" si="1"/>
        <v/>
      </c>
      <c r="O22" s="584"/>
      <c r="P22" s="585"/>
      <c r="Q22" s="585"/>
      <c r="R22" s="585"/>
      <c r="S22" s="585"/>
      <c r="T22" s="333">
        <v>16</v>
      </c>
      <c r="U22" s="138"/>
      <c r="V22" s="138"/>
      <c r="W22" s="98" t="s">
        <v>276</v>
      </c>
      <c r="X22" s="139" t="str">
        <f t="shared" si="2"/>
        <v/>
      </c>
      <c r="Y22" s="140" t="str">
        <f t="shared" si="3"/>
        <v/>
      </c>
      <c r="Z22" s="140" t="str">
        <f t="shared" si="4"/>
        <v/>
      </c>
      <c r="AJ22" s="104" t="s">
        <v>279</v>
      </c>
    </row>
    <row r="23" spans="1:36" ht="85.5" customHeight="1">
      <c r="A23" s="586">
        <v>16</v>
      </c>
      <c r="B23" s="756"/>
      <c r="C23" s="332">
        <v>4.4000000000000004</v>
      </c>
      <c r="D23" s="338" t="s">
        <v>344</v>
      </c>
      <c r="E23" s="338" t="s">
        <v>345</v>
      </c>
      <c r="F23" s="419"/>
      <c r="G23" s="419"/>
      <c r="H23" s="339"/>
      <c r="I23" s="340"/>
      <c r="J23" s="340"/>
      <c r="K23" s="566"/>
      <c r="L23" s="562" t="str">
        <f t="shared" si="0"/>
        <v/>
      </c>
      <c r="M23" s="570"/>
      <c r="N23" s="343" t="str">
        <f t="shared" si="1"/>
        <v/>
      </c>
      <c r="O23" s="584"/>
      <c r="P23" s="585"/>
      <c r="Q23" s="585"/>
      <c r="R23" s="585"/>
      <c r="S23" s="585"/>
      <c r="T23" s="333">
        <v>17</v>
      </c>
      <c r="U23" s="138"/>
      <c r="V23" s="138"/>
      <c r="W23" s="98" t="s">
        <v>276</v>
      </c>
      <c r="X23" s="139" t="str">
        <f t="shared" si="2"/>
        <v/>
      </c>
      <c r="Y23" s="140" t="str">
        <f t="shared" si="3"/>
        <v/>
      </c>
      <c r="Z23" s="140" t="str">
        <f t="shared" si="4"/>
        <v/>
      </c>
      <c r="AJ23" s="104" t="s">
        <v>279</v>
      </c>
    </row>
    <row r="24" spans="1:36" ht="57">
      <c r="A24" s="314">
        <v>17</v>
      </c>
      <c r="B24" s="756"/>
      <c r="C24" s="332">
        <v>4.5</v>
      </c>
      <c r="D24" s="338" t="s">
        <v>346</v>
      </c>
      <c r="E24" s="338" t="s">
        <v>347</v>
      </c>
      <c r="F24" s="492"/>
      <c r="G24" s="492"/>
      <c r="H24" s="339"/>
      <c r="I24" s="340"/>
      <c r="J24" s="340"/>
      <c r="K24" s="566"/>
      <c r="L24" s="562" t="str">
        <f t="shared" si="0"/>
        <v/>
      </c>
      <c r="M24" s="570"/>
      <c r="N24" s="343" t="str">
        <f t="shared" si="1"/>
        <v/>
      </c>
      <c r="O24" s="584"/>
      <c r="P24" s="585"/>
      <c r="Q24" s="585"/>
      <c r="R24" s="585"/>
      <c r="S24" s="585"/>
      <c r="T24" s="333">
        <v>18</v>
      </c>
      <c r="U24" s="138"/>
      <c r="V24" s="138"/>
      <c r="W24" s="98" t="s">
        <v>276</v>
      </c>
      <c r="X24" s="139" t="str">
        <f t="shared" si="2"/>
        <v/>
      </c>
      <c r="Y24" s="140" t="str">
        <f t="shared" si="3"/>
        <v/>
      </c>
      <c r="Z24" s="140" t="str">
        <f t="shared" si="4"/>
        <v/>
      </c>
      <c r="AJ24" s="104" t="s">
        <v>279</v>
      </c>
    </row>
    <row r="25" spans="1:36" ht="68.400000000000006">
      <c r="A25" s="314">
        <v>18</v>
      </c>
      <c r="B25" s="756"/>
      <c r="C25" s="332">
        <v>4.5999999999999996</v>
      </c>
      <c r="D25" s="338" t="s">
        <v>348</v>
      </c>
      <c r="E25" s="338" t="s">
        <v>349</v>
      </c>
      <c r="F25" s="492"/>
      <c r="G25" s="492"/>
      <c r="H25" s="339"/>
      <c r="I25" s="340"/>
      <c r="J25" s="340"/>
      <c r="K25" s="566"/>
      <c r="L25" s="562" t="str">
        <f t="shared" si="0"/>
        <v/>
      </c>
      <c r="M25" s="570"/>
      <c r="N25" s="343" t="str">
        <f t="shared" si="1"/>
        <v/>
      </c>
      <c r="O25" s="584"/>
      <c r="P25" s="585"/>
      <c r="Q25" s="585"/>
      <c r="R25" s="585"/>
      <c r="S25" s="585"/>
      <c r="T25" s="333">
        <v>19</v>
      </c>
      <c r="U25" s="138"/>
      <c r="V25" s="138"/>
      <c r="W25" s="98" t="s">
        <v>276</v>
      </c>
      <c r="X25" s="139" t="str">
        <f t="shared" si="2"/>
        <v/>
      </c>
      <c r="Y25" s="140" t="str">
        <f t="shared" si="3"/>
        <v/>
      </c>
      <c r="Z25" s="140" t="str">
        <f t="shared" si="4"/>
        <v/>
      </c>
      <c r="AJ25" s="104" t="s">
        <v>279</v>
      </c>
    </row>
    <row r="26" spans="1:36" ht="72.75" customHeight="1">
      <c r="A26" s="313" t="s">
        <v>307</v>
      </c>
      <c r="B26" s="757"/>
      <c r="C26" s="332">
        <v>4.7</v>
      </c>
      <c r="D26" s="338" t="s">
        <v>350</v>
      </c>
      <c r="E26" s="338" t="s">
        <v>351</v>
      </c>
      <c r="F26" s="492"/>
      <c r="G26" s="492"/>
      <c r="H26" s="339"/>
      <c r="I26" s="340"/>
      <c r="J26" s="340"/>
      <c r="K26" s="566"/>
      <c r="L26" s="562" t="str">
        <f t="shared" si="0"/>
        <v/>
      </c>
      <c r="M26" s="570"/>
      <c r="N26" s="343" t="str">
        <f t="shared" si="1"/>
        <v/>
      </c>
      <c r="O26" s="584"/>
      <c r="P26" s="585"/>
      <c r="Q26" s="585"/>
      <c r="R26" s="585"/>
      <c r="S26" s="585"/>
      <c r="T26" s="333">
        <v>20</v>
      </c>
      <c r="U26" s="138"/>
      <c r="V26" s="138"/>
      <c r="W26" s="98" t="s">
        <v>276</v>
      </c>
      <c r="X26" s="139" t="str">
        <f t="shared" si="2"/>
        <v/>
      </c>
      <c r="Y26" s="140" t="str">
        <f t="shared" si="3"/>
        <v/>
      </c>
      <c r="Z26" s="140" t="str">
        <f t="shared" si="4"/>
        <v/>
      </c>
      <c r="AJ26" s="104" t="s">
        <v>279</v>
      </c>
    </row>
    <row r="27" spans="1:36" ht="50.25" customHeight="1">
      <c r="A27" s="314">
        <v>1</v>
      </c>
      <c r="B27" s="755" t="s">
        <v>352</v>
      </c>
      <c r="C27" s="332">
        <v>5.0999999999999996</v>
      </c>
      <c r="D27" s="335" t="s">
        <v>353</v>
      </c>
      <c r="E27" s="335" t="s">
        <v>354</v>
      </c>
      <c r="F27" s="419"/>
      <c r="G27" s="419"/>
      <c r="H27" s="339"/>
      <c r="I27" s="340"/>
      <c r="J27" s="340"/>
      <c r="K27" s="566"/>
      <c r="L27" s="562" t="str">
        <f t="shared" si="0"/>
        <v/>
      </c>
      <c r="M27" s="570"/>
      <c r="N27" s="343" t="str">
        <f t="shared" si="1"/>
        <v/>
      </c>
      <c r="O27" s="584"/>
      <c r="P27" s="585"/>
      <c r="Q27" s="585"/>
      <c r="R27" s="585"/>
      <c r="S27" s="585"/>
      <c r="T27" s="333">
        <v>21</v>
      </c>
      <c r="U27" s="138"/>
      <c r="V27" s="138"/>
      <c r="W27" s="98" t="s">
        <v>276</v>
      </c>
      <c r="X27" s="139" t="str">
        <f t="shared" si="2"/>
        <v/>
      </c>
      <c r="Y27" s="140" t="str">
        <f t="shared" si="3"/>
        <v/>
      </c>
      <c r="Z27" s="140" t="str">
        <f t="shared" si="4"/>
        <v/>
      </c>
      <c r="AJ27" s="104" t="s">
        <v>279</v>
      </c>
    </row>
    <row r="28" spans="1:36" ht="102.6">
      <c r="A28" s="315">
        <v>2</v>
      </c>
      <c r="B28" s="756"/>
      <c r="C28" s="332">
        <v>5.2</v>
      </c>
      <c r="D28" s="335" t="s">
        <v>355</v>
      </c>
      <c r="E28" s="335" t="s">
        <v>356</v>
      </c>
      <c r="F28" s="419"/>
      <c r="G28" s="419"/>
      <c r="H28" s="339"/>
      <c r="I28" s="340"/>
      <c r="J28" s="340"/>
      <c r="K28" s="566"/>
      <c r="L28" s="562" t="str">
        <f t="shared" si="0"/>
        <v/>
      </c>
      <c r="M28" s="570"/>
      <c r="N28" s="343" t="str">
        <f t="shared" si="1"/>
        <v/>
      </c>
      <c r="O28" s="584"/>
      <c r="P28" s="585"/>
      <c r="Q28" s="585"/>
      <c r="R28" s="585"/>
      <c r="S28" s="585"/>
      <c r="T28" s="333">
        <v>22</v>
      </c>
      <c r="U28" s="138"/>
      <c r="V28" s="138"/>
      <c r="W28" s="98" t="s">
        <v>276</v>
      </c>
      <c r="X28" s="139" t="str">
        <f t="shared" si="2"/>
        <v/>
      </c>
      <c r="Y28" s="140" t="str">
        <f t="shared" si="3"/>
        <v/>
      </c>
      <c r="Z28" s="140" t="str">
        <f t="shared" si="4"/>
        <v/>
      </c>
      <c r="AJ28" s="104" t="s">
        <v>279</v>
      </c>
    </row>
    <row r="29" spans="1:36" ht="68.400000000000006">
      <c r="A29" s="314">
        <v>3</v>
      </c>
      <c r="B29" s="757"/>
      <c r="C29" s="332">
        <v>5.3</v>
      </c>
      <c r="D29" s="335" t="s">
        <v>357</v>
      </c>
      <c r="E29" s="335" t="s">
        <v>358</v>
      </c>
      <c r="F29" s="419"/>
      <c r="G29" s="419"/>
      <c r="H29" s="339"/>
      <c r="I29" s="340"/>
      <c r="J29" s="340"/>
      <c r="K29" s="566"/>
      <c r="L29" s="562" t="str">
        <f t="shared" si="0"/>
        <v/>
      </c>
      <c r="M29" s="570"/>
      <c r="N29" s="343" t="str">
        <f t="shared" si="1"/>
        <v/>
      </c>
      <c r="O29" s="584"/>
      <c r="P29" s="585"/>
      <c r="Q29" s="585"/>
      <c r="R29" s="585"/>
      <c r="S29" s="585"/>
      <c r="T29" s="333">
        <v>23</v>
      </c>
      <c r="U29" s="138"/>
      <c r="V29" s="138"/>
      <c r="W29" s="98" t="s">
        <v>276</v>
      </c>
      <c r="X29" s="139" t="str">
        <f t="shared" si="2"/>
        <v/>
      </c>
      <c r="Y29" s="140" t="str">
        <f t="shared" si="3"/>
        <v/>
      </c>
      <c r="Z29" s="140" t="str">
        <f t="shared" si="4"/>
        <v/>
      </c>
      <c r="AJ29" s="104" t="s">
        <v>279</v>
      </c>
    </row>
    <row r="30" spans="1:36" ht="45.6">
      <c r="A30" s="314">
        <v>4</v>
      </c>
      <c r="B30" s="755" t="s">
        <v>359</v>
      </c>
      <c r="C30" s="332">
        <v>6.1</v>
      </c>
      <c r="D30" s="335" t="s">
        <v>360</v>
      </c>
      <c r="E30" s="335" t="s">
        <v>361</v>
      </c>
      <c r="F30" s="419"/>
      <c r="G30" s="419"/>
      <c r="H30" s="339"/>
      <c r="I30" s="340"/>
      <c r="J30" s="340"/>
      <c r="K30" s="566"/>
      <c r="L30" s="562" t="str">
        <f t="shared" si="0"/>
        <v/>
      </c>
      <c r="M30" s="570"/>
      <c r="N30" s="343" t="str">
        <f t="shared" si="1"/>
        <v/>
      </c>
      <c r="O30" s="584"/>
      <c r="P30" s="585"/>
      <c r="Q30" s="585"/>
      <c r="R30" s="585"/>
      <c r="S30" s="585"/>
      <c r="T30" s="333">
        <v>24</v>
      </c>
      <c r="U30" s="138"/>
      <c r="V30" s="138"/>
      <c r="W30" s="98" t="s">
        <v>276</v>
      </c>
      <c r="X30" s="139" t="str">
        <f t="shared" si="2"/>
        <v/>
      </c>
      <c r="Y30" s="140" t="str">
        <f t="shared" si="3"/>
        <v/>
      </c>
      <c r="Z30" s="140" t="str">
        <f t="shared" si="4"/>
        <v/>
      </c>
      <c r="AJ30" s="104" t="s">
        <v>279</v>
      </c>
    </row>
    <row r="31" spans="1:36" ht="57">
      <c r="A31" s="314">
        <v>5</v>
      </c>
      <c r="B31" s="756"/>
      <c r="C31" s="332">
        <v>6.2</v>
      </c>
      <c r="D31" s="335" t="s">
        <v>362</v>
      </c>
      <c r="E31" s="335" t="s">
        <v>363</v>
      </c>
      <c r="F31" s="492"/>
      <c r="G31" s="492"/>
      <c r="H31" s="339"/>
      <c r="I31" s="340"/>
      <c r="J31" s="340"/>
      <c r="K31" s="566"/>
      <c r="L31" s="562" t="str">
        <f t="shared" si="0"/>
        <v/>
      </c>
      <c r="M31" s="570"/>
      <c r="N31" s="343" t="str">
        <f t="shared" si="1"/>
        <v/>
      </c>
      <c r="O31" s="584"/>
      <c r="P31" s="585"/>
      <c r="Q31" s="585"/>
      <c r="R31" s="585"/>
      <c r="S31" s="585"/>
      <c r="T31" s="333">
        <v>25</v>
      </c>
      <c r="U31" s="138"/>
      <c r="V31" s="138"/>
      <c r="W31" s="98" t="s">
        <v>276</v>
      </c>
      <c r="X31" s="139" t="str">
        <f t="shared" si="2"/>
        <v/>
      </c>
      <c r="Y31" s="140" t="str">
        <f t="shared" si="3"/>
        <v/>
      </c>
      <c r="Z31" s="140" t="str">
        <f t="shared" si="4"/>
        <v/>
      </c>
      <c r="AJ31" s="104" t="s">
        <v>279</v>
      </c>
    </row>
    <row r="32" spans="1:36" ht="57">
      <c r="A32" s="314">
        <v>6</v>
      </c>
      <c r="B32" s="756"/>
      <c r="C32" s="332">
        <v>6.3</v>
      </c>
      <c r="D32" s="335" t="s">
        <v>364</v>
      </c>
      <c r="E32" s="338" t="s">
        <v>365</v>
      </c>
      <c r="F32" s="492"/>
      <c r="G32" s="492"/>
      <c r="H32" s="339"/>
      <c r="I32" s="340"/>
      <c r="J32" s="340"/>
      <c r="K32" s="566"/>
      <c r="L32" s="562" t="str">
        <f t="shared" si="0"/>
        <v/>
      </c>
      <c r="M32" s="570"/>
      <c r="N32" s="343" t="str">
        <f t="shared" si="1"/>
        <v/>
      </c>
      <c r="O32" s="584"/>
      <c r="P32" s="585"/>
      <c r="Q32" s="585"/>
      <c r="R32" s="585"/>
      <c r="S32" s="585"/>
      <c r="T32" s="333">
        <v>26</v>
      </c>
      <c r="U32" s="138"/>
      <c r="V32" s="138"/>
      <c r="W32" s="98" t="s">
        <v>276</v>
      </c>
      <c r="X32" s="139" t="str">
        <f t="shared" si="2"/>
        <v/>
      </c>
      <c r="Y32" s="140" t="str">
        <f t="shared" si="3"/>
        <v/>
      </c>
      <c r="Z32" s="140" t="str">
        <f t="shared" si="4"/>
        <v/>
      </c>
      <c r="AJ32" s="104" t="s">
        <v>279</v>
      </c>
    </row>
    <row r="33" spans="1:36" ht="79.8">
      <c r="A33" s="314">
        <v>7</v>
      </c>
      <c r="B33" s="756"/>
      <c r="C33" s="332">
        <v>6.4</v>
      </c>
      <c r="D33" s="335" t="s">
        <v>366</v>
      </c>
      <c r="E33" s="335" t="s">
        <v>367</v>
      </c>
      <c r="F33" s="492"/>
      <c r="G33" s="492"/>
      <c r="H33" s="339"/>
      <c r="I33" s="340"/>
      <c r="J33" s="340"/>
      <c r="K33" s="566"/>
      <c r="L33" s="562" t="str">
        <f t="shared" si="0"/>
        <v/>
      </c>
      <c r="M33" s="570"/>
      <c r="N33" s="343" t="str">
        <f t="shared" si="1"/>
        <v/>
      </c>
      <c r="O33" s="584"/>
      <c r="P33" s="585"/>
      <c r="Q33" s="585"/>
      <c r="R33" s="585"/>
      <c r="S33" s="585"/>
      <c r="T33" s="333">
        <v>27</v>
      </c>
      <c r="U33" s="138"/>
      <c r="V33" s="138"/>
      <c r="W33" s="98" t="s">
        <v>276</v>
      </c>
      <c r="X33" s="139" t="str">
        <f t="shared" si="2"/>
        <v/>
      </c>
      <c r="Y33" s="140" t="str">
        <f t="shared" si="3"/>
        <v/>
      </c>
      <c r="Z33" s="140" t="str">
        <f t="shared" si="4"/>
        <v/>
      </c>
      <c r="AJ33" s="104" t="s">
        <v>279</v>
      </c>
    </row>
    <row r="34" spans="1:36" ht="68.400000000000006">
      <c r="A34" s="314">
        <v>8</v>
      </c>
      <c r="B34" s="757"/>
      <c r="C34" s="332">
        <v>6.5</v>
      </c>
      <c r="D34" s="335" t="s">
        <v>368</v>
      </c>
      <c r="E34" s="335" t="s">
        <v>369</v>
      </c>
      <c r="F34" s="419"/>
      <c r="G34" s="419"/>
      <c r="H34" s="339"/>
      <c r="I34" s="340"/>
      <c r="J34" s="340"/>
      <c r="K34" s="566"/>
      <c r="L34" s="562" t="str">
        <f t="shared" si="0"/>
        <v/>
      </c>
      <c r="M34" s="570"/>
      <c r="N34" s="343" t="str">
        <f t="shared" si="1"/>
        <v/>
      </c>
      <c r="O34" s="584"/>
      <c r="P34" s="585"/>
      <c r="Q34" s="585"/>
      <c r="R34" s="585"/>
      <c r="S34" s="585"/>
      <c r="T34" s="333">
        <v>28</v>
      </c>
      <c r="U34" s="138"/>
      <c r="V34" s="138"/>
      <c r="W34" s="98" t="s">
        <v>276</v>
      </c>
      <c r="X34" s="139" t="str">
        <f t="shared" si="2"/>
        <v/>
      </c>
      <c r="Y34" s="140" t="str">
        <f t="shared" si="3"/>
        <v/>
      </c>
      <c r="Z34" s="140" t="str">
        <f t="shared" si="4"/>
        <v/>
      </c>
      <c r="AJ34" s="104" t="s">
        <v>279</v>
      </c>
    </row>
    <row r="35" spans="1:36" ht="45.6">
      <c r="A35" s="314">
        <v>9</v>
      </c>
      <c r="B35" s="755" t="s">
        <v>370</v>
      </c>
      <c r="C35" s="332">
        <v>7.1</v>
      </c>
      <c r="D35" s="335" t="s">
        <v>371</v>
      </c>
      <c r="E35" s="335" t="s">
        <v>372</v>
      </c>
      <c r="F35" s="492"/>
      <c r="G35" s="492"/>
      <c r="H35" s="339"/>
      <c r="I35" s="340"/>
      <c r="J35" s="340"/>
      <c r="K35" s="566"/>
      <c r="L35" s="562" t="str">
        <f t="shared" si="0"/>
        <v/>
      </c>
      <c r="M35" s="570"/>
      <c r="N35" s="343" t="str">
        <f t="shared" si="1"/>
        <v/>
      </c>
      <c r="O35" s="584"/>
      <c r="P35" s="585"/>
      <c r="Q35" s="585"/>
      <c r="R35" s="585"/>
      <c r="S35" s="585"/>
      <c r="T35" s="333">
        <v>29</v>
      </c>
      <c r="U35" s="138"/>
      <c r="V35" s="138"/>
      <c r="W35" s="98" t="s">
        <v>276</v>
      </c>
      <c r="X35" s="139" t="str">
        <f t="shared" si="2"/>
        <v/>
      </c>
      <c r="Y35" s="140" t="str">
        <f t="shared" si="3"/>
        <v/>
      </c>
      <c r="Z35" s="140" t="str">
        <f t="shared" si="4"/>
        <v/>
      </c>
      <c r="AJ35" s="104" t="s">
        <v>279</v>
      </c>
    </row>
    <row r="36" spans="1:36" ht="57">
      <c r="A36" s="314">
        <v>10</v>
      </c>
      <c r="B36" s="756"/>
      <c r="C36" s="332">
        <v>7.2</v>
      </c>
      <c r="D36" s="335" t="s">
        <v>373</v>
      </c>
      <c r="E36" s="335" t="s">
        <v>374</v>
      </c>
      <c r="F36" s="492"/>
      <c r="G36" s="492"/>
      <c r="H36" s="339"/>
      <c r="I36" s="340"/>
      <c r="J36" s="340"/>
      <c r="K36" s="566"/>
      <c r="L36" s="562" t="str">
        <f t="shared" si="0"/>
        <v/>
      </c>
      <c r="M36" s="570"/>
      <c r="N36" s="343" t="str">
        <f t="shared" si="1"/>
        <v/>
      </c>
      <c r="O36" s="584"/>
      <c r="P36" s="585"/>
      <c r="Q36" s="585"/>
      <c r="R36" s="585"/>
      <c r="S36" s="585"/>
      <c r="T36" s="333">
        <v>30</v>
      </c>
      <c r="U36" s="138"/>
      <c r="V36" s="138"/>
      <c r="W36" s="98" t="s">
        <v>276</v>
      </c>
      <c r="X36" s="139" t="str">
        <f t="shared" si="2"/>
        <v/>
      </c>
      <c r="Y36" s="140" t="str">
        <f t="shared" si="3"/>
        <v/>
      </c>
      <c r="Z36" s="140" t="str">
        <f t="shared" si="4"/>
        <v/>
      </c>
      <c r="AJ36" s="104" t="s">
        <v>279</v>
      </c>
    </row>
    <row r="37" spans="1:36" ht="68.400000000000006">
      <c r="A37" s="314">
        <v>11</v>
      </c>
      <c r="B37" s="757"/>
      <c r="C37" s="332">
        <v>7.3</v>
      </c>
      <c r="D37" s="335" t="s">
        <v>375</v>
      </c>
      <c r="E37" s="335" t="s">
        <v>376</v>
      </c>
      <c r="F37" s="492"/>
      <c r="G37" s="492"/>
      <c r="H37" s="339"/>
      <c r="I37" s="340"/>
      <c r="J37" s="340"/>
      <c r="K37" s="566"/>
      <c r="L37" s="562" t="str">
        <f t="shared" si="0"/>
        <v/>
      </c>
      <c r="M37" s="570"/>
      <c r="N37" s="343" t="str">
        <f t="shared" si="1"/>
        <v/>
      </c>
      <c r="O37" s="584"/>
      <c r="P37" s="585"/>
      <c r="Q37" s="585"/>
      <c r="R37" s="585"/>
      <c r="S37" s="585"/>
      <c r="T37" s="333">
        <v>31</v>
      </c>
      <c r="U37" s="138"/>
      <c r="V37" s="138"/>
      <c r="W37" s="98" t="s">
        <v>276</v>
      </c>
      <c r="X37" s="139" t="str">
        <f t="shared" si="2"/>
        <v/>
      </c>
      <c r="Y37" s="140" t="str">
        <f t="shared" si="3"/>
        <v/>
      </c>
      <c r="Z37" s="140" t="str">
        <f t="shared" si="4"/>
        <v/>
      </c>
      <c r="AJ37" s="104" t="s">
        <v>279</v>
      </c>
    </row>
    <row r="38" spans="1:36" ht="34.200000000000003">
      <c r="A38" s="314">
        <v>12</v>
      </c>
      <c r="B38" s="755" t="s">
        <v>377</v>
      </c>
      <c r="C38" s="332">
        <v>8.1</v>
      </c>
      <c r="D38" s="335" t="s">
        <v>378</v>
      </c>
      <c r="E38" s="335" t="s">
        <v>379</v>
      </c>
      <c r="F38" s="419"/>
      <c r="G38" s="419"/>
      <c r="H38" s="339"/>
      <c r="I38" s="340"/>
      <c r="J38" s="340"/>
      <c r="K38" s="566"/>
      <c r="L38" s="562" t="str">
        <f t="shared" si="0"/>
        <v/>
      </c>
      <c r="M38" s="570"/>
      <c r="N38" s="343" t="str">
        <f t="shared" si="1"/>
        <v/>
      </c>
      <c r="O38" s="584"/>
      <c r="P38" s="585"/>
      <c r="Q38" s="585"/>
      <c r="R38" s="585"/>
      <c r="S38" s="585"/>
      <c r="T38" s="333">
        <v>32</v>
      </c>
      <c r="U38" s="138"/>
      <c r="V38" s="138"/>
      <c r="W38" s="98" t="s">
        <v>276</v>
      </c>
      <c r="X38" s="139" t="str">
        <f t="shared" si="2"/>
        <v/>
      </c>
      <c r="Y38" s="140" t="str">
        <f t="shared" si="3"/>
        <v/>
      </c>
      <c r="Z38" s="140" t="str">
        <f t="shared" si="4"/>
        <v/>
      </c>
      <c r="AJ38" s="104" t="s">
        <v>279</v>
      </c>
    </row>
    <row r="39" spans="1:36" ht="45.6">
      <c r="A39" s="314">
        <v>13</v>
      </c>
      <c r="B39" s="756"/>
      <c r="C39" s="332">
        <v>8.1999999999999993</v>
      </c>
      <c r="D39" s="335" t="s">
        <v>380</v>
      </c>
      <c r="E39" s="335" t="s">
        <v>381</v>
      </c>
      <c r="F39" s="492"/>
      <c r="G39" s="492"/>
      <c r="H39" s="339"/>
      <c r="I39" s="340"/>
      <c r="J39" s="340"/>
      <c r="K39" s="566"/>
      <c r="L39" s="562" t="str">
        <f t="shared" si="0"/>
        <v/>
      </c>
      <c r="M39" s="570"/>
      <c r="N39" s="343" t="str">
        <f t="shared" si="1"/>
        <v/>
      </c>
      <c r="O39" s="584"/>
      <c r="P39" s="585"/>
      <c r="Q39" s="585"/>
      <c r="R39" s="585"/>
      <c r="S39" s="585"/>
      <c r="T39" s="333">
        <v>33</v>
      </c>
      <c r="U39" s="138"/>
      <c r="V39" s="138"/>
      <c r="W39" s="98" t="s">
        <v>276</v>
      </c>
      <c r="X39" s="139" t="str">
        <f t="shared" si="2"/>
        <v/>
      </c>
      <c r="Y39" s="140" t="str">
        <f t="shared" si="3"/>
        <v/>
      </c>
      <c r="Z39" s="140" t="str">
        <f t="shared" si="4"/>
        <v/>
      </c>
      <c r="AJ39" s="104" t="s">
        <v>279</v>
      </c>
    </row>
    <row r="40" spans="1:36" ht="68.400000000000006">
      <c r="A40" s="314">
        <v>14</v>
      </c>
      <c r="B40" s="756"/>
      <c r="C40" s="332">
        <v>8.3000000000000007</v>
      </c>
      <c r="D40" s="335" t="s">
        <v>382</v>
      </c>
      <c r="E40" s="335" t="s">
        <v>383</v>
      </c>
      <c r="F40" s="419"/>
      <c r="G40" s="419"/>
      <c r="H40" s="339"/>
      <c r="I40" s="340"/>
      <c r="J40" s="340"/>
      <c r="K40" s="566"/>
      <c r="L40" s="562" t="str">
        <f t="shared" si="0"/>
        <v/>
      </c>
      <c r="M40" s="570"/>
      <c r="N40" s="343" t="str">
        <f t="shared" si="1"/>
        <v/>
      </c>
      <c r="O40" s="584"/>
      <c r="P40" s="585"/>
      <c r="Q40" s="585"/>
      <c r="R40" s="585"/>
      <c r="S40" s="585"/>
      <c r="T40" s="333">
        <v>34</v>
      </c>
      <c r="U40" s="138"/>
      <c r="V40" s="138"/>
      <c r="W40" s="98" t="s">
        <v>276</v>
      </c>
      <c r="X40" s="139" t="str">
        <f t="shared" si="2"/>
        <v/>
      </c>
      <c r="Y40" s="140" t="str">
        <f t="shared" si="3"/>
        <v/>
      </c>
      <c r="Z40" s="140" t="str">
        <f t="shared" si="4"/>
        <v/>
      </c>
      <c r="AJ40" s="104" t="s">
        <v>279</v>
      </c>
    </row>
    <row r="41" spans="1:36" ht="68.400000000000006">
      <c r="A41" s="314">
        <v>15</v>
      </c>
      <c r="B41" s="756"/>
      <c r="C41" s="332">
        <v>8.4</v>
      </c>
      <c r="D41" s="335" t="s">
        <v>384</v>
      </c>
      <c r="E41" s="335" t="s">
        <v>385</v>
      </c>
      <c r="F41" s="492"/>
      <c r="G41" s="492"/>
      <c r="H41" s="339"/>
      <c r="I41" s="340"/>
      <c r="J41" s="340"/>
      <c r="K41" s="566"/>
      <c r="L41" s="562" t="str">
        <f t="shared" si="0"/>
        <v/>
      </c>
      <c r="M41" s="570"/>
      <c r="N41" s="343" t="str">
        <f t="shared" si="1"/>
        <v/>
      </c>
      <c r="O41" s="584"/>
      <c r="P41" s="585"/>
      <c r="Q41" s="585"/>
      <c r="R41" s="585"/>
      <c r="S41" s="585"/>
      <c r="T41" s="333">
        <v>35</v>
      </c>
      <c r="U41" s="138"/>
      <c r="V41" s="138"/>
      <c r="W41" s="98" t="s">
        <v>276</v>
      </c>
      <c r="X41" s="139" t="str">
        <f t="shared" si="2"/>
        <v/>
      </c>
      <c r="Y41" s="140" t="str">
        <f t="shared" si="3"/>
        <v/>
      </c>
      <c r="Z41" s="140" t="str">
        <f t="shared" si="4"/>
        <v/>
      </c>
      <c r="AJ41" s="104" t="s">
        <v>279</v>
      </c>
    </row>
    <row r="42" spans="1:36" ht="57">
      <c r="A42" s="314">
        <v>16</v>
      </c>
      <c r="B42" s="756"/>
      <c r="C42" s="332">
        <v>8.5</v>
      </c>
      <c r="D42" s="335" t="s">
        <v>386</v>
      </c>
      <c r="E42" s="335" t="s">
        <v>387</v>
      </c>
      <c r="F42" s="492"/>
      <c r="G42" s="492"/>
      <c r="H42" s="339"/>
      <c r="I42" s="340"/>
      <c r="J42" s="340"/>
      <c r="K42" s="566"/>
      <c r="L42" s="562" t="str">
        <f t="shared" si="0"/>
        <v/>
      </c>
      <c r="M42" s="570"/>
      <c r="N42" s="343" t="str">
        <f t="shared" si="1"/>
        <v/>
      </c>
      <c r="O42" s="584"/>
      <c r="P42" s="585"/>
      <c r="Q42" s="585"/>
      <c r="R42" s="585"/>
      <c r="S42" s="585"/>
      <c r="T42" s="333">
        <v>36</v>
      </c>
      <c r="U42" s="138"/>
      <c r="V42" s="138"/>
      <c r="W42" s="98" t="s">
        <v>276</v>
      </c>
      <c r="X42" s="139" t="str">
        <f t="shared" si="2"/>
        <v/>
      </c>
      <c r="Y42" s="140" t="str">
        <f t="shared" si="3"/>
        <v/>
      </c>
      <c r="Z42" s="140" t="str">
        <f t="shared" si="4"/>
        <v/>
      </c>
      <c r="AJ42" s="104" t="s">
        <v>279</v>
      </c>
    </row>
    <row r="43" spans="1:36" ht="91.2">
      <c r="A43" s="315">
        <v>17</v>
      </c>
      <c r="B43" s="756"/>
      <c r="C43" s="332">
        <v>8.6</v>
      </c>
      <c r="D43" s="335" t="s">
        <v>388</v>
      </c>
      <c r="E43" s="335" t="s">
        <v>389</v>
      </c>
      <c r="F43" s="419"/>
      <c r="G43" s="419"/>
      <c r="H43" s="339"/>
      <c r="I43" s="340"/>
      <c r="J43" s="340"/>
      <c r="K43" s="566"/>
      <c r="L43" s="562" t="str">
        <f t="shared" si="0"/>
        <v/>
      </c>
      <c r="M43" s="570"/>
      <c r="N43" s="343" t="str">
        <f t="shared" si="1"/>
        <v/>
      </c>
      <c r="O43" s="584"/>
      <c r="P43" s="585"/>
      <c r="Q43" s="585"/>
      <c r="R43" s="585"/>
      <c r="S43" s="585"/>
      <c r="T43" s="333">
        <v>37</v>
      </c>
      <c r="U43" s="138"/>
      <c r="V43" s="138"/>
      <c r="W43" s="98" t="s">
        <v>276</v>
      </c>
      <c r="X43" s="139" t="str">
        <f t="shared" si="2"/>
        <v/>
      </c>
      <c r="Y43" s="140" t="str">
        <f t="shared" si="3"/>
        <v/>
      </c>
      <c r="Z43" s="140" t="str">
        <f t="shared" si="4"/>
        <v/>
      </c>
      <c r="AJ43" s="104" t="s">
        <v>279</v>
      </c>
    </row>
    <row r="44" spans="1:36" ht="57">
      <c r="A44" s="314">
        <v>18</v>
      </c>
      <c r="B44" s="756"/>
      <c r="C44" s="332">
        <v>8.6999999999999993</v>
      </c>
      <c r="D44" s="335" t="s">
        <v>390</v>
      </c>
      <c r="E44" s="335" t="s">
        <v>391</v>
      </c>
      <c r="F44" s="419"/>
      <c r="G44" s="419"/>
      <c r="H44" s="339"/>
      <c r="I44" s="340"/>
      <c r="J44" s="340"/>
      <c r="K44" s="566"/>
      <c r="L44" s="562" t="str">
        <f t="shared" si="0"/>
        <v/>
      </c>
      <c r="M44" s="570"/>
      <c r="N44" s="343" t="str">
        <f t="shared" si="1"/>
        <v/>
      </c>
      <c r="O44" s="584"/>
      <c r="P44" s="585"/>
      <c r="Q44" s="585"/>
      <c r="R44" s="585"/>
      <c r="S44" s="585"/>
      <c r="T44" s="333">
        <v>38</v>
      </c>
      <c r="U44" s="138"/>
      <c r="V44" s="138"/>
      <c r="W44" s="98" t="s">
        <v>276</v>
      </c>
      <c r="X44" s="139" t="str">
        <f t="shared" si="2"/>
        <v/>
      </c>
      <c r="Y44" s="140" t="str">
        <f t="shared" si="3"/>
        <v/>
      </c>
      <c r="Z44" s="140" t="str">
        <f t="shared" si="4"/>
        <v/>
      </c>
      <c r="AJ44" s="104" t="s">
        <v>279</v>
      </c>
    </row>
    <row r="45" spans="1:36" ht="102.6">
      <c r="A45" s="313" t="s">
        <v>307</v>
      </c>
      <c r="B45" s="756"/>
      <c r="C45" s="332">
        <v>8.8000000000000007</v>
      </c>
      <c r="D45" s="335" t="s">
        <v>392</v>
      </c>
      <c r="E45" s="335" t="s">
        <v>393</v>
      </c>
      <c r="F45" s="419"/>
      <c r="G45" s="419"/>
      <c r="H45" s="339"/>
      <c r="I45" s="340"/>
      <c r="J45" s="340"/>
      <c r="K45" s="566"/>
      <c r="L45" s="562" t="str">
        <f t="shared" si="0"/>
        <v/>
      </c>
      <c r="M45" s="570"/>
      <c r="N45" s="343" t="str">
        <f t="shared" si="1"/>
        <v/>
      </c>
      <c r="O45" s="584"/>
      <c r="P45" s="585"/>
      <c r="Q45" s="585"/>
      <c r="R45" s="585"/>
      <c r="S45" s="585"/>
      <c r="T45" s="333">
        <v>39</v>
      </c>
      <c r="U45" s="138"/>
      <c r="V45" s="138"/>
      <c r="W45" s="98" t="s">
        <v>276</v>
      </c>
      <c r="X45" s="139" t="str">
        <f t="shared" si="2"/>
        <v/>
      </c>
      <c r="Y45" s="140" t="str">
        <f t="shared" si="3"/>
        <v/>
      </c>
      <c r="Z45" s="140" t="str">
        <f t="shared" si="4"/>
        <v/>
      </c>
      <c r="AJ45" s="104" t="s">
        <v>279</v>
      </c>
    </row>
    <row r="46" spans="1:36" ht="45.6">
      <c r="A46" s="314">
        <v>1</v>
      </c>
      <c r="B46" s="757"/>
      <c r="C46" s="332">
        <v>8.9</v>
      </c>
      <c r="D46" s="335" t="s">
        <v>394</v>
      </c>
      <c r="E46" s="335" t="s">
        <v>395</v>
      </c>
      <c r="F46" s="419"/>
      <c r="G46" s="419"/>
      <c r="H46" s="339"/>
      <c r="I46" s="340"/>
      <c r="J46" s="340"/>
      <c r="K46" s="566"/>
      <c r="L46" s="562" t="str">
        <f t="shared" si="0"/>
        <v/>
      </c>
      <c r="M46" s="570"/>
      <c r="N46" s="343" t="str">
        <f t="shared" si="1"/>
        <v/>
      </c>
      <c r="O46" s="584"/>
      <c r="P46" s="585"/>
      <c r="Q46" s="585"/>
      <c r="R46" s="585"/>
      <c r="S46" s="585"/>
      <c r="T46" s="333">
        <v>40</v>
      </c>
      <c r="U46" s="138"/>
      <c r="V46" s="138"/>
      <c r="W46" s="98" t="s">
        <v>276</v>
      </c>
      <c r="X46" s="139" t="str">
        <f t="shared" si="2"/>
        <v/>
      </c>
      <c r="Y46" s="140" t="str">
        <f t="shared" si="3"/>
        <v/>
      </c>
      <c r="Z46" s="140" t="str">
        <f t="shared" si="4"/>
        <v/>
      </c>
      <c r="AJ46" s="104" t="s">
        <v>279</v>
      </c>
    </row>
    <row r="47" spans="1:36" ht="68.400000000000006">
      <c r="A47" s="314">
        <v>2</v>
      </c>
      <c r="B47" s="755" t="s">
        <v>396</v>
      </c>
      <c r="C47" s="332">
        <v>9.1</v>
      </c>
      <c r="D47" s="335" t="s">
        <v>397</v>
      </c>
      <c r="E47" s="335" t="s">
        <v>398</v>
      </c>
      <c r="F47" s="492"/>
      <c r="G47" s="492"/>
      <c r="H47" s="339"/>
      <c r="I47" s="340"/>
      <c r="J47" s="340"/>
      <c r="K47" s="566"/>
      <c r="L47" s="562" t="str">
        <f t="shared" si="0"/>
        <v/>
      </c>
      <c r="M47" s="570"/>
      <c r="N47" s="343" t="str">
        <f t="shared" si="1"/>
        <v/>
      </c>
      <c r="O47" s="584"/>
      <c r="P47" s="585"/>
      <c r="Q47" s="585"/>
      <c r="R47" s="585"/>
      <c r="S47" s="585"/>
      <c r="T47" s="333">
        <v>41</v>
      </c>
      <c r="U47" s="138"/>
      <c r="V47" s="138"/>
      <c r="W47" s="98" t="s">
        <v>276</v>
      </c>
      <c r="X47" s="139" t="str">
        <f t="shared" si="2"/>
        <v/>
      </c>
      <c r="Y47" s="140" t="str">
        <f t="shared" si="3"/>
        <v/>
      </c>
      <c r="Z47" s="140" t="str">
        <f t="shared" si="4"/>
        <v/>
      </c>
      <c r="AJ47" s="104" t="s">
        <v>279</v>
      </c>
    </row>
    <row r="48" spans="1:36" ht="45.6">
      <c r="A48" s="314">
        <v>3</v>
      </c>
      <c r="B48" s="756"/>
      <c r="C48" s="332">
        <v>9.1999999999999993</v>
      </c>
      <c r="D48" s="335" t="s">
        <v>399</v>
      </c>
      <c r="E48" s="335" t="s">
        <v>400</v>
      </c>
      <c r="F48" s="419"/>
      <c r="G48" s="419"/>
      <c r="H48" s="339"/>
      <c r="I48" s="340"/>
      <c r="J48" s="340"/>
      <c r="K48" s="566"/>
      <c r="L48" s="562" t="str">
        <f t="shared" si="0"/>
        <v/>
      </c>
      <c r="M48" s="570"/>
      <c r="N48" s="343" t="str">
        <f t="shared" si="1"/>
        <v/>
      </c>
      <c r="O48" s="584"/>
      <c r="P48" s="585"/>
      <c r="Q48" s="585"/>
      <c r="R48" s="585"/>
      <c r="S48" s="585"/>
      <c r="T48" s="333">
        <v>42</v>
      </c>
      <c r="U48" s="138"/>
      <c r="V48" s="138"/>
      <c r="W48" s="98" t="s">
        <v>276</v>
      </c>
      <c r="X48" s="139" t="str">
        <f t="shared" si="2"/>
        <v/>
      </c>
      <c r="Y48" s="140" t="str">
        <f t="shared" si="3"/>
        <v/>
      </c>
      <c r="Z48" s="140" t="str">
        <f t="shared" si="4"/>
        <v/>
      </c>
      <c r="AJ48" s="104" t="s">
        <v>279</v>
      </c>
    </row>
    <row r="49" spans="1:36" ht="45.6">
      <c r="A49" s="314">
        <v>4</v>
      </c>
      <c r="B49" s="756"/>
      <c r="C49" s="332">
        <v>9.3000000000000007</v>
      </c>
      <c r="D49" s="335" t="s">
        <v>401</v>
      </c>
      <c r="E49" s="335" t="s">
        <v>402</v>
      </c>
      <c r="F49" s="419"/>
      <c r="G49" s="419"/>
      <c r="H49" s="339"/>
      <c r="I49" s="340"/>
      <c r="J49" s="340"/>
      <c r="K49" s="566"/>
      <c r="L49" s="562" t="str">
        <f t="shared" si="0"/>
        <v/>
      </c>
      <c r="M49" s="570"/>
      <c r="N49" s="343" t="str">
        <f t="shared" si="1"/>
        <v/>
      </c>
      <c r="O49" s="584"/>
      <c r="P49" s="585"/>
      <c r="Q49" s="585"/>
      <c r="R49" s="585"/>
      <c r="S49" s="585"/>
      <c r="T49" s="333">
        <v>43</v>
      </c>
      <c r="U49" s="138"/>
      <c r="V49" s="138"/>
      <c r="W49" s="98" t="s">
        <v>276</v>
      </c>
      <c r="X49" s="139" t="str">
        <f t="shared" si="2"/>
        <v/>
      </c>
      <c r="Y49" s="140" t="str">
        <f t="shared" si="3"/>
        <v/>
      </c>
      <c r="Z49" s="140" t="str">
        <f t="shared" si="4"/>
        <v/>
      </c>
      <c r="AJ49" s="104" t="s">
        <v>279</v>
      </c>
    </row>
    <row r="50" spans="1:36" ht="68.400000000000006">
      <c r="A50" s="314">
        <v>5</v>
      </c>
      <c r="B50" s="757"/>
      <c r="C50" s="332">
        <v>9.4</v>
      </c>
      <c r="D50" s="335" t="s">
        <v>403</v>
      </c>
      <c r="E50" s="335" t="s">
        <v>404</v>
      </c>
      <c r="F50" s="492"/>
      <c r="G50" s="492"/>
      <c r="H50" s="339"/>
      <c r="I50" s="340"/>
      <c r="J50" s="340"/>
      <c r="K50" s="566"/>
      <c r="L50" s="562" t="str">
        <f t="shared" si="0"/>
        <v/>
      </c>
      <c r="M50" s="570"/>
      <c r="N50" s="343" t="str">
        <f t="shared" si="1"/>
        <v/>
      </c>
      <c r="O50" s="584"/>
      <c r="P50" s="585"/>
      <c r="Q50" s="585"/>
      <c r="R50" s="585"/>
      <c r="S50" s="585"/>
      <c r="T50" s="333">
        <v>44</v>
      </c>
      <c r="U50" s="138"/>
      <c r="V50" s="138"/>
      <c r="W50" s="98" t="s">
        <v>276</v>
      </c>
      <c r="X50" s="139" t="str">
        <f t="shared" si="2"/>
        <v/>
      </c>
      <c r="Y50" s="140" t="str">
        <f t="shared" si="3"/>
        <v/>
      </c>
      <c r="Z50" s="140" t="str">
        <f t="shared" si="4"/>
        <v/>
      </c>
      <c r="AJ50" s="104" t="s">
        <v>279</v>
      </c>
    </row>
    <row r="51" spans="1:36" ht="68.400000000000006">
      <c r="A51" s="314">
        <v>6</v>
      </c>
      <c r="B51" s="755" t="s">
        <v>405</v>
      </c>
      <c r="C51" s="332">
        <v>10.1</v>
      </c>
      <c r="D51" s="335" t="s">
        <v>406</v>
      </c>
      <c r="E51" s="335" t="s">
        <v>407</v>
      </c>
      <c r="F51" s="419"/>
      <c r="G51" s="419"/>
      <c r="H51" s="339"/>
      <c r="I51" s="340"/>
      <c r="J51" s="340"/>
      <c r="K51" s="566"/>
      <c r="L51" s="562" t="str">
        <f t="shared" si="0"/>
        <v/>
      </c>
      <c r="M51" s="570"/>
      <c r="N51" s="343" t="str">
        <f t="shared" si="1"/>
        <v/>
      </c>
      <c r="O51" s="584"/>
      <c r="P51" s="585"/>
      <c r="Q51" s="585"/>
      <c r="R51" s="585"/>
      <c r="S51" s="585"/>
      <c r="T51" s="333">
        <v>45</v>
      </c>
      <c r="U51" s="138"/>
      <c r="V51" s="138"/>
      <c r="W51" s="98" t="s">
        <v>276</v>
      </c>
      <c r="X51" s="139" t="str">
        <f t="shared" si="2"/>
        <v/>
      </c>
      <c r="Y51" s="140" t="str">
        <f t="shared" si="3"/>
        <v/>
      </c>
      <c r="Z51" s="140" t="str">
        <f t="shared" si="4"/>
        <v/>
      </c>
      <c r="AJ51" s="104" t="s">
        <v>279</v>
      </c>
    </row>
    <row r="52" spans="1:36" ht="79.8">
      <c r="A52" s="314">
        <v>7</v>
      </c>
      <c r="B52" s="756"/>
      <c r="C52" s="332">
        <v>10.199999999999999</v>
      </c>
      <c r="D52" s="335" t="s">
        <v>408</v>
      </c>
      <c r="E52" s="335" t="s">
        <v>409</v>
      </c>
      <c r="F52" s="492"/>
      <c r="G52" s="492"/>
      <c r="H52" s="339"/>
      <c r="I52" s="340"/>
      <c r="J52" s="340"/>
      <c r="K52" s="566"/>
      <c r="L52" s="562" t="str">
        <f t="shared" si="0"/>
        <v/>
      </c>
      <c r="M52" s="570"/>
      <c r="N52" s="343" t="str">
        <f t="shared" si="1"/>
        <v/>
      </c>
      <c r="O52" s="584"/>
      <c r="P52" s="585"/>
      <c r="Q52" s="585"/>
      <c r="R52" s="585"/>
      <c r="S52" s="585"/>
      <c r="T52" s="333">
        <v>46</v>
      </c>
      <c r="U52" s="138"/>
      <c r="V52" s="138"/>
      <c r="W52" s="98" t="s">
        <v>276</v>
      </c>
      <c r="X52" s="139" t="str">
        <f t="shared" si="2"/>
        <v/>
      </c>
      <c r="Y52" s="140" t="str">
        <f t="shared" si="3"/>
        <v/>
      </c>
      <c r="Z52" s="140" t="str">
        <f t="shared" si="4"/>
        <v/>
      </c>
      <c r="AJ52" s="104" t="s">
        <v>279</v>
      </c>
    </row>
    <row r="53" spans="1:36" ht="68.400000000000006">
      <c r="A53" s="314">
        <v>8</v>
      </c>
      <c r="B53" s="756"/>
      <c r="C53" s="332">
        <v>10.3</v>
      </c>
      <c r="D53" s="335" t="s">
        <v>410</v>
      </c>
      <c r="E53" s="335" t="s">
        <v>411</v>
      </c>
      <c r="F53" s="419"/>
      <c r="G53" s="419"/>
      <c r="H53" s="339"/>
      <c r="I53" s="340"/>
      <c r="J53" s="340"/>
      <c r="K53" s="566"/>
      <c r="L53" s="562" t="str">
        <f t="shared" si="0"/>
        <v/>
      </c>
      <c r="M53" s="570"/>
      <c r="N53" s="343" t="str">
        <f t="shared" si="1"/>
        <v/>
      </c>
      <c r="O53" s="584"/>
      <c r="P53" s="585"/>
      <c r="Q53" s="585"/>
      <c r="R53" s="585"/>
      <c r="S53" s="585"/>
      <c r="T53" s="333">
        <v>47</v>
      </c>
      <c r="U53" s="138"/>
      <c r="V53" s="138"/>
      <c r="W53" s="98" t="s">
        <v>276</v>
      </c>
      <c r="X53" s="139" t="str">
        <f t="shared" si="2"/>
        <v/>
      </c>
      <c r="Y53" s="140" t="str">
        <f t="shared" si="3"/>
        <v/>
      </c>
      <c r="Z53" s="140" t="str">
        <f t="shared" si="4"/>
        <v/>
      </c>
      <c r="AJ53" s="104" t="s">
        <v>279</v>
      </c>
    </row>
    <row r="54" spans="1:36" ht="79.8">
      <c r="A54" s="314">
        <v>9</v>
      </c>
      <c r="B54" s="757"/>
      <c r="C54" s="332">
        <v>10.4</v>
      </c>
      <c r="D54" s="335" t="s">
        <v>412</v>
      </c>
      <c r="E54" s="335" t="s">
        <v>413</v>
      </c>
      <c r="F54" s="419"/>
      <c r="G54" s="419"/>
      <c r="H54" s="339"/>
      <c r="I54" s="340"/>
      <c r="J54" s="340"/>
      <c r="K54" s="566"/>
      <c r="L54" s="562" t="str">
        <f t="shared" si="0"/>
        <v/>
      </c>
      <c r="M54" s="570"/>
      <c r="N54" s="343" t="str">
        <f t="shared" si="1"/>
        <v/>
      </c>
      <c r="O54" s="584"/>
      <c r="P54" s="585"/>
      <c r="Q54" s="585"/>
      <c r="R54" s="585"/>
      <c r="S54" s="585"/>
      <c r="T54" s="333">
        <v>48</v>
      </c>
      <c r="U54" s="138"/>
      <c r="V54" s="138"/>
      <c r="W54" s="98" t="s">
        <v>276</v>
      </c>
      <c r="X54" s="139" t="str">
        <f t="shared" si="2"/>
        <v/>
      </c>
      <c r="Y54" s="140" t="str">
        <f t="shared" si="3"/>
        <v/>
      </c>
      <c r="Z54" s="140" t="str">
        <f t="shared" si="4"/>
        <v/>
      </c>
      <c r="AJ54" s="104" t="s">
        <v>279</v>
      </c>
    </row>
    <row r="55" spans="1:36" ht="68.400000000000006">
      <c r="A55" s="314">
        <v>10</v>
      </c>
      <c r="B55" s="755" t="s">
        <v>414</v>
      </c>
      <c r="C55" s="332">
        <v>11.1</v>
      </c>
      <c r="D55" s="335" t="s">
        <v>415</v>
      </c>
      <c r="E55" s="335" t="s">
        <v>416</v>
      </c>
      <c r="F55" s="419"/>
      <c r="G55" s="419"/>
      <c r="H55" s="339"/>
      <c r="I55" s="340"/>
      <c r="J55" s="340"/>
      <c r="K55" s="566"/>
      <c r="L55" s="562" t="str">
        <f t="shared" si="0"/>
        <v/>
      </c>
      <c r="M55" s="570"/>
      <c r="N55" s="343" t="str">
        <f t="shared" si="1"/>
        <v/>
      </c>
      <c r="O55" s="584"/>
      <c r="P55" s="585"/>
      <c r="Q55" s="585"/>
      <c r="R55" s="585"/>
      <c r="S55" s="585"/>
      <c r="T55" s="333">
        <v>49</v>
      </c>
      <c r="U55" s="138"/>
      <c r="V55" s="138"/>
      <c r="W55" s="98" t="s">
        <v>276</v>
      </c>
      <c r="X55" s="139" t="str">
        <f t="shared" si="2"/>
        <v/>
      </c>
      <c r="Y55" s="140" t="str">
        <f t="shared" si="3"/>
        <v/>
      </c>
      <c r="Z55" s="140" t="str">
        <f t="shared" si="4"/>
        <v/>
      </c>
      <c r="AJ55" s="104" t="s">
        <v>279</v>
      </c>
    </row>
    <row r="56" spans="1:36" ht="34.200000000000003">
      <c r="A56" s="314">
        <v>11</v>
      </c>
      <c r="B56" s="756"/>
      <c r="C56" s="332">
        <v>11.2</v>
      </c>
      <c r="D56" s="335" t="s">
        <v>417</v>
      </c>
      <c r="E56" s="335" t="s">
        <v>418</v>
      </c>
      <c r="F56" s="419"/>
      <c r="G56" s="419"/>
      <c r="H56" s="339"/>
      <c r="I56" s="340"/>
      <c r="J56" s="340"/>
      <c r="K56" s="566"/>
      <c r="L56" s="562" t="str">
        <f t="shared" si="0"/>
        <v/>
      </c>
      <c r="M56" s="570"/>
      <c r="N56" s="343" t="str">
        <f t="shared" si="1"/>
        <v/>
      </c>
      <c r="O56" s="584"/>
      <c r="P56" s="585"/>
      <c r="Q56" s="585"/>
      <c r="R56" s="585"/>
      <c r="S56" s="585"/>
      <c r="T56" s="333">
        <v>50</v>
      </c>
      <c r="U56" s="138"/>
      <c r="V56" s="138"/>
      <c r="W56" s="98" t="s">
        <v>276</v>
      </c>
      <c r="X56" s="139" t="str">
        <f t="shared" si="2"/>
        <v/>
      </c>
      <c r="Y56" s="140" t="str">
        <f t="shared" si="3"/>
        <v/>
      </c>
      <c r="Z56" s="140" t="str">
        <f t="shared" si="4"/>
        <v/>
      </c>
      <c r="AJ56" s="104" t="s">
        <v>279</v>
      </c>
    </row>
    <row r="57" spans="1:36" ht="62.25" customHeight="1">
      <c r="A57" s="314">
        <v>12</v>
      </c>
      <c r="B57" s="757"/>
      <c r="C57" s="332">
        <v>11.3</v>
      </c>
      <c r="D57" s="335" t="s">
        <v>419</v>
      </c>
      <c r="E57" s="335" t="s">
        <v>420</v>
      </c>
      <c r="F57" s="492"/>
      <c r="G57" s="492"/>
      <c r="H57" s="339"/>
      <c r="I57" s="340"/>
      <c r="J57" s="340"/>
      <c r="K57" s="566"/>
      <c r="L57" s="562" t="str">
        <f t="shared" si="0"/>
        <v/>
      </c>
      <c r="M57" s="570"/>
      <c r="N57" s="343" t="str">
        <f t="shared" si="1"/>
        <v/>
      </c>
      <c r="O57" s="584"/>
      <c r="P57" s="585"/>
      <c r="Q57" s="585"/>
      <c r="R57" s="585"/>
      <c r="S57" s="585"/>
      <c r="T57" s="333">
        <v>51</v>
      </c>
      <c r="U57" s="138"/>
      <c r="V57" s="138"/>
      <c r="W57" s="98" t="s">
        <v>276</v>
      </c>
      <c r="X57" s="139" t="str">
        <f t="shared" si="2"/>
        <v/>
      </c>
      <c r="Y57" s="140" t="str">
        <f t="shared" si="3"/>
        <v/>
      </c>
      <c r="Z57" s="140" t="str">
        <f t="shared" si="4"/>
        <v/>
      </c>
      <c r="AJ57" s="104" t="s">
        <v>279</v>
      </c>
    </row>
    <row r="58" spans="1:36" ht="57">
      <c r="A58" s="314">
        <v>13</v>
      </c>
      <c r="B58" s="755" t="s">
        <v>421</v>
      </c>
      <c r="C58" s="332">
        <v>12.1</v>
      </c>
      <c r="D58" s="335" t="s">
        <v>422</v>
      </c>
      <c r="E58" s="335" t="s">
        <v>423</v>
      </c>
      <c r="F58" s="419"/>
      <c r="G58" s="419"/>
      <c r="H58" s="339"/>
      <c r="I58" s="340"/>
      <c r="J58" s="340"/>
      <c r="K58" s="566"/>
      <c r="L58" s="562" t="str">
        <f t="shared" si="0"/>
        <v/>
      </c>
      <c r="M58" s="570"/>
      <c r="N58" s="343" t="str">
        <f t="shared" si="1"/>
        <v/>
      </c>
      <c r="O58" s="584"/>
      <c r="P58" s="585"/>
      <c r="Q58" s="585"/>
      <c r="R58" s="585"/>
      <c r="S58" s="585"/>
      <c r="T58" s="333">
        <v>52</v>
      </c>
      <c r="U58" s="138"/>
      <c r="V58" s="138"/>
      <c r="W58" s="98" t="s">
        <v>276</v>
      </c>
      <c r="X58" s="139" t="str">
        <f t="shared" si="2"/>
        <v/>
      </c>
      <c r="Y58" s="140" t="str">
        <f t="shared" si="3"/>
        <v/>
      </c>
      <c r="Z58" s="140" t="str">
        <f t="shared" si="4"/>
        <v/>
      </c>
      <c r="AJ58" s="104" t="s">
        <v>279</v>
      </c>
    </row>
    <row r="59" spans="1:36" ht="50.25" customHeight="1">
      <c r="A59" s="314">
        <v>14</v>
      </c>
      <c r="B59" s="756"/>
      <c r="C59" s="332">
        <v>12.2</v>
      </c>
      <c r="D59" s="335" t="s">
        <v>424</v>
      </c>
      <c r="E59" s="335" t="s">
        <v>425</v>
      </c>
      <c r="F59" s="419"/>
      <c r="G59" s="419"/>
      <c r="H59" s="339"/>
      <c r="I59" s="340"/>
      <c r="J59" s="340"/>
      <c r="K59" s="566"/>
      <c r="L59" s="562" t="str">
        <f t="shared" si="0"/>
        <v/>
      </c>
      <c r="M59" s="570"/>
      <c r="N59" s="343" t="str">
        <f t="shared" si="1"/>
        <v/>
      </c>
      <c r="O59" s="584"/>
      <c r="P59" s="585"/>
      <c r="Q59" s="585"/>
      <c r="R59" s="585"/>
      <c r="S59" s="585"/>
      <c r="T59" s="333">
        <v>53</v>
      </c>
      <c r="U59" s="138"/>
      <c r="V59" s="138"/>
      <c r="W59" s="98" t="s">
        <v>276</v>
      </c>
      <c r="X59" s="139" t="str">
        <f t="shared" si="2"/>
        <v/>
      </c>
      <c r="Y59" s="140" t="str">
        <f t="shared" si="3"/>
        <v/>
      </c>
      <c r="Z59" s="140" t="str">
        <f t="shared" si="4"/>
        <v/>
      </c>
      <c r="AJ59" s="104" t="s">
        <v>279</v>
      </c>
    </row>
    <row r="60" spans="1:36" ht="68.400000000000006">
      <c r="A60" s="314">
        <v>15</v>
      </c>
      <c r="B60" s="756"/>
      <c r="C60" s="332">
        <v>12.3</v>
      </c>
      <c r="D60" s="338" t="s">
        <v>426</v>
      </c>
      <c r="E60" s="335" t="s">
        <v>427</v>
      </c>
      <c r="F60" s="492"/>
      <c r="G60" s="492"/>
      <c r="H60" s="339"/>
      <c r="I60" s="340"/>
      <c r="J60" s="340"/>
      <c r="K60" s="566"/>
      <c r="L60" s="562" t="str">
        <f t="shared" si="0"/>
        <v/>
      </c>
      <c r="M60" s="570"/>
      <c r="N60" s="343" t="str">
        <f t="shared" si="1"/>
        <v/>
      </c>
      <c r="O60" s="584"/>
      <c r="P60" s="585"/>
      <c r="Q60" s="585"/>
      <c r="R60" s="585"/>
      <c r="S60" s="585"/>
      <c r="T60" s="333">
        <v>54</v>
      </c>
      <c r="U60" s="138"/>
      <c r="V60" s="138"/>
      <c r="W60" s="98" t="s">
        <v>276</v>
      </c>
      <c r="X60" s="139" t="str">
        <f t="shared" si="2"/>
        <v/>
      </c>
      <c r="Y60" s="140" t="str">
        <f t="shared" si="3"/>
        <v/>
      </c>
      <c r="Z60" s="140" t="str">
        <f t="shared" si="4"/>
        <v/>
      </c>
      <c r="AJ60" s="104" t="s">
        <v>279</v>
      </c>
    </row>
    <row r="61" spans="1:36" ht="68.400000000000006">
      <c r="A61" s="314">
        <v>16</v>
      </c>
      <c r="B61" s="756"/>
      <c r="C61" s="332">
        <v>12.4</v>
      </c>
      <c r="D61" s="335" t="s">
        <v>428</v>
      </c>
      <c r="E61" s="335" t="s">
        <v>429</v>
      </c>
      <c r="F61" s="419"/>
      <c r="G61" s="419"/>
      <c r="H61" s="339"/>
      <c r="I61" s="340"/>
      <c r="J61" s="340"/>
      <c r="K61" s="566"/>
      <c r="L61" s="562" t="str">
        <f t="shared" si="0"/>
        <v/>
      </c>
      <c r="M61" s="570"/>
      <c r="N61" s="343" t="str">
        <f t="shared" si="1"/>
        <v/>
      </c>
      <c r="O61" s="584"/>
      <c r="P61" s="585"/>
      <c r="Q61" s="585"/>
      <c r="R61" s="585"/>
      <c r="S61" s="585"/>
      <c r="T61" s="333">
        <v>55</v>
      </c>
      <c r="U61" s="138"/>
      <c r="V61" s="138"/>
      <c r="W61" s="98" t="s">
        <v>276</v>
      </c>
      <c r="X61" s="139" t="str">
        <f t="shared" si="2"/>
        <v/>
      </c>
      <c r="Y61" s="140" t="str">
        <f t="shared" si="3"/>
        <v/>
      </c>
      <c r="Z61" s="140" t="str">
        <f t="shared" si="4"/>
        <v/>
      </c>
      <c r="AJ61" s="104" t="s">
        <v>279</v>
      </c>
    </row>
    <row r="62" spans="1:36" ht="83.25" customHeight="1">
      <c r="A62" s="314">
        <v>17</v>
      </c>
      <c r="B62" s="757"/>
      <c r="C62" s="332">
        <v>12.5</v>
      </c>
      <c r="D62" s="335" t="s">
        <v>430</v>
      </c>
      <c r="E62" s="335" t="s">
        <v>431</v>
      </c>
      <c r="F62" s="492"/>
      <c r="G62" s="492"/>
      <c r="H62" s="339"/>
      <c r="I62" s="340"/>
      <c r="J62" s="340"/>
      <c r="K62" s="566"/>
      <c r="L62" s="562" t="str">
        <f t="shared" si="0"/>
        <v/>
      </c>
      <c r="M62" s="570"/>
      <c r="N62" s="343" t="str">
        <f t="shared" si="1"/>
        <v/>
      </c>
      <c r="O62" s="584"/>
      <c r="P62" s="585"/>
      <c r="Q62" s="585"/>
      <c r="R62" s="585"/>
      <c r="S62" s="585"/>
      <c r="T62" s="333">
        <v>56</v>
      </c>
      <c r="U62" s="138"/>
      <c r="V62" s="138"/>
      <c r="W62" s="98" t="s">
        <v>276</v>
      </c>
      <c r="X62" s="139" t="str">
        <f t="shared" si="2"/>
        <v/>
      </c>
      <c r="Y62" s="140" t="str">
        <f t="shared" si="3"/>
        <v/>
      </c>
      <c r="Z62" s="140" t="str">
        <f t="shared" si="4"/>
        <v/>
      </c>
      <c r="AJ62" s="104" t="s">
        <v>279</v>
      </c>
    </row>
    <row r="63" spans="1:36" ht="87.75" customHeight="1">
      <c r="A63" s="314">
        <v>18</v>
      </c>
      <c r="B63" s="755" t="s">
        <v>432</v>
      </c>
      <c r="C63" s="332">
        <v>13.1</v>
      </c>
      <c r="D63" s="335" t="s">
        <v>433</v>
      </c>
      <c r="E63" s="335" t="s">
        <v>434</v>
      </c>
      <c r="F63" s="419"/>
      <c r="G63" s="419"/>
      <c r="H63" s="339"/>
      <c r="I63" s="340"/>
      <c r="J63" s="340"/>
      <c r="K63" s="565"/>
      <c r="L63" s="562" t="str">
        <f t="shared" si="0"/>
        <v/>
      </c>
      <c r="M63" s="571"/>
      <c r="N63" s="343" t="str">
        <f t="shared" si="1"/>
        <v/>
      </c>
      <c r="O63" s="584"/>
      <c r="P63" s="585"/>
      <c r="Q63" s="585"/>
      <c r="R63" s="585"/>
      <c r="S63" s="585"/>
      <c r="T63" s="333">
        <v>57</v>
      </c>
      <c r="U63" s="138"/>
      <c r="V63" s="138"/>
      <c r="W63" s="98" t="s">
        <v>276</v>
      </c>
      <c r="X63" s="139" t="str">
        <f t="shared" si="2"/>
        <v/>
      </c>
      <c r="Y63" s="140" t="str">
        <f t="shared" si="3"/>
        <v/>
      </c>
      <c r="Z63" s="140" t="str">
        <f t="shared" si="4"/>
        <v/>
      </c>
      <c r="AJ63" s="104" t="s">
        <v>279</v>
      </c>
    </row>
    <row r="64" spans="1:36" ht="79.8">
      <c r="A64" s="313" t="s">
        <v>307</v>
      </c>
      <c r="B64" s="756"/>
      <c r="C64" s="332">
        <v>13.2</v>
      </c>
      <c r="D64" s="335" t="s">
        <v>435</v>
      </c>
      <c r="E64" s="335" t="s">
        <v>436</v>
      </c>
      <c r="F64" s="419"/>
      <c r="G64" s="419"/>
      <c r="H64" s="339"/>
      <c r="I64" s="340"/>
      <c r="J64" s="340"/>
      <c r="K64" s="565"/>
      <c r="L64" s="562" t="str">
        <f t="shared" si="0"/>
        <v/>
      </c>
      <c r="M64" s="571"/>
      <c r="N64" s="343" t="str">
        <f t="shared" si="1"/>
        <v/>
      </c>
      <c r="O64" s="584"/>
      <c r="P64" s="585"/>
      <c r="Q64" s="585"/>
      <c r="R64" s="585"/>
      <c r="S64" s="585"/>
      <c r="T64" s="333">
        <v>58</v>
      </c>
      <c r="U64" s="138"/>
      <c r="V64" s="138"/>
      <c r="W64" s="98" t="s">
        <v>276</v>
      </c>
      <c r="X64" s="139" t="str">
        <f t="shared" si="2"/>
        <v/>
      </c>
      <c r="Y64" s="140" t="str">
        <f t="shared" si="3"/>
        <v/>
      </c>
      <c r="Z64" s="140" t="str">
        <f t="shared" si="4"/>
        <v/>
      </c>
      <c r="AJ64" s="104" t="s">
        <v>279</v>
      </c>
    </row>
    <row r="65" spans="1:37" ht="68.400000000000006">
      <c r="A65" s="314">
        <v>1</v>
      </c>
      <c r="B65" s="756"/>
      <c r="C65" s="332">
        <v>13.3</v>
      </c>
      <c r="D65" s="335" t="s">
        <v>437</v>
      </c>
      <c r="E65" s="335" t="s">
        <v>438</v>
      </c>
      <c r="F65" s="419"/>
      <c r="G65" s="419"/>
      <c r="H65" s="339"/>
      <c r="I65" s="340"/>
      <c r="J65" s="340"/>
      <c r="K65" s="565"/>
      <c r="L65" s="562" t="str">
        <f t="shared" si="0"/>
        <v/>
      </c>
      <c r="M65" s="571"/>
      <c r="N65" s="343" t="str">
        <f t="shared" si="1"/>
        <v/>
      </c>
      <c r="O65" s="584"/>
      <c r="P65" s="585"/>
      <c r="Q65" s="585"/>
      <c r="R65" s="585"/>
      <c r="S65" s="585"/>
      <c r="T65" s="333">
        <v>59</v>
      </c>
      <c r="U65" s="138"/>
      <c r="V65" s="138"/>
      <c r="W65" s="98" t="s">
        <v>276</v>
      </c>
      <c r="X65" s="139" t="str">
        <f t="shared" si="2"/>
        <v/>
      </c>
      <c r="Y65" s="140" t="str">
        <f t="shared" si="3"/>
        <v/>
      </c>
      <c r="Z65" s="140" t="str">
        <f t="shared" si="4"/>
        <v/>
      </c>
      <c r="AJ65" s="104" t="s">
        <v>279</v>
      </c>
    </row>
    <row r="66" spans="1:37" ht="87" customHeight="1">
      <c r="A66" s="314">
        <v>2</v>
      </c>
      <c r="B66" s="757"/>
      <c r="C66" s="332">
        <v>13.4</v>
      </c>
      <c r="D66" s="335" t="s">
        <v>439</v>
      </c>
      <c r="E66" s="335" t="s">
        <v>440</v>
      </c>
      <c r="F66" s="419"/>
      <c r="G66" s="419"/>
      <c r="H66" s="339"/>
      <c r="I66" s="340"/>
      <c r="J66" s="340"/>
      <c r="K66" s="565"/>
      <c r="L66" s="562" t="str">
        <f t="shared" si="0"/>
        <v/>
      </c>
      <c r="M66" s="571"/>
      <c r="N66" s="343" t="str">
        <f t="shared" si="1"/>
        <v/>
      </c>
      <c r="O66" s="584"/>
      <c r="P66" s="585"/>
      <c r="Q66" s="585"/>
      <c r="R66" s="585"/>
      <c r="S66" s="585"/>
      <c r="T66" s="333">
        <v>60</v>
      </c>
      <c r="U66" s="138"/>
      <c r="V66" s="138"/>
      <c r="W66" s="98" t="s">
        <v>276</v>
      </c>
      <c r="X66" s="139" t="str">
        <f t="shared" si="2"/>
        <v/>
      </c>
      <c r="Y66" s="140" t="str">
        <f t="shared" si="3"/>
        <v/>
      </c>
      <c r="Z66" s="140" t="str">
        <f t="shared" si="4"/>
        <v/>
      </c>
      <c r="AJ66" s="104" t="s">
        <v>279</v>
      </c>
    </row>
    <row r="67" spans="1:37" ht="68.400000000000006">
      <c r="A67" s="314">
        <v>3</v>
      </c>
      <c r="B67" s="755" t="s">
        <v>441</v>
      </c>
      <c r="C67" s="332">
        <v>14.1</v>
      </c>
      <c r="D67" s="335" t="s">
        <v>442</v>
      </c>
      <c r="E67" s="335" t="s">
        <v>443</v>
      </c>
      <c r="F67" s="419"/>
      <c r="G67" s="419"/>
      <c r="H67" s="339"/>
      <c r="I67" s="340"/>
      <c r="J67" s="340"/>
      <c r="K67" s="565"/>
      <c r="L67" s="562" t="str">
        <f t="shared" si="0"/>
        <v/>
      </c>
      <c r="M67" s="571"/>
      <c r="N67" s="343" t="str">
        <f t="shared" si="1"/>
        <v/>
      </c>
      <c r="O67" s="584"/>
      <c r="P67" s="585"/>
      <c r="Q67" s="585"/>
      <c r="R67" s="585"/>
      <c r="S67" s="585"/>
      <c r="T67" s="333">
        <v>61</v>
      </c>
      <c r="U67" s="138"/>
      <c r="V67" s="138"/>
      <c r="W67" s="98" t="s">
        <v>276</v>
      </c>
      <c r="X67" s="139" t="str">
        <f t="shared" si="2"/>
        <v/>
      </c>
      <c r="Y67" s="140" t="str">
        <f t="shared" si="3"/>
        <v/>
      </c>
      <c r="Z67" s="140" t="str">
        <f t="shared" si="4"/>
        <v/>
      </c>
      <c r="AJ67" s="104" t="s">
        <v>279</v>
      </c>
    </row>
    <row r="68" spans="1:37" ht="74.25" customHeight="1">
      <c r="A68" s="314">
        <v>4</v>
      </c>
      <c r="B68" s="756"/>
      <c r="C68" s="332">
        <v>14.2</v>
      </c>
      <c r="D68" s="335" t="s">
        <v>444</v>
      </c>
      <c r="E68" s="335" t="s">
        <v>445</v>
      </c>
      <c r="F68" s="419"/>
      <c r="G68" s="419"/>
      <c r="H68" s="339"/>
      <c r="I68" s="340"/>
      <c r="J68" s="340"/>
      <c r="K68" s="565"/>
      <c r="L68" s="562" t="str">
        <f t="shared" si="0"/>
        <v/>
      </c>
      <c r="M68" s="571"/>
      <c r="N68" s="343" t="str">
        <f t="shared" si="1"/>
        <v/>
      </c>
      <c r="O68" s="584"/>
      <c r="P68" s="585"/>
      <c r="Q68" s="585"/>
      <c r="R68" s="585"/>
      <c r="S68" s="585"/>
      <c r="T68" s="333">
        <v>62</v>
      </c>
      <c r="U68" s="138"/>
      <c r="V68" s="138"/>
      <c r="W68" s="98" t="s">
        <v>276</v>
      </c>
      <c r="X68" s="139" t="str">
        <f t="shared" si="2"/>
        <v/>
      </c>
      <c r="Y68" s="140" t="str">
        <f t="shared" si="3"/>
        <v/>
      </c>
      <c r="Z68" s="140" t="str">
        <f t="shared" si="4"/>
        <v/>
      </c>
      <c r="AJ68" s="104" t="s">
        <v>279</v>
      </c>
    </row>
    <row r="69" spans="1:37" ht="63" customHeight="1">
      <c r="A69" s="314">
        <v>5</v>
      </c>
      <c r="B69" s="757"/>
      <c r="C69" s="332">
        <v>14.3</v>
      </c>
      <c r="D69" s="335" t="s">
        <v>446</v>
      </c>
      <c r="E69" s="335" t="s">
        <v>447</v>
      </c>
      <c r="F69" s="419"/>
      <c r="G69" s="419"/>
      <c r="H69" s="339"/>
      <c r="I69" s="340"/>
      <c r="J69" s="340"/>
      <c r="K69" s="565"/>
      <c r="L69" s="562" t="str">
        <f t="shared" si="0"/>
        <v/>
      </c>
      <c r="M69" s="571"/>
      <c r="N69" s="343" t="str">
        <f t="shared" si="1"/>
        <v/>
      </c>
      <c r="O69" s="584"/>
      <c r="P69" s="585"/>
      <c r="Q69" s="585"/>
      <c r="R69" s="585"/>
      <c r="S69" s="585"/>
      <c r="T69" s="333">
        <v>63</v>
      </c>
      <c r="U69" s="138"/>
      <c r="V69" s="138"/>
      <c r="W69" s="98" t="s">
        <v>276</v>
      </c>
      <c r="X69" s="139" t="str">
        <f t="shared" si="2"/>
        <v/>
      </c>
      <c r="Y69" s="140" t="str">
        <f t="shared" si="3"/>
        <v/>
      </c>
      <c r="Z69" s="140" t="str">
        <f t="shared" si="4"/>
        <v/>
      </c>
      <c r="AJ69" s="104" t="s">
        <v>279</v>
      </c>
    </row>
    <row r="70" spans="1:37" s="4" customFormat="1" ht="102.6">
      <c r="A70" s="314">
        <v>6</v>
      </c>
      <c r="B70" s="755" t="s">
        <v>448</v>
      </c>
      <c r="C70" s="334">
        <v>15.1</v>
      </c>
      <c r="D70" s="335" t="s">
        <v>449</v>
      </c>
      <c r="E70" s="335" t="s">
        <v>450</v>
      </c>
      <c r="F70" s="419"/>
      <c r="G70" s="419"/>
      <c r="H70" s="339"/>
      <c r="I70" s="340"/>
      <c r="J70" s="340"/>
      <c r="K70" s="566"/>
      <c r="L70" s="562" t="str">
        <f t="shared" si="0"/>
        <v/>
      </c>
      <c r="M70" s="570"/>
      <c r="N70" s="343" t="str">
        <f t="shared" si="1"/>
        <v/>
      </c>
      <c r="O70" s="584"/>
      <c r="P70" s="585"/>
      <c r="Q70" s="585"/>
      <c r="R70" s="585"/>
      <c r="S70" s="585"/>
      <c r="T70" s="333">
        <v>64</v>
      </c>
      <c r="U70" s="138"/>
      <c r="V70" s="138"/>
      <c r="W70" s="98" t="s">
        <v>276</v>
      </c>
      <c r="X70" s="139" t="str">
        <f t="shared" si="2"/>
        <v/>
      </c>
      <c r="Y70" s="140" t="str">
        <f t="shared" si="3"/>
        <v/>
      </c>
      <c r="Z70" s="140" t="str">
        <f t="shared" si="4"/>
        <v/>
      </c>
      <c r="AA70" s="6"/>
      <c r="AB70" s="6"/>
      <c r="AC70" s="6"/>
      <c r="AD70" s="6"/>
      <c r="AE70" s="6"/>
      <c r="AF70" s="6"/>
      <c r="AG70" s="6"/>
      <c r="AH70" s="6"/>
      <c r="AI70" s="6"/>
      <c r="AJ70" s="104" t="s">
        <v>279</v>
      </c>
      <c r="AK70" s="6"/>
    </row>
    <row r="71" spans="1:37" ht="68.400000000000006">
      <c r="A71" s="314">
        <v>7</v>
      </c>
      <c r="B71" s="756"/>
      <c r="C71" s="334">
        <v>15.2</v>
      </c>
      <c r="D71" s="335" t="s">
        <v>451</v>
      </c>
      <c r="E71" s="335" t="s">
        <v>452</v>
      </c>
      <c r="F71" s="419"/>
      <c r="G71" s="419"/>
      <c r="H71" s="339"/>
      <c r="I71" s="340"/>
      <c r="J71" s="340"/>
      <c r="K71" s="566"/>
      <c r="L71" s="562" t="str">
        <f t="shared" ref="L71:L86" si="5">IF(I71="","",IF(F71&lt;&gt;"","",IF(I71&gt;=70,"N","Y")))</f>
        <v/>
      </c>
      <c r="M71" s="570"/>
      <c r="N71" s="343" t="str">
        <f t="shared" ref="N71:N86" si="6">IF(I71="","",IF(I71&gt;=70,"",IF(SUM(IF(I71&gt;=70,1,-1)+IF(J71&gt;=70,1,-1))&gt;=0,"Closed","Open")))</f>
        <v/>
      </c>
      <c r="O71" s="584"/>
      <c r="P71" s="585"/>
      <c r="Q71" s="585"/>
      <c r="R71" s="585"/>
      <c r="S71" s="585"/>
      <c r="T71" s="333">
        <v>65</v>
      </c>
      <c r="U71" s="138"/>
      <c r="V71" s="138"/>
      <c r="W71" s="98" t="s">
        <v>276</v>
      </c>
      <c r="X71" s="139" t="str">
        <f t="shared" si="2"/>
        <v/>
      </c>
      <c r="Y71" s="140" t="str">
        <f t="shared" si="3"/>
        <v/>
      </c>
      <c r="Z71" s="140" t="str">
        <f t="shared" si="4"/>
        <v/>
      </c>
      <c r="AJ71" s="104" t="s">
        <v>279</v>
      </c>
    </row>
    <row r="72" spans="1:37" ht="57">
      <c r="A72" s="314">
        <v>8</v>
      </c>
      <c r="B72" s="756"/>
      <c r="C72" s="334">
        <v>15.3</v>
      </c>
      <c r="D72" s="335" t="s">
        <v>453</v>
      </c>
      <c r="E72" s="335" t="s">
        <v>454</v>
      </c>
      <c r="F72" s="419"/>
      <c r="G72" s="419"/>
      <c r="H72" s="339"/>
      <c r="I72" s="340"/>
      <c r="J72" s="340"/>
      <c r="K72" s="566"/>
      <c r="L72" s="562" t="str">
        <f t="shared" si="5"/>
        <v/>
      </c>
      <c r="M72" s="570"/>
      <c r="N72" s="343" t="str">
        <f t="shared" si="6"/>
        <v/>
      </c>
      <c r="O72" s="584"/>
      <c r="P72" s="585"/>
      <c r="Q72" s="585"/>
      <c r="R72" s="585"/>
      <c r="S72" s="585"/>
      <c r="T72" s="333">
        <v>66</v>
      </c>
      <c r="U72" s="138"/>
      <c r="V72" s="138"/>
      <c r="W72" s="98" t="s">
        <v>276</v>
      </c>
      <c r="X72" s="139" t="str">
        <f t="shared" ref="X72:X86" si="7">IF(COUNTA($F72,$G72)&gt;0,"n/a",IF(H72="","",H72))</f>
        <v/>
      </c>
      <c r="Y72" s="140" t="str">
        <f t="shared" ref="Y72:Y86" si="8">IF(COUNTA($F72,$G72)&gt;0,"n/a",IF(I72="","",I72))</f>
        <v/>
      </c>
      <c r="Z72" s="140" t="str">
        <f t="shared" ref="Z72:Z86" si="9">IF(COUNTA($F72,$G72)&gt;0,"n/a",IF(J72="","",J72))</f>
        <v/>
      </c>
      <c r="AJ72" s="104" t="s">
        <v>279</v>
      </c>
      <c r="AK72" s="115"/>
    </row>
    <row r="73" spans="1:37" ht="34.200000000000003">
      <c r="A73" s="314">
        <v>9</v>
      </c>
      <c r="B73" s="756"/>
      <c r="C73" s="334">
        <v>15.4</v>
      </c>
      <c r="D73" s="335" t="s">
        <v>455</v>
      </c>
      <c r="E73" s="335" t="s">
        <v>456</v>
      </c>
      <c r="F73" s="419"/>
      <c r="G73" s="419"/>
      <c r="H73" s="339"/>
      <c r="I73" s="340"/>
      <c r="J73" s="340"/>
      <c r="K73" s="566"/>
      <c r="L73" s="562" t="str">
        <f t="shared" si="5"/>
        <v/>
      </c>
      <c r="M73" s="570"/>
      <c r="N73" s="343" t="str">
        <f t="shared" si="6"/>
        <v/>
      </c>
      <c r="O73" s="584"/>
      <c r="P73" s="585"/>
      <c r="Q73" s="585"/>
      <c r="R73" s="585"/>
      <c r="S73" s="585"/>
      <c r="T73" s="333">
        <v>67</v>
      </c>
      <c r="U73" s="138"/>
      <c r="V73" s="138"/>
      <c r="W73" s="98" t="s">
        <v>276</v>
      </c>
      <c r="X73" s="139" t="str">
        <f t="shared" si="7"/>
        <v/>
      </c>
      <c r="Y73" s="140" t="str">
        <f t="shared" si="8"/>
        <v/>
      </c>
      <c r="Z73" s="140" t="str">
        <f t="shared" si="9"/>
        <v/>
      </c>
      <c r="AJ73" s="104" t="s">
        <v>279</v>
      </c>
      <c r="AK73" s="115"/>
    </row>
    <row r="74" spans="1:37" ht="79.8">
      <c r="A74" s="314">
        <v>10</v>
      </c>
      <c r="B74" s="757"/>
      <c r="C74" s="334">
        <v>15.5</v>
      </c>
      <c r="D74" s="335" t="s">
        <v>457</v>
      </c>
      <c r="E74" s="341" t="s">
        <v>458</v>
      </c>
      <c r="F74" s="420"/>
      <c r="G74" s="419"/>
      <c r="H74" s="339"/>
      <c r="I74" s="340"/>
      <c r="J74" s="340"/>
      <c r="K74" s="566"/>
      <c r="L74" s="562" t="str">
        <f t="shared" si="5"/>
        <v/>
      </c>
      <c r="M74" s="570"/>
      <c r="N74" s="343" t="str">
        <f t="shared" si="6"/>
        <v/>
      </c>
      <c r="O74" s="584"/>
      <c r="P74" s="585"/>
      <c r="Q74" s="585"/>
      <c r="R74" s="585"/>
      <c r="S74" s="585"/>
      <c r="T74" s="333">
        <v>68</v>
      </c>
      <c r="U74" s="138"/>
      <c r="V74" s="138"/>
      <c r="W74" s="98" t="s">
        <v>276</v>
      </c>
      <c r="X74" s="139" t="str">
        <f t="shared" si="7"/>
        <v/>
      </c>
      <c r="Y74" s="140" t="str">
        <f t="shared" si="8"/>
        <v/>
      </c>
      <c r="Z74" s="140" t="str">
        <f t="shared" si="9"/>
        <v/>
      </c>
      <c r="AJ74" s="104" t="s">
        <v>279</v>
      </c>
      <c r="AK74" s="115"/>
    </row>
    <row r="75" spans="1:37" ht="57">
      <c r="A75" s="314">
        <v>11</v>
      </c>
      <c r="B75" s="755" t="s">
        <v>459</v>
      </c>
      <c r="C75" s="332">
        <v>16.100000000000001</v>
      </c>
      <c r="D75" s="335" t="s">
        <v>460</v>
      </c>
      <c r="E75" s="335" t="s">
        <v>461</v>
      </c>
      <c r="F75" s="419"/>
      <c r="G75" s="419"/>
      <c r="H75" s="339"/>
      <c r="I75" s="340"/>
      <c r="J75" s="340"/>
      <c r="K75" s="565"/>
      <c r="L75" s="562" t="str">
        <f t="shared" si="5"/>
        <v/>
      </c>
      <c r="M75" s="571"/>
      <c r="N75" s="343" t="str">
        <f t="shared" si="6"/>
        <v/>
      </c>
      <c r="O75" s="584"/>
      <c r="P75" s="585"/>
      <c r="Q75" s="585"/>
      <c r="R75" s="585"/>
      <c r="S75" s="585"/>
      <c r="T75" s="333">
        <v>69</v>
      </c>
      <c r="U75" s="138"/>
      <c r="V75" s="138"/>
      <c r="W75" s="98" t="s">
        <v>276</v>
      </c>
      <c r="X75" s="139" t="str">
        <f t="shared" si="7"/>
        <v/>
      </c>
      <c r="Y75" s="140" t="str">
        <f t="shared" si="8"/>
        <v/>
      </c>
      <c r="Z75" s="140" t="str">
        <f t="shared" si="9"/>
        <v/>
      </c>
      <c r="AJ75" s="104" t="s">
        <v>279</v>
      </c>
    </row>
    <row r="76" spans="1:37" ht="49.5" customHeight="1">
      <c r="A76" s="314">
        <v>12</v>
      </c>
      <c r="B76" s="756"/>
      <c r="C76" s="332">
        <v>16.2</v>
      </c>
      <c r="D76" s="335" t="s">
        <v>462</v>
      </c>
      <c r="E76" s="335" t="s">
        <v>463</v>
      </c>
      <c r="F76" s="419"/>
      <c r="G76" s="419"/>
      <c r="H76" s="339"/>
      <c r="I76" s="340"/>
      <c r="J76" s="340"/>
      <c r="K76" s="565"/>
      <c r="L76" s="562" t="str">
        <f t="shared" si="5"/>
        <v/>
      </c>
      <c r="M76" s="571"/>
      <c r="N76" s="343" t="str">
        <f t="shared" si="6"/>
        <v/>
      </c>
      <c r="O76" s="584"/>
      <c r="P76" s="585"/>
      <c r="Q76" s="585"/>
      <c r="R76" s="585"/>
      <c r="S76" s="585"/>
      <c r="T76" s="333">
        <v>70</v>
      </c>
      <c r="U76" s="138"/>
      <c r="V76" s="138"/>
      <c r="W76" s="98" t="s">
        <v>276</v>
      </c>
      <c r="X76" s="139" t="str">
        <f t="shared" si="7"/>
        <v/>
      </c>
      <c r="Y76" s="140" t="str">
        <f t="shared" si="8"/>
        <v/>
      </c>
      <c r="Z76" s="140" t="str">
        <f t="shared" si="9"/>
        <v/>
      </c>
      <c r="AJ76" s="104" t="s">
        <v>279</v>
      </c>
    </row>
    <row r="77" spans="1:37" ht="34.200000000000003">
      <c r="A77" s="314">
        <v>13</v>
      </c>
      <c r="B77" s="756"/>
      <c r="C77" s="332">
        <v>16.3</v>
      </c>
      <c r="D77" s="335" t="s">
        <v>464</v>
      </c>
      <c r="E77" s="335" t="s">
        <v>465</v>
      </c>
      <c r="F77" s="419"/>
      <c r="G77" s="419"/>
      <c r="H77" s="339"/>
      <c r="I77" s="340"/>
      <c r="J77" s="340"/>
      <c r="K77" s="565"/>
      <c r="L77" s="562" t="str">
        <f t="shared" si="5"/>
        <v/>
      </c>
      <c r="M77" s="571"/>
      <c r="N77" s="343" t="str">
        <f t="shared" si="6"/>
        <v/>
      </c>
      <c r="O77" s="584"/>
      <c r="P77" s="585"/>
      <c r="Q77" s="585"/>
      <c r="R77" s="585"/>
      <c r="S77" s="585"/>
      <c r="T77" s="333">
        <v>71</v>
      </c>
      <c r="U77" s="138"/>
      <c r="V77" s="138"/>
      <c r="W77" s="98" t="s">
        <v>276</v>
      </c>
      <c r="X77" s="139" t="str">
        <f t="shared" si="7"/>
        <v/>
      </c>
      <c r="Y77" s="140" t="str">
        <f t="shared" si="8"/>
        <v/>
      </c>
      <c r="Z77" s="140" t="str">
        <f t="shared" si="9"/>
        <v/>
      </c>
      <c r="AJ77" s="104" t="s">
        <v>279</v>
      </c>
    </row>
    <row r="78" spans="1:37" ht="74.25" customHeight="1">
      <c r="A78" s="314">
        <v>14</v>
      </c>
      <c r="B78" s="756"/>
      <c r="C78" s="332">
        <v>16.399999999999999</v>
      </c>
      <c r="D78" s="335" t="s">
        <v>466</v>
      </c>
      <c r="E78" s="335" t="s">
        <v>467</v>
      </c>
      <c r="F78" s="419"/>
      <c r="G78" s="419"/>
      <c r="H78" s="339"/>
      <c r="I78" s="340"/>
      <c r="J78" s="340"/>
      <c r="K78" s="565"/>
      <c r="L78" s="562" t="str">
        <f t="shared" si="5"/>
        <v/>
      </c>
      <c r="M78" s="571"/>
      <c r="N78" s="343" t="str">
        <f t="shared" si="6"/>
        <v/>
      </c>
      <c r="O78" s="584"/>
      <c r="P78" s="585"/>
      <c r="Q78" s="585"/>
      <c r="R78" s="585"/>
      <c r="S78" s="585"/>
      <c r="T78" s="333">
        <v>72</v>
      </c>
      <c r="U78" s="138"/>
      <c r="V78" s="138"/>
      <c r="W78" s="98" t="s">
        <v>276</v>
      </c>
      <c r="X78" s="139" t="str">
        <f t="shared" si="7"/>
        <v/>
      </c>
      <c r="Y78" s="140" t="str">
        <f t="shared" si="8"/>
        <v/>
      </c>
      <c r="Z78" s="140" t="str">
        <f t="shared" si="9"/>
        <v/>
      </c>
      <c r="AJ78" s="104" t="s">
        <v>279</v>
      </c>
    </row>
    <row r="79" spans="1:37" ht="68.400000000000006">
      <c r="A79" s="314">
        <v>15</v>
      </c>
      <c r="B79" s="757"/>
      <c r="C79" s="332">
        <v>16.5</v>
      </c>
      <c r="D79" s="341" t="s">
        <v>468</v>
      </c>
      <c r="E79" s="341" t="s">
        <v>469</v>
      </c>
      <c r="F79" s="419"/>
      <c r="G79" s="419"/>
      <c r="H79" s="339"/>
      <c r="I79" s="340"/>
      <c r="J79" s="340"/>
      <c r="K79" s="566"/>
      <c r="L79" s="562" t="str">
        <f t="shared" si="5"/>
        <v/>
      </c>
      <c r="M79" s="570"/>
      <c r="N79" s="343" t="str">
        <f t="shared" si="6"/>
        <v/>
      </c>
      <c r="O79" s="584"/>
      <c r="P79" s="585"/>
      <c r="Q79" s="585"/>
      <c r="R79" s="585"/>
      <c r="S79" s="585"/>
      <c r="T79" s="333">
        <v>73</v>
      </c>
      <c r="U79" s="138"/>
      <c r="V79" s="138"/>
      <c r="W79" s="98" t="s">
        <v>276</v>
      </c>
      <c r="X79" s="139" t="str">
        <f t="shared" si="7"/>
        <v/>
      </c>
      <c r="Y79" s="140" t="str">
        <f t="shared" si="8"/>
        <v/>
      </c>
      <c r="Z79" s="140" t="str">
        <f t="shared" si="9"/>
        <v/>
      </c>
      <c r="AJ79" s="104" t="s">
        <v>279</v>
      </c>
    </row>
    <row r="80" spans="1:37" ht="50.25" customHeight="1">
      <c r="A80" s="314">
        <v>16</v>
      </c>
      <c r="B80" s="755" t="s">
        <v>470</v>
      </c>
      <c r="C80" s="332">
        <v>17.100000000000001</v>
      </c>
      <c r="D80" s="335" t="s">
        <v>471</v>
      </c>
      <c r="E80" s="335" t="s">
        <v>472</v>
      </c>
      <c r="F80" s="419"/>
      <c r="G80" s="419"/>
      <c r="H80" s="339"/>
      <c r="I80" s="340"/>
      <c r="J80" s="340"/>
      <c r="K80" s="565"/>
      <c r="L80" s="562" t="str">
        <f t="shared" si="5"/>
        <v/>
      </c>
      <c r="M80" s="571"/>
      <c r="N80" s="343" t="str">
        <f t="shared" si="6"/>
        <v/>
      </c>
      <c r="O80" s="584"/>
      <c r="P80" s="585"/>
      <c r="Q80" s="585"/>
      <c r="R80" s="585"/>
      <c r="S80" s="585"/>
      <c r="T80" s="333">
        <v>74</v>
      </c>
      <c r="U80" s="138"/>
      <c r="V80" s="138"/>
      <c r="W80" s="98" t="s">
        <v>276</v>
      </c>
      <c r="X80" s="139" t="str">
        <f t="shared" si="7"/>
        <v/>
      </c>
      <c r="Y80" s="140" t="str">
        <f t="shared" si="8"/>
        <v/>
      </c>
      <c r="Z80" s="140" t="str">
        <f t="shared" si="9"/>
        <v/>
      </c>
      <c r="AJ80" s="104" t="s">
        <v>279</v>
      </c>
    </row>
    <row r="81" spans="1:37" ht="68.400000000000006">
      <c r="A81" s="314">
        <v>17</v>
      </c>
      <c r="B81" s="756"/>
      <c r="C81" s="332">
        <v>17.2</v>
      </c>
      <c r="D81" s="335" t="s">
        <v>473</v>
      </c>
      <c r="E81" s="335" t="s">
        <v>474</v>
      </c>
      <c r="F81" s="419"/>
      <c r="G81" s="419"/>
      <c r="H81" s="339"/>
      <c r="I81" s="340"/>
      <c r="J81" s="340"/>
      <c r="K81" s="565"/>
      <c r="L81" s="562" t="str">
        <f t="shared" si="5"/>
        <v/>
      </c>
      <c r="M81" s="571"/>
      <c r="N81" s="343" t="str">
        <f t="shared" si="6"/>
        <v/>
      </c>
      <c r="O81" s="584"/>
      <c r="P81" s="585"/>
      <c r="Q81" s="585"/>
      <c r="R81" s="585"/>
      <c r="S81" s="585"/>
      <c r="T81" s="333">
        <v>75</v>
      </c>
      <c r="U81" s="138"/>
      <c r="V81" s="138"/>
      <c r="W81" s="98" t="s">
        <v>276</v>
      </c>
      <c r="X81" s="139" t="str">
        <f t="shared" si="7"/>
        <v/>
      </c>
      <c r="Y81" s="140" t="str">
        <f t="shared" si="8"/>
        <v/>
      </c>
      <c r="Z81" s="140" t="str">
        <f t="shared" si="9"/>
        <v/>
      </c>
      <c r="AJ81" s="104" t="s">
        <v>279</v>
      </c>
    </row>
    <row r="82" spans="1:37" ht="34.200000000000003">
      <c r="A82" s="314">
        <v>18</v>
      </c>
      <c r="B82" s="757"/>
      <c r="C82" s="332">
        <v>17.3</v>
      </c>
      <c r="D82" s="335" t="s">
        <v>475</v>
      </c>
      <c r="E82" s="335" t="s">
        <v>476</v>
      </c>
      <c r="F82" s="419"/>
      <c r="G82" s="419"/>
      <c r="H82" s="339"/>
      <c r="I82" s="340"/>
      <c r="J82" s="340"/>
      <c r="K82" s="565"/>
      <c r="L82" s="562" t="str">
        <f t="shared" si="5"/>
        <v/>
      </c>
      <c r="M82" s="571"/>
      <c r="N82" s="343" t="str">
        <f t="shared" si="6"/>
        <v/>
      </c>
      <c r="O82" s="584"/>
      <c r="P82" s="585"/>
      <c r="Q82" s="585"/>
      <c r="R82" s="585"/>
      <c r="S82" s="585"/>
      <c r="T82" s="333">
        <v>76</v>
      </c>
      <c r="U82" s="138"/>
      <c r="V82" s="138"/>
      <c r="W82" s="98" t="s">
        <v>276</v>
      </c>
      <c r="X82" s="139" t="str">
        <f t="shared" si="7"/>
        <v/>
      </c>
      <c r="Y82" s="140" t="str">
        <f t="shared" si="8"/>
        <v/>
      </c>
      <c r="Z82" s="140" t="str">
        <f t="shared" si="9"/>
        <v/>
      </c>
      <c r="AJ82" s="104" t="s">
        <v>279</v>
      </c>
    </row>
    <row r="83" spans="1:37" ht="68.400000000000006">
      <c r="A83" s="313" t="s">
        <v>307</v>
      </c>
      <c r="B83" s="755" t="s">
        <v>477</v>
      </c>
      <c r="C83" s="332">
        <v>18.100000000000001</v>
      </c>
      <c r="D83" s="335" t="s">
        <v>478</v>
      </c>
      <c r="E83" s="335" t="s">
        <v>479</v>
      </c>
      <c r="F83" s="419"/>
      <c r="G83" s="419"/>
      <c r="H83" s="339"/>
      <c r="I83" s="340"/>
      <c r="J83" s="340"/>
      <c r="K83" s="565"/>
      <c r="L83" s="562" t="str">
        <f t="shared" si="5"/>
        <v/>
      </c>
      <c r="M83" s="571"/>
      <c r="N83" s="343" t="str">
        <f t="shared" si="6"/>
        <v/>
      </c>
      <c r="O83" s="584"/>
      <c r="P83" s="585"/>
      <c r="Q83" s="585"/>
      <c r="R83" s="585"/>
      <c r="S83" s="585"/>
      <c r="T83" s="333">
        <v>77</v>
      </c>
      <c r="U83" s="138"/>
      <c r="V83" s="138"/>
      <c r="W83" s="98" t="s">
        <v>276</v>
      </c>
      <c r="X83" s="139" t="str">
        <f t="shared" si="7"/>
        <v/>
      </c>
      <c r="Y83" s="140" t="str">
        <f t="shared" si="8"/>
        <v/>
      </c>
      <c r="Z83" s="140" t="str">
        <f t="shared" si="9"/>
        <v/>
      </c>
      <c r="AJ83" s="104" t="s">
        <v>279</v>
      </c>
    </row>
    <row r="84" spans="1:37" ht="45.6">
      <c r="A84" s="314">
        <v>1</v>
      </c>
      <c r="B84" s="756"/>
      <c r="C84" s="332">
        <v>18.2</v>
      </c>
      <c r="D84" s="335" t="s">
        <v>480</v>
      </c>
      <c r="E84" s="335" t="s">
        <v>481</v>
      </c>
      <c r="F84" s="419"/>
      <c r="G84" s="419"/>
      <c r="H84" s="339"/>
      <c r="I84" s="340"/>
      <c r="J84" s="340"/>
      <c r="K84" s="565"/>
      <c r="L84" s="562" t="str">
        <f t="shared" si="5"/>
        <v/>
      </c>
      <c r="M84" s="571" t="str">
        <f t="shared" ref="M84:M86" si="10">IF(H84="","",IF(H84&gt;=70,"",IF(SUM(IF(H84&gt;=70,1,-1)+IF(I84&gt;=70,1,-1))&gt;=0,"Closed","Open")))</f>
        <v/>
      </c>
      <c r="N84" s="343" t="str">
        <f t="shared" si="6"/>
        <v/>
      </c>
      <c r="O84" s="584"/>
      <c r="P84" s="585"/>
      <c r="Q84" s="585"/>
      <c r="R84" s="585"/>
      <c r="S84" s="585"/>
      <c r="T84" s="333">
        <v>78</v>
      </c>
      <c r="U84" s="138"/>
      <c r="V84" s="138"/>
      <c r="W84" s="98" t="s">
        <v>276</v>
      </c>
      <c r="X84" s="139" t="str">
        <f t="shared" si="7"/>
        <v/>
      </c>
      <c r="Y84" s="140" t="str">
        <f t="shared" si="8"/>
        <v/>
      </c>
      <c r="Z84" s="140" t="str">
        <f t="shared" si="9"/>
        <v/>
      </c>
      <c r="AJ84" s="104" t="s">
        <v>279</v>
      </c>
    </row>
    <row r="85" spans="1:37" ht="57">
      <c r="A85" s="314">
        <v>2</v>
      </c>
      <c r="B85" s="756"/>
      <c r="C85" s="332">
        <v>18.3</v>
      </c>
      <c r="D85" s="335" t="s">
        <v>482</v>
      </c>
      <c r="E85" s="335" t="s">
        <v>483</v>
      </c>
      <c r="F85" s="419"/>
      <c r="G85" s="419"/>
      <c r="H85" s="339"/>
      <c r="I85" s="340"/>
      <c r="J85" s="340"/>
      <c r="K85" s="565"/>
      <c r="L85" s="562" t="str">
        <f t="shared" si="5"/>
        <v/>
      </c>
      <c r="M85" s="571" t="str">
        <f t="shared" si="10"/>
        <v/>
      </c>
      <c r="N85" s="343" t="str">
        <f t="shared" si="6"/>
        <v/>
      </c>
      <c r="O85" s="584"/>
      <c r="P85" s="585"/>
      <c r="Q85" s="585"/>
      <c r="R85" s="585"/>
      <c r="S85" s="585"/>
      <c r="T85" s="333">
        <v>79</v>
      </c>
      <c r="U85" s="138"/>
      <c r="V85" s="138"/>
      <c r="W85" s="98" t="s">
        <v>276</v>
      </c>
      <c r="X85" s="139" t="str">
        <f t="shared" si="7"/>
        <v/>
      </c>
      <c r="Y85" s="140" t="str">
        <f t="shared" si="8"/>
        <v/>
      </c>
      <c r="Z85" s="140" t="str">
        <f t="shared" si="9"/>
        <v/>
      </c>
      <c r="AJ85" s="104" t="s">
        <v>279</v>
      </c>
    </row>
    <row r="86" spans="1:37" ht="49.5" customHeight="1">
      <c r="A86" s="351">
        <v>3</v>
      </c>
      <c r="B86" s="757"/>
      <c r="C86" s="332">
        <v>18.399999999999999</v>
      </c>
      <c r="D86" s="335" t="s">
        <v>484</v>
      </c>
      <c r="E86" s="335" t="s">
        <v>485</v>
      </c>
      <c r="F86" s="419"/>
      <c r="G86" s="419"/>
      <c r="H86" s="339"/>
      <c r="I86" s="340"/>
      <c r="J86" s="340"/>
      <c r="K86" s="565"/>
      <c r="L86" s="562" t="str">
        <f t="shared" si="5"/>
        <v/>
      </c>
      <c r="M86" s="571" t="str">
        <f t="shared" si="10"/>
        <v/>
      </c>
      <c r="N86" s="343" t="str">
        <f t="shared" si="6"/>
        <v/>
      </c>
      <c r="O86" s="584"/>
      <c r="P86" s="585"/>
      <c r="Q86" s="585"/>
      <c r="R86" s="585"/>
      <c r="S86" s="585"/>
      <c r="T86" s="333">
        <v>80</v>
      </c>
      <c r="U86" s="138"/>
      <c r="V86" s="138"/>
      <c r="W86" s="98" t="s">
        <v>276</v>
      </c>
      <c r="X86" s="139" t="str">
        <f t="shared" si="7"/>
        <v/>
      </c>
      <c r="Y86" s="140" t="str">
        <f t="shared" si="8"/>
        <v/>
      </c>
      <c r="Z86" s="140" t="str">
        <f t="shared" si="9"/>
        <v/>
      </c>
      <c r="AJ86" s="104" t="s">
        <v>279</v>
      </c>
    </row>
    <row r="87" spans="1:37" ht="24" customHeight="1" thickBot="1">
      <c r="A87" s="352"/>
      <c r="B87" s="352"/>
      <c r="C87" s="352"/>
      <c r="D87" s="352"/>
      <c r="E87" s="352"/>
      <c r="F87" s="352"/>
      <c r="G87" s="352"/>
      <c r="H87" s="352"/>
      <c r="I87" s="352"/>
      <c r="J87" s="352"/>
      <c r="K87" s="352"/>
      <c r="L87" s="352"/>
      <c r="M87" s="352"/>
      <c r="N87" s="352"/>
      <c r="O87" s="352"/>
      <c r="P87" s="352"/>
      <c r="Q87" s="352"/>
      <c r="R87" s="352"/>
      <c r="S87" s="352"/>
      <c r="T87" s="352"/>
    </row>
    <row r="88" spans="1:37" s="75" customFormat="1" ht="65.400000000000006">
      <c r="A88" s="141"/>
      <c r="B88" s="378"/>
      <c r="C88" s="379"/>
      <c r="D88" s="500"/>
      <c r="E88" s="563" t="s">
        <v>486</v>
      </c>
      <c r="F88" s="501" t="s">
        <v>487</v>
      </c>
      <c r="G88" s="380" t="s">
        <v>274</v>
      </c>
      <c r="H88" s="426" t="s">
        <v>488</v>
      </c>
      <c r="I88" s="426" t="s">
        <v>489</v>
      </c>
      <c r="J88" s="426" t="s">
        <v>490</v>
      </c>
      <c r="K88" s="718" t="s">
        <v>491</v>
      </c>
      <c r="L88" s="719"/>
      <c r="M88" s="719"/>
      <c r="N88" s="720"/>
      <c r="O88" s="381"/>
      <c r="P88" s="381"/>
      <c r="Q88" s="382"/>
      <c r="R88" s="717" t="s">
        <v>492</v>
      </c>
      <c r="S88" s="717"/>
      <c r="T88" s="406"/>
      <c r="U88" s="111"/>
      <c r="V88" s="111"/>
      <c r="W88" s="144"/>
      <c r="AA88" s="6"/>
      <c r="AB88" s="6"/>
      <c r="AC88" s="6"/>
      <c r="AD88" s="6"/>
      <c r="AE88" s="6"/>
      <c r="AF88" s="6"/>
      <c r="AG88" s="6"/>
      <c r="AH88" s="6"/>
      <c r="AI88" s="6"/>
      <c r="AJ88" s="15"/>
      <c r="AK88" s="6"/>
    </row>
    <row r="89" spans="1:37" s="148" customFormat="1" ht="15" customHeight="1">
      <c r="A89" s="145"/>
      <c r="B89" s="384"/>
      <c r="C89" s="109"/>
      <c r="D89" s="499"/>
      <c r="E89" s="495"/>
      <c r="F89" s="427"/>
      <c r="G89" s="427"/>
      <c r="H89" s="428">
        <f>SUM($X$7:$X$86)</f>
        <v>0</v>
      </c>
      <c r="I89" s="428">
        <f>SUM($Y$7:$Y$86)</f>
        <v>0</v>
      </c>
      <c r="J89" s="428">
        <f>SUM($Z$7:$Z$86)</f>
        <v>0</v>
      </c>
      <c r="K89" s="486" t="s">
        <v>493</v>
      </c>
      <c r="L89" s="716"/>
      <c r="M89" s="716"/>
      <c r="N89" s="716"/>
      <c r="O89" s="147"/>
      <c r="P89" s="147"/>
      <c r="R89" s="149" t="s">
        <v>494</v>
      </c>
      <c r="S89" s="404"/>
      <c r="T89" s="407"/>
      <c r="U89" s="109"/>
      <c r="V89" s="109"/>
      <c r="W89" s="149"/>
      <c r="AA89" s="151"/>
      <c r="AB89" s="151"/>
      <c r="AC89" s="151"/>
      <c r="AD89" s="151"/>
      <c r="AE89" s="151"/>
      <c r="AF89" s="151"/>
      <c r="AG89" s="151"/>
      <c r="AH89" s="151"/>
      <c r="AI89" s="151"/>
      <c r="AJ89" s="152"/>
      <c r="AK89" s="151"/>
    </row>
    <row r="90" spans="1:37" s="148" customFormat="1" ht="15" customHeight="1">
      <c r="A90" s="145"/>
      <c r="B90" s="384"/>
      <c r="C90" s="109"/>
      <c r="D90" s="310"/>
      <c r="E90" s="496"/>
      <c r="F90" s="429">
        <f>COUNTA(F7:F86)</f>
        <v>0</v>
      </c>
      <c r="G90" s="429">
        <f>COUNTA(G7:G86)</f>
        <v>0</v>
      </c>
      <c r="H90" s="430">
        <f>(COUNTA($D$7:$D$86)-($F90+$G90))*100</f>
        <v>8000</v>
      </c>
      <c r="I90" s="430">
        <f>(COUNTA($D$7:$D$86)-($F90+$G90))*100</f>
        <v>8000</v>
      </c>
      <c r="J90" s="430">
        <f>(COUNTA($D$7:$D$86)-($F90+$G90))*100</f>
        <v>8000</v>
      </c>
      <c r="K90" s="486" t="s">
        <v>495</v>
      </c>
      <c r="L90" s="746"/>
      <c r="M90" s="747"/>
      <c r="N90" s="748"/>
      <c r="P90" s="147"/>
      <c r="R90" s="149"/>
      <c r="S90" s="404"/>
      <c r="T90" s="407"/>
      <c r="U90" s="109"/>
      <c r="V90" s="109"/>
      <c r="W90" s="149"/>
      <c r="AA90" s="151"/>
      <c r="AB90" s="151"/>
      <c r="AC90" s="151"/>
      <c r="AD90" s="151"/>
      <c r="AE90" s="151"/>
      <c r="AF90" s="151"/>
      <c r="AG90" s="151"/>
      <c r="AH90" s="151"/>
      <c r="AI90" s="151"/>
      <c r="AJ90" s="152"/>
      <c r="AK90" s="151"/>
    </row>
    <row r="91" spans="1:37" s="148" customFormat="1" ht="15" customHeight="1">
      <c r="A91" s="145"/>
      <c r="B91" s="384"/>
      <c r="C91" s="109"/>
      <c r="D91" s="310"/>
      <c r="E91" s="564" t="s">
        <v>496</v>
      </c>
      <c r="F91" s="427"/>
      <c r="G91" s="427"/>
      <c r="H91" s="304">
        <f>(H89/H90)</f>
        <v>0</v>
      </c>
      <c r="I91" s="304">
        <f t="shared" ref="I91:J91" si="11">(I89/I90)</f>
        <v>0</v>
      </c>
      <c r="J91" s="304">
        <f t="shared" si="11"/>
        <v>0</v>
      </c>
      <c r="K91" s="486" t="s">
        <v>497</v>
      </c>
      <c r="L91" s="749"/>
      <c r="M91" s="750"/>
      <c r="N91" s="751"/>
      <c r="O91" s="147"/>
      <c r="P91" s="147"/>
      <c r="R91" s="149"/>
      <c r="S91" s="404"/>
      <c r="T91" s="407"/>
      <c r="U91" s="109"/>
      <c r="V91" s="109"/>
      <c r="W91" s="149"/>
      <c r="AA91" s="151"/>
      <c r="AB91" s="151"/>
      <c r="AC91" s="151"/>
      <c r="AD91" s="151"/>
      <c r="AE91" s="151"/>
      <c r="AF91" s="151"/>
      <c r="AG91" s="151"/>
      <c r="AH91" s="151"/>
      <c r="AI91" s="151"/>
      <c r="AJ91" s="152"/>
      <c r="AK91" s="151"/>
    </row>
    <row r="92" spans="1:37" s="75" customFormat="1" ht="15" customHeight="1">
      <c r="A92" s="346"/>
      <c r="B92" s="385"/>
      <c r="C92" s="111"/>
      <c r="D92" s="498"/>
      <c r="E92" s="497" t="s">
        <v>498</v>
      </c>
      <c r="F92" s="752" t="str">
        <f>IF('Supplier Profile &amp; Audit Plan'!$A$46="","",'Supplier Profile &amp; Audit Plan'!$A$46)</f>
        <v/>
      </c>
      <c r="G92" s="753"/>
      <c r="H92" s="753"/>
      <c r="I92" s="753"/>
      <c r="J92" s="754"/>
      <c r="K92" s="486" t="s">
        <v>499</v>
      </c>
      <c r="L92" s="749"/>
      <c r="M92" s="750"/>
      <c r="N92" s="751"/>
      <c r="O92" s="158"/>
      <c r="P92" s="147"/>
      <c r="R92" s="144" t="s">
        <v>500</v>
      </c>
      <c r="S92" s="303"/>
      <c r="T92" s="408"/>
      <c r="U92" s="111"/>
      <c r="V92" s="111"/>
      <c r="W92" s="144"/>
      <c r="X92" s="155"/>
      <c r="Y92" s="155"/>
      <c r="Z92" s="155"/>
      <c r="AA92" s="6"/>
      <c r="AB92" s="6"/>
      <c r="AC92" s="6"/>
      <c r="AD92" s="6"/>
      <c r="AE92" s="6"/>
      <c r="AF92" s="6"/>
      <c r="AG92" s="6"/>
      <c r="AH92" s="6"/>
      <c r="AI92" s="6"/>
      <c r="AJ92" s="15"/>
      <c r="AK92" s="6"/>
    </row>
    <row r="93" spans="1:37" s="75" customFormat="1" ht="15" customHeight="1">
      <c r="A93" s="346"/>
      <c r="B93" s="385"/>
      <c r="C93" s="111"/>
      <c r="D93" s="154"/>
      <c r="E93" s="144"/>
      <c r="F93" s="6"/>
      <c r="G93" s="6"/>
      <c r="H93" s="405"/>
      <c r="I93" s="405"/>
      <c r="J93" s="405"/>
      <c r="K93" s="158"/>
      <c r="L93" s="158"/>
      <c r="M93" s="158"/>
      <c r="N93" s="158"/>
      <c r="O93" s="158"/>
      <c r="P93" s="147"/>
      <c r="R93" s="144"/>
      <c r="S93" s="349"/>
      <c r="T93" s="408"/>
      <c r="U93" s="111"/>
      <c r="V93" s="111"/>
      <c r="W93" s="144"/>
      <c r="X93" s="155"/>
      <c r="Y93" s="155"/>
      <c r="Z93" s="155"/>
      <c r="AA93" s="6"/>
      <c r="AB93" s="6"/>
      <c r="AC93" s="6"/>
      <c r="AD93" s="6"/>
      <c r="AE93" s="6"/>
      <c r="AF93" s="6"/>
      <c r="AG93" s="6"/>
      <c r="AH93" s="6"/>
      <c r="AI93" s="6"/>
      <c r="AJ93" s="15"/>
      <c r="AK93" s="6"/>
    </row>
    <row r="94" spans="1:37" s="163" customFormat="1" ht="30" customHeight="1" thickBot="1">
      <c r="A94" s="347"/>
      <c r="B94" s="388"/>
      <c r="C94" s="156"/>
      <c r="D94" s="745" t="s">
        <v>501</v>
      </c>
      <c r="E94" s="745"/>
      <c r="F94" s="157"/>
      <c r="G94" s="157"/>
      <c r="H94" s="744" t="s">
        <v>502</v>
      </c>
      <c r="I94" s="744"/>
      <c r="J94" s="744"/>
      <c r="K94" s="158"/>
      <c r="L94" s="158"/>
      <c r="M94" s="158"/>
      <c r="N94" s="158"/>
      <c r="O94" s="158"/>
      <c r="P94" s="158"/>
      <c r="Q94" s="158"/>
      <c r="R94" s="158"/>
      <c r="S94" s="484" t="s">
        <v>502</v>
      </c>
      <c r="T94" s="409"/>
      <c r="U94" s="160"/>
      <c r="V94" s="160"/>
      <c r="W94" s="161"/>
      <c r="X94" s="162"/>
      <c r="Y94" s="162"/>
      <c r="Z94" s="162"/>
      <c r="AA94" s="6"/>
      <c r="AB94" s="6"/>
      <c r="AC94" s="6"/>
      <c r="AD94" s="6"/>
      <c r="AE94" s="6"/>
      <c r="AF94" s="6"/>
      <c r="AG94" s="6"/>
      <c r="AH94" s="6"/>
      <c r="AI94" s="6"/>
      <c r="AJ94" s="15"/>
      <c r="AK94" s="6"/>
    </row>
    <row r="95" spans="1:37" s="165" customFormat="1" ht="30" customHeight="1">
      <c r="A95" s="347"/>
      <c r="B95" s="390"/>
      <c r="C95" s="164"/>
      <c r="D95" s="702" t="s">
        <v>503</v>
      </c>
      <c r="E95" s="703"/>
      <c r="F95" s="485"/>
      <c r="G95" s="485"/>
      <c r="H95" s="166"/>
      <c r="I95" s="166"/>
      <c r="J95" s="166"/>
      <c r="K95" s="167"/>
      <c r="L95" s="168"/>
      <c r="M95" s="169"/>
      <c r="N95" s="167"/>
      <c r="O95" s="167"/>
      <c r="P95" s="167"/>
      <c r="Q95" s="167"/>
      <c r="R95" s="167"/>
      <c r="S95" s="167"/>
      <c r="T95" s="391"/>
      <c r="W95" s="170"/>
      <c r="X95" s="171"/>
      <c r="Y95" s="171"/>
      <c r="Z95" s="171"/>
      <c r="AA95" s="6"/>
      <c r="AB95" s="6"/>
      <c r="AC95" s="6"/>
      <c r="AD95" s="6"/>
      <c r="AE95" s="6"/>
      <c r="AF95" s="6"/>
      <c r="AG95" s="6"/>
      <c r="AH95" s="6"/>
      <c r="AI95" s="6"/>
      <c r="AJ95" s="15"/>
      <c r="AK95" s="6"/>
    </row>
    <row r="96" spans="1:37" s="173" customFormat="1" ht="30" customHeight="1">
      <c r="A96" s="347"/>
      <c r="B96" s="392"/>
      <c r="C96" s="172"/>
      <c r="D96" s="695" t="s">
        <v>504</v>
      </c>
      <c r="E96" s="696"/>
      <c r="F96" s="174"/>
      <c r="G96" s="174"/>
      <c r="H96" s="175"/>
      <c r="I96" s="175"/>
      <c r="J96" s="175"/>
      <c r="K96" s="176"/>
      <c r="L96" s="177"/>
      <c r="M96" s="178"/>
      <c r="N96" s="176"/>
      <c r="O96" s="176"/>
      <c r="P96" s="176"/>
      <c r="Q96" s="176"/>
      <c r="R96" s="176"/>
      <c r="S96" s="176"/>
      <c r="T96" s="393"/>
      <c r="W96" s="179"/>
      <c r="X96" s="180"/>
      <c r="Y96" s="180"/>
      <c r="Z96" s="180"/>
      <c r="AA96" s="6"/>
      <c r="AB96" s="6"/>
      <c r="AC96" s="6"/>
      <c r="AD96" s="6"/>
      <c r="AE96" s="6"/>
      <c r="AF96" s="6"/>
      <c r="AG96" s="6"/>
      <c r="AH96" s="6"/>
      <c r="AI96" s="6"/>
      <c r="AJ96" s="15"/>
      <c r="AK96" s="6"/>
    </row>
    <row r="97" spans="1:37" s="151" customFormat="1" ht="45" customHeight="1">
      <c r="A97" s="347"/>
      <c r="B97" s="390"/>
      <c r="C97" s="181"/>
      <c r="D97" s="693" t="s">
        <v>505</v>
      </c>
      <c r="E97" s="694"/>
      <c r="F97" s="485"/>
      <c r="G97" s="485"/>
      <c r="H97" s="182"/>
      <c r="I97" s="182"/>
      <c r="J97" s="182"/>
      <c r="K97" s="183"/>
      <c r="L97" s="168"/>
      <c r="M97" s="184"/>
      <c r="N97" s="183"/>
      <c r="O97" s="183"/>
      <c r="P97" s="183"/>
      <c r="Q97" s="183"/>
      <c r="R97" s="183"/>
      <c r="S97" s="183"/>
      <c r="T97" s="394"/>
      <c r="W97" s="146"/>
      <c r="X97" s="185"/>
      <c r="Y97" s="185"/>
      <c r="Z97" s="185"/>
      <c r="AA97" s="6"/>
      <c r="AB97" s="6"/>
      <c r="AC97" s="6"/>
      <c r="AD97" s="6"/>
      <c r="AE97" s="6"/>
      <c r="AF97" s="6"/>
      <c r="AG97" s="6"/>
      <c r="AH97" s="6"/>
      <c r="AI97" s="6"/>
      <c r="AJ97" s="15"/>
      <c r="AK97" s="6"/>
    </row>
    <row r="98" spans="1:37" s="151" customFormat="1" ht="15" customHeight="1">
      <c r="A98" s="347"/>
      <c r="B98" s="390"/>
      <c r="C98" s="181"/>
      <c r="D98" s="704" t="s">
        <v>506</v>
      </c>
      <c r="E98" s="705"/>
      <c r="F98" s="485"/>
      <c r="G98" s="485"/>
      <c r="H98" s="182"/>
      <c r="I98" s="182"/>
      <c r="J98" s="182"/>
      <c r="K98" s="183"/>
      <c r="L98" s="168"/>
      <c r="M98" s="184"/>
      <c r="N98" s="183"/>
      <c r="O98" s="183"/>
      <c r="P98" s="183"/>
      <c r="Q98" s="183"/>
      <c r="R98" s="183"/>
      <c r="S98" s="183"/>
      <c r="T98" s="394"/>
      <c r="W98" s="146"/>
      <c r="X98" s="185"/>
      <c r="Y98" s="185"/>
      <c r="Z98" s="185"/>
      <c r="AA98" s="6"/>
      <c r="AB98" s="6"/>
      <c r="AC98" s="6"/>
      <c r="AD98" s="6"/>
      <c r="AE98" s="6"/>
      <c r="AF98" s="6"/>
      <c r="AG98" s="6"/>
      <c r="AH98" s="6"/>
      <c r="AI98" s="6"/>
      <c r="AJ98" s="15"/>
      <c r="AK98" s="6"/>
    </row>
    <row r="99" spans="1:37" s="151" customFormat="1" ht="15" customHeight="1">
      <c r="A99" s="347"/>
      <c r="B99" s="390"/>
      <c r="C99" s="181"/>
      <c r="D99" s="704" t="s">
        <v>507</v>
      </c>
      <c r="E99" s="705"/>
      <c r="F99" s="485"/>
      <c r="G99" s="485"/>
      <c r="H99" s="182"/>
      <c r="I99" s="182"/>
      <c r="J99" s="182"/>
      <c r="K99" s="183"/>
      <c r="L99" s="168"/>
      <c r="M99" s="184"/>
      <c r="N99" s="183"/>
      <c r="O99" s="183"/>
      <c r="P99" s="183"/>
      <c r="Q99" s="183"/>
      <c r="R99" s="183"/>
      <c r="S99" s="183"/>
      <c r="T99" s="394"/>
      <c r="W99" s="146"/>
      <c r="X99" s="185"/>
      <c r="Y99" s="185"/>
      <c r="Z99" s="185"/>
      <c r="AA99" s="6"/>
      <c r="AB99" s="6"/>
      <c r="AC99" s="6"/>
      <c r="AD99" s="6"/>
      <c r="AE99" s="6"/>
      <c r="AF99" s="6"/>
      <c r="AG99" s="6"/>
      <c r="AH99" s="6"/>
      <c r="AI99" s="6"/>
      <c r="AJ99" s="15"/>
      <c r="AK99" s="6"/>
    </row>
    <row r="100" spans="1:37" s="151" customFormat="1" ht="15" customHeight="1">
      <c r="A100" s="347"/>
      <c r="B100" s="390"/>
      <c r="C100" s="181"/>
      <c r="D100" s="704" t="s">
        <v>508</v>
      </c>
      <c r="E100" s="705"/>
      <c r="F100" s="485"/>
      <c r="G100" s="485"/>
      <c r="H100" s="182"/>
      <c r="I100" s="182"/>
      <c r="J100" s="182"/>
      <c r="K100" s="183"/>
      <c r="L100" s="168"/>
      <c r="M100" s="184"/>
      <c r="N100" s="183"/>
      <c r="O100" s="183"/>
      <c r="P100" s="183"/>
      <c r="Q100" s="183"/>
      <c r="R100" s="183"/>
      <c r="S100" s="183"/>
      <c r="T100" s="394"/>
      <c r="W100" s="146"/>
      <c r="X100" s="185"/>
      <c r="Y100" s="185"/>
      <c r="Z100" s="185"/>
      <c r="AA100" s="6"/>
      <c r="AB100" s="6"/>
      <c r="AC100" s="6"/>
      <c r="AD100" s="6"/>
      <c r="AE100" s="6"/>
      <c r="AF100" s="6"/>
      <c r="AG100" s="6"/>
      <c r="AH100" s="6"/>
      <c r="AI100" s="6"/>
      <c r="AJ100" s="15"/>
      <c r="AK100" s="6"/>
    </row>
    <row r="101" spans="1:37" s="151" customFormat="1" ht="15" customHeight="1">
      <c r="A101" s="347"/>
      <c r="B101" s="390"/>
      <c r="C101" s="181"/>
      <c r="D101" s="704" t="s">
        <v>509</v>
      </c>
      <c r="E101" s="705"/>
      <c r="F101" s="485"/>
      <c r="G101" s="485"/>
      <c r="H101" s="182"/>
      <c r="I101" s="182"/>
      <c r="J101" s="182"/>
      <c r="K101" s="183"/>
      <c r="L101" s="168"/>
      <c r="M101" s="184"/>
      <c r="N101" s="183"/>
      <c r="O101" s="183"/>
      <c r="P101" s="183"/>
      <c r="Q101" s="183"/>
      <c r="R101" s="183"/>
      <c r="S101" s="183"/>
      <c r="T101" s="394"/>
      <c r="W101" s="146"/>
      <c r="X101" s="185"/>
      <c r="Y101" s="185"/>
      <c r="Z101" s="185"/>
      <c r="AA101" s="6"/>
      <c r="AB101" s="6"/>
      <c r="AC101" s="6"/>
      <c r="AD101" s="6"/>
      <c r="AE101" s="6"/>
      <c r="AF101" s="6"/>
      <c r="AG101" s="6"/>
      <c r="AH101" s="6"/>
      <c r="AI101" s="6"/>
      <c r="AJ101" s="15"/>
      <c r="AK101" s="6"/>
    </row>
    <row r="102" spans="1:37" s="151" customFormat="1" ht="30" customHeight="1">
      <c r="A102" s="347"/>
      <c r="B102" s="390"/>
      <c r="C102" s="181"/>
      <c r="D102" s="708" t="s">
        <v>510</v>
      </c>
      <c r="E102" s="709"/>
      <c r="F102" s="485"/>
      <c r="G102" s="485"/>
      <c r="H102" s="182"/>
      <c r="I102" s="182"/>
      <c r="J102" s="182"/>
      <c r="K102" s="183"/>
      <c r="L102" s="168"/>
      <c r="M102" s="184"/>
      <c r="N102" s="183"/>
      <c r="O102" s="183"/>
      <c r="P102" s="183"/>
      <c r="Q102" s="183"/>
      <c r="R102" s="183"/>
      <c r="S102" s="183"/>
      <c r="T102" s="394"/>
      <c r="W102" s="146"/>
      <c r="X102" s="185"/>
      <c r="Y102" s="185"/>
      <c r="Z102" s="185"/>
      <c r="AA102" s="6"/>
      <c r="AB102" s="6"/>
      <c r="AC102" s="6"/>
      <c r="AD102" s="6"/>
      <c r="AE102" s="6"/>
      <c r="AF102" s="6"/>
      <c r="AG102" s="6"/>
      <c r="AH102" s="6"/>
      <c r="AI102" s="6"/>
      <c r="AJ102" s="15"/>
      <c r="AK102" s="6"/>
    </row>
    <row r="103" spans="1:37" s="151" customFormat="1" ht="15" customHeight="1" thickBot="1">
      <c r="A103" s="347"/>
      <c r="B103" s="390"/>
      <c r="C103" s="181"/>
      <c r="D103" s="706" t="s">
        <v>511</v>
      </c>
      <c r="E103" s="707"/>
      <c r="F103" s="485"/>
      <c r="G103" s="485"/>
      <c r="H103" s="182"/>
      <c r="I103" s="182"/>
      <c r="J103" s="182"/>
      <c r="K103" s="183"/>
      <c r="L103" s="168"/>
      <c r="M103" s="184"/>
      <c r="N103" s="183"/>
      <c r="O103" s="183"/>
      <c r="P103" s="183"/>
      <c r="Q103" s="183"/>
      <c r="R103" s="183"/>
      <c r="S103" s="183"/>
      <c r="T103" s="394"/>
      <c r="W103" s="146"/>
      <c r="X103" s="185"/>
      <c r="Y103" s="185"/>
      <c r="Z103" s="185"/>
      <c r="AA103" s="6"/>
      <c r="AB103" s="6"/>
      <c r="AC103" s="6"/>
      <c r="AD103" s="6"/>
      <c r="AE103" s="6"/>
      <c r="AF103" s="6"/>
      <c r="AG103" s="6"/>
      <c r="AH103" s="6"/>
      <c r="AI103" s="6"/>
      <c r="AJ103" s="15"/>
      <c r="AK103" s="6"/>
    </row>
    <row r="104" spans="1:37" s="151" customFormat="1" ht="30" customHeight="1">
      <c r="A104" s="347"/>
      <c r="B104" s="390"/>
      <c r="C104" s="181"/>
      <c r="D104" s="702" t="s">
        <v>512</v>
      </c>
      <c r="E104" s="703"/>
      <c r="F104" s="186"/>
      <c r="G104" s="186"/>
      <c r="H104" s="182"/>
      <c r="I104" s="182"/>
      <c r="J104" s="182"/>
      <c r="K104" s="183"/>
      <c r="L104" s="168"/>
      <c r="M104" s="184"/>
      <c r="N104" s="183"/>
      <c r="O104" s="183"/>
      <c r="P104" s="183"/>
      <c r="Q104" s="183"/>
      <c r="R104" s="183"/>
      <c r="S104" s="183"/>
      <c r="T104" s="394"/>
      <c r="W104" s="146"/>
      <c r="X104" s="185"/>
      <c r="Y104" s="185"/>
      <c r="Z104" s="185"/>
      <c r="AA104" s="6"/>
      <c r="AB104" s="6"/>
      <c r="AC104" s="6"/>
      <c r="AD104" s="6"/>
      <c r="AE104" s="6"/>
      <c r="AF104" s="6"/>
      <c r="AG104" s="6"/>
      <c r="AH104" s="6"/>
      <c r="AI104" s="6"/>
      <c r="AJ104" s="15"/>
      <c r="AK104" s="6"/>
    </row>
    <row r="105" spans="1:37" s="173" customFormat="1" ht="30" customHeight="1">
      <c r="A105" s="347"/>
      <c r="B105" s="392"/>
      <c r="C105" s="172"/>
      <c r="D105" s="695" t="s">
        <v>513</v>
      </c>
      <c r="E105" s="696"/>
      <c r="F105" s="187"/>
      <c r="G105" s="187"/>
      <c r="H105" s="175"/>
      <c r="I105" s="175"/>
      <c r="J105" s="175"/>
      <c r="K105" s="176"/>
      <c r="L105" s="177"/>
      <c r="M105" s="178"/>
      <c r="N105" s="176"/>
      <c r="O105" s="176"/>
      <c r="P105" s="176"/>
      <c r="Q105" s="176"/>
      <c r="R105" s="176"/>
      <c r="S105" s="176"/>
      <c r="T105" s="393"/>
      <c r="W105" s="179"/>
      <c r="X105" s="180"/>
      <c r="Y105" s="180"/>
      <c r="Z105" s="180"/>
      <c r="AA105" s="6"/>
      <c r="AB105" s="6"/>
      <c r="AC105" s="6"/>
      <c r="AD105" s="6"/>
      <c r="AE105" s="6"/>
      <c r="AF105" s="6"/>
      <c r="AG105" s="6"/>
      <c r="AH105" s="6"/>
      <c r="AI105" s="6"/>
      <c r="AJ105" s="15"/>
      <c r="AK105" s="6"/>
    </row>
    <row r="106" spans="1:37" s="151" customFormat="1" ht="46.5" customHeight="1">
      <c r="A106" s="347"/>
      <c r="B106" s="390"/>
      <c r="C106" s="181"/>
      <c r="D106" s="693" t="s">
        <v>514</v>
      </c>
      <c r="E106" s="694"/>
      <c r="F106" s="186"/>
      <c r="G106" s="186"/>
      <c r="H106" s="182"/>
      <c r="I106" s="182"/>
      <c r="J106" s="182"/>
      <c r="K106" s="183"/>
      <c r="L106" s="168"/>
      <c r="M106" s="184"/>
      <c r="N106" s="183"/>
      <c r="O106" s="183"/>
      <c r="P106" s="183"/>
      <c r="Q106" s="183"/>
      <c r="R106" s="183"/>
      <c r="S106" s="183"/>
      <c r="T106" s="394"/>
      <c r="W106" s="146"/>
      <c r="X106" s="185"/>
      <c r="Y106" s="185"/>
      <c r="Z106" s="185"/>
      <c r="AA106" s="6"/>
      <c r="AB106" s="6"/>
      <c r="AC106" s="6"/>
      <c r="AD106" s="6"/>
      <c r="AE106" s="6"/>
      <c r="AF106" s="6"/>
      <c r="AG106" s="6"/>
      <c r="AH106" s="6"/>
      <c r="AI106" s="6"/>
      <c r="AJ106" s="15"/>
      <c r="AK106" s="6"/>
    </row>
    <row r="107" spans="1:37" s="151" customFormat="1" ht="15" customHeight="1">
      <c r="A107" s="347"/>
      <c r="B107" s="390"/>
      <c r="C107" s="181"/>
      <c r="D107" s="693" t="s">
        <v>515</v>
      </c>
      <c r="E107" s="694"/>
      <c r="F107" s="186"/>
      <c r="G107" s="186"/>
      <c r="H107" s="182"/>
      <c r="I107" s="182"/>
      <c r="J107" s="182"/>
      <c r="K107" s="183"/>
      <c r="L107" s="168"/>
      <c r="M107" s="184"/>
      <c r="N107" s="183"/>
      <c r="O107" s="183"/>
      <c r="P107" s="183"/>
      <c r="Q107" s="183"/>
      <c r="R107" s="183"/>
      <c r="S107" s="183"/>
      <c r="T107" s="394"/>
      <c r="W107" s="146"/>
      <c r="X107" s="185"/>
      <c r="Y107" s="185"/>
      <c r="Z107" s="185"/>
      <c r="AA107" s="6"/>
      <c r="AB107" s="6"/>
      <c r="AC107" s="6"/>
      <c r="AD107" s="6"/>
      <c r="AE107" s="6"/>
      <c r="AF107" s="6"/>
      <c r="AG107" s="6"/>
      <c r="AH107" s="6"/>
      <c r="AI107" s="6"/>
      <c r="AJ107" s="15"/>
      <c r="AK107" s="6"/>
    </row>
    <row r="108" spans="1:37" s="151" customFormat="1" ht="15" customHeight="1">
      <c r="A108" s="347"/>
      <c r="B108" s="390"/>
      <c r="C108" s="181"/>
      <c r="D108" s="693" t="s">
        <v>516</v>
      </c>
      <c r="E108" s="694"/>
      <c r="F108" s="186"/>
      <c r="G108" s="186"/>
      <c r="H108" s="182"/>
      <c r="I108" s="182"/>
      <c r="J108" s="182"/>
      <c r="K108" s="183"/>
      <c r="L108" s="168"/>
      <c r="M108" s="184"/>
      <c r="N108" s="183"/>
      <c r="O108" s="183"/>
      <c r="P108" s="183"/>
      <c r="Q108" s="183"/>
      <c r="R108" s="183"/>
      <c r="S108" s="183"/>
      <c r="T108" s="394"/>
      <c r="W108" s="146"/>
      <c r="X108" s="185"/>
      <c r="Y108" s="185"/>
      <c r="Z108" s="185"/>
      <c r="AA108" s="6"/>
      <c r="AB108" s="6"/>
      <c r="AC108" s="6"/>
      <c r="AD108" s="6"/>
      <c r="AE108" s="6"/>
      <c r="AF108" s="6"/>
      <c r="AG108" s="6"/>
      <c r="AH108" s="6"/>
      <c r="AI108" s="6"/>
      <c r="AJ108" s="15"/>
      <c r="AK108" s="6"/>
    </row>
    <row r="109" spans="1:37" s="151" customFormat="1" ht="15" customHeight="1">
      <c r="A109" s="347"/>
      <c r="B109" s="390"/>
      <c r="C109" s="181"/>
      <c r="D109" s="693" t="s">
        <v>517</v>
      </c>
      <c r="E109" s="694"/>
      <c r="F109" s="186"/>
      <c r="G109" s="186"/>
      <c r="H109" s="182"/>
      <c r="I109" s="182"/>
      <c r="J109" s="182"/>
      <c r="K109" s="183"/>
      <c r="L109" s="168"/>
      <c r="M109" s="184"/>
      <c r="N109" s="183"/>
      <c r="O109" s="183"/>
      <c r="P109" s="183"/>
      <c r="Q109" s="183"/>
      <c r="R109" s="183"/>
      <c r="S109" s="183"/>
      <c r="T109" s="394"/>
      <c r="W109" s="146"/>
      <c r="X109" s="185"/>
      <c r="Y109" s="185"/>
      <c r="Z109" s="185"/>
      <c r="AA109" s="6"/>
      <c r="AB109" s="6"/>
      <c r="AC109" s="6"/>
      <c r="AD109" s="6"/>
      <c r="AE109" s="6"/>
      <c r="AF109" s="6"/>
      <c r="AG109" s="6"/>
      <c r="AH109" s="6"/>
      <c r="AI109" s="6"/>
      <c r="AJ109" s="15"/>
      <c r="AK109" s="6"/>
    </row>
    <row r="110" spans="1:37" s="151" customFormat="1" ht="15" customHeight="1">
      <c r="A110" s="347"/>
      <c r="B110" s="390"/>
      <c r="C110" s="181"/>
      <c r="D110" s="693" t="s">
        <v>518</v>
      </c>
      <c r="E110" s="694"/>
      <c r="F110" s="186"/>
      <c r="G110" s="186"/>
      <c r="H110" s="182"/>
      <c r="I110" s="182"/>
      <c r="J110" s="182"/>
      <c r="K110" s="183"/>
      <c r="L110" s="168"/>
      <c r="M110" s="184"/>
      <c r="N110" s="183"/>
      <c r="O110" s="183"/>
      <c r="P110" s="183"/>
      <c r="Q110" s="183"/>
      <c r="R110" s="183"/>
      <c r="S110" s="183"/>
      <c r="T110" s="394"/>
      <c r="W110" s="146"/>
      <c r="X110" s="185"/>
      <c r="Y110" s="185"/>
      <c r="Z110" s="185"/>
      <c r="AA110" s="6"/>
      <c r="AB110" s="6"/>
      <c r="AC110" s="6"/>
      <c r="AD110" s="6"/>
      <c r="AE110" s="6"/>
      <c r="AF110" s="6"/>
      <c r="AG110" s="6"/>
      <c r="AH110" s="6"/>
      <c r="AI110" s="6"/>
      <c r="AJ110" s="15"/>
      <c r="AK110" s="6"/>
    </row>
    <row r="111" spans="1:37" s="151" customFormat="1" ht="30" customHeight="1">
      <c r="A111" s="347" t="s">
        <v>519</v>
      </c>
      <c r="B111" s="390"/>
      <c r="C111" s="181"/>
      <c r="D111" s="693" t="s">
        <v>520</v>
      </c>
      <c r="E111" s="694"/>
      <c r="F111" s="186"/>
      <c r="G111" s="186"/>
      <c r="H111" s="182"/>
      <c r="I111" s="182"/>
      <c r="J111" s="182"/>
      <c r="K111" s="183"/>
      <c r="L111" s="168"/>
      <c r="M111" s="184"/>
      <c r="N111" s="183"/>
      <c r="O111" s="183"/>
      <c r="P111" s="183"/>
      <c r="Q111" s="183"/>
      <c r="R111" s="183"/>
      <c r="S111" s="183"/>
      <c r="T111" s="394"/>
      <c r="W111" s="146"/>
      <c r="X111" s="185"/>
      <c r="Y111" s="185"/>
      <c r="Z111" s="185"/>
      <c r="AA111" s="6"/>
      <c r="AB111" s="6"/>
      <c r="AC111" s="6"/>
      <c r="AD111" s="6"/>
      <c r="AE111" s="6"/>
      <c r="AF111" s="6"/>
      <c r="AG111" s="6"/>
      <c r="AH111" s="6"/>
      <c r="AI111" s="6"/>
      <c r="AJ111" s="15"/>
      <c r="AK111" s="6"/>
    </row>
    <row r="112" spans="1:37" s="151" customFormat="1" ht="15" customHeight="1" thickBot="1">
      <c r="A112" s="347" t="s">
        <v>519</v>
      </c>
      <c r="B112" s="390"/>
      <c r="C112" s="181"/>
      <c r="D112" s="700" t="s">
        <v>511</v>
      </c>
      <c r="E112" s="701"/>
      <c r="F112" s="186"/>
      <c r="G112" s="186"/>
      <c r="H112" s="182"/>
      <c r="I112" s="182"/>
      <c r="J112" s="182"/>
      <c r="K112" s="183"/>
      <c r="L112" s="168"/>
      <c r="M112" s="184"/>
      <c r="N112" s="183"/>
      <c r="O112" s="183"/>
      <c r="P112" s="183"/>
      <c r="Q112" s="183"/>
      <c r="R112" s="183"/>
      <c r="S112" s="183"/>
      <c r="T112" s="394"/>
      <c r="W112" s="146"/>
      <c r="X112" s="185"/>
      <c r="Y112" s="185"/>
      <c r="Z112" s="185"/>
      <c r="AA112" s="6"/>
      <c r="AB112" s="6"/>
      <c r="AC112" s="6"/>
      <c r="AD112" s="6"/>
      <c r="AE112" s="6"/>
      <c r="AF112" s="6"/>
      <c r="AG112" s="6"/>
      <c r="AH112" s="6"/>
      <c r="AI112" s="6"/>
      <c r="AJ112" s="15"/>
      <c r="AK112" s="6"/>
    </row>
    <row r="113" spans="1:37" s="151" customFormat="1" ht="30" customHeight="1">
      <c r="A113" s="347" t="s">
        <v>521</v>
      </c>
      <c r="B113" s="390"/>
      <c r="C113" s="181"/>
      <c r="D113" s="697" t="s">
        <v>522</v>
      </c>
      <c r="E113" s="698"/>
      <c r="F113" s="186"/>
      <c r="G113" s="186"/>
      <c r="H113" s="182"/>
      <c r="I113" s="182"/>
      <c r="J113" s="182"/>
      <c r="K113" s="183"/>
      <c r="L113" s="168"/>
      <c r="M113" s="184"/>
      <c r="N113" s="183"/>
      <c r="O113" s="183"/>
      <c r="P113" s="183"/>
      <c r="Q113" s="183"/>
      <c r="R113" s="183"/>
      <c r="S113" s="183"/>
      <c r="T113" s="394"/>
      <c r="W113" s="146"/>
      <c r="X113" s="185"/>
      <c r="Y113" s="185"/>
      <c r="Z113" s="185"/>
      <c r="AA113" s="6"/>
      <c r="AB113" s="6"/>
      <c r="AC113" s="6"/>
      <c r="AD113" s="6"/>
      <c r="AE113" s="6"/>
      <c r="AF113" s="6"/>
      <c r="AG113" s="6"/>
      <c r="AH113" s="6"/>
      <c r="AI113" s="6"/>
      <c r="AJ113" s="15"/>
      <c r="AK113" s="6"/>
    </row>
    <row r="114" spans="1:37" s="151" customFormat="1" ht="40.5" customHeight="1">
      <c r="A114" s="347" t="s">
        <v>523</v>
      </c>
      <c r="B114" s="390"/>
      <c r="C114" s="181"/>
      <c r="D114" s="693" t="s">
        <v>524</v>
      </c>
      <c r="E114" s="694"/>
      <c r="F114" s="186"/>
      <c r="G114" s="186"/>
      <c r="H114" s="182"/>
      <c r="I114" s="182"/>
      <c r="J114" s="182"/>
      <c r="K114" s="183"/>
      <c r="L114" s="168"/>
      <c r="M114" s="184"/>
      <c r="N114" s="183"/>
      <c r="O114" s="183"/>
      <c r="P114" s="183"/>
      <c r="Q114" s="183"/>
      <c r="R114" s="183"/>
      <c r="S114" s="183"/>
      <c r="T114" s="394"/>
      <c r="W114" s="146"/>
      <c r="X114" s="185"/>
      <c r="Y114" s="185"/>
      <c r="Z114" s="185"/>
      <c r="AA114" s="6"/>
      <c r="AB114" s="6"/>
      <c r="AC114" s="6"/>
      <c r="AD114" s="6"/>
      <c r="AE114" s="6"/>
      <c r="AF114" s="6"/>
      <c r="AG114" s="6"/>
      <c r="AH114" s="6"/>
      <c r="AI114" s="6"/>
      <c r="AJ114" s="15"/>
      <c r="AK114" s="6"/>
    </row>
    <row r="115" spans="1:37" s="189" customFormat="1" ht="30" customHeight="1">
      <c r="A115" s="347" t="s">
        <v>521</v>
      </c>
      <c r="B115" s="395"/>
      <c r="C115" s="188"/>
      <c r="D115" s="695" t="s">
        <v>525</v>
      </c>
      <c r="E115" s="696"/>
      <c r="F115" s="190"/>
      <c r="G115" s="190"/>
      <c r="H115" s="191"/>
      <c r="I115" s="191"/>
      <c r="J115" s="191"/>
      <c r="K115" s="192"/>
      <c r="L115" s="193"/>
      <c r="M115" s="194"/>
      <c r="N115" s="192"/>
      <c r="O115" s="192"/>
      <c r="P115" s="192"/>
      <c r="Q115" s="192"/>
      <c r="R115" s="192"/>
      <c r="S115" s="192"/>
      <c r="T115" s="396"/>
      <c r="W115" s="195"/>
      <c r="X115" s="196"/>
      <c r="Y115" s="196"/>
      <c r="Z115" s="196"/>
      <c r="AA115" s="6"/>
      <c r="AB115" s="6"/>
      <c r="AC115" s="6"/>
      <c r="AD115" s="6"/>
      <c r="AE115" s="6"/>
      <c r="AF115" s="6"/>
      <c r="AG115" s="6"/>
      <c r="AH115" s="6"/>
      <c r="AI115" s="6"/>
      <c r="AJ115" s="15"/>
      <c r="AK115" s="6"/>
    </row>
    <row r="116" spans="1:37" s="151" customFormat="1" ht="30.75" customHeight="1">
      <c r="A116" s="347" t="s">
        <v>521</v>
      </c>
      <c r="B116" s="390"/>
      <c r="C116" s="181"/>
      <c r="D116" s="693" t="s">
        <v>526</v>
      </c>
      <c r="E116" s="694"/>
      <c r="F116" s="186"/>
      <c r="G116" s="186"/>
      <c r="H116" s="182"/>
      <c r="I116" s="182"/>
      <c r="J116" s="182"/>
      <c r="K116" s="183"/>
      <c r="L116" s="168"/>
      <c r="M116" s="184"/>
      <c r="N116" s="183"/>
      <c r="O116" s="183"/>
      <c r="P116" s="183"/>
      <c r="Q116" s="183"/>
      <c r="R116" s="183"/>
      <c r="S116" s="183"/>
      <c r="T116" s="394"/>
      <c r="W116" s="146"/>
      <c r="X116" s="185"/>
      <c r="Y116" s="185"/>
      <c r="Z116" s="185"/>
      <c r="AA116" s="6"/>
      <c r="AB116" s="6"/>
      <c r="AC116" s="6"/>
      <c r="AD116" s="6"/>
      <c r="AE116" s="6"/>
      <c r="AF116" s="6"/>
      <c r="AG116" s="6"/>
      <c r="AH116" s="6"/>
      <c r="AI116" s="6"/>
      <c r="AJ116" s="15"/>
      <c r="AK116" s="6"/>
    </row>
    <row r="117" spans="1:37" s="151" customFormat="1" ht="15" customHeight="1">
      <c r="A117" s="347" t="s">
        <v>521</v>
      </c>
      <c r="B117" s="390"/>
      <c r="C117" s="181"/>
      <c r="D117" s="693" t="s">
        <v>527</v>
      </c>
      <c r="E117" s="694"/>
      <c r="F117" s="186"/>
      <c r="G117" s="186"/>
      <c r="H117" s="182"/>
      <c r="I117" s="182"/>
      <c r="J117" s="182"/>
      <c r="K117" s="183"/>
      <c r="L117" s="168"/>
      <c r="M117" s="184"/>
      <c r="N117" s="183"/>
      <c r="O117" s="183"/>
      <c r="P117" s="183"/>
      <c r="Q117" s="183"/>
      <c r="R117" s="183"/>
      <c r="S117" s="183"/>
      <c r="T117" s="394"/>
      <c r="W117" s="146"/>
      <c r="X117" s="185"/>
      <c r="Y117" s="185"/>
      <c r="Z117" s="185"/>
      <c r="AA117" s="6"/>
      <c r="AB117" s="6"/>
      <c r="AC117" s="6"/>
      <c r="AD117" s="6"/>
      <c r="AE117" s="6"/>
      <c r="AF117" s="6"/>
      <c r="AG117" s="6"/>
      <c r="AH117" s="6"/>
      <c r="AI117" s="6"/>
      <c r="AJ117" s="15"/>
      <c r="AK117" s="6"/>
    </row>
    <row r="118" spans="1:37" s="151" customFormat="1" ht="15" customHeight="1">
      <c r="A118" s="347" t="s">
        <v>521</v>
      </c>
      <c r="B118" s="390"/>
      <c r="C118" s="181"/>
      <c r="D118" s="693" t="s">
        <v>528</v>
      </c>
      <c r="E118" s="694"/>
      <c r="F118" s="186"/>
      <c r="G118" s="186"/>
      <c r="H118" s="182"/>
      <c r="I118" s="182"/>
      <c r="J118" s="182"/>
      <c r="K118" s="183"/>
      <c r="L118" s="168"/>
      <c r="M118" s="184"/>
      <c r="N118" s="183"/>
      <c r="O118" s="183"/>
      <c r="P118" s="183"/>
      <c r="Q118" s="183"/>
      <c r="R118" s="183"/>
      <c r="S118" s="183"/>
      <c r="T118" s="394"/>
      <c r="W118" s="146"/>
      <c r="X118" s="185"/>
      <c r="Y118" s="185"/>
      <c r="Z118" s="185"/>
      <c r="AA118" s="6"/>
      <c r="AB118" s="6"/>
      <c r="AC118" s="6"/>
      <c r="AD118" s="6"/>
      <c r="AE118" s="6"/>
      <c r="AF118" s="6"/>
      <c r="AG118" s="6"/>
      <c r="AH118" s="6"/>
      <c r="AI118" s="6"/>
      <c r="AJ118" s="15"/>
      <c r="AK118" s="6"/>
    </row>
    <row r="119" spans="1:37" s="151" customFormat="1" ht="31.5" customHeight="1">
      <c r="A119" s="347" t="s">
        <v>521</v>
      </c>
      <c r="B119" s="390"/>
      <c r="C119" s="181"/>
      <c r="D119" s="693" t="s">
        <v>529</v>
      </c>
      <c r="E119" s="694"/>
      <c r="F119" s="186"/>
      <c r="G119" s="186"/>
      <c r="H119" s="182"/>
      <c r="I119" s="182"/>
      <c r="J119" s="182"/>
      <c r="K119" s="183"/>
      <c r="L119" s="168"/>
      <c r="M119" s="184"/>
      <c r="N119" s="183"/>
      <c r="O119" s="183"/>
      <c r="P119" s="183"/>
      <c r="Q119" s="183"/>
      <c r="R119" s="183"/>
      <c r="S119" s="183"/>
      <c r="T119" s="394"/>
      <c r="W119" s="146"/>
      <c r="X119" s="185"/>
      <c r="Y119" s="185"/>
      <c r="Z119" s="185"/>
      <c r="AA119" s="6"/>
      <c r="AB119" s="6"/>
      <c r="AC119" s="6"/>
      <c r="AD119" s="6"/>
      <c r="AE119" s="6"/>
      <c r="AF119" s="6"/>
      <c r="AG119" s="6"/>
      <c r="AH119" s="6"/>
      <c r="AI119" s="6"/>
      <c r="AJ119" s="15"/>
      <c r="AK119" s="6"/>
    </row>
    <row r="120" spans="1:37" s="151" customFormat="1" ht="30.75" customHeight="1">
      <c r="A120" s="347" t="s">
        <v>521</v>
      </c>
      <c r="B120" s="390"/>
      <c r="C120" s="181"/>
      <c r="D120" s="693" t="s">
        <v>530</v>
      </c>
      <c r="E120" s="694"/>
      <c r="F120" s="186"/>
      <c r="G120" s="186"/>
      <c r="H120" s="182"/>
      <c r="I120" s="182"/>
      <c r="J120" s="182"/>
      <c r="K120" s="183"/>
      <c r="L120" s="168"/>
      <c r="M120" s="184"/>
      <c r="N120" s="183"/>
      <c r="O120" s="183"/>
      <c r="P120" s="183"/>
      <c r="Q120" s="183"/>
      <c r="R120" s="183"/>
      <c r="S120" s="183"/>
      <c r="T120" s="394"/>
      <c r="W120" s="146"/>
      <c r="X120" s="185"/>
      <c r="Y120" s="185"/>
      <c r="Z120" s="185"/>
      <c r="AA120" s="6"/>
      <c r="AB120" s="6"/>
      <c r="AC120" s="6"/>
      <c r="AD120" s="6"/>
      <c r="AE120" s="6"/>
      <c r="AF120" s="6"/>
      <c r="AG120" s="6"/>
      <c r="AH120" s="6"/>
      <c r="AI120" s="6"/>
      <c r="AJ120" s="15"/>
      <c r="AK120" s="6"/>
    </row>
    <row r="121" spans="1:37" s="151" customFormat="1" ht="30" customHeight="1">
      <c r="A121" s="347" t="s">
        <v>521</v>
      </c>
      <c r="B121" s="390"/>
      <c r="C121" s="181"/>
      <c r="D121" s="693" t="s">
        <v>531</v>
      </c>
      <c r="E121" s="694"/>
      <c r="F121" s="186"/>
      <c r="G121" s="186"/>
      <c r="H121" s="182"/>
      <c r="I121" s="182"/>
      <c r="J121" s="182"/>
      <c r="K121" s="183"/>
      <c r="L121" s="168"/>
      <c r="M121" s="184"/>
      <c r="N121" s="183"/>
      <c r="O121" s="183"/>
      <c r="P121" s="183"/>
      <c r="Q121" s="183"/>
      <c r="R121" s="183"/>
      <c r="S121" s="183"/>
      <c r="T121" s="394"/>
      <c r="W121" s="146"/>
      <c r="X121" s="185"/>
      <c r="Y121" s="185"/>
      <c r="Z121" s="185"/>
      <c r="AA121" s="6"/>
      <c r="AB121" s="6"/>
      <c r="AC121" s="6"/>
      <c r="AD121" s="6"/>
      <c r="AE121" s="6"/>
      <c r="AF121" s="6"/>
      <c r="AG121" s="6"/>
      <c r="AH121" s="6"/>
      <c r="AI121" s="6"/>
      <c r="AJ121" s="15"/>
      <c r="AK121" s="6"/>
    </row>
    <row r="122" spans="1:37" s="151" customFormat="1" ht="30" customHeight="1" thickBot="1">
      <c r="A122" s="347"/>
      <c r="B122" s="390"/>
      <c r="C122" s="181"/>
      <c r="D122" s="700" t="s">
        <v>532</v>
      </c>
      <c r="E122" s="701"/>
      <c r="F122" s="186"/>
      <c r="G122" s="186"/>
      <c r="H122" s="182"/>
      <c r="I122" s="182"/>
      <c r="J122" s="182"/>
      <c r="K122" s="183"/>
      <c r="L122" s="168"/>
      <c r="M122" s="184"/>
      <c r="N122" s="183"/>
      <c r="O122" s="183"/>
      <c r="P122" s="183"/>
      <c r="Q122" s="183"/>
      <c r="R122" s="183"/>
      <c r="S122" s="183"/>
      <c r="T122" s="394"/>
      <c r="W122" s="146"/>
      <c r="X122" s="185"/>
      <c r="Y122" s="185"/>
      <c r="Z122" s="185"/>
      <c r="AA122" s="6"/>
      <c r="AB122" s="6"/>
      <c r="AC122" s="6"/>
      <c r="AD122" s="6"/>
      <c r="AE122" s="6"/>
      <c r="AF122" s="6"/>
      <c r="AG122" s="6"/>
      <c r="AH122" s="6"/>
      <c r="AI122" s="6"/>
      <c r="AJ122" s="15"/>
      <c r="AK122" s="6"/>
    </row>
    <row r="123" spans="1:37" s="151" customFormat="1" ht="30" customHeight="1">
      <c r="A123" s="347"/>
      <c r="B123" s="390"/>
      <c r="C123" s="181"/>
      <c r="D123" s="702" t="s">
        <v>533</v>
      </c>
      <c r="E123" s="703"/>
      <c r="F123" s="186"/>
      <c r="G123" s="186"/>
      <c r="H123" s="182"/>
      <c r="I123" s="182"/>
      <c r="J123" s="182"/>
      <c r="K123" s="183"/>
      <c r="L123" s="168"/>
      <c r="M123" s="184"/>
      <c r="N123" s="183"/>
      <c r="O123" s="183"/>
      <c r="P123" s="183"/>
      <c r="Q123" s="183"/>
      <c r="R123" s="183"/>
      <c r="S123" s="183"/>
      <c r="T123" s="394"/>
      <c r="W123" s="146"/>
      <c r="X123" s="185"/>
      <c r="Y123" s="185"/>
      <c r="Z123" s="185"/>
      <c r="AA123" s="6"/>
      <c r="AB123" s="6"/>
      <c r="AC123" s="6"/>
      <c r="AD123" s="6"/>
      <c r="AE123" s="6"/>
      <c r="AF123" s="6"/>
      <c r="AG123" s="6"/>
      <c r="AH123" s="6"/>
      <c r="AI123" s="6"/>
      <c r="AJ123" s="15"/>
      <c r="AK123" s="6"/>
    </row>
    <row r="124" spans="1:37" s="173" customFormat="1" ht="30" customHeight="1">
      <c r="A124" s="347" t="s">
        <v>523</v>
      </c>
      <c r="B124" s="392"/>
      <c r="C124" s="172"/>
      <c r="D124" s="695" t="s">
        <v>534</v>
      </c>
      <c r="E124" s="696"/>
      <c r="F124" s="187"/>
      <c r="G124" s="187"/>
      <c r="H124" s="175"/>
      <c r="I124" s="175"/>
      <c r="J124" s="175"/>
      <c r="K124" s="176"/>
      <c r="L124" s="177"/>
      <c r="M124" s="178"/>
      <c r="N124" s="176"/>
      <c r="O124" s="176"/>
      <c r="P124" s="176"/>
      <c r="Q124" s="176"/>
      <c r="R124" s="176"/>
      <c r="S124" s="176"/>
      <c r="T124" s="393"/>
      <c r="W124" s="179"/>
      <c r="X124" s="180"/>
      <c r="Y124" s="180"/>
      <c r="Z124" s="180"/>
      <c r="AA124" s="6"/>
      <c r="AB124" s="6"/>
      <c r="AC124" s="6"/>
      <c r="AD124" s="6"/>
      <c r="AE124" s="6"/>
      <c r="AF124" s="6"/>
      <c r="AG124" s="6"/>
      <c r="AH124" s="6"/>
      <c r="AI124" s="6"/>
      <c r="AJ124" s="15"/>
      <c r="AK124" s="6"/>
    </row>
    <row r="125" spans="1:37" s="151" customFormat="1" ht="30" customHeight="1">
      <c r="A125" s="347" t="s">
        <v>523</v>
      </c>
      <c r="B125" s="390"/>
      <c r="C125" s="181"/>
      <c r="D125" s="693" t="s">
        <v>535</v>
      </c>
      <c r="E125" s="694"/>
      <c r="F125" s="186"/>
      <c r="G125" s="186"/>
      <c r="H125" s="182"/>
      <c r="I125" s="182"/>
      <c r="J125" s="182"/>
      <c r="K125" s="183"/>
      <c r="L125" s="168"/>
      <c r="M125" s="184"/>
      <c r="N125" s="183"/>
      <c r="O125" s="183"/>
      <c r="P125" s="183"/>
      <c r="Q125" s="183"/>
      <c r="R125" s="183"/>
      <c r="S125" s="183"/>
      <c r="T125" s="394"/>
      <c r="W125" s="146"/>
      <c r="X125" s="185"/>
      <c r="Y125" s="185"/>
      <c r="Z125" s="185"/>
      <c r="AA125" s="6"/>
      <c r="AB125" s="6"/>
      <c r="AC125" s="6"/>
      <c r="AD125" s="6"/>
      <c r="AE125" s="6"/>
      <c r="AF125" s="6"/>
      <c r="AG125" s="6"/>
      <c r="AH125" s="6"/>
      <c r="AI125" s="6"/>
      <c r="AJ125" s="15"/>
      <c r="AK125" s="6"/>
    </row>
    <row r="126" spans="1:37" s="151" customFormat="1" ht="15" customHeight="1">
      <c r="A126" s="347" t="s">
        <v>536</v>
      </c>
      <c r="B126" s="390"/>
      <c r="C126" s="181"/>
      <c r="D126" s="693" t="s">
        <v>537</v>
      </c>
      <c r="E126" s="694"/>
      <c r="F126" s="186"/>
      <c r="G126" s="186"/>
      <c r="H126" s="182"/>
      <c r="I126" s="182"/>
      <c r="J126" s="182"/>
      <c r="K126" s="183"/>
      <c r="L126" s="168"/>
      <c r="M126" s="184"/>
      <c r="N126" s="183"/>
      <c r="O126" s="183"/>
      <c r="P126" s="183"/>
      <c r="Q126" s="183"/>
      <c r="R126" s="183"/>
      <c r="S126" s="183"/>
      <c r="T126" s="394"/>
      <c r="W126" s="146"/>
      <c r="X126" s="185"/>
      <c r="Y126" s="185"/>
      <c r="Z126" s="185"/>
      <c r="AA126" s="6"/>
      <c r="AB126" s="6"/>
      <c r="AC126" s="6"/>
      <c r="AD126" s="6"/>
      <c r="AE126" s="6"/>
      <c r="AF126" s="6"/>
      <c r="AG126" s="6"/>
      <c r="AH126" s="6"/>
      <c r="AI126" s="6"/>
      <c r="AJ126" s="15"/>
      <c r="AK126" s="6"/>
    </row>
    <row r="127" spans="1:37" s="151" customFormat="1" ht="15" customHeight="1">
      <c r="A127" s="347" t="s">
        <v>536</v>
      </c>
      <c r="B127" s="390"/>
      <c r="C127" s="181"/>
      <c r="D127" s="693" t="s">
        <v>538</v>
      </c>
      <c r="E127" s="694"/>
      <c r="F127" s="186"/>
      <c r="G127" s="186"/>
      <c r="H127" s="182"/>
      <c r="I127" s="182"/>
      <c r="J127" s="182"/>
      <c r="K127" s="183"/>
      <c r="L127" s="168"/>
      <c r="M127" s="184"/>
      <c r="N127" s="183"/>
      <c r="O127" s="183"/>
      <c r="P127" s="183"/>
      <c r="Q127" s="183"/>
      <c r="R127" s="183"/>
      <c r="S127" s="183"/>
      <c r="T127" s="394"/>
      <c r="W127" s="146"/>
      <c r="X127" s="185"/>
      <c r="Y127" s="185"/>
      <c r="Z127" s="185"/>
      <c r="AA127" s="6"/>
      <c r="AB127" s="6"/>
      <c r="AC127" s="6"/>
      <c r="AD127" s="6"/>
      <c r="AE127" s="6"/>
      <c r="AF127" s="6"/>
      <c r="AG127" s="6"/>
      <c r="AH127" s="6"/>
      <c r="AI127" s="6"/>
      <c r="AJ127" s="15"/>
      <c r="AK127" s="6"/>
    </row>
    <row r="128" spans="1:37" s="151" customFormat="1" ht="15" customHeight="1">
      <c r="A128" s="347" t="s">
        <v>536</v>
      </c>
      <c r="B128" s="390"/>
      <c r="C128" s="181"/>
      <c r="D128" s="693" t="s">
        <v>539</v>
      </c>
      <c r="E128" s="694"/>
      <c r="F128" s="186"/>
      <c r="G128" s="186"/>
      <c r="H128" s="182"/>
      <c r="I128" s="182"/>
      <c r="J128" s="182"/>
      <c r="K128" s="183"/>
      <c r="L128" s="168"/>
      <c r="M128" s="184"/>
      <c r="N128" s="183"/>
      <c r="O128" s="183"/>
      <c r="P128" s="183"/>
      <c r="Q128" s="183"/>
      <c r="R128" s="183"/>
      <c r="S128" s="183"/>
      <c r="T128" s="394"/>
      <c r="W128" s="146"/>
      <c r="X128" s="185"/>
      <c r="Y128" s="185"/>
      <c r="Z128" s="185"/>
      <c r="AA128" s="6"/>
      <c r="AB128" s="6"/>
      <c r="AC128" s="6"/>
      <c r="AD128" s="6"/>
      <c r="AE128" s="6"/>
      <c r="AF128" s="6"/>
      <c r="AG128" s="6"/>
      <c r="AH128" s="6"/>
      <c r="AI128" s="6"/>
      <c r="AJ128" s="15"/>
      <c r="AK128" s="6"/>
    </row>
    <row r="129" spans="1:37" s="151" customFormat="1" ht="15" customHeight="1">
      <c r="A129" s="347" t="s">
        <v>536</v>
      </c>
      <c r="B129" s="390"/>
      <c r="C129" s="181"/>
      <c r="D129" s="693" t="s">
        <v>518</v>
      </c>
      <c r="E129" s="694"/>
      <c r="F129" s="186"/>
      <c r="G129" s="186"/>
      <c r="H129" s="182"/>
      <c r="I129" s="182"/>
      <c r="J129" s="182"/>
      <c r="K129" s="183"/>
      <c r="L129" s="168"/>
      <c r="M129" s="184"/>
      <c r="N129" s="183"/>
      <c r="O129" s="183"/>
      <c r="P129" s="183"/>
      <c r="Q129" s="183"/>
      <c r="R129" s="183"/>
      <c r="S129" s="183"/>
      <c r="T129" s="394"/>
      <c r="W129" s="146"/>
      <c r="X129" s="185"/>
      <c r="Y129" s="185"/>
      <c r="Z129" s="185"/>
      <c r="AA129" s="6"/>
      <c r="AB129" s="6"/>
      <c r="AC129" s="6"/>
      <c r="AD129" s="6"/>
      <c r="AE129" s="6"/>
      <c r="AF129" s="6"/>
      <c r="AG129" s="6"/>
      <c r="AH129" s="6"/>
      <c r="AI129" s="6"/>
      <c r="AJ129" s="15"/>
      <c r="AK129" s="6"/>
    </row>
    <row r="130" spans="1:37" s="151" customFormat="1" ht="30.75" customHeight="1">
      <c r="A130" s="347"/>
      <c r="B130" s="390"/>
      <c r="C130" s="181"/>
      <c r="D130" s="693" t="s">
        <v>540</v>
      </c>
      <c r="E130" s="694"/>
      <c r="F130" s="186"/>
      <c r="G130" s="186"/>
      <c r="H130" s="182"/>
      <c r="I130" s="182"/>
      <c r="J130" s="182"/>
      <c r="K130" s="183"/>
      <c r="L130" s="168"/>
      <c r="M130" s="184"/>
      <c r="N130" s="183"/>
      <c r="O130" s="183"/>
      <c r="P130" s="183"/>
      <c r="Q130" s="183"/>
      <c r="R130" s="183"/>
      <c r="S130" s="183"/>
      <c r="T130" s="394"/>
      <c r="W130" s="146"/>
      <c r="X130" s="185"/>
      <c r="Y130" s="185"/>
      <c r="Z130" s="185"/>
      <c r="AA130" s="6"/>
      <c r="AB130" s="6"/>
      <c r="AC130" s="6"/>
      <c r="AD130" s="6"/>
      <c r="AE130" s="6"/>
      <c r="AF130" s="6"/>
      <c r="AG130" s="6"/>
      <c r="AH130" s="6"/>
      <c r="AI130" s="6"/>
      <c r="AJ130" s="15"/>
      <c r="AK130" s="6"/>
    </row>
    <row r="131" spans="1:37" s="151" customFormat="1" ht="15" customHeight="1" thickBot="1">
      <c r="A131" s="347" t="s">
        <v>536</v>
      </c>
      <c r="B131" s="390"/>
      <c r="C131" s="181"/>
      <c r="D131" s="700" t="s">
        <v>511</v>
      </c>
      <c r="E131" s="701"/>
      <c r="F131" s="186"/>
      <c r="G131" s="186"/>
      <c r="H131" s="182"/>
      <c r="I131" s="182"/>
      <c r="J131" s="182"/>
      <c r="K131" s="183"/>
      <c r="L131" s="168"/>
      <c r="M131" s="184"/>
      <c r="N131" s="183"/>
      <c r="O131" s="183"/>
      <c r="P131" s="183"/>
      <c r="Q131" s="183"/>
      <c r="R131" s="183"/>
      <c r="S131" s="183"/>
      <c r="T131" s="394"/>
      <c r="W131" s="146"/>
      <c r="X131" s="185"/>
      <c r="Y131" s="185"/>
      <c r="Z131" s="185"/>
      <c r="AA131" s="6"/>
      <c r="AB131" s="6"/>
      <c r="AC131" s="6"/>
      <c r="AD131" s="6"/>
      <c r="AE131" s="6"/>
      <c r="AF131" s="6"/>
      <c r="AG131" s="6"/>
      <c r="AH131" s="6"/>
      <c r="AI131" s="6"/>
      <c r="AJ131" s="15"/>
      <c r="AK131" s="6"/>
    </row>
    <row r="132" spans="1:37" s="198" customFormat="1" ht="12" thickBot="1">
      <c r="A132" s="197"/>
      <c r="B132" s="410"/>
      <c r="C132" s="411"/>
      <c r="D132" s="699" t="s">
        <v>502</v>
      </c>
      <c r="E132" s="699"/>
      <c r="F132" s="412"/>
      <c r="G132" s="412"/>
      <c r="H132" s="413"/>
      <c r="I132" s="413"/>
      <c r="J132" s="413"/>
      <c r="K132" s="414"/>
      <c r="L132" s="415"/>
      <c r="M132" s="416"/>
      <c r="N132" s="417"/>
      <c r="O132" s="414"/>
      <c r="P132" s="414"/>
      <c r="Q132" s="414"/>
      <c r="R132" s="414"/>
      <c r="S132" s="414"/>
      <c r="T132" s="418"/>
      <c r="X132" s="201"/>
      <c r="Y132" s="201"/>
      <c r="Z132" s="201"/>
      <c r="AA132" s="6"/>
      <c r="AB132" s="6"/>
      <c r="AC132" s="6"/>
      <c r="AD132" s="6"/>
      <c r="AE132" s="6"/>
      <c r="AF132" s="6"/>
      <c r="AG132" s="6"/>
      <c r="AH132" s="6"/>
      <c r="AI132" s="6"/>
      <c r="AJ132" s="15"/>
      <c r="AK132" s="6"/>
    </row>
  </sheetData>
  <sheetProtection algorithmName="SHA-512" hashValue="Leujzi4vSQh9nx2ot4yP2k3YiVQNe4fA2kn/WgCbyOJ7eTjxS4eD2VzprnHncb8AtCwt0nt52SeB3kox8FBLAg==" saltValue="7es0/gCtS6g7LpryjL/DUg==" spinCount="100000" sheet="1" objects="1" scenarios="1"/>
  <protectedRanges>
    <protectedRange sqref="F63:S86 H62:S62 F61:S61 H60:S60 F58:S59 H57:S57 F53:S56 H52:S52 F51:S51 H50:S50 F48:S49 H47:S47 F43:S46 H41:S42 F40:S40 H39:S39 F38:S38 H35:S37" name="区域1"/>
  </protectedRanges>
  <autoFilter ref="A6:AK6" xr:uid="{4DF96B3F-FE91-45E2-ABFB-8CFC9ECB0620}">
    <filterColumn colId="1" showButton="0"/>
  </autoFilter>
  <mergeCells count="89">
    <mergeCell ref="B80:B82"/>
    <mergeCell ref="B83:B86"/>
    <mergeCell ref="B58:B62"/>
    <mergeCell ref="B63:B66"/>
    <mergeCell ref="B67:B69"/>
    <mergeCell ref="B70:B74"/>
    <mergeCell ref="B75:B79"/>
    <mergeCell ref="B35:B37"/>
    <mergeCell ref="B38:B46"/>
    <mergeCell ref="B47:B50"/>
    <mergeCell ref="B51:B54"/>
    <mergeCell ref="B55:B57"/>
    <mergeCell ref="B5:C5"/>
    <mergeCell ref="M3:M5"/>
    <mergeCell ref="N3:N5"/>
    <mergeCell ref="B6:C6"/>
    <mergeCell ref="H94:J94"/>
    <mergeCell ref="D94:E94"/>
    <mergeCell ref="L90:N90"/>
    <mergeCell ref="L91:N91"/>
    <mergeCell ref="L92:N92"/>
    <mergeCell ref="F92:J92"/>
    <mergeCell ref="B7:B12"/>
    <mergeCell ref="B13:B16"/>
    <mergeCell ref="B17:B19"/>
    <mergeCell ref="B20:B26"/>
    <mergeCell ref="B27:B29"/>
    <mergeCell ref="B30:B34"/>
    <mergeCell ref="D1:D2"/>
    <mergeCell ref="E1:E2"/>
    <mergeCell ref="F1:F5"/>
    <mergeCell ref="G1:G5"/>
    <mergeCell ref="Q3:Q5"/>
    <mergeCell ref="H3:H5"/>
    <mergeCell ref="I3:I5"/>
    <mergeCell ref="J3:J5"/>
    <mergeCell ref="O3:O5"/>
    <mergeCell ref="P3:P5"/>
    <mergeCell ref="K3:K5"/>
    <mergeCell ref="Y3:Y5"/>
    <mergeCell ref="Z3:Z5"/>
    <mergeCell ref="T1:T5"/>
    <mergeCell ref="S3:S5"/>
    <mergeCell ref="L89:N89"/>
    <mergeCell ref="R88:S88"/>
    <mergeCell ref="K88:N88"/>
    <mergeCell ref="L3:L5"/>
    <mergeCell ref="X3:X5"/>
    <mergeCell ref="R3:R5"/>
    <mergeCell ref="M1:O1"/>
    <mergeCell ref="D96:E96"/>
    <mergeCell ref="D95:E95"/>
    <mergeCell ref="D98:E98"/>
    <mergeCell ref="D97:E97"/>
    <mergeCell ref="D100:E100"/>
    <mergeCell ref="D99:E99"/>
    <mergeCell ref="D112:E112"/>
    <mergeCell ref="D101:E101"/>
    <mergeCell ref="D103:E103"/>
    <mergeCell ref="D105:E105"/>
    <mergeCell ref="D104:E104"/>
    <mergeCell ref="D107:E107"/>
    <mergeCell ref="D106:E106"/>
    <mergeCell ref="D102:E102"/>
    <mergeCell ref="D132:E132"/>
    <mergeCell ref="D131:E131"/>
    <mergeCell ref="D130:E130"/>
    <mergeCell ref="D120:E120"/>
    <mergeCell ref="D121:E121"/>
    <mergeCell ref="D123:E123"/>
    <mergeCell ref="D122:E122"/>
    <mergeCell ref="D125:E125"/>
    <mergeCell ref="D124:E124"/>
    <mergeCell ref="A1:C1"/>
    <mergeCell ref="D126:E126"/>
    <mergeCell ref="D127:E127"/>
    <mergeCell ref="D129:E129"/>
    <mergeCell ref="D128:E128"/>
    <mergeCell ref="D114:E114"/>
    <mergeCell ref="D115:E115"/>
    <mergeCell ref="D117:E117"/>
    <mergeCell ref="D116:E116"/>
    <mergeCell ref="D119:E119"/>
    <mergeCell ref="D118:E118"/>
    <mergeCell ref="D108:E108"/>
    <mergeCell ref="D109:E109"/>
    <mergeCell ref="D111:E111"/>
    <mergeCell ref="D110:E110"/>
    <mergeCell ref="D113:E113"/>
  </mergeCells>
  <phoneticPr fontId="73" type="noConversion"/>
  <conditionalFormatting sqref="A87:T87">
    <cfRule type="cellIs" dxfId="47" priority="1" stopIfTrue="1" operator="greaterThanOrEqual">
      <formula>3</formula>
    </cfRule>
  </conditionalFormatting>
  <conditionalFormatting sqref="H1:H2">
    <cfRule type="cellIs" dxfId="46" priority="88" stopIfTrue="1" operator="greaterThanOrEqual">
      <formula>3</formula>
    </cfRule>
  </conditionalFormatting>
  <conditionalFormatting sqref="H7:H86">
    <cfRule type="expression" dxfId="45" priority="7" stopIfTrue="1">
      <formula>COUNTA($F7,$G7)&gt;0</formula>
    </cfRule>
  </conditionalFormatting>
  <conditionalFormatting sqref="H104:H131">
    <cfRule type="expression" dxfId="44" priority="80" stopIfTrue="1">
      <formula>COUNTA(F104,G104)&gt;0</formula>
    </cfRule>
  </conditionalFormatting>
  <conditionalFormatting sqref="H91:J91">
    <cfRule type="cellIs" dxfId="43" priority="11" stopIfTrue="1" operator="between">
      <formula>0.001</formula>
      <formula>0.59999</formula>
    </cfRule>
    <cfRule type="cellIs" dxfId="42" priority="12" stopIfTrue="1" operator="between">
      <formula>0.6</formula>
      <formula>0.69999</formula>
    </cfRule>
    <cfRule type="cellIs" dxfId="41" priority="13" stopIfTrue="1" operator="greaterThanOrEqual">
      <formula>0.7</formula>
    </cfRule>
  </conditionalFormatting>
  <conditionalFormatting sqref="I1:J1">
    <cfRule type="cellIs" dxfId="40" priority="89" stopIfTrue="1" operator="greaterThanOrEqual">
      <formula>2</formula>
    </cfRule>
  </conditionalFormatting>
  <conditionalFormatting sqref="I7:J86">
    <cfRule type="expression" dxfId="39" priority="3" stopIfTrue="1">
      <formula>COUNTA($F7,$G7)&gt;0</formula>
    </cfRule>
  </conditionalFormatting>
  <conditionalFormatting sqref="I2:K2">
    <cfRule type="cellIs" dxfId="38" priority="78" stopIfTrue="1" operator="greaterThanOrEqual">
      <formula>3</formula>
    </cfRule>
  </conditionalFormatting>
  <conditionalFormatting sqref="W63:W69">
    <cfRule type="cellIs" dxfId="37" priority="52" stopIfTrue="1" operator="between">
      <formula>0</formula>
      <formula>39.999</formula>
    </cfRule>
    <cfRule type="cellIs" dxfId="36" priority="53" stopIfTrue="1" operator="between">
      <formula>40</formula>
      <formula>69.999</formula>
    </cfRule>
    <cfRule type="cellIs" dxfId="35" priority="54" stopIfTrue="1" operator="greaterThanOrEqual">
      <formula>70</formula>
    </cfRule>
  </conditionalFormatting>
  <conditionalFormatting sqref="W75:W78">
    <cfRule type="cellIs" dxfId="34" priority="43" stopIfTrue="1" operator="between">
      <formula>0</formula>
      <formula>39.999</formula>
    </cfRule>
    <cfRule type="cellIs" dxfId="33" priority="44" stopIfTrue="1" operator="between">
      <formula>40</formula>
      <formula>69.999</formula>
    </cfRule>
    <cfRule type="cellIs" dxfId="32" priority="45" stopIfTrue="1" operator="greaterThanOrEqual">
      <formula>70</formula>
    </cfRule>
  </conditionalFormatting>
  <conditionalFormatting sqref="W80:W86">
    <cfRule type="cellIs" dxfId="31" priority="18" stopIfTrue="1" operator="between">
      <formula>0</formula>
      <formula>39.999</formula>
    </cfRule>
    <cfRule type="cellIs" dxfId="30" priority="19" stopIfTrue="1" operator="between">
      <formula>40</formula>
      <formula>69.999</formula>
    </cfRule>
    <cfRule type="cellIs" dxfId="29" priority="20" stopIfTrue="1" operator="greaterThanOrEqual">
      <formula>70</formula>
    </cfRule>
  </conditionalFormatting>
  <conditionalFormatting sqref="X7:Z86">
    <cfRule type="cellIs" dxfId="28" priority="4" stopIfTrue="1" operator="between">
      <formula>0</formula>
      <formula>39.999</formula>
    </cfRule>
    <cfRule type="cellIs" dxfId="27" priority="5" stopIfTrue="1" operator="between">
      <formula>40</formula>
      <formula>69.999</formula>
    </cfRule>
    <cfRule type="cellIs" dxfId="26" priority="6" stopIfTrue="1" operator="greaterThanOrEqual">
      <formula>70</formula>
    </cfRule>
  </conditionalFormatting>
  <dataValidations count="8">
    <dataValidation type="whole" errorStyle="warning" allowBlank="1" showInputMessage="1" showErrorMessage="1" errorTitle="Scores of &quot;100&quot;" error="Scores of &quot;100&quot; should be applied only to &quot;Best in Class&quot;. You have scored 3 or more Requirements at '100'. Are you sure this is appropriate?" sqref="H1 J1" xr:uid="{00000000-0002-0000-0100-000000000000}">
      <formula1>0</formula1>
      <formula2>3</formula2>
    </dataValidation>
    <dataValidation type="date" operator="greaterThanOrEqual" allowBlank="1" showErrorMessage="1" errorTitle="DATE FIELD:" error="Type date as mm/dd/yyyy" sqref="M8:M82 S92:S93 L93:N93 L89 L92" xr:uid="{00000000-0002-0000-0100-000001000000}">
      <formula1>37622</formula1>
    </dataValidation>
    <dataValidation type="custom" allowBlank="1" showDropDown="1" showErrorMessage="1" errorTitle="Meets Requirements" error="Do not &quot;x&quot; both columns." promptTitle="Not Applicable / Not Verified" prompt="Place 'x' in appropriate column._x000a_Choose one, not both." sqref="G22:G24 G26:G52 G15:G19 G7:G13 G54:G86" xr:uid="{00000000-0002-0000-0100-000004000000}">
      <formula1>(COUNTA(F7)+COUNTA(G7))&lt;2</formula1>
    </dataValidation>
    <dataValidation type="custom" allowBlank="1" showDropDown="1" showErrorMessage="1" errorTitle="Not Applicable / Not Verified" error="Do not &quot;x&quot; both columns." promptTitle="Not Applicable / Not Verified" prompt="Place 'x' in appropriate column. Choose one, not both." sqref="G14 G20:G21 G25 G53 F7:F86" xr:uid="{00000000-0002-0000-0100-000005000000}">
      <formula1>(COUNTA(F7)+COUNTA(G7))&lt;2</formula1>
    </dataValidation>
    <dataValidation type="list" allowBlank="1" showErrorMessage="1" errorTitle="Score" error="Wrong value entered.  Values must be: 0, 40, 60 or 80." promptTitle="Current Percent Implemented" prompt="Value must be: 0, 30, 40, 50, 60, 70, 80, 90, or 100" sqref="H8:H86" xr:uid="{00000000-0002-0000-0100-000003000000}">
      <formula1>$AC$1:$AH$1</formula1>
    </dataValidation>
    <dataValidation type="list" allowBlank="1" showErrorMessage="1" errorTitle="Score" error="Wrong value entered.  Values must be: 0, 40, 60, 70, 80 or 100. " promptTitle="Score" prompt="Value must be: 0, 40, 60,70,  80 or 100" sqref="I7:J86" xr:uid="{00000000-0002-0000-0100-000002000000}">
      <formula1>$AC$3:$AH$3</formula1>
    </dataValidation>
    <dataValidation type="list" allowBlank="1" showErrorMessage="1" errorTitle="Score" error="Wrong value entered.  Values must be: 0, 40, 60, 80 or 100." promptTitle="Current Percent Implemented" prompt="Value must be: 0, 30, 40, 50, 60, 70, 80, 90, or 100" sqref="H7" xr:uid="{27DD23FE-D05B-4403-9D24-F7798B749A49}">
      <formula1>$AC$1:$AH$1</formula1>
    </dataValidation>
    <dataValidation type="date" operator="greaterThanOrEqual" allowBlank="1" showErrorMessage="1" errorTitle="DATE FIELD:" error="Type date as yyyymmdd" sqref="M7" xr:uid="{6D39FFAC-B511-49AD-9198-613E0CB89629}">
      <formula1>37622</formula1>
    </dataValidation>
  </dataValidations>
  <hyperlinks>
    <hyperlink ref="E6" location="Checklist!O7:S86" display="Go to: Corrective Actions" xr:uid="{00000000-0004-0000-0100-000000000000}"/>
    <hyperlink ref="O6" location="Checklist!D112:D121" display="Go to: Corrective Action Instructions" xr:uid="{00000000-0004-0000-0100-000002000000}"/>
    <hyperlink ref="D6" location="Checklist!K7:K86" display="Go to: Findings" xr:uid="{00000000-0004-0000-0100-000003000000}"/>
    <hyperlink ref="H94" location="'Std Checklist'!B7" display="Top" xr:uid="{00000000-0004-0000-0100-000006000000}"/>
    <hyperlink ref="D132:E132" location="Checklist!A7" display="Top" xr:uid="{00000000-0004-0000-0100-000009000000}"/>
    <hyperlink ref="K6:M6" location="'Std Checklist'!P123:BK158" display="Scoring Guidelines" xr:uid="{00000000-0004-0000-0100-000026000000}"/>
    <hyperlink ref="J3:J5" location="Checklist!D122:D131" tooltip="Go To Std Checklist for AUDITOR's Scoring Instruction for After CAPA Verification" display="After CA Verif. SCORE" xr:uid="{00000000-0004-0000-0100-00002C000000}"/>
    <hyperlink ref="K6" location="Checklist!D94:D131" display="Go to: Scoring Guidelines" xr:uid="{00000000-0004-0000-0100-00002D000000}"/>
    <hyperlink ref="I3:I5" location="Checklist!D103:D112" display="On-Site Audit SCORE" xr:uid="{9842F0EF-93EC-4010-B071-0660D261127B}"/>
    <hyperlink ref="H94:J94" location="Checklist!A7" display="Top" xr:uid="{342575BD-5B40-47C1-8A56-5FD960A3204B}"/>
    <hyperlink ref="H3:H5" location="Checklist!D95:D103" display="Supplier Self Audit SCORE" xr:uid="{A5CAEB06-8D22-4C47-8676-8DF5F07EF408}"/>
    <hyperlink ref="A7" location="Checklist!D97" display="Bottom" xr:uid="{66226D2F-DBFD-46A7-AE60-994AF941F2DA}"/>
    <hyperlink ref="A8" location="Checklist!A7" display="Checklist!A7" xr:uid="{5E6620EB-1CDD-49C8-A0F6-33232A17F01D}"/>
    <hyperlink ref="A9" location="Checklist!A15" display="Checklist!A15" xr:uid="{615D85C5-AFC6-4407-BE48-BED05813C662}"/>
    <hyperlink ref="A10" location="Checklist!A19" display="Checklist!A19" xr:uid="{A2F12EB2-737D-4214-B708-6193C8E7512E}"/>
    <hyperlink ref="A11" location="Checklist!A22" display="Checklist!A22" xr:uid="{C1975E83-8678-4164-AA1A-09E6B36750FF}"/>
    <hyperlink ref="A12" location="Checklist!A29" display="Checklist!A29" xr:uid="{578C619E-729E-4BCE-8EAE-8F133151D4BF}"/>
    <hyperlink ref="A13" location="Checklist!A32" display="Checklist!A32" xr:uid="{C073DDA6-DCA7-4C1D-AB36-EDCC9218E077}"/>
    <hyperlink ref="A14" location="Checklist!A37" display="Checklist!A37" xr:uid="{EE88BE2F-8BDF-42CE-889E-CFA15E86EC2D}"/>
    <hyperlink ref="A15" location="Checklist!A40" display="Checklist!A40" xr:uid="{593E7B96-9A7F-453A-AF3A-7AA145D3FDAB}"/>
    <hyperlink ref="A16" location="Checklist!A50" display="Checklist!A50" xr:uid="{6F7ED949-5B10-463C-85FC-FD9490F53462}"/>
    <hyperlink ref="A17" location="Checklist!A53" display="Checklist!A53" xr:uid="{60913B4D-02BC-429B-ABEF-071B89481200}"/>
    <hyperlink ref="A18" location="Checklist!A58" tooltip="11" display="Checklist!A58" xr:uid="{4AB6B9C3-8329-4B2B-8AF5-B5A7B8687788}"/>
    <hyperlink ref="A19" location="Checklist!A60" display="Checklist!A60" xr:uid="{5827BB64-4D48-4195-A445-4BF507DC6626}"/>
    <hyperlink ref="A20" location="Checklist!A65" display="Checklist!A65" xr:uid="{25F84DE8-39D8-4AF1-B3B3-06465491057F}"/>
    <hyperlink ref="A21" location="Checklist!A69" display="Checklist!A69" xr:uid="{F3A89A00-7C3C-4122-B290-C6FD24A5FD4F}"/>
    <hyperlink ref="A22" location="Checklist!A72" display="Checklist!A72" xr:uid="{EB1DFEE4-E58C-4B81-9413-60D417E84E29}"/>
    <hyperlink ref="A23" location="Checklist!A78" display="Checklist!A78" xr:uid="{A336C5D8-FBA9-43DC-9B9E-676DC4C7E6FB}"/>
    <hyperlink ref="A24" location="Checklist!A82" display="Checklist!A82" xr:uid="{B7EB373B-BAF5-4860-9177-ADE9EF11E79F}"/>
    <hyperlink ref="A25" location="Checklist!A86" display="Checklist!A86" xr:uid="{ED72DD96-E302-45D2-9E39-4C17639E34E9}"/>
    <hyperlink ref="A26" location="Checklist!D97" display="Bottom" xr:uid="{548CA2CD-CFD3-4045-9D5A-33EBE8608656}"/>
    <hyperlink ref="A27" location="Checklist!A7" display="Checklist!A7" xr:uid="{409CB51A-2B80-41AB-B0E5-73E7296552A8}"/>
    <hyperlink ref="A28" location="Checklist!A13" display="Checklist!A13" xr:uid="{0EC660BF-4024-4268-B0F0-C318387FACC8}"/>
    <hyperlink ref="A29" location="Checklist!A17" display="Checklist!A17" xr:uid="{0594B1BF-4583-4C96-A873-2F9C7FFA2437}"/>
    <hyperlink ref="A30" location="Checklist!A20" display="Checklist!A20" xr:uid="{C9320495-FB30-41A7-A775-43564AD4E75D}"/>
    <hyperlink ref="A31" location="Checklist!A27" display="Checklist!A27" xr:uid="{ADA22FAC-E8E3-4D2D-8B4A-370FF7ADAD98}"/>
    <hyperlink ref="A32" location="Checklist!A30" display="Checklist!A30" xr:uid="{EAE477A4-D454-49F0-8962-23EBAB047A26}"/>
    <hyperlink ref="A33" location="Checklist!A37" display="Checklist!A37" xr:uid="{314B71FA-7FA8-4FF3-A3DE-734CC58B0F90}"/>
    <hyperlink ref="A34" location="Checklist!A40" display="Checklist!A40" xr:uid="{D78550F4-140B-45CF-81B3-E232D41496CC}"/>
    <hyperlink ref="A35" location="Checklist!A50" display="Checklist!A50" xr:uid="{3CC86B2B-3394-4A40-AE48-E34706E3197C}"/>
    <hyperlink ref="A36" location="Checklist!A53" display="Checklist!A53" xr:uid="{0716535C-8C99-482E-83A8-9A0EDA2F49A2}"/>
    <hyperlink ref="A37" location="Checklist!A58" display="Checklist!A58" xr:uid="{636F0850-7B2B-4C84-B1FD-8055B66F2401}"/>
    <hyperlink ref="A38" location="Checklist!A60" display="Checklist!A60" xr:uid="{48AB45FD-7BE7-4BE8-8613-871D59E9CE6D}"/>
    <hyperlink ref="A39" location="Checklist!A65" display="Checklist!A65" xr:uid="{6CF08E4C-11D5-4A2E-9289-5B68886888A0}"/>
    <hyperlink ref="A40" location="Checklist!A69" display="Checklist!A69" xr:uid="{5CD59DE0-BAB6-4BF0-B9BC-EF2CD310BEEB}"/>
    <hyperlink ref="A41" location="Checklist!A72" display="Checklist!A72" xr:uid="{7C273059-BDE0-4A41-88F1-71D79043255B}"/>
    <hyperlink ref="A42" location="Checklist!A78" display="Checklist!A78" xr:uid="{BF4D906E-AFE1-4499-BFB1-E5CF041288FF}"/>
    <hyperlink ref="A43" location="Checklist!A82" display="Checklist!A82" xr:uid="{36E15D40-F17C-459E-B007-9342400C05E2}"/>
    <hyperlink ref="A44" location="Checklist!A86" display="Checklist!A86" xr:uid="{DDA88DC5-6873-4CB7-82A6-1611E8705719}"/>
    <hyperlink ref="A45" location="Checklist!D97" display="Bottom" xr:uid="{D5CB3157-24CB-405B-931F-8E58047D1CE6}"/>
    <hyperlink ref="A46" location="Checklist!A7" display="Checklist!A7" xr:uid="{1C5D40FB-1847-4BAA-855C-96557F16CE4B}"/>
    <hyperlink ref="A47" location="Checklist!A13" display="Checklist!A13" xr:uid="{CDF62164-80B9-4075-A9D5-EFEC45840757}"/>
    <hyperlink ref="A48" location="Checklist!A17" display="Checklist!A17" xr:uid="{7A286575-4B95-48C3-B35B-495A42D5740A}"/>
    <hyperlink ref="A49" location="Checklist!A20" display="Checklist!A20" xr:uid="{BBC49E98-352B-4606-AD47-CEAF5F54421E}"/>
    <hyperlink ref="A50" location="Checklist!A27" display="Checklist!A27" xr:uid="{8A8CDA24-B3CF-4925-9A74-2F58F24B5715}"/>
    <hyperlink ref="A51" location="Checklist!A30" display="Checklist!A30" xr:uid="{BCA929F8-E597-4F04-97AD-3CA2FD2620C3}"/>
    <hyperlink ref="A52" location="Checklist!A35" display="Checklist!A35" xr:uid="{EEAF8DB2-22F7-4067-8425-E788D7FB178E}"/>
    <hyperlink ref="A53" location="Checklist!A38" display="Checklist!A38" xr:uid="{99AB0105-E904-4DE7-82EB-055D9460CF28}"/>
    <hyperlink ref="A54" location="Checklist!A47" display="Checklist!A47" xr:uid="{F4B7F534-58E2-4A98-8A86-982307AB0566}"/>
    <hyperlink ref="A55" location="Checklist!A51" display="Checklist!A51" xr:uid="{EFA8A63E-B4E5-4A1F-8E99-57CEE626EABE}"/>
    <hyperlink ref="A56" location="Checklist!A58" display="Checklist!A58" xr:uid="{6A668408-A06D-40F3-BA7D-A3568D0F4965}"/>
    <hyperlink ref="A57" location="Checklist!A60" display="Checklist!A60" xr:uid="{CF95052A-5F11-4BCD-B8CA-193AF1FCA8D3}"/>
    <hyperlink ref="A58" location="Checklist!A65" display="Checklist!A65" xr:uid="{304B40C5-6890-4D74-96EC-1A6EA2D140DD}"/>
    <hyperlink ref="A59" location="Checklist!A69" display="Checklist!A69" xr:uid="{29059EA4-A3E1-465A-AF3B-A9ED8E00D1C1}"/>
    <hyperlink ref="A60" location="Checklist!A72" display="Checklist!A72" xr:uid="{A89D9494-1F43-4089-A6C2-8B1CB719C4AE}"/>
    <hyperlink ref="A61" location="Checklist!A78" display="Checklist!A78" xr:uid="{5AD5F5D4-CCF3-40D2-80E5-24389608575B}"/>
    <hyperlink ref="A62" location="Checklist!A82" display="Checklist!A82" xr:uid="{1362C3A5-C2A5-4185-9B79-21DE86C8CF64}"/>
    <hyperlink ref="A63" location="Checklist!A86" display="Checklist!A86" xr:uid="{1142752A-797F-4BDE-A9CA-09C98F3E220C}"/>
    <hyperlink ref="A64" location="Checklist!D97" display="Bottom" xr:uid="{C4F90865-5DD0-4AB9-BFE9-2D379AC115A7}"/>
    <hyperlink ref="A65" location="Checklist!A7" display="Checklist!A7" xr:uid="{4382C6A5-BED7-4E60-B696-2AE466FA30F5}"/>
    <hyperlink ref="A66" location="Checklist!A13" display="Checklist!A13" xr:uid="{2DECBEFA-1700-43ED-8344-D1227DCD3973}"/>
    <hyperlink ref="A67" location="Checklist!A17" display="Checklist!A17" xr:uid="{E514D948-E340-4337-B346-C37F6E3D648D}"/>
    <hyperlink ref="A68" location="Checklist!A20" display="Checklist!A20" xr:uid="{057057B2-D934-4F6D-88BA-E4381D36CF16}"/>
    <hyperlink ref="A69" location="Checklist!A27" display="Checklist!A27" xr:uid="{408A6786-63B6-442B-9F0B-946381B080AD}"/>
    <hyperlink ref="A70" location="Checklist!A30" display="Checklist!A30" xr:uid="{68D6383E-BA22-4A40-9AD8-214DA6FC6B7F}"/>
    <hyperlink ref="A71" location="Checklist!A35" display="Checklist!A35" xr:uid="{F9AD4CEA-6F12-4B05-A6A3-CC993A209B82}"/>
    <hyperlink ref="A72" location="Checklist!A38" display="Checklist!A38" xr:uid="{8F8B2E50-8863-4431-BC3B-577C4467E61E}"/>
    <hyperlink ref="A73" location="Checklist!A47" display="Checklist!A47" xr:uid="{F54E0758-24E1-41A2-A000-5D09754E221F}"/>
    <hyperlink ref="A74" location="Checklist!A51" display="Checklist!A51" xr:uid="{348D2F54-C325-4454-96F4-F2A1098ECD56}"/>
    <hyperlink ref="A75" location="Checklist!A55" display="Checklist!A55" xr:uid="{19CDF366-BB84-4D17-971C-279166C6284E}"/>
    <hyperlink ref="A76" location="Checklist!A58" display="Checklist!A58" xr:uid="{F5CCC7EC-7C87-4184-B6B9-DCF9315679E8}"/>
    <hyperlink ref="A77" location="Checklist!A63" display="Checklist!A63" xr:uid="{A236BE7E-85C0-49D5-988A-3FF85ED981C9}"/>
    <hyperlink ref="A78" location="Checklist!A67" display="Checklist!A67" xr:uid="{92C54897-9886-4734-B029-E1F9CB1353EE}"/>
    <hyperlink ref="A79" location="Checklist!A70" display="Checklist!A70" xr:uid="{C68FCB75-3A6C-4FA1-85DD-B3022D624D3A}"/>
    <hyperlink ref="A80" location="Checklist!A75" display="Checklist!A75" xr:uid="{3185866F-B284-4929-B35E-36FD7184FA08}"/>
    <hyperlink ref="A81" location="Checklist!A80" display="Checklist!A80" xr:uid="{FF13AD26-170D-43C6-B79C-75CE69C76F9A}"/>
    <hyperlink ref="A82" location="Checklist!A86" display="Checklist!A86" xr:uid="{6E290A30-94AB-42F5-9FFE-46DD38BC2523}"/>
    <hyperlink ref="A83" location="Checklist!D97" tooltip="Go to Bottom of page." display="Bottom" xr:uid="{523878A5-3707-4077-B0C4-B9942F39570F}"/>
    <hyperlink ref="A84" location="Checklist!A7" display="Checklist!A7" xr:uid="{6FD24374-0D80-4FB4-94A1-FBCE0029CB2F}"/>
    <hyperlink ref="A85" location="Checklist!A13" display="Checklist!A13" xr:uid="{2312285E-AC98-4E84-9AD6-B91AEA4AB008}"/>
    <hyperlink ref="A86" location="Checklist!A17" display="Checklist!A17" xr:uid="{8AA6188D-2E07-47D7-B41D-6BB768F5034E}"/>
    <hyperlink ref="S94" location="Checklist!A7" display="Top" xr:uid="{00000000-0004-0000-0100-000005000000}"/>
  </hyperlink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J126"/>
  <sheetViews>
    <sheetView showGridLines="0" zoomScaleNormal="100" zoomScaleSheetLayoutView="96" workbookViewId="0">
      <pane xSplit="6" ySplit="7" topLeftCell="G8" activePane="bottomRight" state="frozen"/>
      <selection pane="topRight" activeCell="G2" sqref="G2"/>
      <selection pane="bottomLeft" activeCell="A8" sqref="A8"/>
      <selection pane="bottomRight" activeCell="O21" sqref="O21"/>
    </sheetView>
  </sheetViews>
  <sheetFormatPr defaultColWidth="0" defaultRowHeight="11.4"/>
  <cols>
    <col min="1" max="1" width="6.5546875" style="6" customWidth="1"/>
    <col min="2" max="2" width="22.77734375" style="6" customWidth="1"/>
    <col min="3" max="3" width="11" style="6" customWidth="1"/>
    <col min="4" max="4" width="12.5546875" style="6" customWidth="1"/>
    <col min="5" max="5" width="2.21875" style="285" customWidth="1"/>
    <col min="6" max="6" width="7.77734375" style="198" customWidth="1"/>
    <col min="7" max="7" width="10.5546875" style="143" customWidth="1"/>
    <col min="8" max="11" width="8.77734375" style="143" customWidth="1"/>
    <col min="12" max="14" width="8.77734375" style="198" customWidth="1"/>
    <col min="15" max="15" width="6.77734375" style="6" customWidth="1"/>
    <col min="16" max="16" width="6.77734375" style="198" customWidth="1"/>
    <col min="17" max="17" width="6.77734375" style="6" customWidth="1"/>
    <col min="18" max="18" width="6.77734375" style="219" customWidth="1"/>
    <col min="19" max="20" width="6.77734375" style="6" customWidth="1"/>
    <col min="21" max="25" width="6.77734375" style="115" customWidth="1"/>
    <col min="26" max="27" width="8.77734375" style="6" hidden="1" customWidth="1"/>
    <col min="28" max="16384" width="8.77734375" style="6" hidden="1"/>
  </cols>
  <sheetData>
    <row r="1" spans="1:30" s="207" customFormat="1" ht="14.25" customHeight="1" thickBot="1">
      <c r="A1" s="775" t="s">
        <v>541</v>
      </c>
      <c r="B1" s="775"/>
      <c r="C1" s="775"/>
      <c r="D1" s="775"/>
      <c r="E1" s="775"/>
      <c r="F1" s="775"/>
      <c r="G1" s="775"/>
      <c r="H1" s="775"/>
      <c r="I1" s="775"/>
      <c r="J1" s="775"/>
      <c r="K1" s="775"/>
      <c r="L1" s="774" t="s">
        <v>0</v>
      </c>
      <c r="M1" s="774"/>
      <c r="N1" s="774"/>
      <c r="P1" s="208"/>
      <c r="Q1" s="209"/>
      <c r="R1" s="210"/>
      <c r="U1" s="211"/>
      <c r="V1" s="211"/>
      <c r="W1" s="211"/>
      <c r="X1" s="211"/>
      <c r="Y1" s="211"/>
      <c r="Z1" s="212" t="s">
        <v>542</v>
      </c>
      <c r="AA1" s="207">
        <f>Checklist!U92</f>
        <v>0</v>
      </c>
      <c r="AD1" s="213" t="s">
        <v>543</v>
      </c>
    </row>
    <row r="2" spans="1:30" ht="13.5" customHeight="1">
      <c r="A2" s="434"/>
      <c r="B2" s="907" t="s">
        <v>4</v>
      </c>
      <c r="C2" s="908"/>
      <c r="D2" s="908"/>
      <c r="E2" s="908"/>
      <c r="F2" s="908"/>
      <c r="G2" s="549" t="s">
        <v>544</v>
      </c>
      <c r="H2" s="909" t="str">
        <f>IF('Supplier Profile &amp; Audit Plan'!$A$6="","",'Supplier Profile &amp; Audit Plan'!$A$6)</f>
        <v>Savannah Tank &amp; Equipment Corp.</v>
      </c>
      <c r="I2" s="910"/>
      <c r="J2" s="910"/>
      <c r="K2" s="910"/>
      <c r="L2" s="910"/>
      <c r="M2" s="910"/>
      <c r="N2" s="911"/>
      <c r="R2" s="214"/>
      <c r="S2" s="214"/>
      <c r="Z2" s="215"/>
      <c r="AD2" s="215"/>
    </row>
    <row r="3" spans="1:30" ht="13.5" customHeight="1">
      <c r="A3" s="434"/>
      <c r="B3" s="545"/>
      <c r="C3" s="912" t="s">
        <v>545</v>
      </c>
      <c r="D3" s="912"/>
      <c r="E3" s="101"/>
      <c r="G3" s="548" t="s">
        <v>546</v>
      </c>
      <c r="H3" s="914" t="str">
        <f>IF('Supplier Profile &amp; Audit Plan'!A49="","",'Supplier Profile &amp; Audit Plan'!A49)</f>
        <v>Sheet Metal &amp; Enclosure</v>
      </c>
      <c r="I3" s="915"/>
      <c r="J3" s="915"/>
      <c r="K3" s="915"/>
      <c r="L3" s="915"/>
      <c r="M3" s="915"/>
      <c r="N3" s="916"/>
      <c r="P3" s="216"/>
      <c r="Q3" s="214"/>
      <c r="R3" s="214"/>
      <c r="S3" s="214"/>
      <c r="Z3" s="215"/>
      <c r="AA3" s="217"/>
      <c r="AD3" s="215"/>
    </row>
    <row r="4" spans="1:30" ht="11.25" customHeight="1" thickBot="1">
      <c r="A4" s="434"/>
      <c r="B4" s="546"/>
      <c r="C4" s="913"/>
      <c r="D4" s="913"/>
      <c r="E4" s="547"/>
      <c r="F4" s="286"/>
      <c r="G4" s="920" t="str">
        <f>IF('Supplier Profile &amp; Audit Plan'!A46="","",'Supplier Profile &amp; Audit Plan'!A46)</f>
        <v/>
      </c>
      <c r="H4" s="921"/>
      <c r="I4" s="921"/>
      <c r="J4" s="921"/>
      <c r="K4" s="922"/>
      <c r="L4" s="917" t="s">
        <v>547</v>
      </c>
      <c r="M4" s="918"/>
      <c r="N4" s="919"/>
      <c r="P4" s="216"/>
      <c r="Q4" s="214"/>
      <c r="R4" s="214"/>
      <c r="S4" s="214"/>
      <c r="Z4" s="215"/>
      <c r="AA4" s="217"/>
      <c r="AD4" s="215"/>
    </row>
    <row r="5" spans="1:30" ht="22.5" customHeight="1">
      <c r="A5" s="905" t="s">
        <v>548</v>
      </c>
      <c r="B5" s="906"/>
      <c r="C5" s="903" t="str">
        <f>IF('Supplier Profile &amp; Audit Plan'!$A$45="","",'Supplier Profile &amp; Audit Plan'!$A$45)</f>
        <v>AMER</v>
      </c>
      <c r="D5" s="903"/>
      <c r="E5" s="903"/>
      <c r="F5" s="904"/>
      <c r="G5" s="887" t="s">
        <v>549</v>
      </c>
      <c r="H5" s="890" t="s">
        <v>284</v>
      </c>
      <c r="I5" s="893" t="s">
        <v>550</v>
      </c>
      <c r="J5" s="893" t="s">
        <v>551</v>
      </c>
      <c r="K5" s="900" t="s">
        <v>285</v>
      </c>
      <c r="L5" s="923" t="s">
        <v>549</v>
      </c>
      <c r="M5" s="926" t="s">
        <v>284</v>
      </c>
      <c r="N5" s="929" t="s">
        <v>285</v>
      </c>
      <c r="O5" s="218"/>
      <c r="Q5" s="218"/>
      <c r="Z5" s="215"/>
      <c r="AD5" s="215"/>
    </row>
    <row r="6" spans="1:30" s="224" customFormat="1" ht="12.75" customHeight="1">
      <c r="A6" s="881" t="s">
        <v>552</v>
      </c>
      <c r="B6" s="882"/>
      <c r="C6" s="885" t="s">
        <v>553</v>
      </c>
      <c r="D6" s="885" t="s">
        <v>554</v>
      </c>
      <c r="E6" s="896" t="s">
        <v>555</v>
      </c>
      <c r="F6" s="897"/>
      <c r="G6" s="888"/>
      <c r="H6" s="891"/>
      <c r="I6" s="894"/>
      <c r="J6" s="894"/>
      <c r="K6" s="901"/>
      <c r="L6" s="924"/>
      <c r="M6" s="927"/>
      <c r="N6" s="930"/>
      <c r="O6" s="7"/>
      <c r="P6" s="220"/>
      <c r="Q6" s="220"/>
      <c r="R6" s="219"/>
      <c r="S6" s="7"/>
      <c r="T6" s="7"/>
      <c r="U6" s="221"/>
      <c r="V6" s="221"/>
      <c r="W6" s="221"/>
      <c r="X6" s="221"/>
      <c r="Y6" s="221"/>
      <c r="Z6" s="222"/>
      <c r="AA6" s="223"/>
      <c r="AD6" s="225"/>
    </row>
    <row r="7" spans="1:30" s="223" customFormat="1" ht="12.75" customHeight="1" thickBot="1">
      <c r="A7" s="883"/>
      <c r="B7" s="884"/>
      <c r="C7" s="886"/>
      <c r="D7" s="886"/>
      <c r="E7" s="898"/>
      <c r="F7" s="899"/>
      <c r="G7" s="889"/>
      <c r="H7" s="892"/>
      <c r="I7" s="895"/>
      <c r="J7" s="895"/>
      <c r="K7" s="902"/>
      <c r="L7" s="925"/>
      <c r="M7" s="928"/>
      <c r="N7" s="931"/>
      <c r="O7" s="7"/>
      <c r="P7" s="220"/>
      <c r="Q7" s="220"/>
      <c r="R7" s="219"/>
      <c r="S7" s="7"/>
      <c r="T7" s="7"/>
      <c r="U7" s="221"/>
      <c r="V7" s="221"/>
      <c r="W7" s="221"/>
      <c r="X7" s="221"/>
      <c r="Y7" s="221"/>
      <c r="Z7" s="222"/>
      <c r="AA7" s="30" t="s">
        <v>556</v>
      </c>
      <c r="AB7" s="30" t="s">
        <v>557</v>
      </c>
      <c r="AC7" s="6"/>
      <c r="AD7" s="222"/>
    </row>
    <row r="8" spans="1:30" s="7" customFormat="1" ht="15" customHeight="1">
      <c r="A8" s="860">
        <v>1</v>
      </c>
      <c r="B8" s="862" t="s">
        <v>558</v>
      </c>
      <c r="C8" s="864">
        <v>6</v>
      </c>
      <c r="D8" s="864">
        <v>3</v>
      </c>
      <c r="E8" s="358" t="s">
        <v>559</v>
      </c>
      <c r="F8" s="356">
        <v>1.1000000000000001</v>
      </c>
      <c r="G8" s="357" t="str">
        <f>Checklist!X7</f>
        <v/>
      </c>
      <c r="H8" s="357" t="str">
        <f>Checklist!Y7</f>
        <v/>
      </c>
      <c r="I8" s="357" t="str">
        <f>Checklist!L7</f>
        <v/>
      </c>
      <c r="J8" s="357" t="str">
        <f>IF(H8="","",IF(Checklist!N7="","",Checklist!N7))</f>
        <v/>
      </c>
      <c r="K8" s="357" t="str">
        <f>Checklist!Z7</f>
        <v/>
      </c>
      <c r="L8" s="866" t="str">
        <f>IF(SUM(G8:G13)=0,"0",SUM(G8:G13)/($C8-(COUNTIF(G8:G13,"n/a"))))</f>
        <v>0</v>
      </c>
      <c r="M8" s="869" t="str">
        <f>IF(SUM(H8:H13)=0,"0",SUM(H8:H13)/($C8-(COUNTIF(H8:H13,"n/a"))))</f>
        <v>0</v>
      </c>
      <c r="N8" s="858" t="str">
        <f>IF(SUM(K8:K13)=0,"0",SUM(K8:K13)/($C8-(COUNTIF(K8:K13,"n/a"))))</f>
        <v>0</v>
      </c>
      <c r="P8" s="220"/>
      <c r="Q8" s="220"/>
      <c r="U8" s="226"/>
      <c r="V8" s="226"/>
      <c r="W8" s="226"/>
      <c r="X8" s="226"/>
      <c r="Y8" s="226"/>
      <c r="Z8" s="227"/>
      <c r="AA8" s="6" t="s">
        <v>560</v>
      </c>
      <c r="AB8" s="6" t="s">
        <v>561</v>
      </c>
      <c r="AC8" s="6"/>
      <c r="AD8" s="227"/>
    </row>
    <row r="9" spans="1:30" s="7" customFormat="1" ht="15" customHeight="1">
      <c r="A9" s="860"/>
      <c r="B9" s="862"/>
      <c r="C9" s="864"/>
      <c r="D9" s="864"/>
      <c r="E9" s="359" t="s">
        <v>559</v>
      </c>
      <c r="F9" s="229">
        <v>1.2</v>
      </c>
      <c r="G9" s="302" t="str">
        <f>Checklist!X8</f>
        <v/>
      </c>
      <c r="H9" s="302" t="str">
        <f>Checklist!Y8</f>
        <v/>
      </c>
      <c r="I9" s="357" t="str">
        <f>Checklist!L8</f>
        <v/>
      </c>
      <c r="J9" s="357" t="str">
        <f>IF(H9="","",IF(Checklist!N8="","",Checklist!N8))</f>
        <v/>
      </c>
      <c r="K9" s="357" t="str">
        <f>Checklist!Z8</f>
        <v/>
      </c>
      <c r="L9" s="866"/>
      <c r="M9" s="869"/>
      <c r="N9" s="858"/>
      <c r="U9" s="226"/>
      <c r="V9" s="226"/>
      <c r="W9" s="226"/>
      <c r="X9" s="226"/>
      <c r="Y9" s="226"/>
      <c r="Z9" s="227"/>
      <c r="AA9" s="6" t="s">
        <v>562</v>
      </c>
      <c r="AB9" s="6" t="s">
        <v>563</v>
      </c>
      <c r="AC9" s="6"/>
      <c r="AD9" s="227"/>
    </row>
    <row r="10" spans="1:30" s="7" customFormat="1" ht="15" customHeight="1">
      <c r="A10" s="860"/>
      <c r="B10" s="862"/>
      <c r="C10" s="864"/>
      <c r="D10" s="864"/>
      <c r="F10" s="229">
        <v>1.3</v>
      </c>
      <c r="G10" s="302" t="str">
        <f>Checklist!X9</f>
        <v/>
      </c>
      <c r="H10" s="302" t="str">
        <f>Checklist!Y9</f>
        <v/>
      </c>
      <c r="I10" s="357" t="str">
        <f>Checklist!L9</f>
        <v/>
      </c>
      <c r="J10" s="357" t="str">
        <f>IF(H10="","",IF(Checklist!N9="","",Checklist!N9))</f>
        <v/>
      </c>
      <c r="K10" s="357" t="str">
        <f>Checklist!Z9</f>
        <v/>
      </c>
      <c r="L10" s="866"/>
      <c r="M10" s="869"/>
      <c r="N10" s="858"/>
      <c r="U10" s="226"/>
      <c r="V10" s="226"/>
      <c r="W10" s="226"/>
      <c r="X10" s="226"/>
      <c r="Y10" s="226"/>
      <c r="Z10" s="227"/>
      <c r="AA10" s="6" t="s">
        <v>564</v>
      </c>
      <c r="AB10" s="6" t="s">
        <v>565</v>
      </c>
      <c r="AC10" s="6"/>
      <c r="AD10" s="227"/>
    </row>
    <row r="11" spans="1:30" s="7" customFormat="1" ht="15" customHeight="1">
      <c r="A11" s="860"/>
      <c r="B11" s="862"/>
      <c r="C11" s="864"/>
      <c r="D11" s="864"/>
      <c r="E11" s="361"/>
      <c r="F11" s="229">
        <v>1.4</v>
      </c>
      <c r="G11" s="302" t="str">
        <f>Checklist!X10</f>
        <v/>
      </c>
      <c r="H11" s="302" t="str">
        <f>Checklist!Y10</f>
        <v/>
      </c>
      <c r="I11" s="357" t="str">
        <f>Checklist!L10</f>
        <v/>
      </c>
      <c r="J11" s="357" t="str">
        <f>IF(H11="","",IF(Checklist!N10="","",Checklist!N10))</f>
        <v/>
      </c>
      <c r="K11" s="357" t="str">
        <f>Checklist!Z10</f>
        <v/>
      </c>
      <c r="L11" s="866"/>
      <c r="M11" s="869"/>
      <c r="N11" s="858"/>
      <c r="U11" s="226"/>
      <c r="V11" s="226"/>
      <c r="W11" s="226"/>
      <c r="X11" s="226"/>
      <c r="Y11" s="226"/>
      <c r="Z11" s="227"/>
      <c r="AC11" s="6"/>
      <c r="AD11" s="227"/>
    </row>
    <row r="12" spans="1:30" s="7" customFormat="1" ht="15" customHeight="1">
      <c r="A12" s="860"/>
      <c r="B12" s="862"/>
      <c r="C12" s="864"/>
      <c r="D12" s="864"/>
      <c r="E12" s="362" t="s">
        <v>559</v>
      </c>
      <c r="F12" s="360">
        <v>1.5</v>
      </c>
      <c r="G12" s="302" t="str">
        <f>Checklist!X11</f>
        <v/>
      </c>
      <c r="H12" s="302" t="str">
        <f>Checklist!Y11</f>
        <v/>
      </c>
      <c r="I12" s="357" t="str">
        <f>Checklist!L11</f>
        <v/>
      </c>
      <c r="J12" s="357" t="str">
        <f>IF(H12="","",IF(Checklist!N11="","",Checklist!N11))</f>
        <v/>
      </c>
      <c r="K12" s="357" t="str">
        <f>Checklist!Z11</f>
        <v/>
      </c>
      <c r="L12" s="866"/>
      <c r="M12" s="869"/>
      <c r="N12" s="858"/>
      <c r="U12" s="226"/>
      <c r="V12" s="226"/>
      <c r="W12" s="226"/>
      <c r="X12" s="226"/>
      <c r="Y12" s="226"/>
      <c r="Z12" s="227"/>
      <c r="AC12" s="6"/>
      <c r="AD12" s="227"/>
    </row>
    <row r="13" spans="1:30" s="7" customFormat="1" ht="15" customHeight="1">
      <c r="A13" s="878"/>
      <c r="B13" s="879"/>
      <c r="C13" s="880"/>
      <c r="D13" s="880"/>
      <c r="E13" s="230"/>
      <c r="F13" s="229">
        <v>1.6</v>
      </c>
      <c r="G13" s="302" t="str">
        <f>Checklist!X12</f>
        <v/>
      </c>
      <c r="H13" s="302" t="str">
        <f>Checklist!Y12</f>
        <v/>
      </c>
      <c r="I13" s="357" t="str">
        <f>Checklist!L12</f>
        <v/>
      </c>
      <c r="J13" s="357" t="str">
        <f>IF(H13="","",IF(Checklist!N12="","",Checklist!N12))</f>
        <v/>
      </c>
      <c r="K13" s="357" t="str">
        <f>Checklist!Z12</f>
        <v/>
      </c>
      <c r="L13" s="867"/>
      <c r="M13" s="870"/>
      <c r="N13" s="871"/>
      <c r="U13" s="226"/>
      <c r="V13" s="226"/>
      <c r="W13" s="226"/>
      <c r="X13" s="226"/>
      <c r="Y13" s="226"/>
      <c r="Z13" s="227"/>
      <c r="AA13" s="220">
        <v>3</v>
      </c>
      <c r="AB13" s="234" t="s">
        <v>566</v>
      </c>
      <c r="AD13" s="227"/>
    </row>
    <row r="14" spans="1:30" s="7" customFormat="1" ht="15" customHeight="1">
      <c r="A14" s="859">
        <v>2</v>
      </c>
      <c r="B14" s="861" t="s">
        <v>567</v>
      </c>
      <c r="C14" s="863">
        <v>4</v>
      </c>
      <c r="D14" s="863">
        <v>1</v>
      </c>
      <c r="E14" s="231"/>
      <c r="F14" s="232">
        <v>2.1</v>
      </c>
      <c r="G14" s="302" t="str">
        <f>Checklist!X13</f>
        <v/>
      </c>
      <c r="H14" s="302" t="str">
        <f>Checklist!Y13</f>
        <v/>
      </c>
      <c r="I14" s="357" t="str">
        <f>Checklist!L13</f>
        <v/>
      </c>
      <c r="J14" s="357" t="str">
        <f>IF(H14="","",IF(Checklist!N13="","",Checklist!N13))</f>
        <v/>
      </c>
      <c r="K14" s="357" t="str">
        <f>Checklist!Z13</f>
        <v/>
      </c>
      <c r="L14" s="865" t="str">
        <f>IF(SUM(G14:G17)=0,"0",SUM(G14:G17)/($C14-(COUNTIF(G14:G17,"n/a"))))</f>
        <v>0</v>
      </c>
      <c r="M14" s="868" t="str">
        <f>IF(SUM(H14:H17)=0,"0",SUM(H14:H17)/($C14-(COUNTIF(H14:H17,"n/a"))))</f>
        <v>0</v>
      </c>
      <c r="N14" s="857" t="str">
        <f>IF(SUM(K14:K17)=0,"0",SUM(K14:K17)/($C14-(COUNTIF(K14:K17,"n/a"))))</f>
        <v>0</v>
      </c>
      <c r="U14" s="226"/>
      <c r="V14" s="226"/>
      <c r="W14" s="226"/>
      <c r="X14" s="226"/>
      <c r="Y14" s="226"/>
      <c r="Z14" s="227"/>
      <c r="AA14" s="220">
        <v>4</v>
      </c>
      <c r="AB14" s="234" t="s">
        <v>568</v>
      </c>
      <c r="AD14" s="227"/>
    </row>
    <row r="15" spans="1:30" s="7" customFormat="1" ht="15" customHeight="1">
      <c r="A15" s="860"/>
      <c r="B15" s="862"/>
      <c r="C15" s="864"/>
      <c r="D15" s="864"/>
      <c r="E15" s="228"/>
      <c r="F15" s="229">
        <v>2.2000000000000002</v>
      </c>
      <c r="G15" s="302" t="str">
        <f>Checklist!X14</f>
        <v/>
      </c>
      <c r="H15" s="302" t="str">
        <f>Checklist!Y14</f>
        <v/>
      </c>
      <c r="I15" s="357" t="str">
        <f>Checklist!L14</f>
        <v/>
      </c>
      <c r="J15" s="357" t="str">
        <f>IF(H15="","",IF(Checklist!N14="","",Checklist!N14))</f>
        <v/>
      </c>
      <c r="K15" s="357" t="str">
        <f>Checklist!Z14</f>
        <v/>
      </c>
      <c r="L15" s="866"/>
      <c r="M15" s="869"/>
      <c r="N15" s="858"/>
      <c r="U15" s="226"/>
      <c r="V15" s="226"/>
      <c r="W15" s="226"/>
      <c r="X15" s="226"/>
      <c r="Y15" s="226"/>
      <c r="Z15" s="227"/>
      <c r="AA15" s="423">
        <v>5</v>
      </c>
      <c r="AB15" s="234" t="s">
        <v>569</v>
      </c>
      <c r="AD15" s="227"/>
    </row>
    <row r="16" spans="1:30" s="7" customFormat="1" ht="15" customHeight="1">
      <c r="A16" s="860"/>
      <c r="B16" s="862"/>
      <c r="C16" s="864"/>
      <c r="D16" s="864"/>
      <c r="E16" s="233" t="s">
        <v>559</v>
      </c>
      <c r="F16" s="229">
        <v>2.2999999999999998</v>
      </c>
      <c r="G16" s="302" t="str">
        <f>Checklist!X15</f>
        <v/>
      </c>
      <c r="H16" s="302" t="str">
        <f>Checklist!Y15</f>
        <v/>
      </c>
      <c r="I16" s="357" t="str">
        <f>Checklist!L15</f>
        <v/>
      </c>
      <c r="J16" s="357" t="str">
        <f>IF(H16="","",IF(Checklist!N15="","",Checklist!N15))</f>
        <v/>
      </c>
      <c r="K16" s="357" t="str">
        <f>Checklist!Z15</f>
        <v/>
      </c>
      <c r="L16" s="866"/>
      <c r="M16" s="869"/>
      <c r="N16" s="858"/>
      <c r="U16" s="226"/>
      <c r="V16" s="226"/>
      <c r="W16" s="226"/>
      <c r="X16" s="226"/>
      <c r="Y16" s="226"/>
      <c r="Z16" s="227"/>
      <c r="AA16" s="220">
        <v>6</v>
      </c>
      <c r="AB16" s="234" t="s">
        <v>570</v>
      </c>
      <c r="AD16" s="227"/>
    </row>
    <row r="17" spans="1:30" s="7" customFormat="1" ht="15" customHeight="1">
      <c r="A17" s="878"/>
      <c r="B17" s="879"/>
      <c r="C17" s="880"/>
      <c r="D17" s="880"/>
      <c r="E17" s="231"/>
      <c r="F17" s="229">
        <v>2.4</v>
      </c>
      <c r="G17" s="302" t="str">
        <f>Checklist!X16</f>
        <v/>
      </c>
      <c r="H17" s="302" t="str">
        <f>Checklist!Y16</f>
        <v/>
      </c>
      <c r="I17" s="357" t="str">
        <f>Checklist!L16</f>
        <v/>
      </c>
      <c r="J17" s="357" t="str">
        <f>IF(H17="","",IF(Checklist!N16="","",Checklist!N16))</f>
        <v/>
      </c>
      <c r="K17" s="357" t="str">
        <f>Checklist!Z16</f>
        <v/>
      </c>
      <c r="L17" s="867"/>
      <c r="M17" s="870"/>
      <c r="N17" s="871"/>
      <c r="P17" s="220"/>
      <c r="Q17" s="220"/>
      <c r="U17" s="226"/>
      <c r="V17" s="226"/>
      <c r="W17" s="226"/>
      <c r="X17" s="226"/>
      <c r="Y17" s="226"/>
      <c r="Z17" s="227"/>
      <c r="AA17" s="138">
        <v>15</v>
      </c>
      <c r="AB17" s="234" t="s">
        <v>571</v>
      </c>
      <c r="AD17" s="227"/>
    </row>
    <row r="18" spans="1:30" s="7" customFormat="1" ht="15" customHeight="1">
      <c r="A18" s="859">
        <v>3</v>
      </c>
      <c r="B18" s="861" t="s">
        <v>572</v>
      </c>
      <c r="C18" s="863">
        <v>3</v>
      </c>
      <c r="D18" s="863">
        <v>1</v>
      </c>
      <c r="E18" s="368" t="s">
        <v>559</v>
      </c>
      <c r="F18" s="229">
        <v>3.1</v>
      </c>
      <c r="G18" s="302" t="str">
        <f>Checklist!X17</f>
        <v/>
      </c>
      <c r="H18" s="302" t="str">
        <f>Checklist!Y17</f>
        <v/>
      </c>
      <c r="I18" s="357" t="str">
        <f>Checklist!L17</f>
        <v/>
      </c>
      <c r="J18" s="357" t="str">
        <f>IF(H18="","",IF(Checklist!N17="","",Checklist!N17))</f>
        <v/>
      </c>
      <c r="K18" s="357" t="str">
        <f>Checklist!Z17</f>
        <v/>
      </c>
      <c r="L18" s="865" t="str">
        <f>IF(SUM(G18:G20)=0,"0",SUM(G18:G20)/($C18-(COUNTIF(G18:G20,"n/a"))))</f>
        <v>0</v>
      </c>
      <c r="M18" s="868" t="str">
        <f>IF(SUM(H18:H20)=0,"0",SUM(H18:H20)/($C18-(COUNTIF(H18:H20,"n/a"))))</f>
        <v>0</v>
      </c>
      <c r="N18" s="857" t="str">
        <f>IF(SUM(K18:K20)=0,"0",SUM(K18:K20)/($C18-(COUNTIF(K18:K20,"n/a"))))</f>
        <v>0</v>
      </c>
      <c r="P18" s="220"/>
      <c r="Q18" s="220"/>
      <c r="U18" s="226"/>
      <c r="V18" s="226"/>
      <c r="W18" s="226"/>
      <c r="X18" s="226"/>
      <c r="Y18" s="226"/>
      <c r="Z18" s="227"/>
      <c r="AB18" s="424" t="s">
        <v>573</v>
      </c>
      <c r="AD18" s="227"/>
    </row>
    <row r="19" spans="1:30" s="7" customFormat="1" ht="15" customHeight="1">
      <c r="A19" s="860"/>
      <c r="B19" s="862"/>
      <c r="C19" s="864"/>
      <c r="D19" s="864"/>
      <c r="E19" s="228"/>
      <c r="F19" s="229">
        <v>3.2</v>
      </c>
      <c r="G19" s="302" t="str">
        <f>Checklist!X18</f>
        <v/>
      </c>
      <c r="H19" s="302" t="str">
        <f>Checklist!Y18</f>
        <v/>
      </c>
      <c r="I19" s="357" t="str">
        <f>Checklist!L18</f>
        <v/>
      </c>
      <c r="J19" s="357" t="str">
        <f>IF(H19="","",IF(Checklist!N18="","",Checklist!N18))</f>
        <v/>
      </c>
      <c r="K19" s="357" t="str">
        <f>Checklist!Z18</f>
        <v/>
      </c>
      <c r="L19" s="866"/>
      <c r="M19" s="869"/>
      <c r="N19" s="858"/>
      <c r="P19" s="220"/>
      <c r="Q19" s="220"/>
      <c r="U19" s="226"/>
      <c r="V19" s="226"/>
      <c r="W19" s="226"/>
      <c r="X19" s="226"/>
      <c r="Y19" s="226"/>
      <c r="Z19" s="227"/>
      <c r="AB19" s="425" t="s">
        <v>574</v>
      </c>
      <c r="AD19" s="227"/>
    </row>
    <row r="20" spans="1:30" s="7" customFormat="1" ht="15" customHeight="1">
      <c r="A20" s="878"/>
      <c r="B20" s="879"/>
      <c r="C20" s="880"/>
      <c r="D20" s="880"/>
      <c r="E20" s="230"/>
      <c r="F20" s="229">
        <v>3.3</v>
      </c>
      <c r="G20" s="302" t="str">
        <f>Checklist!X19</f>
        <v/>
      </c>
      <c r="H20" s="302" t="str">
        <f>Checklist!Y19</f>
        <v/>
      </c>
      <c r="I20" s="357" t="str">
        <f>Checklist!L19</f>
        <v/>
      </c>
      <c r="J20" s="357" t="str">
        <f>IF(H20="","",IF(Checklist!N19="","",Checklist!N19))</f>
        <v/>
      </c>
      <c r="K20" s="357" t="str">
        <f>Checklist!Z19</f>
        <v/>
      </c>
      <c r="L20" s="867"/>
      <c r="M20" s="870"/>
      <c r="N20" s="871"/>
      <c r="P20" s="220"/>
      <c r="Q20" s="220"/>
      <c r="U20" s="226"/>
      <c r="V20" s="226"/>
      <c r="W20" s="226"/>
      <c r="X20" s="226"/>
      <c r="Y20" s="226"/>
      <c r="Z20" s="227"/>
      <c r="AB20" s="7" t="s">
        <v>575</v>
      </c>
      <c r="AD20" s="227"/>
    </row>
    <row r="21" spans="1:30" s="7" customFormat="1" ht="15" customHeight="1">
      <c r="A21" s="859">
        <v>4</v>
      </c>
      <c r="B21" s="861" t="s">
        <v>576</v>
      </c>
      <c r="C21" s="863">
        <v>7</v>
      </c>
      <c r="D21" s="863">
        <v>3</v>
      </c>
      <c r="E21" s="236"/>
      <c r="F21" s="229">
        <v>4.0999999999999996</v>
      </c>
      <c r="G21" s="302" t="str">
        <f>Checklist!X20</f>
        <v/>
      </c>
      <c r="H21" s="302" t="str">
        <f>Checklist!Y20</f>
        <v/>
      </c>
      <c r="I21" s="357" t="str">
        <f>Checklist!L20</f>
        <v/>
      </c>
      <c r="J21" s="357" t="str">
        <f>IF(H21="","",IF(Checklist!N20="","",Checklist!N20))</f>
        <v/>
      </c>
      <c r="K21" s="357" t="str">
        <f>Checklist!Z20</f>
        <v/>
      </c>
      <c r="L21" s="865" t="str">
        <f>IF(SUM(G21:G27)=0,"0",SUM(G21:G27)/($C21-(COUNTIF(G21:G27,"n/a"))))</f>
        <v>0</v>
      </c>
      <c r="M21" s="868" t="str">
        <f>IF(SUM(H21:H27)=0,"0",SUM(H21:H27)/($C21-(COUNTIF(H21:H27,"n/a"))))</f>
        <v>0</v>
      </c>
      <c r="N21" s="857" t="str">
        <f>IF(SUM(K21:K27)=0,"0",SUM(K21:K27)/($C21-(COUNTIF(K21:K27,"n/a"))))</f>
        <v>0</v>
      </c>
      <c r="P21" s="220"/>
      <c r="Q21" s="220"/>
      <c r="U21" s="226"/>
      <c r="V21" s="226"/>
      <c r="W21" s="226"/>
      <c r="X21" s="226"/>
      <c r="Y21" s="226"/>
      <c r="Z21" s="227"/>
      <c r="AC21" s="234"/>
      <c r="AD21" s="227"/>
    </row>
    <row r="22" spans="1:30" s="7" customFormat="1" ht="15" customHeight="1">
      <c r="A22" s="860"/>
      <c r="B22" s="862"/>
      <c r="C22" s="864"/>
      <c r="D22" s="864"/>
      <c r="E22" s="236"/>
      <c r="F22" s="229">
        <v>4.2</v>
      </c>
      <c r="G22" s="302" t="str">
        <f>Checklist!X21</f>
        <v/>
      </c>
      <c r="H22" s="302" t="str">
        <f>Checklist!Y21</f>
        <v/>
      </c>
      <c r="I22" s="357" t="str">
        <f>Checklist!L21</f>
        <v/>
      </c>
      <c r="J22" s="357" t="str">
        <f>IF(H22="","",IF(Checklist!N21="","",Checklist!N21))</f>
        <v/>
      </c>
      <c r="K22" s="357" t="str">
        <f>Checklist!Z21</f>
        <v/>
      </c>
      <c r="L22" s="866"/>
      <c r="M22" s="869"/>
      <c r="N22" s="858"/>
      <c r="P22" s="220"/>
      <c r="Q22" s="220"/>
      <c r="U22" s="237"/>
      <c r="V22" s="237"/>
      <c r="W22" s="237"/>
      <c r="X22" s="237"/>
      <c r="Y22" s="237"/>
      <c r="Z22" s="227"/>
      <c r="AA22" s="238" t="s">
        <v>559</v>
      </c>
      <c r="AB22" s="239">
        <v>1.1000000000000001</v>
      </c>
      <c r="AC22" s="240" t="str">
        <f>H8</f>
        <v/>
      </c>
      <c r="AD22" s="227"/>
    </row>
    <row r="23" spans="1:30" s="7" customFormat="1" ht="15" customHeight="1">
      <c r="A23" s="860"/>
      <c r="B23" s="862"/>
      <c r="C23" s="864"/>
      <c r="D23" s="864"/>
      <c r="E23" s="236"/>
      <c r="F23" s="229">
        <v>4.3</v>
      </c>
      <c r="G23" s="302" t="str">
        <f>Checklist!X22</f>
        <v/>
      </c>
      <c r="H23" s="302" t="str">
        <f>Checklist!Y22</f>
        <v/>
      </c>
      <c r="I23" s="357" t="str">
        <f>Checklist!L22</f>
        <v/>
      </c>
      <c r="J23" s="357" t="str">
        <f>IF(H23="","",IF(Checklist!N22="","",Checklist!N22))</f>
        <v/>
      </c>
      <c r="K23" s="357" t="str">
        <f>Checklist!Z22</f>
        <v/>
      </c>
      <c r="L23" s="866"/>
      <c r="M23" s="869"/>
      <c r="N23" s="858"/>
      <c r="P23" s="220"/>
      <c r="Q23" s="220"/>
      <c r="U23" s="237"/>
      <c r="V23" s="237"/>
      <c r="W23" s="237"/>
      <c r="X23" s="237"/>
      <c r="Y23" s="237"/>
      <c r="Z23" s="227"/>
      <c r="AA23" s="238" t="s">
        <v>559</v>
      </c>
      <c r="AB23" s="239">
        <v>1.2</v>
      </c>
      <c r="AC23" s="240" t="str">
        <f>H9</f>
        <v/>
      </c>
      <c r="AD23" s="227"/>
    </row>
    <row r="24" spans="1:30" s="7" customFormat="1" ht="15" customHeight="1">
      <c r="A24" s="860"/>
      <c r="B24" s="862"/>
      <c r="C24" s="864"/>
      <c r="D24" s="864"/>
      <c r="E24" s="236"/>
      <c r="F24" s="229">
        <v>4.4000000000000004</v>
      </c>
      <c r="G24" s="302" t="str">
        <f>Checklist!X23</f>
        <v/>
      </c>
      <c r="H24" s="302" t="str">
        <f>Checklist!Y23</f>
        <v/>
      </c>
      <c r="I24" s="357" t="str">
        <f>Checklist!L23</f>
        <v/>
      </c>
      <c r="J24" s="357" t="str">
        <f>IF(H24="","",IF(Checklist!N23="","",Checklist!N23))</f>
        <v/>
      </c>
      <c r="K24" s="357" t="str">
        <f>Checklist!Z23</f>
        <v/>
      </c>
      <c r="L24" s="866"/>
      <c r="M24" s="869"/>
      <c r="N24" s="858"/>
      <c r="P24" s="220"/>
      <c r="Q24" s="220"/>
      <c r="U24" s="237"/>
      <c r="V24" s="237"/>
      <c r="W24" s="237"/>
      <c r="X24" s="237"/>
      <c r="Y24" s="237"/>
      <c r="Z24" s="227"/>
      <c r="AA24" s="238" t="s">
        <v>559</v>
      </c>
      <c r="AB24" s="239">
        <v>1.5</v>
      </c>
      <c r="AC24" s="240" t="str">
        <f>H12</f>
        <v/>
      </c>
      <c r="AD24" s="227"/>
    </row>
    <row r="25" spans="1:30" s="7" customFormat="1" ht="15" customHeight="1">
      <c r="A25" s="860"/>
      <c r="B25" s="862"/>
      <c r="C25" s="864"/>
      <c r="D25" s="864"/>
      <c r="E25" s="368" t="s">
        <v>559</v>
      </c>
      <c r="F25" s="229">
        <v>4.5</v>
      </c>
      <c r="G25" s="302" t="str">
        <f>Checklist!X24</f>
        <v/>
      </c>
      <c r="H25" s="302" t="str">
        <f>Checklist!Y24</f>
        <v/>
      </c>
      <c r="I25" s="357" t="str">
        <f>Checklist!L24</f>
        <v/>
      </c>
      <c r="J25" s="357" t="str">
        <f>IF(H25="","",IF(Checklist!N24="","",Checklist!N24))</f>
        <v/>
      </c>
      <c r="K25" s="357" t="str">
        <f>Checklist!Z24</f>
        <v/>
      </c>
      <c r="L25" s="866"/>
      <c r="M25" s="869"/>
      <c r="N25" s="858"/>
      <c r="P25" s="220"/>
      <c r="Q25" s="220"/>
      <c r="U25" s="237"/>
      <c r="V25" s="237"/>
      <c r="W25" s="237"/>
      <c r="X25" s="237"/>
      <c r="Y25" s="237"/>
      <c r="Z25" s="227"/>
      <c r="AA25" s="238" t="s">
        <v>559</v>
      </c>
      <c r="AB25" s="239">
        <v>2.2999999999999998</v>
      </c>
      <c r="AC25" s="240" t="str">
        <f>H16</f>
        <v/>
      </c>
      <c r="AD25" s="227"/>
    </row>
    <row r="26" spans="1:30" s="7" customFormat="1" ht="15" customHeight="1">
      <c r="A26" s="860"/>
      <c r="B26" s="862"/>
      <c r="C26" s="864"/>
      <c r="D26" s="864"/>
      <c r="E26" s="369" t="s">
        <v>559</v>
      </c>
      <c r="F26" s="229">
        <v>4.5999999999999996</v>
      </c>
      <c r="G26" s="302" t="str">
        <f>Checklist!X25</f>
        <v/>
      </c>
      <c r="H26" s="302" t="str">
        <f>Checklist!Y25</f>
        <v/>
      </c>
      <c r="I26" s="357" t="str">
        <f>Checklist!L25</f>
        <v/>
      </c>
      <c r="J26" s="357" t="str">
        <f>IF(H26="","",IF(Checklist!N25="","",Checklist!N25))</f>
        <v/>
      </c>
      <c r="K26" s="357" t="str">
        <f>Checklist!Z25</f>
        <v/>
      </c>
      <c r="L26" s="866"/>
      <c r="M26" s="869"/>
      <c r="N26" s="858"/>
      <c r="P26" s="220"/>
      <c r="Q26" s="220"/>
      <c r="U26" s="237"/>
      <c r="V26" s="237"/>
      <c r="W26" s="237"/>
      <c r="X26" s="237"/>
      <c r="Y26" s="237"/>
      <c r="Z26" s="227"/>
      <c r="AA26" s="238" t="s">
        <v>559</v>
      </c>
      <c r="AB26" s="239">
        <v>3.1</v>
      </c>
      <c r="AC26" s="240" t="str">
        <f>H18</f>
        <v/>
      </c>
      <c r="AD26" s="227"/>
    </row>
    <row r="27" spans="1:30" s="7" customFormat="1" ht="15" customHeight="1">
      <c r="A27" s="860"/>
      <c r="B27" s="862"/>
      <c r="C27" s="864"/>
      <c r="D27" s="864"/>
      <c r="E27" s="369" t="s">
        <v>559</v>
      </c>
      <c r="F27" s="229">
        <v>4.7</v>
      </c>
      <c r="G27" s="302" t="str">
        <f>Checklist!X26</f>
        <v/>
      </c>
      <c r="H27" s="302" t="str">
        <f>Checklist!Y26</f>
        <v/>
      </c>
      <c r="I27" s="357" t="str">
        <f>Checklist!L26</f>
        <v/>
      </c>
      <c r="J27" s="357" t="str">
        <f>IF(H27="","",IF(Checklist!N26="","",Checklist!N26))</f>
        <v/>
      </c>
      <c r="K27" s="357" t="str">
        <f>Checklist!Z26</f>
        <v/>
      </c>
      <c r="L27" s="866"/>
      <c r="M27" s="869"/>
      <c r="N27" s="858"/>
      <c r="P27" s="220"/>
      <c r="Q27" s="220"/>
      <c r="U27" s="237"/>
      <c r="V27" s="237"/>
      <c r="W27" s="237"/>
      <c r="X27" s="237"/>
      <c r="Y27" s="237"/>
      <c r="Z27" s="227"/>
      <c r="AA27" s="238" t="s">
        <v>559</v>
      </c>
      <c r="AB27" s="239">
        <v>4.5</v>
      </c>
      <c r="AC27" s="240" t="str">
        <f>H25</f>
        <v/>
      </c>
      <c r="AD27" s="227"/>
    </row>
    <row r="28" spans="1:30" s="7" customFormat="1" ht="15" customHeight="1">
      <c r="A28" s="859">
        <v>5</v>
      </c>
      <c r="B28" s="861" t="s">
        <v>577</v>
      </c>
      <c r="C28" s="863">
        <v>3</v>
      </c>
      <c r="D28" s="863">
        <v>0</v>
      </c>
      <c r="E28" s="236"/>
      <c r="F28" s="229">
        <v>5.0999999999999996</v>
      </c>
      <c r="G28" s="302" t="str">
        <f>Checklist!X27</f>
        <v/>
      </c>
      <c r="H28" s="302" t="str">
        <f>Checklist!Y27</f>
        <v/>
      </c>
      <c r="I28" s="357" t="str">
        <f>Checklist!L27</f>
        <v/>
      </c>
      <c r="J28" s="357" t="str">
        <f>IF(H28="","",IF(Checklist!N27="","",Checklist!N27))</f>
        <v/>
      </c>
      <c r="K28" s="357" t="str">
        <f>Checklist!Z27</f>
        <v/>
      </c>
      <c r="L28" s="865" t="str">
        <f>IF(SUM(G28:G30)=0,"0",SUM(G28:G30)/($C28-(COUNTIF(G28:G30,"n/a"))))</f>
        <v>0</v>
      </c>
      <c r="M28" s="868" t="str">
        <f>IF(SUM(H28:H30)=0,"0",SUM(H28:H30)/($C28-(COUNTIF(H28:H30,"n/a"))))</f>
        <v>0</v>
      </c>
      <c r="N28" s="857" t="str">
        <f>IF(SUM(K28:K30)=0,"0",SUM(K28:K30)/($C28-(COUNTIF(K28:K30,"n/a"))))</f>
        <v>0</v>
      </c>
      <c r="P28" s="220"/>
      <c r="Q28" s="220"/>
      <c r="U28" s="237"/>
      <c r="V28" s="237"/>
      <c r="W28" s="237"/>
      <c r="X28" s="237"/>
      <c r="Y28" s="237"/>
      <c r="Z28" s="227"/>
      <c r="AA28" s="238" t="s">
        <v>559</v>
      </c>
      <c r="AB28" s="239">
        <v>4.5999999999999996</v>
      </c>
      <c r="AC28" s="240" t="str">
        <f>H26</f>
        <v/>
      </c>
      <c r="AD28" s="227"/>
    </row>
    <row r="29" spans="1:30" s="7" customFormat="1" ht="15" customHeight="1">
      <c r="A29" s="860"/>
      <c r="B29" s="862"/>
      <c r="C29" s="864"/>
      <c r="D29" s="864"/>
      <c r="E29" s="236"/>
      <c r="F29" s="229">
        <v>5.2</v>
      </c>
      <c r="G29" s="302" t="str">
        <f>Checklist!X28</f>
        <v/>
      </c>
      <c r="H29" s="302" t="str">
        <f>Checklist!Y28</f>
        <v/>
      </c>
      <c r="I29" s="357" t="str">
        <f>Checklist!L28</f>
        <v/>
      </c>
      <c r="J29" s="357" t="str">
        <f>IF(H29="","",IF(Checklist!N28="","",Checklist!N28))</f>
        <v/>
      </c>
      <c r="K29" s="357" t="str">
        <f>Checklist!Z28</f>
        <v/>
      </c>
      <c r="L29" s="866"/>
      <c r="M29" s="869"/>
      <c r="N29" s="858"/>
      <c r="P29" s="220"/>
      <c r="Q29" s="220"/>
      <c r="U29" s="237"/>
      <c r="V29" s="237"/>
      <c r="W29" s="237"/>
      <c r="X29" s="237"/>
      <c r="Y29" s="237"/>
      <c r="Z29" s="227"/>
      <c r="AA29" s="238" t="s">
        <v>559</v>
      </c>
      <c r="AB29" s="239">
        <v>4.7</v>
      </c>
      <c r="AC29" s="240" t="str">
        <f>H27</f>
        <v/>
      </c>
      <c r="AD29" s="227"/>
    </row>
    <row r="30" spans="1:30" s="7" customFormat="1" ht="15" customHeight="1">
      <c r="A30" s="860"/>
      <c r="B30" s="862"/>
      <c r="C30" s="864"/>
      <c r="D30" s="864"/>
      <c r="E30" s="236"/>
      <c r="F30" s="229">
        <v>5.3</v>
      </c>
      <c r="G30" s="302" t="str">
        <f>Checklist!X29</f>
        <v/>
      </c>
      <c r="H30" s="302" t="str">
        <f>Checklist!Y29</f>
        <v/>
      </c>
      <c r="I30" s="357" t="str">
        <f>Checklist!L29</f>
        <v/>
      </c>
      <c r="J30" s="357" t="str">
        <f>IF(H30="","",IF(Checklist!N29="","",Checklist!N29))</f>
        <v/>
      </c>
      <c r="K30" s="357" t="str">
        <f>Checklist!Z29</f>
        <v/>
      </c>
      <c r="L30" s="866"/>
      <c r="M30" s="869"/>
      <c r="N30" s="858"/>
      <c r="P30" s="220"/>
      <c r="Q30" s="220"/>
      <c r="U30" s="237"/>
      <c r="V30" s="237"/>
      <c r="W30" s="237"/>
      <c r="X30" s="237"/>
      <c r="Y30" s="237"/>
      <c r="Z30" s="227"/>
      <c r="AA30" s="238" t="s">
        <v>559</v>
      </c>
      <c r="AB30" s="239">
        <v>6.2</v>
      </c>
      <c r="AC30" s="240" t="str">
        <f>H32</f>
        <v/>
      </c>
      <c r="AD30" s="227"/>
    </row>
    <row r="31" spans="1:30" s="7" customFormat="1" ht="15" customHeight="1">
      <c r="A31" s="859">
        <v>6</v>
      </c>
      <c r="B31" s="861" t="s">
        <v>578</v>
      </c>
      <c r="C31" s="863">
        <v>5</v>
      </c>
      <c r="D31" s="863">
        <v>3</v>
      </c>
      <c r="E31" s="241"/>
      <c r="F31" s="229">
        <v>6.1</v>
      </c>
      <c r="G31" s="302" t="str">
        <f>Checklist!X30</f>
        <v/>
      </c>
      <c r="H31" s="302" t="str">
        <f>Checklist!Y30</f>
        <v/>
      </c>
      <c r="I31" s="357" t="str">
        <f>Checklist!L30</f>
        <v/>
      </c>
      <c r="J31" s="357" t="str">
        <f>IF(H31="","",IF(Checklist!N30="","",Checklist!N30))</f>
        <v/>
      </c>
      <c r="K31" s="357" t="str">
        <f>Checklist!Z30</f>
        <v/>
      </c>
      <c r="L31" s="865" t="str">
        <f>IF(SUM(G31:G35)=0,"0",SUM(G31:G35)/($C31-(COUNTIF(G31:G35,"n/a"))))</f>
        <v>0</v>
      </c>
      <c r="M31" s="868" t="str">
        <f>IF(SUM(H31:H35)=0,"0",SUM(H31:H35)/($C31-(COUNTIF(H31:H35,"n/a"))))</f>
        <v>0</v>
      </c>
      <c r="N31" s="857" t="str">
        <f>IF(SUM(K31:K35)=0,"0",SUM(K31:K35)/($C31-(COUNTIF(K31:K35,"n/a"))))</f>
        <v>0</v>
      </c>
      <c r="P31" s="220"/>
      <c r="Q31" s="220"/>
      <c r="U31" s="242"/>
      <c r="V31" s="242"/>
      <c r="W31" s="242"/>
      <c r="X31" s="242"/>
      <c r="Y31" s="242"/>
      <c r="Z31" s="227"/>
      <c r="AA31" s="238" t="s">
        <v>559</v>
      </c>
      <c r="AB31" s="239">
        <v>6.3</v>
      </c>
      <c r="AC31" s="240" t="str">
        <f>H33</f>
        <v/>
      </c>
      <c r="AD31" s="227"/>
    </row>
    <row r="32" spans="1:30" s="7" customFormat="1" ht="15" customHeight="1">
      <c r="A32" s="860"/>
      <c r="B32" s="862"/>
      <c r="C32" s="864"/>
      <c r="D32" s="864"/>
      <c r="E32" s="368" t="s">
        <v>559</v>
      </c>
      <c r="F32" s="229">
        <v>6.2</v>
      </c>
      <c r="G32" s="302" t="str">
        <f>Checklist!X31</f>
        <v/>
      </c>
      <c r="H32" s="302" t="str">
        <f>Checklist!Y31</f>
        <v/>
      </c>
      <c r="I32" s="357" t="str">
        <f>Checklist!L31</f>
        <v/>
      </c>
      <c r="J32" s="357" t="str">
        <f>IF(H32="","",IF(Checklist!N31="","",Checklist!N31))</f>
        <v/>
      </c>
      <c r="K32" s="357" t="str">
        <f>Checklist!Z31</f>
        <v/>
      </c>
      <c r="L32" s="866"/>
      <c r="M32" s="869"/>
      <c r="N32" s="858"/>
      <c r="P32" s="220"/>
      <c r="Q32" s="220"/>
      <c r="U32" s="242"/>
      <c r="V32" s="242"/>
      <c r="W32" s="242"/>
      <c r="X32" s="242"/>
      <c r="Y32" s="242"/>
      <c r="Z32" s="227"/>
      <c r="AA32" s="238" t="s">
        <v>559</v>
      </c>
      <c r="AB32" s="239">
        <v>6.4</v>
      </c>
      <c r="AC32" s="240" t="str">
        <f>H34</f>
        <v/>
      </c>
      <c r="AD32" s="227"/>
    </row>
    <row r="33" spans="1:30" s="7" customFormat="1" ht="15" customHeight="1">
      <c r="A33" s="860"/>
      <c r="B33" s="862"/>
      <c r="C33" s="864"/>
      <c r="D33" s="864"/>
      <c r="E33" s="369" t="s">
        <v>559</v>
      </c>
      <c r="F33" s="229">
        <v>6.3</v>
      </c>
      <c r="G33" s="302" t="str">
        <f>Checklist!X32</f>
        <v/>
      </c>
      <c r="H33" s="302" t="str">
        <f>Checklist!Y32</f>
        <v/>
      </c>
      <c r="I33" s="357" t="str">
        <f>Checklist!L32</f>
        <v/>
      </c>
      <c r="J33" s="357" t="str">
        <f>IF(H33="","",IF(Checklist!N32="","",Checklist!N32))</f>
        <v/>
      </c>
      <c r="K33" s="357" t="str">
        <f>Checklist!Z32</f>
        <v/>
      </c>
      <c r="L33" s="866"/>
      <c r="M33" s="869"/>
      <c r="N33" s="858"/>
      <c r="P33" s="220"/>
      <c r="Q33" s="220"/>
      <c r="R33" s="219"/>
      <c r="U33" s="242"/>
      <c r="V33" s="242"/>
      <c r="W33" s="242"/>
      <c r="X33" s="242"/>
      <c r="Y33" s="242"/>
      <c r="Z33" s="227"/>
      <c r="AA33" s="238" t="s">
        <v>559</v>
      </c>
      <c r="AB33" s="239">
        <v>7.1</v>
      </c>
      <c r="AC33" s="240" t="str">
        <f>H36</f>
        <v/>
      </c>
      <c r="AD33" s="227"/>
    </row>
    <row r="34" spans="1:30" s="7" customFormat="1" ht="15" customHeight="1">
      <c r="A34" s="860"/>
      <c r="B34" s="862"/>
      <c r="C34" s="864"/>
      <c r="D34" s="864"/>
      <c r="E34" s="369" t="s">
        <v>559</v>
      </c>
      <c r="F34" s="229">
        <v>6.4</v>
      </c>
      <c r="G34" s="302" t="str">
        <f>Checklist!X33</f>
        <v/>
      </c>
      <c r="H34" s="302" t="str">
        <f>Checklist!Y33</f>
        <v/>
      </c>
      <c r="I34" s="357" t="str">
        <f>Checklist!L33</f>
        <v/>
      </c>
      <c r="J34" s="357" t="str">
        <f>IF(H34="","",IF(Checklist!N33="","",Checklist!N33))</f>
        <v/>
      </c>
      <c r="K34" s="357" t="str">
        <f>Checklist!Z33</f>
        <v/>
      </c>
      <c r="L34" s="866"/>
      <c r="M34" s="869"/>
      <c r="N34" s="858"/>
      <c r="P34" s="220"/>
      <c r="Q34" s="220"/>
      <c r="R34" s="219"/>
      <c r="U34" s="6"/>
      <c r="V34" s="6"/>
      <c r="W34" s="6"/>
      <c r="X34" s="6"/>
      <c r="Y34" s="6"/>
      <c r="Z34" s="227"/>
      <c r="AA34" s="238" t="s">
        <v>559</v>
      </c>
      <c r="AB34" s="239">
        <v>7.2</v>
      </c>
      <c r="AC34" s="240" t="str">
        <f>H37</f>
        <v/>
      </c>
      <c r="AD34" s="227"/>
    </row>
    <row r="35" spans="1:30" s="7" customFormat="1" ht="15" customHeight="1">
      <c r="A35" s="878"/>
      <c r="B35" s="879"/>
      <c r="C35" s="880"/>
      <c r="D35" s="880"/>
      <c r="E35" s="243"/>
      <c r="F35" s="229">
        <v>6.5</v>
      </c>
      <c r="G35" s="302" t="str">
        <f>Checklist!X34</f>
        <v/>
      </c>
      <c r="H35" s="302" t="str">
        <f>Checklist!Y34</f>
        <v/>
      </c>
      <c r="I35" s="357" t="str">
        <f>Checklist!L34</f>
        <v/>
      </c>
      <c r="J35" s="357" t="str">
        <f>IF(H35="","",IF(Checklist!N34="","",Checklist!N34))</f>
        <v/>
      </c>
      <c r="K35" s="357" t="str">
        <f>Checklist!Z34</f>
        <v/>
      </c>
      <c r="L35" s="867"/>
      <c r="M35" s="870"/>
      <c r="N35" s="871"/>
      <c r="P35" s="220"/>
      <c r="Q35" s="220"/>
      <c r="R35" s="219"/>
      <c r="U35" s="6"/>
      <c r="V35" s="6"/>
      <c r="W35" s="6"/>
      <c r="X35" s="6"/>
      <c r="Y35" s="6"/>
      <c r="Z35" s="227"/>
      <c r="AA35" s="238" t="s">
        <v>559</v>
      </c>
      <c r="AB35" s="239">
        <v>7.3</v>
      </c>
      <c r="AC35" s="240" t="str">
        <f>H38</f>
        <v/>
      </c>
      <c r="AD35" s="227"/>
    </row>
    <row r="36" spans="1:30" s="7" customFormat="1" ht="15" customHeight="1">
      <c r="A36" s="859">
        <v>7</v>
      </c>
      <c r="B36" s="861" t="s">
        <v>579</v>
      </c>
      <c r="C36" s="863">
        <v>3</v>
      </c>
      <c r="D36" s="863">
        <v>3</v>
      </c>
      <c r="E36" s="370" t="s">
        <v>559</v>
      </c>
      <c r="F36" s="229">
        <v>7.1</v>
      </c>
      <c r="G36" s="302" t="str">
        <f>Checklist!X35</f>
        <v/>
      </c>
      <c r="H36" s="302" t="str">
        <f>Checklist!Y35</f>
        <v/>
      </c>
      <c r="I36" s="357" t="str">
        <f>Checklist!L35</f>
        <v/>
      </c>
      <c r="J36" s="357" t="str">
        <f>IF(H36="","",IF(Checklist!N35="","",Checklist!N35))</f>
        <v/>
      </c>
      <c r="K36" s="357" t="str">
        <f>Checklist!Z35</f>
        <v/>
      </c>
      <c r="L36" s="865" t="str">
        <f>IF(SUM(G36:G38)=0,"0",SUM(G36:G38)/($C36-(COUNTIF(G36:G38,"n/a"))))</f>
        <v>0</v>
      </c>
      <c r="M36" s="868" t="str">
        <f>IF(SUM(H36:H38)=0,"0",SUM(H36:H38)/($C36-(COUNTIF(H36:H38,"n/a"))))</f>
        <v>0</v>
      </c>
      <c r="N36" s="857" t="str">
        <f>IF(SUM(K36:K38)=0,"0",SUM(K36:K38)/($C36-(COUNTIF(K36:K38,"n/a"))))</f>
        <v>0</v>
      </c>
      <c r="P36" s="220"/>
      <c r="Q36" s="220"/>
      <c r="R36" s="219"/>
      <c r="S36" s="6"/>
      <c r="U36" s="6"/>
      <c r="V36" s="6"/>
      <c r="W36" s="6"/>
      <c r="X36" s="6"/>
      <c r="Y36" s="6"/>
      <c r="Z36" s="227"/>
      <c r="AA36" s="238" t="s">
        <v>559</v>
      </c>
      <c r="AB36" s="239">
        <v>8.1999999999999993</v>
      </c>
      <c r="AC36" s="240" t="str">
        <f>H40</f>
        <v/>
      </c>
      <c r="AD36" s="227"/>
    </row>
    <row r="37" spans="1:30" s="7" customFormat="1" ht="15" customHeight="1">
      <c r="A37" s="860"/>
      <c r="B37" s="862"/>
      <c r="C37" s="864"/>
      <c r="D37" s="864"/>
      <c r="E37" s="369" t="s">
        <v>559</v>
      </c>
      <c r="F37" s="229">
        <v>7.2</v>
      </c>
      <c r="G37" s="302" t="str">
        <f>Checklist!X36</f>
        <v/>
      </c>
      <c r="H37" s="302" t="str">
        <f>Checklist!Y36</f>
        <v/>
      </c>
      <c r="I37" s="357" t="str">
        <f>Checklist!L36</f>
        <v/>
      </c>
      <c r="J37" s="357" t="str">
        <f>IF(H37="","",IF(Checklist!N36="","",Checklist!N36))</f>
        <v/>
      </c>
      <c r="K37" s="357" t="str">
        <f>Checklist!Z36</f>
        <v/>
      </c>
      <c r="L37" s="866"/>
      <c r="M37" s="869"/>
      <c r="N37" s="858"/>
      <c r="P37" s="220"/>
      <c r="Q37" s="220"/>
      <c r="R37" s="219"/>
      <c r="S37" s="6"/>
      <c r="U37" s="6"/>
      <c r="V37" s="6"/>
      <c r="W37" s="6"/>
      <c r="X37" s="6"/>
      <c r="Y37" s="6"/>
      <c r="Z37" s="227"/>
      <c r="AA37" s="238" t="s">
        <v>559</v>
      </c>
      <c r="AB37" s="239">
        <v>8.4</v>
      </c>
      <c r="AC37" s="240" t="str">
        <f>H42</f>
        <v/>
      </c>
      <c r="AD37" s="227"/>
    </row>
    <row r="38" spans="1:30" s="7" customFormat="1" ht="15" customHeight="1">
      <c r="A38" s="878"/>
      <c r="B38" s="879"/>
      <c r="C38" s="880"/>
      <c r="D38" s="880"/>
      <c r="E38" s="235" t="s">
        <v>559</v>
      </c>
      <c r="F38" s="229">
        <v>7.3</v>
      </c>
      <c r="G38" s="302" t="str">
        <f>Checklist!X37</f>
        <v/>
      </c>
      <c r="H38" s="302" t="str">
        <f>Checklist!Y37</f>
        <v/>
      </c>
      <c r="I38" s="357" t="str">
        <f>Checklist!L37</f>
        <v/>
      </c>
      <c r="J38" s="357" t="str">
        <f>IF(H38="","",IF(Checklist!N37="","",Checklist!N37))</f>
        <v/>
      </c>
      <c r="K38" s="357" t="str">
        <f>Checklist!Z37</f>
        <v/>
      </c>
      <c r="L38" s="867"/>
      <c r="M38" s="870"/>
      <c r="N38" s="871"/>
      <c r="P38" s="220"/>
      <c r="Q38" s="220"/>
      <c r="R38" s="219"/>
      <c r="S38" s="6"/>
      <c r="U38" s="6"/>
      <c r="V38" s="6"/>
      <c r="W38" s="6"/>
      <c r="X38" s="6"/>
      <c r="Y38" s="6"/>
      <c r="Z38" s="227"/>
      <c r="AA38" s="238" t="s">
        <v>559</v>
      </c>
      <c r="AB38" s="239">
        <v>8.5</v>
      </c>
      <c r="AC38" s="240" t="str">
        <f>H43</f>
        <v/>
      </c>
      <c r="AD38" s="227"/>
    </row>
    <row r="39" spans="1:30" s="7" customFormat="1" ht="15" customHeight="1">
      <c r="A39" s="859">
        <v>8</v>
      </c>
      <c r="B39" s="861" t="s">
        <v>580</v>
      </c>
      <c r="C39" s="863">
        <v>9</v>
      </c>
      <c r="D39" s="863">
        <v>3</v>
      </c>
      <c r="E39" s="236"/>
      <c r="F39" s="229">
        <v>8.1</v>
      </c>
      <c r="G39" s="302" t="str">
        <f>Checklist!X38</f>
        <v/>
      </c>
      <c r="H39" s="302" t="str">
        <f>Checklist!Y38</f>
        <v/>
      </c>
      <c r="I39" s="357" t="str">
        <f>Checklist!L38</f>
        <v/>
      </c>
      <c r="J39" s="357" t="str">
        <f>IF(H39="","",IF(Checklist!N38="","",Checklist!N38))</f>
        <v/>
      </c>
      <c r="K39" s="357" t="str">
        <f>Checklist!Z38</f>
        <v/>
      </c>
      <c r="L39" s="865" t="str">
        <f>IF(SUM(G39:G47)=0,"0",SUM(G39:G47)/($C39-(COUNTIF(G39:G47,"n/a"))))</f>
        <v>0</v>
      </c>
      <c r="M39" s="868" t="str">
        <f>IF(SUM(H39:H47)=0,"0",SUM(H39:H47)/($C39-(COUNTIF(H39:H47,"n/a"))))</f>
        <v>0</v>
      </c>
      <c r="N39" s="857" t="str">
        <f>+IF(SUM(K39:K47)=0,"0",SUM(K39:K47)/($C39-(COUNTIF(K39:K47,"n/a"))))</f>
        <v>0</v>
      </c>
      <c r="P39" s="220"/>
      <c r="Q39" s="220"/>
      <c r="R39" s="219"/>
      <c r="S39" s="6"/>
      <c r="U39" s="6"/>
      <c r="V39" s="6"/>
      <c r="W39" s="6"/>
      <c r="X39" s="6"/>
      <c r="Y39" s="6"/>
      <c r="Z39" s="227"/>
      <c r="AA39" s="238" t="s">
        <v>559</v>
      </c>
      <c r="AB39" s="239">
        <v>9.1</v>
      </c>
      <c r="AC39" s="240" t="str">
        <f>H48</f>
        <v/>
      </c>
      <c r="AD39" s="227"/>
    </row>
    <row r="40" spans="1:30" s="7" customFormat="1" ht="15" customHeight="1">
      <c r="A40" s="860"/>
      <c r="B40" s="862"/>
      <c r="C40" s="864"/>
      <c r="D40" s="864"/>
      <c r="E40" s="368" t="s">
        <v>559</v>
      </c>
      <c r="F40" s="229">
        <v>8.1999999999999993</v>
      </c>
      <c r="G40" s="302" t="str">
        <f>Checklist!X39</f>
        <v/>
      </c>
      <c r="H40" s="302" t="str">
        <f>Checklist!Y39</f>
        <v/>
      </c>
      <c r="I40" s="357" t="str">
        <f>Checklist!L39</f>
        <v/>
      </c>
      <c r="J40" s="357" t="str">
        <f>IF(H40="","",IF(Checklist!N39="","",Checklist!N39))</f>
        <v/>
      </c>
      <c r="K40" s="357" t="str">
        <f>Checklist!Z39</f>
        <v/>
      </c>
      <c r="L40" s="866"/>
      <c r="M40" s="869"/>
      <c r="N40" s="858"/>
      <c r="P40" s="220"/>
      <c r="Q40" s="220"/>
      <c r="R40" s="219"/>
      <c r="S40" s="6"/>
      <c r="U40" s="6"/>
      <c r="V40" s="6"/>
      <c r="W40" s="6"/>
      <c r="X40" s="6"/>
      <c r="Y40" s="6"/>
      <c r="Z40" s="227"/>
      <c r="AA40" s="238" t="s">
        <v>559</v>
      </c>
      <c r="AB40" s="239">
        <v>9.4</v>
      </c>
      <c r="AC40" s="240" t="str">
        <f>H51</f>
        <v/>
      </c>
      <c r="AD40" s="227"/>
    </row>
    <row r="41" spans="1:30" s="7" customFormat="1" ht="15" customHeight="1">
      <c r="A41" s="860"/>
      <c r="B41" s="862"/>
      <c r="C41" s="864"/>
      <c r="D41" s="864"/>
      <c r="E41" s="236"/>
      <c r="F41" s="229">
        <v>8.3000000000000007</v>
      </c>
      <c r="G41" s="302" t="str">
        <f>Checklist!X40</f>
        <v/>
      </c>
      <c r="H41" s="302" t="str">
        <f>Checklist!Y40</f>
        <v/>
      </c>
      <c r="I41" s="357" t="str">
        <f>Checklist!L40</f>
        <v/>
      </c>
      <c r="J41" s="357" t="str">
        <f>IF(H41="","",IF(Checklist!N40="","",Checklist!N40))</f>
        <v/>
      </c>
      <c r="K41" s="357" t="str">
        <f>Checklist!Z40</f>
        <v/>
      </c>
      <c r="L41" s="866"/>
      <c r="M41" s="869"/>
      <c r="N41" s="858"/>
      <c r="P41" s="220"/>
      <c r="Q41" s="220"/>
      <c r="R41" s="219"/>
      <c r="S41" s="6"/>
      <c r="U41" s="6"/>
      <c r="V41" s="6"/>
      <c r="W41" s="6"/>
      <c r="X41" s="6"/>
      <c r="Y41" s="6"/>
      <c r="Z41" s="227"/>
      <c r="AA41" s="238" t="s">
        <v>559</v>
      </c>
      <c r="AB41" s="239">
        <v>10.199999999999999</v>
      </c>
      <c r="AC41" s="240" t="str">
        <f>H53</f>
        <v/>
      </c>
      <c r="AD41" s="227"/>
    </row>
    <row r="42" spans="1:30" s="7" customFormat="1" ht="15" customHeight="1">
      <c r="A42" s="860"/>
      <c r="B42" s="862"/>
      <c r="C42" s="864"/>
      <c r="D42" s="864"/>
      <c r="E42" s="368" t="s">
        <v>559</v>
      </c>
      <c r="F42" s="229">
        <v>8.4</v>
      </c>
      <c r="G42" s="302" t="str">
        <f>Checklist!X41</f>
        <v/>
      </c>
      <c r="H42" s="302" t="str">
        <f>Checklist!Y41</f>
        <v/>
      </c>
      <c r="I42" s="357" t="str">
        <f>Checklist!L41</f>
        <v/>
      </c>
      <c r="J42" s="357" t="str">
        <f>IF(H42="","",IF(Checklist!N41="","",Checklist!N41))</f>
        <v/>
      </c>
      <c r="K42" s="357" t="str">
        <f>Checklist!Z41</f>
        <v/>
      </c>
      <c r="L42" s="866"/>
      <c r="M42" s="869"/>
      <c r="N42" s="858"/>
      <c r="P42" s="220"/>
      <c r="Q42" s="220"/>
      <c r="R42" s="219"/>
      <c r="S42" s="6"/>
      <c r="U42" s="6"/>
      <c r="V42" s="6"/>
      <c r="W42" s="6"/>
      <c r="X42" s="6"/>
      <c r="Y42" s="6"/>
      <c r="Z42" s="227"/>
      <c r="AA42" s="238" t="s">
        <v>559</v>
      </c>
      <c r="AB42" s="239">
        <v>11.3</v>
      </c>
      <c r="AC42" s="240" t="str">
        <f>H58</f>
        <v/>
      </c>
      <c r="AD42" s="227"/>
    </row>
    <row r="43" spans="1:30" s="7" customFormat="1" ht="15" customHeight="1">
      <c r="A43" s="860"/>
      <c r="B43" s="862"/>
      <c r="C43" s="864"/>
      <c r="D43" s="864"/>
      <c r="E43" s="369" t="s">
        <v>559</v>
      </c>
      <c r="F43" s="229">
        <v>8.5</v>
      </c>
      <c r="G43" s="302" t="str">
        <f>Checklist!X42</f>
        <v/>
      </c>
      <c r="H43" s="302" t="str">
        <f>Checklist!Y42</f>
        <v/>
      </c>
      <c r="I43" s="357" t="str">
        <f>Checklist!L42</f>
        <v/>
      </c>
      <c r="J43" s="357" t="str">
        <f>IF(H43="","",IF(Checklist!N42="","",Checklist!N42))</f>
        <v/>
      </c>
      <c r="K43" s="357" t="str">
        <f>Checklist!Z42</f>
        <v/>
      </c>
      <c r="L43" s="866"/>
      <c r="M43" s="869"/>
      <c r="N43" s="858"/>
      <c r="P43" s="220"/>
      <c r="Q43" s="220"/>
      <c r="S43" s="6"/>
      <c r="U43" s="6"/>
      <c r="V43" s="6"/>
      <c r="W43" s="6"/>
      <c r="X43" s="6"/>
      <c r="Y43" s="6"/>
      <c r="Z43" s="227"/>
      <c r="AA43" s="238" t="s">
        <v>559</v>
      </c>
      <c r="AB43" s="239">
        <v>12.3</v>
      </c>
      <c r="AC43" s="240" t="str">
        <f>H61</f>
        <v/>
      </c>
      <c r="AD43" s="227"/>
    </row>
    <row r="44" spans="1:30" s="7" customFormat="1" ht="15" customHeight="1">
      <c r="A44" s="860"/>
      <c r="B44" s="862"/>
      <c r="C44" s="864"/>
      <c r="D44" s="864"/>
      <c r="E44" s="236"/>
      <c r="F44" s="229">
        <v>8.6</v>
      </c>
      <c r="G44" s="302" t="str">
        <f>Checklist!X43</f>
        <v/>
      </c>
      <c r="H44" s="302" t="str">
        <f>Checklist!Y43</f>
        <v/>
      </c>
      <c r="I44" s="357" t="str">
        <f>Checklist!L43</f>
        <v/>
      </c>
      <c r="J44" s="357" t="str">
        <f>IF(H44="","",IF(Checklist!N43="","",Checklist!N43))</f>
        <v/>
      </c>
      <c r="K44" s="357" t="str">
        <f>Checklist!Z43</f>
        <v/>
      </c>
      <c r="L44" s="866"/>
      <c r="M44" s="869"/>
      <c r="N44" s="858"/>
      <c r="P44" s="220"/>
      <c r="Q44" s="220"/>
      <c r="R44" s="219"/>
      <c r="S44" s="6"/>
      <c r="U44" s="6"/>
      <c r="V44" s="6"/>
      <c r="W44" s="6"/>
      <c r="X44" s="6"/>
      <c r="Y44" s="6"/>
      <c r="Z44" s="227"/>
      <c r="AA44" s="238" t="s">
        <v>559</v>
      </c>
      <c r="AB44" s="239">
        <v>12.5</v>
      </c>
      <c r="AC44" s="240" t="str">
        <f>H63</f>
        <v/>
      </c>
      <c r="AD44" s="227"/>
    </row>
    <row r="45" spans="1:30" s="7" customFormat="1" ht="15" customHeight="1">
      <c r="A45" s="860"/>
      <c r="B45" s="862"/>
      <c r="C45" s="864"/>
      <c r="D45" s="864"/>
      <c r="E45" s="371"/>
      <c r="F45" s="229">
        <v>8.6999999999999993</v>
      </c>
      <c r="G45" s="302" t="str">
        <f>Checklist!X44</f>
        <v/>
      </c>
      <c r="H45" s="302" t="str">
        <f>Checklist!Y44</f>
        <v/>
      </c>
      <c r="I45" s="357" t="str">
        <f>Checklist!L44</f>
        <v/>
      </c>
      <c r="J45" s="357" t="str">
        <f>IF(H45="","",IF(Checklist!N44="","",Checklist!N44))</f>
        <v/>
      </c>
      <c r="K45" s="357" t="str">
        <f>Checklist!Z44</f>
        <v/>
      </c>
      <c r="L45" s="866"/>
      <c r="M45" s="869"/>
      <c r="N45" s="858"/>
      <c r="P45" s="220"/>
      <c r="Q45" s="220"/>
      <c r="R45" s="244"/>
      <c r="S45" s="6"/>
      <c r="U45" s="6"/>
      <c r="V45" s="6"/>
      <c r="W45" s="6"/>
      <c r="X45" s="6"/>
      <c r="Y45" s="6"/>
      <c r="Z45" s="227"/>
      <c r="AA45" s="238"/>
      <c r="AB45" s="239"/>
      <c r="AC45" s="240"/>
      <c r="AD45" s="227"/>
    </row>
    <row r="46" spans="1:30" s="7" customFormat="1" ht="15" customHeight="1">
      <c r="A46" s="860"/>
      <c r="B46" s="862"/>
      <c r="C46" s="864"/>
      <c r="D46" s="864"/>
      <c r="E46" s="371"/>
      <c r="F46" s="229">
        <v>8.8000000000000007</v>
      </c>
      <c r="G46" s="302" t="str">
        <f>Checklist!X45</f>
        <v/>
      </c>
      <c r="H46" s="302" t="str">
        <f>Checklist!Y45</f>
        <v/>
      </c>
      <c r="I46" s="357" t="str">
        <f>Checklist!L45</f>
        <v/>
      </c>
      <c r="J46" s="357" t="str">
        <f>IF(H46="","",IF(Checklist!N45="","",Checklist!N45))</f>
        <v/>
      </c>
      <c r="K46" s="357" t="str">
        <f>Checklist!Z45</f>
        <v/>
      </c>
      <c r="L46" s="866"/>
      <c r="M46" s="869"/>
      <c r="N46" s="858"/>
      <c r="P46" s="220"/>
      <c r="Q46" s="220"/>
      <c r="R46" s="219"/>
      <c r="S46" s="6"/>
      <c r="U46" s="6"/>
      <c r="V46" s="6"/>
      <c r="W46" s="6"/>
      <c r="X46" s="6"/>
      <c r="Y46" s="6"/>
      <c r="Z46" s="227"/>
      <c r="AA46" s="249"/>
      <c r="AB46" s="76"/>
      <c r="AC46" s="76"/>
      <c r="AD46" s="227"/>
    </row>
    <row r="47" spans="1:30" s="7" customFormat="1" ht="15" customHeight="1">
      <c r="A47" s="860"/>
      <c r="B47" s="862"/>
      <c r="C47" s="864"/>
      <c r="D47" s="864"/>
      <c r="E47" s="372"/>
      <c r="F47" s="229">
        <v>8.9</v>
      </c>
      <c r="G47" s="302" t="str">
        <f>Checklist!X46</f>
        <v/>
      </c>
      <c r="H47" s="302" t="str">
        <f>Checklist!Y46</f>
        <v/>
      </c>
      <c r="I47" s="357" t="str">
        <f>Checklist!L46</f>
        <v/>
      </c>
      <c r="J47" s="357" t="str">
        <f>IF(H47="","",IF(Checklist!N46="","",Checklist!N46))</f>
        <v/>
      </c>
      <c r="K47" s="357" t="str">
        <f>Checklist!Z46</f>
        <v/>
      </c>
      <c r="L47" s="867"/>
      <c r="M47" s="870"/>
      <c r="N47" s="871"/>
      <c r="P47" s="220"/>
      <c r="Q47" s="220"/>
      <c r="R47" s="219"/>
      <c r="S47" s="6"/>
      <c r="U47" s="6"/>
      <c r="V47" s="6"/>
      <c r="W47" s="6"/>
      <c r="X47" s="6"/>
      <c r="Y47" s="6"/>
      <c r="Z47" s="227"/>
      <c r="AA47" s="249"/>
      <c r="AB47" s="6"/>
      <c r="AC47" s="6"/>
      <c r="AD47" s="227"/>
    </row>
    <row r="48" spans="1:30" s="7" customFormat="1" ht="15" customHeight="1">
      <c r="A48" s="859">
        <v>9</v>
      </c>
      <c r="B48" s="861" t="s">
        <v>581</v>
      </c>
      <c r="C48" s="863">
        <v>4</v>
      </c>
      <c r="D48" s="863">
        <v>2</v>
      </c>
      <c r="E48" s="369" t="s">
        <v>559</v>
      </c>
      <c r="F48" s="229">
        <v>9.1</v>
      </c>
      <c r="G48" s="302" t="str">
        <f>Checklist!X47</f>
        <v/>
      </c>
      <c r="H48" s="302" t="str">
        <f>Checklist!Y47</f>
        <v/>
      </c>
      <c r="I48" s="357" t="str">
        <f>Checklist!L47</f>
        <v/>
      </c>
      <c r="J48" s="357" t="str">
        <f>IF(H48="","",IF(Checklist!N47="","",Checklist!N47))</f>
        <v/>
      </c>
      <c r="K48" s="357" t="str">
        <f>Checklist!Z47</f>
        <v/>
      </c>
      <c r="L48" s="865" t="str">
        <f>IF(SUM(G48:G51)=0,"0",SUM(G48:G51)/($C48-(COUNTIF(G48:G51,"n/a"))))</f>
        <v>0</v>
      </c>
      <c r="M48" s="868" t="str">
        <f>IF(SUM(H48:H51)=0,"0",SUM(H48:H51)/($C48-(COUNTIF(H48:H51,"n/a"))))</f>
        <v>0</v>
      </c>
      <c r="N48" s="857" t="str">
        <f>IF(SUM(K48:K51)=0,"0",SUM(K48:K51)/($C48-(COUNTIF(K48:K51,"n/a"))))</f>
        <v>0</v>
      </c>
      <c r="O48" s="6"/>
      <c r="P48" s="198"/>
      <c r="Q48" s="6"/>
      <c r="R48" s="219"/>
      <c r="T48" s="6"/>
      <c r="U48" s="6"/>
      <c r="V48" s="6"/>
      <c r="W48" s="6"/>
      <c r="X48" s="6"/>
      <c r="Y48" s="6"/>
      <c r="Z48" s="227"/>
      <c r="AA48" s="249" t="s">
        <v>582</v>
      </c>
      <c r="AB48" s="6"/>
      <c r="AC48" s="6"/>
      <c r="AD48" s="227"/>
    </row>
    <row r="49" spans="1:30" s="7" customFormat="1" ht="15" customHeight="1">
      <c r="A49" s="860"/>
      <c r="B49" s="862"/>
      <c r="C49" s="864"/>
      <c r="D49" s="864"/>
      <c r="E49" s="236"/>
      <c r="F49" s="229">
        <v>9.1999999999999993</v>
      </c>
      <c r="G49" s="302" t="str">
        <f>Checklist!X48</f>
        <v/>
      </c>
      <c r="H49" s="302" t="str">
        <f>Checklist!Y48</f>
        <v/>
      </c>
      <c r="I49" s="357" t="str">
        <f>Checklist!L48</f>
        <v/>
      </c>
      <c r="J49" s="357" t="str">
        <f>IF(H49="","",IF(Checklist!N48="","",Checklist!N48))</f>
        <v/>
      </c>
      <c r="K49" s="357" t="str">
        <f>Checklist!Z48</f>
        <v/>
      </c>
      <c r="L49" s="866"/>
      <c r="M49" s="869"/>
      <c r="N49" s="858"/>
      <c r="O49" s="6"/>
      <c r="P49" s="198"/>
      <c r="Q49" s="6"/>
      <c r="R49" s="245"/>
      <c r="T49" s="6"/>
      <c r="U49" s="6"/>
      <c r="V49" s="6"/>
      <c r="W49" s="6"/>
      <c r="X49" s="6"/>
      <c r="Y49" s="6"/>
      <c r="Z49" s="227"/>
      <c r="AA49" s="78" t="s">
        <v>560</v>
      </c>
      <c r="AB49" s="76"/>
      <c r="AC49" s="76"/>
      <c r="AD49" s="227"/>
    </row>
    <row r="50" spans="1:30" s="7" customFormat="1" ht="15" customHeight="1">
      <c r="A50" s="860"/>
      <c r="B50" s="862"/>
      <c r="C50" s="864"/>
      <c r="D50" s="864"/>
      <c r="E50" s="236"/>
      <c r="F50" s="229">
        <v>9.3000000000000007</v>
      </c>
      <c r="G50" s="302" t="str">
        <f>Checklist!X49</f>
        <v/>
      </c>
      <c r="H50" s="302" t="str">
        <f>Checklist!Y49</f>
        <v/>
      </c>
      <c r="I50" s="357" t="str">
        <f>Checklist!L49</f>
        <v/>
      </c>
      <c r="J50" s="357" t="str">
        <f>IF(H50="","",IF(Checklist!N49="","",Checklist!N49))</f>
        <v/>
      </c>
      <c r="K50" s="357" t="str">
        <f>Checklist!Z49</f>
        <v/>
      </c>
      <c r="L50" s="866"/>
      <c r="M50" s="869"/>
      <c r="N50" s="858"/>
      <c r="O50" s="6"/>
      <c r="P50" s="198"/>
      <c r="Q50" s="6"/>
      <c r="R50" s="219"/>
      <c r="T50" s="6"/>
      <c r="U50" s="6"/>
      <c r="V50" s="6"/>
      <c r="W50" s="6"/>
      <c r="X50" s="6"/>
      <c r="Y50" s="6"/>
      <c r="Z50" s="227"/>
      <c r="AA50" s="78" t="s">
        <v>562</v>
      </c>
      <c r="AB50" s="76"/>
      <c r="AC50" s="76"/>
      <c r="AD50" s="227"/>
    </row>
    <row r="51" spans="1:30" s="7" customFormat="1" ht="15" customHeight="1">
      <c r="A51" s="860"/>
      <c r="B51" s="862"/>
      <c r="C51" s="864"/>
      <c r="D51" s="864"/>
      <c r="E51" s="233" t="s">
        <v>559</v>
      </c>
      <c r="F51" s="229">
        <v>9.4</v>
      </c>
      <c r="G51" s="302" t="str">
        <f>Checklist!X50</f>
        <v/>
      </c>
      <c r="H51" s="302" t="str">
        <f>Checklist!Y50</f>
        <v/>
      </c>
      <c r="I51" s="357" t="str">
        <f>Checklist!L50</f>
        <v/>
      </c>
      <c r="J51" s="357" t="str">
        <f>IF(H51="","",IF(Checklist!N50="","",Checklist!N50))</f>
        <v/>
      </c>
      <c r="K51" s="357" t="str">
        <f>Checklist!Z50</f>
        <v/>
      </c>
      <c r="L51" s="866"/>
      <c r="M51" s="869"/>
      <c r="N51" s="858"/>
      <c r="O51" s="6"/>
      <c r="P51" s="198"/>
      <c r="Q51" s="6"/>
      <c r="R51" s="219"/>
      <c r="T51" s="6"/>
      <c r="U51" s="6"/>
      <c r="V51" s="6"/>
      <c r="W51" s="6"/>
      <c r="X51" s="6"/>
      <c r="Y51" s="6"/>
      <c r="Z51" s="227"/>
      <c r="AA51" s="15" t="s">
        <v>564</v>
      </c>
      <c r="AD51" s="227"/>
    </row>
    <row r="52" spans="1:30" s="7" customFormat="1" ht="15" customHeight="1">
      <c r="A52" s="859">
        <v>10</v>
      </c>
      <c r="B52" s="861" t="s">
        <v>583</v>
      </c>
      <c r="C52" s="863">
        <v>4</v>
      </c>
      <c r="D52" s="863">
        <v>1</v>
      </c>
      <c r="E52" s="231"/>
      <c r="F52" s="229">
        <v>10.1</v>
      </c>
      <c r="G52" s="302" t="str">
        <f>Checklist!X51</f>
        <v/>
      </c>
      <c r="H52" s="302" t="str">
        <f>Checklist!Y51</f>
        <v/>
      </c>
      <c r="I52" s="357" t="str">
        <f>Checklist!L51</f>
        <v/>
      </c>
      <c r="J52" s="357" t="str">
        <f>IF(H52="","",IF(Checklist!N51="","",Checklist!N51))</f>
        <v/>
      </c>
      <c r="K52" s="357" t="str">
        <f>Checklist!Z51</f>
        <v/>
      </c>
      <c r="L52" s="865" t="str">
        <f>IF(SUM(G52:G55)=0,"0",SUM(G52:G55)/($C52-(COUNTIF(G52:G55,"n/a"))))</f>
        <v>0</v>
      </c>
      <c r="M52" s="868" t="str">
        <f>IF(SUM(H52:H55)=0,"0",SUM(H52:H55)/($C52-(COUNTIF(H52:H55,"n/a"))))</f>
        <v>0</v>
      </c>
      <c r="N52" s="857" t="str">
        <f>IF(SUM(K52:K55)=0,"0",SUM(K52:K55)/($C52-(COUNTIF(K52:K55,"n/a"))))</f>
        <v>0</v>
      </c>
      <c r="O52" s="6"/>
      <c r="P52" s="198"/>
      <c r="Q52" s="6"/>
      <c r="R52" s="246"/>
      <c r="S52" s="246"/>
      <c r="T52" s="6"/>
      <c r="U52" s="6"/>
      <c r="V52" s="6"/>
      <c r="W52" s="6"/>
      <c r="X52" s="6"/>
      <c r="Y52" s="6"/>
      <c r="Z52" s="227"/>
      <c r="AA52" s="78"/>
      <c r="AD52" s="227"/>
    </row>
    <row r="53" spans="1:30" s="7" customFormat="1" ht="15" customHeight="1">
      <c r="A53" s="860"/>
      <c r="B53" s="862"/>
      <c r="C53" s="864"/>
      <c r="D53" s="864"/>
      <c r="E53" s="368" t="s">
        <v>559</v>
      </c>
      <c r="F53" s="229">
        <v>10.199999999999999</v>
      </c>
      <c r="G53" s="302" t="str">
        <f>Checklist!X52</f>
        <v/>
      </c>
      <c r="H53" s="302" t="str">
        <f>Checklist!Y52</f>
        <v/>
      </c>
      <c r="I53" s="357" t="str">
        <f>Checklist!L52</f>
        <v/>
      </c>
      <c r="J53" s="357" t="str">
        <f>IF(H53="","",IF(Checklist!N52="","",Checklist!N52))</f>
        <v/>
      </c>
      <c r="K53" s="357" t="str">
        <f>Checklist!Z52</f>
        <v/>
      </c>
      <c r="L53" s="866"/>
      <c r="M53" s="869"/>
      <c r="N53" s="858"/>
      <c r="O53" s="6"/>
      <c r="P53" s="198"/>
      <c r="Q53" s="6"/>
      <c r="R53" s="219"/>
      <c r="S53" s="6"/>
      <c r="T53" s="6"/>
      <c r="U53" s="6"/>
      <c r="V53" s="6"/>
      <c r="W53" s="6"/>
      <c r="X53" s="6"/>
      <c r="Y53" s="6"/>
      <c r="Z53" s="227"/>
      <c r="AA53" s="435" t="s">
        <v>584</v>
      </c>
      <c r="AD53" s="227"/>
    </row>
    <row r="54" spans="1:30" s="7" customFormat="1" ht="15" customHeight="1">
      <c r="A54" s="860"/>
      <c r="B54" s="862"/>
      <c r="C54" s="864"/>
      <c r="D54" s="864"/>
      <c r="E54" s="236"/>
      <c r="F54" s="229">
        <v>10.3</v>
      </c>
      <c r="G54" s="302" t="str">
        <f>Checklist!X53</f>
        <v/>
      </c>
      <c r="H54" s="302" t="str">
        <f>Checklist!Y53</f>
        <v/>
      </c>
      <c r="I54" s="357" t="str">
        <f>Checklist!L53</f>
        <v/>
      </c>
      <c r="J54" s="357" t="str">
        <f>IF(H54="","",IF(Checklist!N53="","",Checklist!N53))</f>
        <v/>
      </c>
      <c r="K54" s="357" t="str">
        <f>Checklist!Z53</f>
        <v/>
      </c>
      <c r="L54" s="866"/>
      <c r="M54" s="869"/>
      <c r="N54" s="858"/>
      <c r="O54" s="6"/>
      <c r="P54" s="198"/>
      <c r="Q54" s="6"/>
      <c r="R54" s="219"/>
      <c r="S54" s="6"/>
      <c r="T54" s="6"/>
      <c r="U54" s="6"/>
      <c r="V54" s="6"/>
      <c r="W54" s="6"/>
      <c r="X54" s="6"/>
      <c r="Y54" s="6"/>
      <c r="Z54" s="227"/>
      <c r="AA54" s="436"/>
      <c r="AD54" s="227"/>
    </row>
    <row r="55" spans="1:30" s="7" customFormat="1" ht="15" customHeight="1">
      <c r="A55" s="860"/>
      <c r="B55" s="862"/>
      <c r="C55" s="864"/>
      <c r="D55" s="864"/>
      <c r="E55" s="236"/>
      <c r="F55" s="229">
        <v>10.4</v>
      </c>
      <c r="G55" s="302" t="str">
        <f>Checklist!X54</f>
        <v/>
      </c>
      <c r="H55" s="302" t="str">
        <f>Checklist!Y54</f>
        <v/>
      </c>
      <c r="I55" s="357" t="str">
        <f>Checklist!L54</f>
        <v/>
      </c>
      <c r="J55" s="357" t="str">
        <f>IF(H55="","",IF(Checklist!N54="","",Checklist!N54))</f>
        <v/>
      </c>
      <c r="K55" s="357" t="str">
        <f>Checklist!Z54</f>
        <v/>
      </c>
      <c r="L55" s="866"/>
      <c r="M55" s="869"/>
      <c r="N55" s="858"/>
      <c r="O55" s="6"/>
      <c r="P55" s="198"/>
      <c r="Q55" s="6"/>
      <c r="R55" s="219"/>
      <c r="S55" s="6"/>
      <c r="T55" s="6"/>
      <c r="U55" s="6"/>
      <c r="V55" s="6"/>
      <c r="W55" s="6"/>
      <c r="X55" s="6"/>
      <c r="Y55" s="6"/>
      <c r="Z55" s="227"/>
      <c r="AA55" s="78" t="s">
        <v>560</v>
      </c>
      <c r="AD55" s="227"/>
    </row>
    <row r="56" spans="1:30" s="7" customFormat="1" ht="15" customHeight="1">
      <c r="A56" s="859">
        <v>11</v>
      </c>
      <c r="B56" s="861" t="s">
        <v>585</v>
      </c>
      <c r="C56" s="863">
        <v>3</v>
      </c>
      <c r="D56" s="863">
        <v>1</v>
      </c>
      <c r="E56" s="231"/>
      <c r="F56" s="229">
        <v>11.1</v>
      </c>
      <c r="G56" s="302" t="str">
        <f>Checklist!X55</f>
        <v/>
      </c>
      <c r="H56" s="302" t="str">
        <f>Checklist!Y55</f>
        <v/>
      </c>
      <c r="I56" s="357" t="str">
        <f>Checklist!L55</f>
        <v/>
      </c>
      <c r="J56" s="357" t="str">
        <f>IF(H56="","",IF(Checklist!N55="","",Checklist!N55))</f>
        <v/>
      </c>
      <c r="K56" s="357" t="str">
        <f>Checklist!Z55</f>
        <v/>
      </c>
      <c r="L56" s="865" t="str">
        <f>IF(SUM(G56:G58)=0,"0",SUM(G56:G58)/($C56-(COUNTIF(G56:G58,"n/a"))))</f>
        <v>0</v>
      </c>
      <c r="M56" s="868" t="str">
        <f>IF(SUM(H56:H58)=0,"0",SUM(H56:H58)/($C56-(COUNTIF(H56:H58,"n/a"))))</f>
        <v>0</v>
      </c>
      <c r="N56" s="857" t="str">
        <f>IF(SUM(K56:K58)=0,"0",SUM(K56:K58)/($C56-(COUNTIF(K56:K58,"n/a"))))</f>
        <v>0</v>
      </c>
      <c r="O56" s="6"/>
      <c r="P56" s="198"/>
      <c r="Q56" s="6"/>
      <c r="R56" s="219"/>
      <c r="S56" s="6"/>
      <c r="T56" s="6"/>
      <c r="U56" s="6"/>
      <c r="V56" s="6"/>
      <c r="W56" s="6"/>
      <c r="X56" s="6"/>
      <c r="Y56" s="6"/>
      <c r="Z56" s="227"/>
      <c r="AA56" s="78" t="s">
        <v>562</v>
      </c>
      <c r="AD56" s="227"/>
    </row>
    <row r="57" spans="1:30" s="7" customFormat="1" ht="15" customHeight="1">
      <c r="A57" s="860"/>
      <c r="B57" s="862"/>
      <c r="C57" s="864"/>
      <c r="D57" s="864"/>
      <c r="E57" s="236"/>
      <c r="F57" s="229">
        <v>11.2</v>
      </c>
      <c r="G57" s="302" t="str">
        <f>Checklist!X56</f>
        <v/>
      </c>
      <c r="H57" s="302" t="str">
        <f>Checklist!Y56</f>
        <v/>
      </c>
      <c r="I57" s="357" t="str">
        <f>Checklist!L56</f>
        <v/>
      </c>
      <c r="J57" s="357" t="str">
        <f>IF(H57="","",IF(Checklist!N56="","",Checklist!N56))</f>
        <v/>
      </c>
      <c r="K57" s="357" t="str">
        <f>Checklist!Z56</f>
        <v/>
      </c>
      <c r="L57" s="866"/>
      <c r="M57" s="869"/>
      <c r="N57" s="858"/>
      <c r="O57" s="6"/>
      <c r="P57" s="198"/>
      <c r="Q57" s="6"/>
      <c r="R57" s="219"/>
      <c r="S57" s="6"/>
      <c r="T57" s="6"/>
      <c r="U57" s="6"/>
      <c r="V57" s="6"/>
      <c r="W57" s="6"/>
      <c r="X57" s="6"/>
      <c r="Y57" s="6"/>
      <c r="Z57" s="227"/>
      <c r="AA57" s="15" t="s">
        <v>564</v>
      </c>
      <c r="AD57" s="227"/>
    </row>
    <row r="58" spans="1:30" s="7" customFormat="1" ht="15" customHeight="1">
      <c r="A58" s="878"/>
      <c r="B58" s="879"/>
      <c r="C58" s="880"/>
      <c r="D58" s="880"/>
      <c r="E58" s="233" t="s">
        <v>559</v>
      </c>
      <c r="F58" s="229">
        <v>11.3</v>
      </c>
      <c r="G58" s="302" t="str">
        <f>Checklist!X57</f>
        <v/>
      </c>
      <c r="H58" s="302" t="str">
        <f>Checklist!Y57</f>
        <v/>
      </c>
      <c r="I58" s="357" t="str">
        <f>Checklist!L57</f>
        <v/>
      </c>
      <c r="J58" s="357" t="str">
        <f>IF(H58="","",IF(Checklist!N57="","",Checklist!N57))</f>
        <v/>
      </c>
      <c r="K58" s="357" t="str">
        <f>Checklist!Z57</f>
        <v/>
      </c>
      <c r="L58" s="867"/>
      <c r="M58" s="870"/>
      <c r="N58" s="871"/>
      <c r="O58" s="6"/>
      <c r="P58" s="198"/>
      <c r="Q58" s="6"/>
      <c r="R58" s="247"/>
      <c r="S58" s="58"/>
      <c r="T58" s="6"/>
      <c r="U58" s="6"/>
      <c r="V58" s="6"/>
      <c r="W58" s="6"/>
      <c r="X58" s="6"/>
      <c r="Y58" s="6"/>
      <c r="Z58" s="227"/>
      <c r="AA58" s="58"/>
      <c r="AD58" s="227"/>
    </row>
    <row r="59" spans="1:30" s="76" customFormat="1" ht="15" customHeight="1">
      <c r="A59" s="859">
        <v>12</v>
      </c>
      <c r="B59" s="861" t="s">
        <v>586</v>
      </c>
      <c r="C59" s="863">
        <v>5</v>
      </c>
      <c r="D59" s="863">
        <v>2</v>
      </c>
      <c r="E59" s="231"/>
      <c r="F59" s="248">
        <v>12.1</v>
      </c>
      <c r="G59" s="302" t="str">
        <f>Checklist!X58</f>
        <v/>
      </c>
      <c r="H59" s="302" t="str">
        <f>Checklist!Y58</f>
        <v/>
      </c>
      <c r="I59" s="357" t="str">
        <f>Checklist!L58</f>
        <v/>
      </c>
      <c r="J59" s="357" t="str">
        <f>IF(H59="","",IF(Checklist!N58="","",Checklist!N58))</f>
        <v/>
      </c>
      <c r="K59" s="357" t="str">
        <f>Checklist!Z58</f>
        <v/>
      </c>
      <c r="L59" s="865" t="str">
        <f>IF(SUM(G59:G63)=0,"0",SUM(G59:G63)/($C59-(COUNTIF(G59:G63,"n/a"))))</f>
        <v>0</v>
      </c>
      <c r="M59" s="868" t="str">
        <f>IF(SUM(H59:H63)=0,"0",SUM(H59:H63)/($C59-(COUNTIF(H59:H63,"n/a"))))</f>
        <v>0</v>
      </c>
      <c r="N59" s="857" t="str">
        <f>IF(SUM(K59:K63)=0,"0",SUM(K59:K63)/($C59-(COUNTIF(K59:K63,"n/a"))))</f>
        <v>0</v>
      </c>
      <c r="O59" s="6"/>
      <c r="P59" s="198"/>
      <c r="Q59" s="6"/>
      <c r="R59" s="251"/>
      <c r="S59" s="251"/>
      <c r="T59" s="6"/>
      <c r="U59" s="6"/>
      <c r="V59" s="6"/>
      <c r="W59" s="6"/>
      <c r="X59" s="6"/>
      <c r="Y59" s="6"/>
      <c r="Z59" s="250"/>
      <c r="AA59" s="437" t="s">
        <v>587</v>
      </c>
      <c r="AB59" s="7"/>
      <c r="AC59" s="7"/>
      <c r="AD59" s="250"/>
    </row>
    <row r="60" spans="1:30" s="76" customFormat="1" ht="15" customHeight="1">
      <c r="A60" s="860"/>
      <c r="B60" s="862"/>
      <c r="C60" s="864"/>
      <c r="D60" s="864"/>
      <c r="E60" s="252"/>
      <c r="F60" s="248">
        <v>12.2</v>
      </c>
      <c r="G60" s="302" t="str">
        <f>Checklist!X59</f>
        <v/>
      </c>
      <c r="H60" s="302" t="str">
        <f>Checklist!Y59</f>
        <v/>
      </c>
      <c r="I60" s="357" t="str">
        <f>Checklist!L59</f>
        <v/>
      </c>
      <c r="J60" s="357" t="str">
        <f>IF(H60="","",IF(Checklist!N59="","",Checklist!N59))</f>
        <v/>
      </c>
      <c r="K60" s="357" t="str">
        <f>Checklist!Z59</f>
        <v/>
      </c>
      <c r="L60" s="866"/>
      <c r="M60" s="869"/>
      <c r="N60" s="858"/>
      <c r="O60" s="7"/>
      <c r="P60" s="220"/>
      <c r="Q60" s="220"/>
      <c r="T60" s="7"/>
      <c r="U60" s="6"/>
      <c r="V60" s="6"/>
      <c r="W60" s="6"/>
      <c r="X60" s="6"/>
      <c r="Y60" s="6"/>
      <c r="Z60" s="250"/>
      <c r="AA60" s="78" t="s">
        <v>588</v>
      </c>
      <c r="AB60" s="7"/>
      <c r="AC60" s="7"/>
      <c r="AD60" s="250"/>
    </row>
    <row r="61" spans="1:30" ht="15" customHeight="1">
      <c r="A61" s="860"/>
      <c r="B61" s="862"/>
      <c r="C61" s="864"/>
      <c r="D61" s="864"/>
      <c r="E61" s="368" t="s">
        <v>559</v>
      </c>
      <c r="F61" s="248">
        <v>12.3</v>
      </c>
      <c r="G61" s="302" t="str">
        <f>Checklist!X60</f>
        <v/>
      </c>
      <c r="H61" s="302" t="str">
        <f>Checklist!Y60</f>
        <v/>
      </c>
      <c r="I61" s="357" t="str">
        <f>Checklist!L60</f>
        <v/>
      </c>
      <c r="J61" s="357" t="str">
        <f>IF(H61="","",IF(Checklist!N60="","",Checklist!N60))</f>
        <v/>
      </c>
      <c r="K61" s="357" t="str">
        <f>Checklist!Z60</f>
        <v/>
      </c>
      <c r="L61" s="866"/>
      <c r="M61" s="869"/>
      <c r="N61" s="858"/>
      <c r="O61" s="7"/>
      <c r="P61" s="220"/>
      <c r="Q61" s="220"/>
      <c r="T61" s="7"/>
      <c r="U61" s="6"/>
      <c r="V61" s="6"/>
      <c r="W61" s="6"/>
      <c r="X61" s="6"/>
      <c r="Y61" s="6"/>
      <c r="Z61" s="215"/>
      <c r="AA61" s="58" t="s">
        <v>589</v>
      </c>
      <c r="AB61" s="7"/>
      <c r="AC61" s="7"/>
      <c r="AD61" s="215"/>
    </row>
    <row r="62" spans="1:30" ht="15" customHeight="1">
      <c r="A62" s="860"/>
      <c r="B62" s="862"/>
      <c r="C62" s="864"/>
      <c r="D62" s="864"/>
      <c r="E62" s="6"/>
      <c r="F62" s="248">
        <v>12.4</v>
      </c>
      <c r="G62" s="302" t="str">
        <f>Checklist!X61</f>
        <v/>
      </c>
      <c r="H62" s="302" t="str">
        <f>Checklist!Y61</f>
        <v/>
      </c>
      <c r="I62" s="357" t="str">
        <f>Checklist!L61</f>
        <v/>
      </c>
      <c r="J62" s="357" t="str">
        <f>IF(H62="","",IF(Checklist!N61="","",Checklist!N61))</f>
        <v/>
      </c>
      <c r="K62" s="357" t="str">
        <f>Checklist!Z61</f>
        <v/>
      </c>
      <c r="L62" s="866"/>
      <c r="M62" s="869"/>
      <c r="N62" s="858"/>
      <c r="O62" s="7"/>
      <c r="P62" s="220"/>
      <c r="Q62" s="220"/>
      <c r="R62" s="6"/>
      <c r="T62" s="7"/>
      <c r="U62" s="6"/>
      <c r="V62" s="6"/>
      <c r="W62" s="6"/>
      <c r="X62" s="6"/>
      <c r="Y62" s="6"/>
      <c r="Z62" s="215"/>
      <c r="AA62" s="58" t="s">
        <v>590</v>
      </c>
      <c r="AB62" s="7"/>
      <c r="AC62" s="7"/>
      <c r="AD62" s="215"/>
    </row>
    <row r="63" spans="1:30" s="76" customFormat="1" ht="15" customHeight="1">
      <c r="A63" s="860"/>
      <c r="B63" s="862"/>
      <c r="C63" s="864"/>
      <c r="D63" s="864"/>
      <c r="E63" s="368" t="s">
        <v>559</v>
      </c>
      <c r="F63" s="248">
        <v>12.5</v>
      </c>
      <c r="G63" s="302" t="str">
        <f>Checklist!X62</f>
        <v/>
      </c>
      <c r="H63" s="302" t="str">
        <f>Checklist!Y62</f>
        <v/>
      </c>
      <c r="I63" s="357" t="str">
        <f>Checklist!L62</f>
        <v/>
      </c>
      <c r="J63" s="357" t="str">
        <f>IF(H63="","",IF(Checklist!N62="","",Checklist!N62))</f>
        <v/>
      </c>
      <c r="K63" s="357" t="str">
        <f>Checklist!Z62</f>
        <v/>
      </c>
      <c r="L63" s="866"/>
      <c r="M63" s="869"/>
      <c r="N63" s="858"/>
      <c r="O63" s="6"/>
      <c r="P63" s="198"/>
      <c r="Q63" s="6"/>
      <c r="T63" s="6"/>
      <c r="U63" s="6"/>
      <c r="V63" s="6"/>
      <c r="W63" s="6"/>
      <c r="X63" s="6"/>
      <c r="Y63" s="6"/>
      <c r="Z63" s="250"/>
      <c r="AA63" s="58"/>
      <c r="AB63" s="7"/>
      <c r="AC63" s="7"/>
      <c r="AD63" s="250"/>
    </row>
    <row r="64" spans="1:30" s="7" customFormat="1" ht="15" customHeight="1">
      <c r="A64" s="859">
        <v>13</v>
      </c>
      <c r="B64" s="861" t="s">
        <v>591</v>
      </c>
      <c r="C64" s="863">
        <v>4</v>
      </c>
      <c r="D64" s="863">
        <v>0</v>
      </c>
      <c r="E64" s="252"/>
      <c r="F64" s="248">
        <v>13.1</v>
      </c>
      <c r="G64" s="302" t="str">
        <f>Checklist!X63</f>
        <v/>
      </c>
      <c r="H64" s="302" t="str">
        <f>Checklist!Y63</f>
        <v/>
      </c>
      <c r="I64" s="357" t="str">
        <f>Checklist!L63</f>
        <v/>
      </c>
      <c r="J64" s="357" t="str">
        <f>IF(H64="","",IF(Checklist!N63="","",Checklist!N63))</f>
        <v/>
      </c>
      <c r="K64" s="357" t="str">
        <f>Checklist!Z63</f>
        <v/>
      </c>
      <c r="L64" s="865" t="str">
        <f>IF(SUM(G64:G67)=0,"0",SUM(G64:G67)/($C64-(COUNTIF(G64:G67,"n/a"))))</f>
        <v>0</v>
      </c>
      <c r="M64" s="868" t="str">
        <f>IF(SUM(H64:H67)=0,"0",SUM(H64:H67)/($C64-(COUNTIF(H64:H67,"n/a"))))</f>
        <v>0</v>
      </c>
      <c r="N64" s="857" t="str">
        <f>IF(SUM(K64:K67)=0,"0",SUM(K64:K67)/($C64-(COUNTIF(K64:K67,"n/a"))))</f>
        <v>0</v>
      </c>
      <c r="O64" s="6"/>
      <c r="P64" s="198"/>
      <c r="Q64" s="6"/>
      <c r="R64" s="219"/>
      <c r="S64" s="6"/>
      <c r="T64" s="6"/>
      <c r="U64" s="6"/>
      <c r="V64" s="6"/>
      <c r="W64" s="6"/>
      <c r="X64" s="6"/>
      <c r="Y64" s="6"/>
      <c r="Z64" s="227"/>
      <c r="AA64" s="6" t="s">
        <v>592</v>
      </c>
      <c r="AD64" s="227"/>
    </row>
    <row r="65" spans="1:30" s="7" customFormat="1" ht="15" customHeight="1">
      <c r="A65" s="860"/>
      <c r="B65" s="862"/>
      <c r="C65" s="864"/>
      <c r="D65" s="864"/>
      <c r="E65" s="252"/>
      <c r="F65" s="248">
        <v>13.2</v>
      </c>
      <c r="G65" s="302" t="str">
        <f>Checklist!X64</f>
        <v/>
      </c>
      <c r="H65" s="302" t="str">
        <f>Checklist!Y64</f>
        <v/>
      </c>
      <c r="I65" s="357" t="str">
        <f>Checklist!L64</f>
        <v/>
      </c>
      <c r="J65" s="357" t="str">
        <f>IF(H65="","",IF(Checklist!N64="","",Checklist!N64))</f>
        <v/>
      </c>
      <c r="K65" s="357" t="str">
        <f>Checklist!Z64</f>
        <v/>
      </c>
      <c r="L65" s="866"/>
      <c r="M65" s="869"/>
      <c r="N65" s="858"/>
      <c r="O65" s="6"/>
      <c r="P65" s="198"/>
      <c r="Q65" s="6"/>
      <c r="R65" s="219"/>
      <c r="S65" s="6"/>
      <c r="T65" s="6"/>
      <c r="U65" s="6"/>
      <c r="V65" s="6"/>
      <c r="W65" s="6"/>
      <c r="X65" s="6"/>
      <c r="Y65" s="6"/>
      <c r="Z65" s="227"/>
      <c r="AA65" s="6" t="s">
        <v>593</v>
      </c>
      <c r="AD65" s="227"/>
    </row>
    <row r="66" spans="1:30" s="7" customFormat="1" ht="15" customHeight="1">
      <c r="A66" s="860"/>
      <c r="B66" s="862"/>
      <c r="C66" s="864"/>
      <c r="D66" s="864"/>
      <c r="E66" s="253"/>
      <c r="F66" s="248">
        <v>13.3</v>
      </c>
      <c r="G66" s="302" t="str">
        <f>Checklist!X65</f>
        <v/>
      </c>
      <c r="H66" s="302" t="str">
        <f>Checklist!Y65</f>
        <v/>
      </c>
      <c r="I66" s="357" t="str">
        <f>Checklist!L65</f>
        <v/>
      </c>
      <c r="J66" s="357" t="str">
        <f>IF(H66="","",IF(Checklist!N65="","",Checklist!N65))</f>
        <v/>
      </c>
      <c r="K66" s="357" t="str">
        <f>Checklist!Z65</f>
        <v/>
      </c>
      <c r="L66" s="866"/>
      <c r="M66" s="869"/>
      <c r="N66" s="858"/>
      <c r="O66" s="6"/>
      <c r="P66" s="198"/>
      <c r="Q66" s="6"/>
      <c r="R66" s="219"/>
      <c r="S66" s="6"/>
      <c r="T66" s="6"/>
      <c r="U66" s="6"/>
      <c r="V66" s="6"/>
      <c r="W66" s="6"/>
      <c r="X66" s="6"/>
      <c r="Y66" s="6"/>
      <c r="Z66" s="227"/>
      <c r="AA66" s="6" t="s">
        <v>594</v>
      </c>
      <c r="AD66" s="227"/>
    </row>
    <row r="67" spans="1:30" s="7" customFormat="1" ht="15" customHeight="1">
      <c r="A67" s="860"/>
      <c r="B67" s="862"/>
      <c r="C67" s="864"/>
      <c r="D67" s="864"/>
      <c r="E67" s="363"/>
      <c r="F67" s="248">
        <v>13.4</v>
      </c>
      <c r="G67" s="302" t="str">
        <f>Checklist!X66</f>
        <v/>
      </c>
      <c r="H67" s="302" t="str">
        <f>Checklist!Y66</f>
        <v/>
      </c>
      <c r="I67" s="357" t="str">
        <f>Checklist!L66</f>
        <v/>
      </c>
      <c r="J67" s="357" t="str">
        <f>IF(H67="","",IF(Checklist!N66="","",Checklist!N66))</f>
        <v/>
      </c>
      <c r="K67" s="357" t="str">
        <f>Checklist!Z66</f>
        <v/>
      </c>
      <c r="L67" s="866"/>
      <c r="M67" s="869"/>
      <c r="N67" s="858"/>
      <c r="O67" s="6"/>
      <c r="P67" s="198"/>
      <c r="Q67" s="6"/>
      <c r="R67" s="219"/>
      <c r="S67" s="6"/>
      <c r="T67" s="6"/>
      <c r="U67" s="6"/>
      <c r="V67" s="6"/>
      <c r="W67" s="6"/>
      <c r="X67" s="6"/>
      <c r="Y67" s="6"/>
      <c r="Z67" s="227"/>
      <c r="AA67" s="6" t="s">
        <v>595</v>
      </c>
      <c r="AD67" s="227"/>
    </row>
    <row r="68" spans="1:30" s="7" customFormat="1" ht="15" customHeight="1">
      <c r="A68" s="859">
        <v>14</v>
      </c>
      <c r="B68" s="861" t="s">
        <v>596</v>
      </c>
      <c r="C68" s="863">
        <v>3</v>
      </c>
      <c r="D68" s="863">
        <v>0</v>
      </c>
      <c r="E68" s="252"/>
      <c r="F68" s="248">
        <v>14.1</v>
      </c>
      <c r="G68" s="302" t="str">
        <f>Checklist!X67</f>
        <v/>
      </c>
      <c r="H68" s="302" t="str">
        <f>Checklist!Y67</f>
        <v/>
      </c>
      <c r="I68" s="357" t="str">
        <f>Checklist!L67</f>
        <v/>
      </c>
      <c r="J68" s="357" t="str">
        <f>IF(H68="","",IF(Checklist!N67="","",Checklist!N67))</f>
        <v/>
      </c>
      <c r="K68" s="357" t="str">
        <f>Checklist!Z67</f>
        <v/>
      </c>
      <c r="L68" s="865" t="str">
        <f>IF(SUM(G68:G70)=0,"0",SUM(G68:G70)/($C68-(COUNTIF(G68:G70,"n/a"))))</f>
        <v>0</v>
      </c>
      <c r="M68" s="868" t="str">
        <f>IF(SUM(H68:H70)=0,"0",SUM(H68:H70)/($C68-(COUNTIF(H68:H70,"n/a"))))</f>
        <v>0</v>
      </c>
      <c r="N68" s="857" t="str">
        <f>IF(SUM(K68:K70)=0,"0",SUM(K68:K70)/($C68-(COUNTIF(K68:K70,"n/a"))))</f>
        <v>0</v>
      </c>
      <c r="O68" s="6"/>
      <c r="P68" s="198"/>
      <c r="Q68" s="6"/>
      <c r="R68" s="219"/>
      <c r="S68" s="6"/>
      <c r="T68" s="6"/>
      <c r="U68" s="6"/>
      <c r="V68" s="6"/>
      <c r="W68" s="6"/>
      <c r="X68" s="6"/>
      <c r="Y68" s="6"/>
      <c r="Z68" s="227"/>
      <c r="AA68" s="58"/>
      <c r="AD68" s="227"/>
    </row>
    <row r="69" spans="1:30" s="7" customFormat="1" ht="15" customHeight="1">
      <c r="A69" s="860"/>
      <c r="B69" s="862"/>
      <c r="C69" s="864"/>
      <c r="D69" s="864"/>
      <c r="E69" s="252"/>
      <c r="F69" s="248">
        <v>14.2</v>
      </c>
      <c r="G69" s="302" t="str">
        <f>Checklist!X68</f>
        <v/>
      </c>
      <c r="H69" s="302" t="str">
        <f>Checklist!Y68</f>
        <v/>
      </c>
      <c r="I69" s="357" t="str">
        <f>Checklist!L68</f>
        <v/>
      </c>
      <c r="J69" s="357" t="str">
        <f>IF(H69="","",IF(Checklist!N68="","",Checklist!N68))</f>
        <v/>
      </c>
      <c r="K69" s="357" t="str">
        <f>Checklist!Z68</f>
        <v/>
      </c>
      <c r="L69" s="866"/>
      <c r="M69" s="869"/>
      <c r="N69" s="858"/>
      <c r="O69" s="6"/>
      <c r="P69" s="198"/>
      <c r="Q69" s="6"/>
      <c r="R69" s="219"/>
      <c r="S69" s="6"/>
      <c r="T69" s="6"/>
      <c r="U69" s="6"/>
      <c r="V69" s="6"/>
      <c r="W69" s="6"/>
      <c r="X69" s="6"/>
      <c r="Y69" s="6"/>
      <c r="Z69" s="227"/>
      <c r="AA69" s="58"/>
      <c r="AD69" s="227"/>
    </row>
    <row r="70" spans="1:30" s="7" customFormat="1" ht="15" customHeight="1">
      <c r="A70" s="860"/>
      <c r="B70" s="862"/>
      <c r="C70" s="864"/>
      <c r="D70" s="864"/>
      <c r="E70" s="364"/>
      <c r="F70" s="248">
        <v>14.3</v>
      </c>
      <c r="G70" s="302" t="str">
        <f>Checklist!X69</f>
        <v/>
      </c>
      <c r="H70" s="302" t="str">
        <f>Checklist!Y69</f>
        <v/>
      </c>
      <c r="I70" s="357" t="str">
        <f>Checklist!L69</f>
        <v/>
      </c>
      <c r="J70" s="357" t="str">
        <f>IF(H70="","",IF(Checklist!N69="","",Checklist!N69))</f>
        <v/>
      </c>
      <c r="K70" s="357" t="str">
        <f>Checklist!Z69</f>
        <v/>
      </c>
      <c r="L70" s="867"/>
      <c r="M70" s="870"/>
      <c r="N70" s="871"/>
      <c r="O70" s="6"/>
      <c r="P70" s="198"/>
      <c r="Q70" s="6"/>
      <c r="R70" s="219"/>
      <c r="S70" s="6"/>
      <c r="T70" s="6"/>
      <c r="U70" s="6"/>
      <c r="V70" s="6"/>
      <c r="W70" s="6"/>
      <c r="X70" s="6"/>
      <c r="Y70" s="6"/>
      <c r="Z70" s="227"/>
      <c r="AA70" s="58"/>
      <c r="AD70" s="227"/>
    </row>
    <row r="71" spans="1:30" s="7" customFormat="1" ht="15" customHeight="1">
      <c r="A71" s="859">
        <v>15</v>
      </c>
      <c r="B71" s="861" t="s">
        <v>597</v>
      </c>
      <c r="C71" s="863">
        <v>5</v>
      </c>
      <c r="D71" s="863">
        <v>0</v>
      </c>
      <c r="E71" s="252"/>
      <c r="F71" s="248">
        <v>15.1</v>
      </c>
      <c r="G71" s="302" t="str">
        <f>Checklist!X70</f>
        <v/>
      </c>
      <c r="H71" s="302" t="str">
        <f>Checklist!Y70</f>
        <v/>
      </c>
      <c r="I71" s="357" t="str">
        <f>Checklist!L70</f>
        <v/>
      </c>
      <c r="J71" s="357" t="str">
        <f>IF(H71="","",IF(Checklist!N70="","",Checklist!N70))</f>
        <v/>
      </c>
      <c r="K71" s="357" t="str">
        <f>Checklist!Z70</f>
        <v/>
      </c>
      <c r="L71" s="865" t="str">
        <f>IF(SUM(G71:G75)=0,"0",SUM(G71:G75)/($C71-(COUNTIF(G71:G75,"n/a"))))</f>
        <v>0</v>
      </c>
      <c r="M71" s="868" t="str">
        <f>IF(SUM(H71:H75)=0,"0",SUM(H71:H75)/($C71-(COUNTIF(H71:H75,"n/a"))))</f>
        <v>0</v>
      </c>
      <c r="N71" s="857" t="str">
        <f>IF(SUM(K71:K75)=0,"0",SUM(K71:K75)/($C71-(COUNTIF(K71:K75,"n/a"))))</f>
        <v>0</v>
      </c>
      <c r="O71" s="6"/>
      <c r="P71" s="198"/>
      <c r="Q71" s="6"/>
      <c r="R71" s="219"/>
      <c r="S71" s="6"/>
      <c r="T71" s="6"/>
      <c r="U71" s="6"/>
      <c r="V71" s="6"/>
      <c r="W71" s="6"/>
      <c r="X71" s="6"/>
      <c r="Y71" s="6"/>
      <c r="Z71" s="227"/>
      <c r="AA71" s="58"/>
      <c r="AD71" s="227"/>
    </row>
    <row r="72" spans="1:30" s="7" customFormat="1" ht="15" customHeight="1">
      <c r="A72" s="860"/>
      <c r="B72" s="862"/>
      <c r="C72" s="864"/>
      <c r="D72" s="864"/>
      <c r="E72" s="253"/>
      <c r="F72" s="248">
        <v>15.2</v>
      </c>
      <c r="G72" s="302" t="str">
        <f>Checklist!X71</f>
        <v/>
      </c>
      <c r="H72" s="302" t="str">
        <f>Checklist!Y71</f>
        <v/>
      </c>
      <c r="I72" s="357" t="str">
        <f>Checklist!L71</f>
        <v/>
      </c>
      <c r="J72" s="357" t="str">
        <f>IF(H72="","",IF(Checklist!N71="","",Checklist!N71))</f>
        <v/>
      </c>
      <c r="K72" s="357" t="str">
        <f>Checklist!Z71</f>
        <v/>
      </c>
      <c r="L72" s="866"/>
      <c r="M72" s="869"/>
      <c r="N72" s="858"/>
      <c r="O72" s="6"/>
      <c r="P72" s="198"/>
      <c r="Q72" s="6"/>
      <c r="R72" s="219"/>
      <c r="S72" s="6"/>
      <c r="T72" s="6"/>
      <c r="U72" s="6"/>
      <c r="V72" s="6"/>
      <c r="W72" s="6"/>
      <c r="X72" s="6"/>
      <c r="Y72" s="6"/>
      <c r="Z72" s="227"/>
      <c r="AA72" s="58"/>
      <c r="AD72" s="227"/>
    </row>
    <row r="73" spans="1:30" s="7" customFormat="1" ht="15" customHeight="1">
      <c r="A73" s="860"/>
      <c r="B73" s="862"/>
      <c r="C73" s="864"/>
      <c r="D73" s="864"/>
      <c r="E73" s="252"/>
      <c r="F73" s="248">
        <v>15.3</v>
      </c>
      <c r="G73" s="302" t="str">
        <f>Checklist!X72</f>
        <v/>
      </c>
      <c r="H73" s="302" t="str">
        <f>Checklist!Y72</f>
        <v/>
      </c>
      <c r="I73" s="357" t="str">
        <f>Checklist!L72</f>
        <v/>
      </c>
      <c r="J73" s="357" t="str">
        <f>IF(H73="","",IF(Checklist!N72="","",Checklist!N72))</f>
        <v/>
      </c>
      <c r="K73" s="357" t="str">
        <f>Checklist!Z72</f>
        <v/>
      </c>
      <c r="L73" s="866"/>
      <c r="M73" s="869"/>
      <c r="N73" s="858"/>
      <c r="O73" s="6"/>
      <c r="P73" s="198"/>
      <c r="Q73" s="6"/>
      <c r="R73" s="219"/>
      <c r="S73" s="6"/>
      <c r="T73" s="6"/>
      <c r="U73" s="6"/>
      <c r="V73" s="6"/>
      <c r="W73" s="6"/>
      <c r="X73" s="6"/>
      <c r="Y73" s="6"/>
      <c r="Z73" s="227"/>
      <c r="AA73" s="58"/>
      <c r="AD73" s="227"/>
    </row>
    <row r="74" spans="1:30" s="7" customFormat="1" ht="15" customHeight="1">
      <c r="A74" s="860"/>
      <c r="B74" s="862"/>
      <c r="C74" s="864"/>
      <c r="D74" s="864"/>
      <c r="E74" s="253"/>
      <c r="F74" s="248">
        <v>15.4</v>
      </c>
      <c r="G74" s="302" t="str">
        <f>Checklist!X73</f>
        <v/>
      </c>
      <c r="H74" s="302" t="str">
        <f>Checklist!Y73</f>
        <v/>
      </c>
      <c r="I74" s="357" t="str">
        <f>Checklist!L73</f>
        <v/>
      </c>
      <c r="J74" s="357" t="str">
        <f>IF(H74="","",IF(Checklist!N73="","",Checklist!N73))</f>
        <v/>
      </c>
      <c r="K74" s="357" t="str">
        <f>Checklist!Z73</f>
        <v/>
      </c>
      <c r="L74" s="866"/>
      <c r="M74" s="869"/>
      <c r="N74" s="858"/>
      <c r="O74" s="6"/>
      <c r="P74" s="198"/>
      <c r="Q74" s="6"/>
      <c r="R74" s="219"/>
      <c r="S74" s="6"/>
      <c r="T74" s="6"/>
      <c r="U74" s="6"/>
      <c r="V74" s="6"/>
      <c r="W74" s="6"/>
      <c r="X74" s="6"/>
      <c r="Y74" s="6"/>
      <c r="Z74" s="227"/>
      <c r="AA74" s="58"/>
      <c r="AD74" s="227"/>
    </row>
    <row r="75" spans="1:30" s="7" customFormat="1" ht="15" customHeight="1">
      <c r="A75" s="860"/>
      <c r="B75" s="862"/>
      <c r="C75" s="864"/>
      <c r="D75" s="864"/>
      <c r="E75" s="365"/>
      <c r="F75" s="248">
        <v>15.5</v>
      </c>
      <c r="G75" s="302" t="str">
        <f>Checklist!X74</f>
        <v/>
      </c>
      <c r="H75" s="302" t="str">
        <f>Checklist!Y74</f>
        <v/>
      </c>
      <c r="I75" s="357" t="str">
        <f>Checklist!L74</f>
        <v/>
      </c>
      <c r="J75" s="357" t="str">
        <f>IF(H75="","",IF(Checklist!N74="","",Checklist!N74))</f>
        <v/>
      </c>
      <c r="K75" s="357" t="str">
        <f>Checklist!Z74</f>
        <v/>
      </c>
      <c r="L75" s="867"/>
      <c r="M75" s="870"/>
      <c r="N75" s="871"/>
      <c r="O75" s="6"/>
      <c r="P75" s="198"/>
      <c r="Q75" s="6"/>
      <c r="R75" s="219"/>
      <c r="S75" s="6"/>
      <c r="T75" s="6"/>
      <c r="U75" s="6"/>
      <c r="V75" s="6"/>
      <c r="W75" s="6"/>
      <c r="X75" s="6"/>
      <c r="Y75" s="6"/>
      <c r="Z75" s="227"/>
      <c r="AA75" s="58"/>
      <c r="AD75" s="227"/>
    </row>
    <row r="76" spans="1:30" s="7" customFormat="1" ht="15" customHeight="1">
      <c r="A76" s="859">
        <v>16</v>
      </c>
      <c r="B76" s="861" t="s">
        <v>598</v>
      </c>
      <c r="C76" s="863">
        <v>5</v>
      </c>
      <c r="D76" s="863">
        <v>0</v>
      </c>
      <c r="E76" s="252"/>
      <c r="F76" s="248">
        <v>16.100000000000001</v>
      </c>
      <c r="G76" s="302" t="str">
        <f>Checklist!X75</f>
        <v/>
      </c>
      <c r="H76" s="302" t="str">
        <f>Checklist!Y75</f>
        <v/>
      </c>
      <c r="I76" s="357" t="str">
        <f>Checklist!L75</f>
        <v/>
      </c>
      <c r="J76" s="357" t="str">
        <f>IF(H76="","",IF(Checklist!N75="","",Checklist!N75))</f>
        <v/>
      </c>
      <c r="K76" s="357" t="str">
        <f>Checklist!Z75</f>
        <v/>
      </c>
      <c r="L76" s="865" t="str">
        <f>IF(SUM(G76:G80)=0,"0",SUM(G76:G80)/($C76-(COUNTIF(G76:G80,"n/a"))))</f>
        <v>0</v>
      </c>
      <c r="M76" s="868" t="str">
        <f>IF(SUM(H76:H80)=0,"0",SUM(H76:H80)/($C76-(COUNTIF(H76:H80,"n/a"))))</f>
        <v>0</v>
      </c>
      <c r="N76" s="857" t="str">
        <f>IF(SUM(K76:K80)=0,"0",SUM(K76:K80)/($C76-(COUNTIF(K76:K80,"n/a"))))</f>
        <v>0</v>
      </c>
      <c r="O76" s="6"/>
      <c r="P76" s="198"/>
      <c r="Q76" s="6"/>
      <c r="R76" s="219"/>
      <c r="S76" s="6"/>
      <c r="T76" s="6"/>
      <c r="U76" s="6"/>
      <c r="V76" s="6"/>
      <c r="W76" s="6"/>
      <c r="X76" s="6"/>
      <c r="Y76" s="6"/>
      <c r="Z76" s="227"/>
      <c r="AA76" s="58"/>
      <c r="AD76" s="227"/>
    </row>
    <row r="77" spans="1:30" s="7" customFormat="1" ht="15" customHeight="1">
      <c r="A77" s="860"/>
      <c r="B77" s="862"/>
      <c r="C77" s="864"/>
      <c r="D77" s="864"/>
      <c r="E77" s="253"/>
      <c r="F77" s="248">
        <v>16.2</v>
      </c>
      <c r="G77" s="302" t="str">
        <f>Checklist!X76</f>
        <v/>
      </c>
      <c r="H77" s="302" t="str">
        <f>Checklist!Y76</f>
        <v/>
      </c>
      <c r="I77" s="357" t="str">
        <f>Checklist!L76</f>
        <v/>
      </c>
      <c r="J77" s="357" t="str">
        <f>IF(H77="","",IF(Checklist!N76="","",Checklist!N76))</f>
        <v/>
      </c>
      <c r="K77" s="357" t="str">
        <f>Checklist!Z76</f>
        <v/>
      </c>
      <c r="L77" s="866"/>
      <c r="M77" s="869"/>
      <c r="N77" s="858"/>
      <c r="O77" s="6"/>
      <c r="P77" s="198"/>
      <c r="Q77" s="6"/>
      <c r="R77" s="219"/>
      <c r="S77" s="6"/>
      <c r="T77" s="6"/>
      <c r="U77" s="6"/>
      <c r="V77" s="6"/>
      <c r="W77" s="6"/>
      <c r="X77" s="6"/>
      <c r="Y77" s="6"/>
      <c r="Z77" s="227"/>
      <c r="AA77" s="58"/>
      <c r="AD77" s="227"/>
    </row>
    <row r="78" spans="1:30" s="7" customFormat="1" ht="15" customHeight="1">
      <c r="A78" s="860"/>
      <c r="B78" s="862"/>
      <c r="C78" s="864"/>
      <c r="D78" s="864"/>
      <c r="E78" s="252"/>
      <c r="F78" s="248">
        <v>16.3</v>
      </c>
      <c r="G78" s="302" t="str">
        <f>Checklist!X77</f>
        <v/>
      </c>
      <c r="H78" s="302" t="str">
        <f>Checklist!Y77</f>
        <v/>
      </c>
      <c r="I78" s="357" t="str">
        <f>Checklist!L77</f>
        <v/>
      </c>
      <c r="J78" s="357" t="str">
        <f>IF(H78="","",IF(Checklist!N77="","",Checklist!N77))</f>
        <v/>
      </c>
      <c r="K78" s="357" t="str">
        <f>Checklist!Z77</f>
        <v/>
      </c>
      <c r="L78" s="866"/>
      <c r="M78" s="869"/>
      <c r="N78" s="858"/>
      <c r="O78" s="6"/>
      <c r="P78" s="198"/>
      <c r="Q78" s="6"/>
      <c r="R78" s="219"/>
      <c r="S78" s="6"/>
      <c r="T78" s="6"/>
      <c r="U78" s="6"/>
      <c r="V78" s="6"/>
      <c r="W78" s="6"/>
      <c r="X78" s="6"/>
      <c r="Y78" s="6"/>
      <c r="Z78" s="227"/>
      <c r="AA78" s="58"/>
      <c r="AD78" s="227"/>
    </row>
    <row r="79" spans="1:30" s="7" customFormat="1" ht="15" customHeight="1">
      <c r="A79" s="860"/>
      <c r="B79" s="862"/>
      <c r="C79" s="864"/>
      <c r="D79" s="864"/>
      <c r="E79" s="253"/>
      <c r="F79" s="248">
        <v>16.399999999999999</v>
      </c>
      <c r="G79" s="302" t="str">
        <f>Checklist!X78</f>
        <v/>
      </c>
      <c r="H79" s="302" t="str">
        <f>Checklist!Y78</f>
        <v/>
      </c>
      <c r="I79" s="357" t="str">
        <f>Checklist!L78</f>
        <v/>
      </c>
      <c r="J79" s="357" t="str">
        <f>IF(H79="","",IF(Checklist!N78="","",Checklist!N78))</f>
        <v/>
      </c>
      <c r="K79" s="357" t="str">
        <f>Checklist!Z78</f>
        <v/>
      </c>
      <c r="L79" s="866"/>
      <c r="M79" s="869"/>
      <c r="N79" s="858"/>
      <c r="O79" s="6"/>
      <c r="P79" s="198"/>
      <c r="Q79" s="6"/>
      <c r="R79" s="219"/>
      <c r="S79" s="6"/>
      <c r="T79" s="6"/>
      <c r="U79" s="6"/>
      <c r="V79" s="6"/>
      <c r="W79" s="6"/>
      <c r="X79" s="6"/>
      <c r="Y79" s="6"/>
      <c r="Z79" s="227"/>
      <c r="AA79" s="6"/>
      <c r="AB79" s="6"/>
      <c r="AC79" s="6"/>
      <c r="AD79" s="227"/>
    </row>
    <row r="80" spans="1:30" s="7" customFormat="1" ht="15" customHeight="1">
      <c r="A80" s="860"/>
      <c r="B80" s="862"/>
      <c r="C80" s="864"/>
      <c r="D80" s="864"/>
      <c r="E80" s="365"/>
      <c r="F80" s="248">
        <v>16.5</v>
      </c>
      <c r="G80" s="302" t="str">
        <f>Checklist!X79</f>
        <v/>
      </c>
      <c r="H80" s="302" t="str">
        <f>Checklist!Y79</f>
        <v/>
      </c>
      <c r="I80" s="357" t="str">
        <f>Checklist!L79</f>
        <v/>
      </c>
      <c r="J80" s="357" t="str">
        <f>IF(H80="","",IF(Checklist!N79="","",Checklist!N79))</f>
        <v/>
      </c>
      <c r="K80" s="357" t="str">
        <f>Checklist!Z79</f>
        <v/>
      </c>
      <c r="L80" s="867"/>
      <c r="M80" s="870"/>
      <c r="N80" s="871"/>
      <c r="O80" s="6"/>
      <c r="P80" s="198"/>
      <c r="Q80" s="6"/>
      <c r="R80" s="219"/>
      <c r="S80" s="6"/>
      <c r="T80" s="6"/>
      <c r="U80" s="6"/>
      <c r="V80" s="6"/>
      <c r="W80" s="6"/>
      <c r="X80" s="6"/>
      <c r="Y80" s="6"/>
      <c r="Z80" s="227"/>
      <c r="AA80" s="6"/>
      <c r="AB80" s="6"/>
      <c r="AC80" s="6"/>
      <c r="AD80" s="227"/>
    </row>
    <row r="81" spans="1:36" s="7" customFormat="1" ht="15" customHeight="1">
      <c r="A81" s="859">
        <v>17</v>
      </c>
      <c r="B81" s="861" t="s">
        <v>599</v>
      </c>
      <c r="C81" s="863">
        <v>3</v>
      </c>
      <c r="D81" s="863">
        <v>0</v>
      </c>
      <c r="E81" s="252"/>
      <c r="F81" s="248">
        <v>17.100000000000001</v>
      </c>
      <c r="G81" s="302" t="str">
        <f>Checklist!X80</f>
        <v/>
      </c>
      <c r="H81" s="302" t="str">
        <f>Checklist!Y80</f>
        <v/>
      </c>
      <c r="I81" s="357" t="str">
        <f>Checklist!L80</f>
        <v/>
      </c>
      <c r="J81" s="357" t="str">
        <f>IF(H81="","",IF(Checklist!N80="","",Checklist!N80))</f>
        <v/>
      </c>
      <c r="K81" s="357" t="str">
        <f>Checklist!Z80</f>
        <v/>
      </c>
      <c r="L81" s="865" t="str">
        <f>IF(SUM(G81:G83)=0,"0",SUM(G81:G83)/($C81-(COUNTIF(G81:G83,"n/a"))))</f>
        <v>0</v>
      </c>
      <c r="M81" s="868" t="str">
        <f>IF(SUM(H81:H83)=0,"0",SUM(H81:H83)/($C81-(COUNTIF(H81:H83,"n/a"))))</f>
        <v>0</v>
      </c>
      <c r="N81" s="857" t="str">
        <f>IF(SUM(K81:K83)=0,"0",SUM(K81:K83)/($C81-(COUNTIF(K81:K83,"n/a"))))</f>
        <v>0</v>
      </c>
      <c r="O81" s="6"/>
      <c r="P81" s="198"/>
      <c r="Q81" s="6"/>
      <c r="R81" s="219"/>
      <c r="S81" s="6"/>
      <c r="T81" s="6"/>
      <c r="U81" s="6"/>
      <c r="V81" s="6"/>
      <c r="W81" s="6"/>
      <c r="X81" s="6"/>
      <c r="Y81" s="6"/>
      <c r="Z81" s="227"/>
      <c r="AA81" s="6"/>
      <c r="AB81" s="6"/>
      <c r="AC81" s="6"/>
      <c r="AD81" s="227"/>
    </row>
    <row r="82" spans="1:36" s="7" customFormat="1" ht="15" customHeight="1">
      <c r="A82" s="860"/>
      <c r="B82" s="862"/>
      <c r="C82" s="864"/>
      <c r="D82" s="864"/>
      <c r="E82" s="252"/>
      <c r="F82" s="248">
        <v>17.2</v>
      </c>
      <c r="G82" s="302" t="str">
        <f>Checklist!X81</f>
        <v/>
      </c>
      <c r="H82" s="302" t="str">
        <f>Checklist!Y81</f>
        <v/>
      </c>
      <c r="I82" s="357" t="str">
        <f>Checklist!L81</f>
        <v/>
      </c>
      <c r="J82" s="357" t="str">
        <f>IF(H82="","",IF(Checklist!N81="","",Checklist!N81))</f>
        <v/>
      </c>
      <c r="K82" s="357" t="str">
        <f>Checklist!Z81</f>
        <v/>
      </c>
      <c r="L82" s="866"/>
      <c r="M82" s="869"/>
      <c r="N82" s="858"/>
      <c r="O82" s="6"/>
      <c r="P82" s="198"/>
      <c r="Q82" s="6"/>
      <c r="R82" s="219"/>
      <c r="S82" s="6"/>
      <c r="T82" s="6"/>
      <c r="U82" s="6"/>
      <c r="V82" s="6"/>
      <c r="W82" s="6"/>
      <c r="X82" s="6"/>
      <c r="Y82" s="6"/>
      <c r="Z82" s="227"/>
      <c r="AA82" s="6"/>
      <c r="AB82" s="58"/>
      <c r="AC82" s="58"/>
      <c r="AD82" s="227"/>
    </row>
    <row r="83" spans="1:36" s="7" customFormat="1" ht="15" customHeight="1">
      <c r="A83" s="860"/>
      <c r="B83" s="862"/>
      <c r="C83" s="864"/>
      <c r="D83" s="864"/>
      <c r="E83" s="364"/>
      <c r="F83" s="248">
        <v>17.3</v>
      </c>
      <c r="G83" s="302" t="str">
        <f>Checklist!X82</f>
        <v/>
      </c>
      <c r="H83" s="302" t="str">
        <f>Checklist!Y82</f>
        <v/>
      </c>
      <c r="I83" s="357" t="str">
        <f>Checklist!L82</f>
        <v/>
      </c>
      <c r="J83" s="357" t="str">
        <f>IF(H83="","",IF(Checklist!N82="","",Checklist!N82))</f>
        <v/>
      </c>
      <c r="K83" s="357" t="str">
        <f>Checklist!Z82</f>
        <v/>
      </c>
      <c r="L83" s="867"/>
      <c r="M83" s="870"/>
      <c r="N83" s="871"/>
      <c r="O83" s="6"/>
      <c r="P83" s="198"/>
      <c r="Q83" s="6"/>
      <c r="R83" s="219"/>
      <c r="S83" s="6"/>
      <c r="T83" s="6"/>
      <c r="U83" s="6"/>
      <c r="V83" s="6"/>
      <c r="W83" s="6"/>
      <c r="X83" s="6"/>
      <c r="Y83" s="6"/>
      <c r="Z83" s="227"/>
      <c r="AA83" s="78"/>
      <c r="AB83" s="58"/>
      <c r="AC83" s="58"/>
      <c r="AD83" s="227"/>
    </row>
    <row r="84" spans="1:36" s="7" customFormat="1" ht="15" customHeight="1">
      <c r="A84" s="859">
        <v>18</v>
      </c>
      <c r="B84" s="861" t="s">
        <v>600</v>
      </c>
      <c r="C84" s="863">
        <v>4</v>
      </c>
      <c r="D84" s="863">
        <v>0</v>
      </c>
      <c r="E84" s="252"/>
      <c r="F84" s="248">
        <v>18.100000000000001</v>
      </c>
      <c r="G84" s="302" t="str">
        <f>Checklist!X83</f>
        <v/>
      </c>
      <c r="H84" s="302" t="str">
        <f>Checklist!Y83</f>
        <v/>
      </c>
      <c r="I84" s="357" t="str">
        <f>Checklist!L83</f>
        <v/>
      </c>
      <c r="J84" s="357" t="str">
        <f>IF(H84="","",IF(Checklist!N83="","",Checklist!N83))</f>
        <v/>
      </c>
      <c r="K84" s="357" t="str">
        <f>Checklist!Z83</f>
        <v/>
      </c>
      <c r="L84" s="865" t="str">
        <f>IF(SUM(G84:G87)=0,"0",SUM(G84:G87)/($C84-(COUNTIF(G84:G87,"n/a"))))</f>
        <v>0</v>
      </c>
      <c r="M84" s="868" t="str">
        <f>IF(SUM(H84:H87)=0,"0",SUM(H84:H87)/($C84-(COUNTIF(H84:H87,"n/a"))))</f>
        <v>0</v>
      </c>
      <c r="N84" s="857" t="str">
        <f>IF(SUM(K84:K87)=0,"0",SUM(K84:K87)/($C84-(COUNTIF(K84:K87,"n/a"))))</f>
        <v>0</v>
      </c>
      <c r="O84" s="6"/>
      <c r="P84" s="198"/>
      <c r="Q84" s="6"/>
      <c r="R84" s="219"/>
      <c r="S84" s="6"/>
      <c r="T84" s="6"/>
      <c r="U84" s="6"/>
      <c r="V84" s="6"/>
      <c r="W84" s="6"/>
      <c r="X84" s="6"/>
      <c r="Y84" s="6"/>
      <c r="Z84" s="227"/>
      <c r="AA84" s="15"/>
      <c r="AB84" s="6"/>
      <c r="AC84" s="6"/>
      <c r="AD84" s="227"/>
    </row>
    <row r="85" spans="1:36" s="7" customFormat="1" ht="15" customHeight="1">
      <c r="A85" s="860"/>
      <c r="B85" s="862"/>
      <c r="C85" s="864"/>
      <c r="D85" s="864"/>
      <c r="E85" s="252"/>
      <c r="F85" s="248">
        <v>18.2</v>
      </c>
      <c r="G85" s="302" t="str">
        <f>Checklist!X84</f>
        <v/>
      </c>
      <c r="H85" s="302" t="str">
        <f>Checklist!Y84</f>
        <v/>
      </c>
      <c r="I85" s="357" t="str">
        <f>Checklist!L84</f>
        <v/>
      </c>
      <c r="J85" s="357" t="str">
        <f>IF(H85="","",IF(Checklist!N84="","",Checklist!N84))</f>
        <v/>
      </c>
      <c r="K85" s="357" t="str">
        <f>Checklist!Z84</f>
        <v/>
      </c>
      <c r="L85" s="866"/>
      <c r="M85" s="869"/>
      <c r="N85" s="858"/>
      <c r="O85" s="6"/>
      <c r="P85" s="198"/>
      <c r="Q85" s="6"/>
      <c r="R85" s="219"/>
      <c r="S85" s="6"/>
      <c r="T85" s="6"/>
      <c r="U85" s="6"/>
      <c r="V85" s="6"/>
      <c r="W85" s="6"/>
      <c r="X85" s="6"/>
      <c r="Y85" s="6"/>
      <c r="Z85" s="227"/>
      <c r="AA85" s="58"/>
      <c r="AB85" s="6"/>
      <c r="AC85" s="6"/>
      <c r="AD85" s="227"/>
    </row>
    <row r="86" spans="1:36" s="7" customFormat="1" ht="15" customHeight="1">
      <c r="A86" s="860"/>
      <c r="B86" s="862"/>
      <c r="C86" s="864"/>
      <c r="D86" s="864"/>
      <c r="E86" s="252"/>
      <c r="F86" s="248">
        <v>18.3</v>
      </c>
      <c r="G86" s="302" t="str">
        <f>Checklist!X85</f>
        <v/>
      </c>
      <c r="H86" s="302" t="str">
        <f>Checklist!Y85</f>
        <v/>
      </c>
      <c r="I86" s="357" t="str">
        <f>Checklist!L85</f>
        <v/>
      </c>
      <c r="J86" s="357" t="str">
        <f>IF(H86="","",IF(Checklist!N85="","",Checklist!N85))</f>
        <v/>
      </c>
      <c r="K86" s="357" t="str">
        <f>Checklist!Z85</f>
        <v/>
      </c>
      <c r="L86" s="866"/>
      <c r="M86" s="869"/>
      <c r="N86" s="858"/>
      <c r="O86" s="6"/>
      <c r="P86" s="198"/>
      <c r="Q86" s="6"/>
      <c r="R86" s="219"/>
      <c r="S86" s="6"/>
      <c r="T86" s="6"/>
      <c r="U86" s="6"/>
      <c r="V86" s="6"/>
      <c r="W86" s="6"/>
      <c r="X86" s="6"/>
      <c r="Y86" s="6"/>
      <c r="Z86" s="227"/>
      <c r="AA86" s="58"/>
      <c r="AB86" s="206"/>
      <c r="AC86" s="206"/>
      <c r="AD86" s="227"/>
    </row>
    <row r="87" spans="1:36" s="7" customFormat="1" ht="15" customHeight="1" thickBot="1">
      <c r="A87" s="860"/>
      <c r="B87" s="862"/>
      <c r="C87" s="864"/>
      <c r="D87" s="864"/>
      <c r="E87" s="366"/>
      <c r="F87" s="367">
        <v>18.399999999999999</v>
      </c>
      <c r="G87" s="421" t="str">
        <f>Checklist!X86</f>
        <v/>
      </c>
      <c r="H87" s="421" t="str">
        <f>Checklist!Y86</f>
        <v/>
      </c>
      <c r="I87" s="502" t="str">
        <f>Checklist!L86</f>
        <v/>
      </c>
      <c r="J87" s="502" t="str">
        <f>IF(H87="","",IF(Checklist!N86="","",Checklist!N86))</f>
        <v/>
      </c>
      <c r="K87" s="502" t="str">
        <f>Checklist!Z86</f>
        <v/>
      </c>
      <c r="L87" s="866"/>
      <c r="M87" s="869"/>
      <c r="N87" s="858"/>
      <c r="O87" s="6"/>
      <c r="P87" s="198"/>
      <c r="Q87" s="6"/>
      <c r="R87" s="219"/>
      <c r="S87" s="6"/>
      <c r="T87" s="6"/>
      <c r="U87" s="6"/>
      <c r="V87" s="6"/>
      <c r="W87" s="6"/>
      <c r="X87" s="6"/>
      <c r="Y87" s="6"/>
      <c r="Z87" s="227"/>
      <c r="AA87" s="6"/>
      <c r="AB87" s="206"/>
      <c r="AC87" s="206"/>
      <c r="AD87" s="227"/>
    </row>
    <row r="88" spans="1:36" s="7" customFormat="1" ht="15" customHeight="1">
      <c r="A88" s="840" t="s">
        <v>601</v>
      </c>
      <c r="B88" s="841"/>
      <c r="C88" s="504">
        <f>SUM(C8:C87)</f>
        <v>80</v>
      </c>
      <c r="D88" s="504">
        <f>SUM(D8:D87)</f>
        <v>23</v>
      </c>
      <c r="E88" s="505"/>
      <c r="F88" s="506"/>
      <c r="G88" s="507">
        <f>SUM(G8,G9,G12,G16,G25,G18,G26,G27,G32,G33,G34,G36,G37,G42,G38,G40,G43,G48,G51,G53,G58,G61,G63)/$D$88/100</f>
        <v>0</v>
      </c>
      <c r="H88" s="508">
        <f>SUM(H8,H9,H12,H16,H25,H18,H26,H27,H32,H33,H34,H36,H37,H42,H38,H40,H43,H48,H51,H53,H58,H61,H63)/$D$88/100</f>
        <v>0</v>
      </c>
      <c r="I88" s="509">
        <f t="array" ref="I88">SUM(IF($E$8:$E$87="M",1,0)*IF($I$8:$I$87="Y",1,0))</f>
        <v>0</v>
      </c>
      <c r="J88" s="509">
        <f t="array" ref="J88">SUM(IF($E$8:$E$87="M",1,0)*IF($J$8:$J$87="Open",1,0))</f>
        <v>0</v>
      </c>
      <c r="K88" s="508">
        <f>SUM(K8,K9,K12,K16,K25,K18,K26,K27,K32,K33,K34,K36,K37,K42,K38,K40,K43,K48,K51,K53,K58,K61,K63)/$D$88/100</f>
        <v>0</v>
      </c>
      <c r="L88" s="854" t="s">
        <v>602</v>
      </c>
      <c r="M88" s="855"/>
      <c r="N88" s="856"/>
      <c r="P88" s="255"/>
      <c r="R88" s="75"/>
      <c r="S88" s="75"/>
      <c r="Y88" s="6"/>
      <c r="Z88" s="227"/>
      <c r="AA88" s="6"/>
      <c r="AB88" s="265"/>
      <c r="AC88" s="265"/>
      <c r="AD88" s="227"/>
    </row>
    <row r="89" spans="1:36" s="7" customFormat="1" ht="15" customHeight="1">
      <c r="A89" s="842" t="s">
        <v>603</v>
      </c>
      <c r="B89" s="843"/>
      <c r="C89" s="510">
        <f>C88-COUNTIF(H8:H87,"n/a")-COUNTIF(H8:H87,"")</f>
        <v>0</v>
      </c>
      <c r="D89" s="510">
        <f>D88-COUNTIF(AC22:AC44,"")-COUNTIF(AC22:AC44,"n/a")</f>
        <v>0</v>
      </c>
      <c r="E89" s="505"/>
      <c r="F89" s="506"/>
      <c r="G89" s="503">
        <f>Checklist!H91</f>
        <v>0</v>
      </c>
      <c r="H89" s="304">
        <f>Checklist!I91</f>
        <v>0</v>
      </c>
      <c r="I89" s="373">
        <f>COUNTIF(I8:I87,"Y")</f>
        <v>0</v>
      </c>
      <c r="J89" s="373">
        <f>COUNTIF(J8:J87,"Open")</f>
        <v>0</v>
      </c>
      <c r="K89" s="304">
        <f>Checklist!J91</f>
        <v>0</v>
      </c>
      <c r="L89" s="850" t="s">
        <v>604</v>
      </c>
      <c r="M89" s="850"/>
      <c r="N89" s="851"/>
      <c r="P89" s="245"/>
      <c r="Q89" s="245"/>
      <c r="R89" s="256"/>
      <c r="S89" s="256"/>
      <c r="Z89" s="227"/>
      <c r="AA89" s="488">
        <f>(Checklist!I89+'Technical Assessment - Generic'!H17)/(Checklist!H90+'Technical Assessment - Generic'!H18)</f>
        <v>0</v>
      </c>
      <c r="AB89" s="489"/>
      <c r="AC89" s="265"/>
      <c r="AD89" s="227"/>
    </row>
    <row r="90" spans="1:36" s="7" customFormat="1" ht="15" customHeight="1">
      <c r="A90" s="844" t="s">
        <v>605</v>
      </c>
      <c r="B90" s="845"/>
      <c r="C90" s="845"/>
      <c r="D90" s="845"/>
      <c r="E90" s="845"/>
      <c r="F90" s="845"/>
      <c r="G90" s="511"/>
      <c r="H90" s="304">
        <f>'Technical Assessment - Generic'!H19</f>
        <v>0</v>
      </c>
      <c r="I90" s="373">
        <f>'Technical Assessment - Generic'!K21</f>
        <v>0</v>
      </c>
      <c r="J90" s="373">
        <f>'Technical Assessment - Generic'!M21</f>
        <v>0</v>
      </c>
      <c r="K90" s="304">
        <f>'Technical Assessment - Generic'!I19</f>
        <v>0</v>
      </c>
      <c r="L90" s="852" t="s">
        <v>606</v>
      </c>
      <c r="M90" s="852"/>
      <c r="N90" s="853"/>
      <c r="Q90" s="245"/>
      <c r="R90" s="245"/>
      <c r="S90" s="245"/>
      <c r="T90" s="245"/>
      <c r="U90" s="245"/>
      <c r="V90" s="245"/>
      <c r="Z90" s="227"/>
      <c r="AA90" s="488">
        <f>(Checklist!J89+'Technical Assessment - Generic'!I17)/(Checklist!J90+'Technical Assessment - Generic'!I18)</f>
        <v>0</v>
      </c>
      <c r="AB90" s="265"/>
      <c r="AC90" s="265"/>
      <c r="AD90" s="227"/>
    </row>
    <row r="91" spans="1:36" s="7" customFormat="1" ht="45.75" customHeight="1" thickBot="1">
      <c r="A91" s="846" t="s">
        <v>607</v>
      </c>
      <c r="B91" s="847"/>
      <c r="C91" s="847"/>
      <c r="D91" s="847"/>
      <c r="E91" s="847"/>
      <c r="F91" s="847"/>
      <c r="G91" s="512"/>
      <c r="H91" s="577">
        <f>IF(H90=0,H89,AA89)</f>
        <v>0</v>
      </c>
      <c r="I91" s="578">
        <f>I89+I90</f>
        <v>0</v>
      </c>
      <c r="J91" s="579">
        <f>J89+J90</f>
        <v>0</v>
      </c>
      <c r="K91" s="580">
        <f>IF(K90=0,K89,AA90)</f>
        <v>0</v>
      </c>
      <c r="L91" s="581" t="s">
        <v>608</v>
      </c>
      <c r="M91" s="848" t="s">
        <v>609</v>
      </c>
      <c r="N91" s="849"/>
      <c r="P91" s="257"/>
      <c r="Q91" s="245"/>
      <c r="R91" s="245"/>
      <c r="S91" s="245"/>
      <c r="T91" s="245"/>
      <c r="U91" s="245"/>
      <c r="V91" s="245"/>
      <c r="Z91" s="227"/>
      <c r="AA91" s="6" t="s">
        <v>610</v>
      </c>
      <c r="AB91" s="6"/>
      <c r="AC91" s="6"/>
      <c r="AD91" s="227"/>
    </row>
    <row r="92" spans="1:36" ht="15" customHeight="1" thickBot="1">
      <c r="A92" s="352"/>
      <c r="B92" s="352"/>
      <c r="C92" s="352"/>
      <c r="D92" s="352"/>
      <c r="E92" s="352"/>
      <c r="F92" s="352"/>
      <c r="G92" s="352"/>
      <c r="H92" s="352"/>
      <c r="I92" s="352"/>
      <c r="J92" s="352"/>
      <c r="K92" s="352"/>
      <c r="L92" s="352"/>
      <c r="M92" s="352"/>
      <c r="N92" s="352"/>
      <c r="O92" s="206"/>
      <c r="P92" s="206"/>
      <c r="Q92" s="206"/>
      <c r="R92" s="206"/>
      <c r="S92" s="206"/>
      <c r="T92" s="206"/>
      <c r="U92" s="6"/>
      <c r="V92" s="6"/>
      <c r="W92" s="142"/>
      <c r="X92" s="143"/>
      <c r="Y92" s="143"/>
      <c r="Z92" s="143"/>
      <c r="AA92" s="58"/>
      <c r="AJ92" s="15"/>
    </row>
    <row r="93" spans="1:36" ht="15" customHeight="1">
      <c r="A93" s="872" t="s">
        <v>611</v>
      </c>
      <c r="B93" s="873"/>
      <c r="C93" s="873"/>
      <c r="D93" s="873"/>
      <c r="E93" s="873"/>
      <c r="F93" s="873"/>
      <c r="G93" s="873"/>
      <c r="H93" s="873"/>
      <c r="I93" s="873"/>
      <c r="J93" s="873"/>
      <c r="K93" s="873"/>
      <c r="L93" s="873"/>
      <c r="M93" s="873"/>
      <c r="N93" s="874"/>
      <c r="O93" s="246"/>
      <c r="P93" s="258"/>
      <c r="Q93" s="246"/>
      <c r="R93" s="75"/>
      <c r="S93" s="75"/>
      <c r="T93" s="246"/>
      <c r="U93" s="246"/>
      <c r="V93" s="246"/>
      <c r="W93" s="246"/>
      <c r="X93" s="258"/>
      <c r="Y93" s="246"/>
      <c r="Z93" s="259"/>
      <c r="AD93" s="259"/>
    </row>
    <row r="94" spans="1:36" ht="36">
      <c r="A94" s="540"/>
      <c r="B94" s="541"/>
      <c r="C94" s="541"/>
      <c r="D94" s="541"/>
      <c r="E94" s="541"/>
      <c r="F94" s="541"/>
      <c r="G94" s="542"/>
      <c r="H94" s="543" t="s">
        <v>284</v>
      </c>
      <c r="I94" s="543" t="s">
        <v>612</v>
      </c>
      <c r="J94" s="543" t="s">
        <v>613</v>
      </c>
      <c r="K94" s="543" t="s">
        <v>285</v>
      </c>
      <c r="L94" s="875" t="s">
        <v>614</v>
      </c>
      <c r="M94" s="876"/>
      <c r="N94" s="877"/>
      <c r="Q94" s="260"/>
      <c r="Z94" s="215"/>
      <c r="AA94" s="266"/>
      <c r="AB94" s="76"/>
      <c r="AC94" s="76"/>
      <c r="AD94" s="215"/>
    </row>
    <row r="95" spans="1:36" s="58" customFormat="1" ht="15" customHeight="1">
      <c r="A95" s="827" t="s">
        <v>615</v>
      </c>
      <c r="B95" s="828"/>
      <c r="C95" s="831" t="s">
        <v>616</v>
      </c>
      <c r="D95" s="832"/>
      <c r="E95" s="832"/>
      <c r="F95" s="832"/>
      <c r="G95" s="833"/>
      <c r="H95" s="491"/>
      <c r="I95" s="491"/>
      <c r="J95" s="469">
        <f>COUNTIFS(E8:E87,"M",J8:J87,"Open")</f>
        <v>0</v>
      </c>
      <c r="K95" s="513">
        <f>K88</f>
        <v>0</v>
      </c>
      <c r="L95" s="834" t="str">
        <f>IF(J95=0,"Passed",IF(K95&gt;=0.7,"Passed","Action Required"))</f>
        <v>Passed</v>
      </c>
      <c r="M95" s="835"/>
      <c r="N95" s="836"/>
      <c r="P95" s="261"/>
      <c r="Q95" s="78"/>
      <c r="R95" s="247"/>
      <c r="U95" s="262"/>
      <c r="V95" s="262"/>
      <c r="W95" s="262"/>
      <c r="X95" s="262"/>
      <c r="Y95" s="262"/>
      <c r="Z95" s="254"/>
      <c r="AA95" s="6"/>
      <c r="AB95" s="6"/>
      <c r="AC95" s="6"/>
      <c r="AD95" s="254"/>
    </row>
    <row r="96" spans="1:36" s="58" customFormat="1" ht="15" customHeight="1">
      <c r="A96" s="827"/>
      <c r="B96" s="828"/>
      <c r="C96" s="837" t="s">
        <v>617</v>
      </c>
      <c r="D96" s="838"/>
      <c r="E96" s="838"/>
      <c r="F96" s="838"/>
      <c r="G96" s="839"/>
      <c r="H96" s="422">
        <f>H91</f>
        <v>0</v>
      </c>
      <c r="I96" s="490"/>
      <c r="J96" s="490"/>
      <c r="K96" s="491"/>
      <c r="L96" s="825" t="str">
        <f>IF(H96=0,"",IF(J91=0,"",IF(H96&gt;=0.7,"Passed","Action Required")))</f>
        <v/>
      </c>
      <c r="M96" s="799"/>
      <c r="N96" s="826"/>
      <c r="P96" s="261"/>
      <c r="Q96" s="773"/>
      <c r="R96" s="247"/>
      <c r="U96" s="262"/>
      <c r="V96" s="262"/>
      <c r="W96" s="262"/>
      <c r="X96" s="262"/>
      <c r="Y96" s="262"/>
      <c r="Z96" s="254"/>
      <c r="AA96" s="6"/>
      <c r="AB96" s="6"/>
      <c r="AC96" s="6"/>
      <c r="AD96" s="254"/>
    </row>
    <row r="97" spans="1:31" ht="15" customHeight="1">
      <c r="A97" s="827"/>
      <c r="B97" s="828"/>
      <c r="C97" s="822" t="s">
        <v>618</v>
      </c>
      <c r="D97" s="823"/>
      <c r="E97" s="823"/>
      <c r="F97" s="823"/>
      <c r="G97" s="824"/>
      <c r="H97" s="491"/>
      <c r="I97" s="263">
        <f>I91</f>
        <v>0</v>
      </c>
      <c r="J97" s="490"/>
      <c r="K97" s="490"/>
      <c r="L97" s="825" t="str">
        <f>IF(H91=0,"",IF(J91=0,"",IF(I97&gt;=1,"Action Required","Passed")))</f>
        <v/>
      </c>
      <c r="M97" s="799"/>
      <c r="N97" s="826"/>
      <c r="Q97" s="773"/>
      <c r="Z97" s="215"/>
      <c r="AD97" s="215"/>
    </row>
    <row r="98" spans="1:31" ht="15" customHeight="1">
      <c r="A98" s="827"/>
      <c r="B98" s="828"/>
      <c r="C98" s="822" t="s">
        <v>619</v>
      </c>
      <c r="D98" s="823"/>
      <c r="E98" s="823"/>
      <c r="F98" s="823"/>
      <c r="G98" s="824"/>
      <c r="H98" s="490"/>
      <c r="I98" s="490"/>
      <c r="J98" s="263">
        <f>J91</f>
        <v>0</v>
      </c>
      <c r="K98" s="490"/>
      <c r="L98" s="825" t="str">
        <f>IF(H91=0,"",IF(J98&gt;=1,"Action Required","Passed"))</f>
        <v/>
      </c>
      <c r="M98" s="799"/>
      <c r="N98" s="826"/>
      <c r="Q98" s="773"/>
      <c r="Z98" s="215"/>
      <c r="AA98" s="76"/>
      <c r="AD98" s="215"/>
    </row>
    <row r="99" spans="1:31" ht="15" customHeight="1">
      <c r="A99" s="829"/>
      <c r="B99" s="830"/>
      <c r="C99" s="822" t="s">
        <v>620</v>
      </c>
      <c r="D99" s="823"/>
      <c r="E99" s="823"/>
      <c r="F99" s="823"/>
      <c r="G99" s="824"/>
      <c r="H99" s="490"/>
      <c r="I99" s="490"/>
      <c r="J99" s="490"/>
      <c r="K99" s="422">
        <f>K91</f>
        <v>0</v>
      </c>
      <c r="L99" s="825" t="str">
        <f>IF(K99=0,"",IF(K99&gt;=0.7,"Passed","Action Required"))</f>
        <v/>
      </c>
      <c r="M99" s="799"/>
      <c r="N99" s="826"/>
      <c r="P99" s="772"/>
      <c r="Q99" s="773"/>
      <c r="R99" s="206"/>
      <c r="S99" s="206"/>
      <c r="T99" s="206"/>
      <c r="U99" s="206"/>
      <c r="V99" s="206"/>
      <c r="W99" s="206"/>
      <c r="X99" s="206"/>
      <c r="Y99" s="206"/>
      <c r="Z99" s="264"/>
      <c r="AB99" s="206"/>
      <c r="AC99" s="206"/>
      <c r="AD99" s="215"/>
    </row>
    <row r="100" spans="1:31" s="58" customFormat="1" ht="15" customHeight="1" thickBot="1">
      <c r="A100" s="352"/>
      <c r="B100" s="352"/>
      <c r="C100" s="352"/>
      <c r="D100" s="352"/>
      <c r="E100" s="352"/>
      <c r="F100" s="352"/>
      <c r="G100" s="352"/>
      <c r="H100" s="352"/>
      <c r="I100" s="352"/>
      <c r="J100" s="352"/>
      <c r="K100" s="352"/>
      <c r="L100" s="352"/>
      <c r="M100" s="352"/>
      <c r="N100" s="352"/>
      <c r="P100" s="772"/>
      <c r="Q100" s="773"/>
      <c r="R100" s="206"/>
      <c r="S100" s="206"/>
      <c r="T100" s="206"/>
      <c r="U100" s="206"/>
      <c r="V100" s="206"/>
      <c r="W100" s="206"/>
      <c r="X100" s="206"/>
      <c r="Y100" s="206"/>
      <c r="Z100" s="264"/>
      <c r="AA100" s="6"/>
      <c r="AB100" s="266"/>
      <c r="AC100" s="266"/>
      <c r="AD100" s="254"/>
    </row>
    <row r="101" spans="1:31" s="58" customFormat="1" ht="30" customHeight="1">
      <c r="A101" s="783" t="s">
        <v>621</v>
      </c>
      <c r="B101" s="784"/>
      <c r="C101" s="791" t="s">
        <v>622</v>
      </c>
      <c r="D101" s="792"/>
      <c r="E101" s="793">
        <f>H88</f>
        <v>0</v>
      </c>
      <c r="F101" s="794"/>
      <c r="G101" s="791" t="s">
        <v>623</v>
      </c>
      <c r="H101" s="792"/>
      <c r="I101" s="576">
        <f>H91</f>
        <v>0</v>
      </c>
      <c r="J101" s="790" t="s">
        <v>624</v>
      </c>
      <c r="K101" s="784"/>
      <c r="L101" s="780" t="str">
        <f>IF(AND(E101&gt;=70%,I101&gt;=70%),"Passed",IF(AND(E101&gt;=60%,I101&gt;=60%),"Conditional Approved",IF(OR(E101&lt;60%,I101&lt;60%),"Rejected","")))</f>
        <v>Rejected</v>
      </c>
      <c r="M101" s="781"/>
      <c r="N101" s="782"/>
      <c r="P101" s="6"/>
      <c r="Q101" s="78"/>
      <c r="R101" s="206"/>
      <c r="S101" s="206"/>
      <c r="T101" s="206"/>
      <c r="U101" s="206"/>
      <c r="V101" s="206"/>
      <c r="W101" s="206"/>
      <c r="X101" s="206"/>
      <c r="Y101" s="206"/>
      <c r="Z101" s="264"/>
      <c r="AA101" s="206"/>
      <c r="AB101" s="266"/>
      <c r="AC101" s="266"/>
      <c r="AD101" s="254"/>
    </row>
    <row r="102" spans="1:31" ht="45" customHeight="1">
      <c r="A102" s="763" t="s">
        <v>625</v>
      </c>
      <c r="B102" s="764"/>
      <c r="C102" s="765"/>
      <c r="D102" s="765"/>
      <c r="E102" s="765"/>
      <c r="F102" s="765"/>
      <c r="G102" s="765"/>
      <c r="H102" s="765"/>
      <c r="I102" s="765"/>
      <c r="J102" s="765"/>
      <c r="K102" s="765"/>
      <c r="L102" s="764"/>
      <c r="M102" s="764"/>
      <c r="N102" s="785"/>
      <c r="O102" s="76"/>
      <c r="P102" s="76"/>
      <c r="Q102" s="198"/>
      <c r="T102" s="76"/>
      <c r="U102" s="76"/>
      <c r="V102" s="6"/>
      <c r="W102" s="6"/>
      <c r="X102" s="6"/>
      <c r="Y102" s="76"/>
      <c r="Z102" s="215"/>
      <c r="AD102" s="215"/>
      <c r="AE102" s="76"/>
    </row>
    <row r="103" spans="1:31" ht="15" customHeight="1">
      <c r="A103" s="468"/>
      <c r="B103" s="267"/>
      <c r="C103" s="76"/>
      <c r="D103" s="268"/>
      <c r="E103" s="269"/>
      <c r="F103" s="76"/>
      <c r="G103" s="15"/>
      <c r="H103" s="270"/>
      <c r="I103" s="270"/>
      <c r="J103" s="270"/>
      <c r="K103" s="270"/>
      <c r="L103" s="271"/>
      <c r="M103" s="271"/>
      <c r="N103" s="272"/>
      <c r="Q103" s="14"/>
      <c r="U103" s="273"/>
      <c r="V103" s="6"/>
      <c r="W103" s="6"/>
      <c r="X103" s="6"/>
      <c r="Y103" s="76"/>
      <c r="Z103" s="215"/>
      <c r="AB103" s="76"/>
      <c r="AC103" s="76"/>
      <c r="AD103" s="215"/>
      <c r="AE103" s="76"/>
    </row>
    <row r="104" spans="1:31" ht="15" customHeight="1">
      <c r="A104" s="786" t="s">
        <v>626</v>
      </c>
      <c r="B104" s="787"/>
      <c r="C104" s="769"/>
      <c r="D104" s="770"/>
      <c r="E104" s="770"/>
      <c r="F104" s="770"/>
      <c r="G104" s="770"/>
      <c r="H104" s="771"/>
      <c r="I104" s="83"/>
      <c r="J104" s="6"/>
      <c r="K104" s="470" t="s">
        <v>627</v>
      </c>
      <c r="L104" s="788"/>
      <c r="M104" s="789"/>
      <c r="N104" s="575" t="s">
        <v>628</v>
      </c>
      <c r="P104" s="76"/>
      <c r="Q104" s="198"/>
      <c r="T104" s="76"/>
      <c r="U104" s="76"/>
      <c r="V104" s="76"/>
      <c r="W104" s="76"/>
      <c r="X104" s="76"/>
      <c r="Y104" s="76"/>
      <c r="Z104" s="250"/>
      <c r="AB104" s="76"/>
      <c r="AC104" s="76"/>
      <c r="AD104" s="250"/>
      <c r="AE104" s="76"/>
    </row>
    <row r="105" spans="1:31" ht="15" customHeight="1">
      <c r="A105" s="274"/>
      <c r="B105" s="267"/>
      <c r="C105" s="220"/>
      <c r="D105" s="275"/>
      <c r="E105" s="276"/>
      <c r="N105" s="277"/>
      <c r="O105" s="76"/>
      <c r="P105" s="76"/>
      <c r="Q105" s="198"/>
      <c r="T105" s="76"/>
      <c r="U105" s="76"/>
      <c r="V105" s="6"/>
      <c r="W105" s="6"/>
      <c r="X105" s="6"/>
      <c r="Y105" s="76"/>
      <c r="Z105" s="215"/>
      <c r="AB105" s="76"/>
      <c r="AC105" s="76"/>
      <c r="AD105" s="215"/>
      <c r="AE105" s="76"/>
    </row>
    <row r="106" spans="1:31" ht="30" customHeight="1">
      <c r="A106" s="778" t="s">
        <v>629</v>
      </c>
      <c r="B106" s="779"/>
      <c r="C106" s="760"/>
      <c r="D106" s="761"/>
      <c r="E106" s="761"/>
      <c r="F106" s="761"/>
      <c r="G106" s="761"/>
      <c r="H106" s="761"/>
      <c r="I106" s="761"/>
      <c r="J106" s="761"/>
      <c r="K106" s="761"/>
      <c r="L106" s="761"/>
      <c r="M106" s="762"/>
      <c r="N106" s="277"/>
      <c r="U106" s="6"/>
      <c r="V106" s="6"/>
      <c r="W106" s="6"/>
      <c r="X106" s="6"/>
      <c r="Y106" s="6"/>
      <c r="Z106" s="215"/>
      <c r="AD106" s="215"/>
    </row>
    <row r="107" spans="1:31" ht="15" customHeight="1">
      <c r="A107" s="514"/>
      <c r="B107" s="515"/>
      <c r="C107" s="516"/>
      <c r="D107" s="516"/>
      <c r="E107" s="517"/>
      <c r="F107" s="516"/>
      <c r="G107" s="516"/>
      <c r="H107" s="516"/>
      <c r="I107" s="516"/>
      <c r="J107" s="518"/>
      <c r="K107" s="518"/>
      <c r="L107" s="519"/>
      <c r="M107" s="520"/>
      <c r="N107" s="521"/>
      <c r="U107" s="6"/>
      <c r="V107" s="6"/>
      <c r="W107" s="6"/>
      <c r="X107" s="6"/>
      <c r="Y107" s="6"/>
      <c r="Z107" s="215"/>
      <c r="AA107" s="76"/>
      <c r="AD107" s="215"/>
    </row>
    <row r="108" spans="1:31" ht="15" customHeight="1" thickBot="1">
      <c r="A108" s="352"/>
      <c r="B108" s="352"/>
      <c r="C108" s="352"/>
      <c r="D108" s="352"/>
      <c r="E108" s="352"/>
      <c r="F108" s="352"/>
      <c r="G108" s="352"/>
      <c r="H108" s="352"/>
      <c r="I108" s="352"/>
      <c r="J108" s="352"/>
      <c r="K108" s="352"/>
      <c r="L108" s="352"/>
      <c r="M108" s="352"/>
      <c r="N108" s="352"/>
      <c r="O108" s="278"/>
      <c r="P108" s="273"/>
      <c r="Q108" s="251"/>
      <c r="T108" s="251"/>
      <c r="U108" s="273"/>
      <c r="V108" s="279"/>
      <c r="W108" s="280"/>
      <c r="X108" s="280"/>
      <c r="Y108" s="76"/>
      <c r="Z108" s="215"/>
      <c r="AA108" s="76"/>
      <c r="AD108" s="215"/>
      <c r="AE108" s="76"/>
    </row>
    <row r="109" spans="1:31" ht="30" customHeight="1">
      <c r="A109" s="783" t="s">
        <v>630</v>
      </c>
      <c r="B109" s="784"/>
      <c r="C109" s="791" t="s">
        <v>631</v>
      </c>
      <c r="D109" s="792"/>
      <c r="E109" s="793">
        <f>IF(L101="Passed",E101,K88)</f>
        <v>0</v>
      </c>
      <c r="F109" s="794"/>
      <c r="G109" s="795" t="s">
        <v>632</v>
      </c>
      <c r="H109" s="792"/>
      <c r="I109" s="576">
        <f>IF(L101="Passed",I101,K91)</f>
        <v>0</v>
      </c>
      <c r="J109" s="790" t="s">
        <v>557</v>
      </c>
      <c r="K109" s="784"/>
      <c r="L109" s="780" t="str">
        <f>IF(L101="Passed","Passed",IF(AND(E109&gt;=70%,I109&gt;=70%),"Passed",IF(AND(E109&gt;=60%,I109&gt;=60%),"Conditional Approved",IF(OR(E109&lt;60%,I109&lt;60%),"Rejected",""))))</f>
        <v>Rejected</v>
      </c>
      <c r="M109" s="781"/>
      <c r="N109" s="782"/>
      <c r="P109" s="6"/>
      <c r="Q109" s="281"/>
      <c r="R109" s="266"/>
      <c r="S109" s="266"/>
      <c r="T109" s="266"/>
      <c r="U109" s="266"/>
      <c r="V109" s="266"/>
      <c r="W109" s="266"/>
      <c r="X109" s="266"/>
      <c r="Y109" s="266"/>
      <c r="Z109" s="282"/>
      <c r="AB109" s="115"/>
      <c r="AC109" s="115"/>
      <c r="AD109" s="215"/>
    </row>
    <row r="110" spans="1:31" ht="15" customHeight="1">
      <c r="A110" s="763" t="s">
        <v>633</v>
      </c>
      <c r="B110" s="764"/>
      <c r="C110" s="765"/>
      <c r="D110" s="765"/>
      <c r="E110" s="765"/>
      <c r="F110" s="765"/>
      <c r="G110" s="765"/>
      <c r="H110" s="765"/>
      <c r="I110" s="765"/>
      <c r="J110" s="765"/>
      <c r="K110" s="765"/>
      <c r="L110" s="765"/>
      <c r="M110" s="765"/>
      <c r="N110" s="766"/>
      <c r="P110" s="6"/>
      <c r="Q110" s="281"/>
      <c r="R110" s="266"/>
      <c r="S110" s="266"/>
      <c r="T110" s="266"/>
      <c r="U110" s="266"/>
      <c r="V110" s="266"/>
      <c r="W110" s="266"/>
      <c r="X110" s="266"/>
      <c r="Y110" s="266"/>
      <c r="Z110" s="282"/>
      <c r="AB110" s="75"/>
      <c r="AC110" s="75"/>
      <c r="AD110" s="215"/>
    </row>
    <row r="111" spans="1:31" ht="15" customHeight="1">
      <c r="A111" s="283"/>
      <c r="B111" s="15"/>
      <c r="C111" s="284"/>
      <c r="N111" s="277"/>
      <c r="O111" s="76"/>
      <c r="P111" s="76"/>
      <c r="Q111" s="76"/>
      <c r="T111" s="76"/>
      <c r="U111" s="76"/>
      <c r="V111" s="6"/>
      <c r="W111" s="6"/>
      <c r="X111" s="6"/>
      <c r="Y111" s="76"/>
      <c r="Z111" s="215"/>
      <c r="AA111" s="115"/>
      <c r="AB111" s="75"/>
      <c r="AC111" s="75"/>
      <c r="AD111" s="215"/>
      <c r="AE111" s="76"/>
    </row>
    <row r="112" spans="1:31" ht="15" customHeight="1">
      <c r="A112" s="767" t="s">
        <v>626</v>
      </c>
      <c r="B112" s="768"/>
      <c r="C112" s="769"/>
      <c r="D112" s="770"/>
      <c r="E112" s="770"/>
      <c r="F112" s="770"/>
      <c r="G112" s="770"/>
      <c r="H112" s="771"/>
      <c r="I112" s="522"/>
      <c r="J112" s="523"/>
      <c r="K112" s="524" t="s">
        <v>627</v>
      </c>
      <c r="L112" s="776"/>
      <c r="M112" s="777"/>
      <c r="N112" s="525" t="s">
        <v>628</v>
      </c>
      <c r="P112" s="76"/>
      <c r="Q112" s="76"/>
      <c r="T112" s="76"/>
      <c r="U112" s="76"/>
      <c r="V112" s="76"/>
      <c r="W112" s="76"/>
      <c r="X112" s="76"/>
      <c r="Y112" s="76"/>
      <c r="Z112" s="250"/>
      <c r="AA112" s="75"/>
      <c r="AB112" s="58"/>
      <c r="AC112" s="58"/>
      <c r="AD112" s="250"/>
      <c r="AE112" s="76"/>
    </row>
    <row r="113" spans="1:31" ht="15" customHeight="1">
      <c r="A113" s="526"/>
      <c r="B113" s="527"/>
      <c r="C113" s="528"/>
      <c r="D113" s="528"/>
      <c r="E113" s="528"/>
      <c r="F113" s="528"/>
      <c r="G113" s="528"/>
      <c r="H113" s="528"/>
      <c r="I113" s="529"/>
      <c r="J113" s="523"/>
      <c r="K113" s="523"/>
      <c r="L113" s="523"/>
      <c r="M113" s="530"/>
      <c r="N113" s="531"/>
      <c r="P113" s="76"/>
      <c r="Q113" s="76"/>
      <c r="T113" s="76"/>
      <c r="U113" s="76"/>
      <c r="V113" s="76"/>
      <c r="W113" s="76"/>
      <c r="X113" s="76"/>
      <c r="Y113" s="76"/>
      <c r="Z113" s="250"/>
      <c r="AA113" s="58"/>
      <c r="AB113" s="58"/>
      <c r="AC113" s="58"/>
      <c r="AD113" s="250"/>
      <c r="AE113" s="76"/>
    </row>
    <row r="114" spans="1:31" ht="30" customHeight="1">
      <c r="A114" s="758" t="s">
        <v>634</v>
      </c>
      <c r="B114" s="759"/>
      <c r="C114" s="760"/>
      <c r="D114" s="761"/>
      <c r="E114" s="761"/>
      <c r="F114" s="761"/>
      <c r="G114" s="761"/>
      <c r="H114" s="761"/>
      <c r="I114" s="761"/>
      <c r="J114" s="761"/>
      <c r="K114" s="761"/>
      <c r="L114" s="761"/>
      <c r="M114" s="762"/>
      <c r="N114" s="532"/>
      <c r="P114" s="76"/>
      <c r="Q114" s="76"/>
      <c r="T114" s="76"/>
      <c r="U114" s="76"/>
      <c r="V114" s="76"/>
      <c r="W114" s="76"/>
      <c r="X114" s="76"/>
      <c r="Y114" s="76"/>
      <c r="Z114" s="250"/>
      <c r="AA114" s="58"/>
      <c r="AB114" s="58"/>
      <c r="AC114" s="58"/>
      <c r="AD114" s="250"/>
      <c r="AE114" s="76"/>
    </row>
    <row r="115" spans="1:31" ht="15" customHeight="1">
      <c r="A115" s="533"/>
      <c r="B115" s="534"/>
      <c r="C115" s="535"/>
      <c r="D115" s="534"/>
      <c r="E115" s="536"/>
      <c r="F115" s="537"/>
      <c r="G115" s="538"/>
      <c r="H115" s="538"/>
      <c r="I115" s="538"/>
      <c r="J115" s="538"/>
      <c r="K115" s="538"/>
      <c r="L115" s="537"/>
      <c r="M115" s="537"/>
      <c r="N115" s="539"/>
      <c r="U115" s="6"/>
      <c r="V115" s="6"/>
      <c r="W115" s="6"/>
      <c r="X115" s="6"/>
      <c r="Y115" s="6"/>
      <c r="Z115" s="215"/>
      <c r="AA115" s="58"/>
      <c r="AD115" s="215"/>
    </row>
    <row r="116" spans="1:31" s="115" customFormat="1" ht="15" customHeight="1" thickBot="1">
      <c r="A116" s="352"/>
      <c r="B116" s="352"/>
      <c r="C116" s="352"/>
      <c r="D116" s="352"/>
      <c r="E116" s="352"/>
      <c r="F116" s="352"/>
      <c r="G116" s="352"/>
      <c r="H116" s="352"/>
      <c r="I116" s="352"/>
      <c r="J116" s="352"/>
      <c r="K116" s="352"/>
      <c r="L116" s="352"/>
      <c r="M116" s="352"/>
      <c r="N116" s="352"/>
      <c r="P116" s="117"/>
      <c r="R116" s="287"/>
      <c r="Z116" s="288"/>
      <c r="AA116" s="6"/>
      <c r="AB116" s="6"/>
      <c r="AC116" s="6"/>
      <c r="AD116" s="288"/>
    </row>
    <row r="117" spans="1:31" s="75" customFormat="1" ht="15" customHeight="1">
      <c r="A117" s="805" t="s">
        <v>635</v>
      </c>
      <c r="B117" s="806"/>
      <c r="C117" s="806"/>
      <c r="D117" s="806"/>
      <c r="E117" s="806"/>
      <c r="F117" s="806"/>
      <c r="G117" s="806"/>
      <c r="H117" s="806"/>
      <c r="I117" s="806"/>
      <c r="J117" s="806"/>
      <c r="K117" s="806"/>
      <c r="L117" s="806"/>
      <c r="M117" s="806"/>
      <c r="N117" s="807"/>
      <c r="R117" s="219"/>
      <c r="S117" s="6"/>
      <c r="AA117" s="6"/>
      <c r="AB117" s="6"/>
      <c r="AC117" s="6"/>
    </row>
    <row r="118" spans="1:31" s="75" customFormat="1" ht="15" customHeight="1">
      <c r="A118" s="808" t="s">
        <v>636</v>
      </c>
      <c r="B118" s="809"/>
      <c r="C118" s="809"/>
      <c r="D118" s="809"/>
      <c r="E118" s="809"/>
      <c r="F118" s="809"/>
      <c r="G118" s="809"/>
      <c r="H118" s="809"/>
      <c r="I118" s="809"/>
      <c r="J118" s="809"/>
      <c r="K118" s="809"/>
      <c r="L118" s="809"/>
      <c r="M118" s="809"/>
      <c r="N118" s="810"/>
      <c r="R118" s="219"/>
      <c r="S118" s="6"/>
      <c r="Z118" s="289"/>
      <c r="AA118" s="6"/>
      <c r="AB118" s="6"/>
      <c r="AC118" s="6"/>
      <c r="AD118" s="289"/>
    </row>
    <row r="119" spans="1:31" s="75" customFormat="1" ht="15" customHeight="1">
      <c r="A119" s="808" t="s">
        <v>637</v>
      </c>
      <c r="B119" s="809"/>
      <c r="C119" s="809"/>
      <c r="D119" s="809"/>
      <c r="E119" s="809"/>
      <c r="F119" s="809"/>
      <c r="G119" s="809"/>
      <c r="H119" s="809"/>
      <c r="I119" s="809"/>
      <c r="J119" s="809"/>
      <c r="K119" s="809"/>
      <c r="L119" s="809"/>
      <c r="M119" s="809"/>
      <c r="N119" s="810"/>
      <c r="R119" s="219"/>
      <c r="S119" s="6"/>
      <c r="Z119" s="289"/>
      <c r="AA119" s="6"/>
      <c r="AB119" s="6"/>
      <c r="AC119" s="6"/>
      <c r="AD119" s="289"/>
    </row>
    <row r="120" spans="1:31" s="58" customFormat="1" ht="15" customHeight="1" thickBot="1">
      <c r="A120" s="808" t="s">
        <v>638</v>
      </c>
      <c r="B120" s="809"/>
      <c r="C120" s="809"/>
      <c r="D120" s="809"/>
      <c r="E120" s="809"/>
      <c r="F120" s="809"/>
      <c r="G120" s="809"/>
      <c r="H120" s="809"/>
      <c r="I120" s="809"/>
      <c r="J120" s="809"/>
      <c r="K120" s="809"/>
      <c r="L120" s="809"/>
      <c r="M120" s="809"/>
      <c r="N120" s="810"/>
      <c r="P120" s="261"/>
      <c r="R120" s="247"/>
      <c r="U120" s="262"/>
      <c r="V120" s="262"/>
      <c r="W120" s="262"/>
      <c r="X120" s="262"/>
      <c r="Y120" s="262"/>
      <c r="Z120" s="254"/>
      <c r="AA120" s="6"/>
      <c r="AB120" s="6"/>
      <c r="AC120" s="6"/>
      <c r="AD120" s="254"/>
    </row>
    <row r="121" spans="1:31" s="58" customFormat="1" ht="45" customHeight="1">
      <c r="A121" s="290"/>
      <c r="B121" s="544" t="s">
        <v>639</v>
      </c>
      <c r="C121" s="487" t="s">
        <v>622</v>
      </c>
      <c r="D121" s="487" t="s">
        <v>623</v>
      </c>
      <c r="E121" s="811" t="s">
        <v>640</v>
      </c>
      <c r="F121" s="811"/>
      <c r="G121" s="811" t="s">
        <v>641</v>
      </c>
      <c r="H121" s="812"/>
      <c r="I121" s="812"/>
      <c r="J121" s="812"/>
      <c r="K121" s="811" t="s">
        <v>642</v>
      </c>
      <c r="L121" s="812"/>
      <c r="M121" s="812"/>
      <c r="N121" s="813"/>
      <c r="P121" s="261"/>
      <c r="R121" s="247"/>
      <c r="U121" s="262"/>
      <c r="V121" s="262"/>
      <c r="W121" s="262"/>
      <c r="X121" s="262"/>
      <c r="Y121" s="262"/>
      <c r="Z121" s="254"/>
      <c r="AA121" s="6"/>
      <c r="AB121" s="6"/>
      <c r="AC121" s="6"/>
      <c r="AD121" s="254"/>
    </row>
    <row r="122" spans="1:31" s="58" customFormat="1" ht="73.5" customHeight="1">
      <c r="A122" s="292"/>
      <c r="B122" s="293">
        <v>1</v>
      </c>
      <c r="C122" s="469" t="s">
        <v>643</v>
      </c>
      <c r="D122" s="469" t="s">
        <v>643</v>
      </c>
      <c r="E122" s="796" t="s">
        <v>644</v>
      </c>
      <c r="F122" s="796"/>
      <c r="G122" s="797" t="s">
        <v>645</v>
      </c>
      <c r="H122" s="797"/>
      <c r="I122" s="797"/>
      <c r="J122" s="797"/>
      <c r="K122" s="797" t="s">
        <v>646</v>
      </c>
      <c r="L122" s="797"/>
      <c r="M122" s="797"/>
      <c r="N122" s="798"/>
      <c r="P122" s="261"/>
      <c r="R122" s="247"/>
      <c r="U122" s="262"/>
      <c r="V122" s="262"/>
      <c r="W122" s="262"/>
      <c r="X122" s="262"/>
      <c r="Y122" s="262"/>
      <c r="Z122" s="254"/>
      <c r="AA122" s="6"/>
      <c r="AB122" s="6"/>
      <c r="AC122" s="6"/>
      <c r="AD122" s="254"/>
    </row>
    <row r="123" spans="1:31" ht="105" customHeight="1">
      <c r="A123" s="292"/>
      <c r="B123" s="296">
        <v>2</v>
      </c>
      <c r="C123" s="799" t="s">
        <v>647</v>
      </c>
      <c r="D123" s="799"/>
      <c r="E123" s="799" t="s">
        <v>643</v>
      </c>
      <c r="F123" s="799"/>
      <c r="G123" s="800" t="s">
        <v>648</v>
      </c>
      <c r="H123" s="801"/>
      <c r="I123" s="801"/>
      <c r="J123" s="802"/>
      <c r="K123" s="803" t="s">
        <v>649</v>
      </c>
      <c r="L123" s="803"/>
      <c r="M123" s="803"/>
      <c r="N123" s="804"/>
      <c r="P123" s="249"/>
      <c r="Q123" s="291"/>
      <c r="Z123" s="215"/>
      <c r="AD123" s="215"/>
    </row>
    <row r="124" spans="1:31" ht="105" customHeight="1">
      <c r="A124" s="292"/>
      <c r="B124" s="296">
        <v>3</v>
      </c>
      <c r="C124" s="799" t="s">
        <v>647</v>
      </c>
      <c r="D124" s="799"/>
      <c r="E124" s="799" t="s">
        <v>650</v>
      </c>
      <c r="F124" s="799"/>
      <c r="G124" s="814" t="s">
        <v>651</v>
      </c>
      <c r="H124" s="803"/>
      <c r="I124" s="803"/>
      <c r="J124" s="803"/>
      <c r="K124" s="803" t="s">
        <v>652</v>
      </c>
      <c r="L124" s="803"/>
      <c r="M124" s="803"/>
      <c r="N124" s="804"/>
      <c r="P124" s="294"/>
      <c r="Q124" s="295"/>
      <c r="Z124" s="215"/>
      <c r="AD124" s="215"/>
    </row>
    <row r="125" spans="1:31" ht="90" customHeight="1">
      <c r="A125" s="292"/>
      <c r="B125" s="471">
        <v>4</v>
      </c>
      <c r="C125" s="799" t="s">
        <v>653</v>
      </c>
      <c r="D125" s="799"/>
      <c r="E125" s="799" t="s">
        <v>654</v>
      </c>
      <c r="F125" s="799"/>
      <c r="G125" s="797" t="s">
        <v>655</v>
      </c>
      <c r="H125" s="797"/>
      <c r="I125" s="797"/>
      <c r="J125" s="797"/>
      <c r="K125" s="803" t="s">
        <v>656</v>
      </c>
      <c r="L125" s="803"/>
      <c r="M125" s="803"/>
      <c r="N125" s="804"/>
      <c r="P125" s="294"/>
      <c r="Q125" s="295"/>
      <c r="Z125" s="215"/>
      <c r="AD125" s="215"/>
    </row>
    <row r="126" spans="1:31" ht="45" customHeight="1" thickBot="1">
      <c r="A126" s="297"/>
      <c r="B126" s="298">
        <v>5</v>
      </c>
      <c r="C126" s="821" t="s">
        <v>657</v>
      </c>
      <c r="D126" s="821"/>
      <c r="E126" s="815" t="s">
        <v>658</v>
      </c>
      <c r="F126" s="815"/>
      <c r="G126" s="816" t="s">
        <v>659</v>
      </c>
      <c r="H126" s="817"/>
      <c r="I126" s="817"/>
      <c r="J126" s="818"/>
      <c r="K126" s="819" t="s">
        <v>660</v>
      </c>
      <c r="L126" s="819"/>
      <c r="M126" s="819"/>
      <c r="N126" s="820"/>
      <c r="P126" s="183"/>
      <c r="Q126" s="183"/>
      <c r="Z126" s="215"/>
      <c r="AD126" s="215"/>
    </row>
  </sheetData>
  <sheetProtection algorithmName="SHA-512" hashValue="tt8W+8QX8DqNK5lLyx5XVgYHpLSZ8VlUM27NXQVk/XYrNrZ3SK23X9FbSC6kMB4r09UgoQTdoc8jImjy7Bx36g==" saltValue="mKIZorHK5cfhmmhAc45eJg==" spinCount="100000" sheet="1" objects="1" scenarios="1"/>
  <protectedRanges>
    <protectedRange sqref="C112 L112 C114 C104 L104 C106" name="区域1"/>
  </protectedRanges>
  <mergeCells count="222">
    <mergeCell ref="B2:F2"/>
    <mergeCell ref="H2:N2"/>
    <mergeCell ref="C3:D4"/>
    <mergeCell ref="H3:N3"/>
    <mergeCell ref="L4:N4"/>
    <mergeCell ref="G4:K4"/>
    <mergeCell ref="D71:D75"/>
    <mergeCell ref="A71:A75"/>
    <mergeCell ref="B76:B80"/>
    <mergeCell ref="C76:C80"/>
    <mergeCell ref="M76:M80"/>
    <mergeCell ref="C48:C51"/>
    <mergeCell ref="D48:D51"/>
    <mergeCell ref="L48:L51"/>
    <mergeCell ref="M48:M51"/>
    <mergeCell ref="A59:A63"/>
    <mergeCell ref="B59:B63"/>
    <mergeCell ref="C59:C63"/>
    <mergeCell ref="D59:D63"/>
    <mergeCell ref="L59:L63"/>
    <mergeCell ref="M59:M63"/>
    <mergeCell ref="L5:L7"/>
    <mergeCell ref="M5:M7"/>
    <mergeCell ref="N5:N7"/>
    <mergeCell ref="A6:B7"/>
    <mergeCell ref="C6:C7"/>
    <mergeCell ref="G5:G7"/>
    <mergeCell ref="H5:H7"/>
    <mergeCell ref="I5:I7"/>
    <mergeCell ref="D6:D7"/>
    <mergeCell ref="E6:F7"/>
    <mergeCell ref="J5:J7"/>
    <mergeCell ref="K5:K7"/>
    <mergeCell ref="C5:F5"/>
    <mergeCell ref="A5:B5"/>
    <mergeCell ref="N8:N13"/>
    <mergeCell ref="A14:A17"/>
    <mergeCell ref="B14:B17"/>
    <mergeCell ref="C14:C17"/>
    <mergeCell ref="D14:D17"/>
    <mergeCell ref="L14:L17"/>
    <mergeCell ref="M14:M17"/>
    <mergeCell ref="N14:N17"/>
    <mergeCell ref="A8:A13"/>
    <mergeCell ref="B8:B13"/>
    <mergeCell ref="C8:C13"/>
    <mergeCell ref="D8:D13"/>
    <mergeCell ref="L8:L13"/>
    <mergeCell ref="M8:M13"/>
    <mergeCell ref="N18:N20"/>
    <mergeCell ref="A18:A20"/>
    <mergeCell ref="B18:B20"/>
    <mergeCell ref="C18:C20"/>
    <mergeCell ref="D18:D20"/>
    <mergeCell ref="L18:L20"/>
    <mergeCell ref="M18:M20"/>
    <mergeCell ref="N21:N27"/>
    <mergeCell ref="A28:A30"/>
    <mergeCell ref="B28:B30"/>
    <mergeCell ref="C28:C30"/>
    <mergeCell ref="D28:D30"/>
    <mergeCell ref="L28:L30"/>
    <mergeCell ref="M28:M30"/>
    <mergeCell ref="N28:N30"/>
    <mergeCell ref="A21:A27"/>
    <mergeCell ref="B21:B27"/>
    <mergeCell ref="C21:C27"/>
    <mergeCell ref="D21:D27"/>
    <mergeCell ref="L21:L27"/>
    <mergeCell ref="M21:M27"/>
    <mergeCell ref="N48:N51"/>
    <mergeCell ref="A31:A35"/>
    <mergeCell ref="B31:B35"/>
    <mergeCell ref="C31:C35"/>
    <mergeCell ref="D31:D35"/>
    <mergeCell ref="L31:L35"/>
    <mergeCell ref="M31:M35"/>
    <mergeCell ref="N31:N35"/>
    <mergeCell ref="B39:B47"/>
    <mergeCell ref="A39:A47"/>
    <mergeCell ref="C39:C47"/>
    <mergeCell ref="D39:D47"/>
    <mergeCell ref="N36:N38"/>
    <mergeCell ref="A36:A38"/>
    <mergeCell ref="B36:B38"/>
    <mergeCell ref="C36:C38"/>
    <mergeCell ref="M39:M47"/>
    <mergeCell ref="N39:N47"/>
    <mergeCell ref="L39:L47"/>
    <mergeCell ref="D36:D38"/>
    <mergeCell ref="L36:L38"/>
    <mergeCell ref="M36:M38"/>
    <mergeCell ref="A48:A51"/>
    <mergeCell ref="B48:B51"/>
    <mergeCell ref="N52:N55"/>
    <mergeCell ref="A56:A58"/>
    <mergeCell ref="B56:B58"/>
    <mergeCell ref="C56:C58"/>
    <mergeCell ref="D56:D58"/>
    <mergeCell ref="L56:L58"/>
    <mergeCell ref="M56:M58"/>
    <mergeCell ref="N56:N58"/>
    <mergeCell ref="A52:A55"/>
    <mergeCell ref="B52:B55"/>
    <mergeCell ref="C52:C55"/>
    <mergeCell ref="D52:D55"/>
    <mergeCell ref="L52:L55"/>
    <mergeCell ref="M52:M55"/>
    <mergeCell ref="A93:N93"/>
    <mergeCell ref="L94:N94"/>
    <mergeCell ref="A64:A67"/>
    <mergeCell ref="B64:B67"/>
    <mergeCell ref="C64:C67"/>
    <mergeCell ref="D64:D67"/>
    <mergeCell ref="A68:A70"/>
    <mergeCell ref="B68:B70"/>
    <mergeCell ref="C68:C70"/>
    <mergeCell ref="D68:D70"/>
    <mergeCell ref="L64:L67"/>
    <mergeCell ref="M64:M67"/>
    <mergeCell ref="N64:N67"/>
    <mergeCell ref="L68:L70"/>
    <mergeCell ref="M68:M70"/>
    <mergeCell ref="N68:N70"/>
    <mergeCell ref="B71:B75"/>
    <mergeCell ref="N84:N87"/>
    <mergeCell ref="D76:D80"/>
    <mergeCell ref="A76:A80"/>
    <mergeCell ref="L71:L75"/>
    <mergeCell ref="M71:M75"/>
    <mergeCell ref="N71:N75"/>
    <mergeCell ref="N76:N80"/>
    <mergeCell ref="A88:B88"/>
    <mergeCell ref="A89:B89"/>
    <mergeCell ref="A90:F90"/>
    <mergeCell ref="A91:F91"/>
    <mergeCell ref="M91:N91"/>
    <mergeCell ref="L89:N89"/>
    <mergeCell ref="L90:N90"/>
    <mergeCell ref="L88:N88"/>
    <mergeCell ref="N59:N63"/>
    <mergeCell ref="A81:A83"/>
    <mergeCell ref="B81:B83"/>
    <mergeCell ref="C81:C83"/>
    <mergeCell ref="D81:D83"/>
    <mergeCell ref="L81:L83"/>
    <mergeCell ref="M81:M83"/>
    <mergeCell ref="N81:N83"/>
    <mergeCell ref="A84:A87"/>
    <mergeCell ref="B84:B87"/>
    <mergeCell ref="C84:C87"/>
    <mergeCell ref="D84:D87"/>
    <mergeCell ref="L84:L87"/>
    <mergeCell ref="L76:L80"/>
    <mergeCell ref="M84:M87"/>
    <mergeCell ref="C71:C75"/>
    <mergeCell ref="A101:B101"/>
    <mergeCell ref="C97:G97"/>
    <mergeCell ref="L97:N97"/>
    <mergeCell ref="C98:G98"/>
    <mergeCell ref="L98:N98"/>
    <mergeCell ref="C99:G99"/>
    <mergeCell ref="L99:N99"/>
    <mergeCell ref="A95:B99"/>
    <mergeCell ref="C95:G95"/>
    <mergeCell ref="L95:N95"/>
    <mergeCell ref="C96:G96"/>
    <mergeCell ref="L96:N96"/>
    <mergeCell ref="C101:D101"/>
    <mergeCell ref="J101:K101"/>
    <mergeCell ref="E101:F101"/>
    <mergeCell ref="G101:H101"/>
    <mergeCell ref="E124:F124"/>
    <mergeCell ref="G124:J124"/>
    <mergeCell ref="K124:N124"/>
    <mergeCell ref="E126:F126"/>
    <mergeCell ref="G126:J126"/>
    <mergeCell ref="K126:N126"/>
    <mergeCell ref="C124:D124"/>
    <mergeCell ref="C126:D126"/>
    <mergeCell ref="C125:D125"/>
    <mergeCell ref="E125:F125"/>
    <mergeCell ref="G125:J125"/>
    <mergeCell ref="K125:N125"/>
    <mergeCell ref="E122:F122"/>
    <mergeCell ref="G122:J122"/>
    <mergeCell ref="K122:N122"/>
    <mergeCell ref="C123:D123"/>
    <mergeCell ref="E123:F123"/>
    <mergeCell ref="G123:J123"/>
    <mergeCell ref="K123:N123"/>
    <mergeCell ref="A117:N117"/>
    <mergeCell ref="A118:N118"/>
    <mergeCell ref="A119:N119"/>
    <mergeCell ref="A120:N120"/>
    <mergeCell ref="E121:F121"/>
    <mergeCell ref="G121:J121"/>
    <mergeCell ref="K121:N121"/>
    <mergeCell ref="A114:B114"/>
    <mergeCell ref="C114:M114"/>
    <mergeCell ref="A110:N110"/>
    <mergeCell ref="A112:B112"/>
    <mergeCell ref="C112:H112"/>
    <mergeCell ref="P99:P100"/>
    <mergeCell ref="Q99:Q100"/>
    <mergeCell ref="Q96:Q98"/>
    <mergeCell ref="L1:N1"/>
    <mergeCell ref="A1:K1"/>
    <mergeCell ref="L112:M112"/>
    <mergeCell ref="A106:B106"/>
    <mergeCell ref="C106:M106"/>
    <mergeCell ref="L109:N109"/>
    <mergeCell ref="A109:B109"/>
    <mergeCell ref="A102:N102"/>
    <mergeCell ref="A104:B104"/>
    <mergeCell ref="C104:H104"/>
    <mergeCell ref="L104:M104"/>
    <mergeCell ref="J109:K109"/>
    <mergeCell ref="C109:D109"/>
    <mergeCell ref="E109:F109"/>
    <mergeCell ref="G109:H109"/>
    <mergeCell ref="L101:N101"/>
  </mergeCells>
  <phoneticPr fontId="73" type="noConversion"/>
  <conditionalFormatting sqref="A92:N92">
    <cfRule type="cellIs" dxfId="25" priority="4" stopIfTrue="1" operator="greaterThanOrEqual">
      <formula>3</formula>
    </cfRule>
  </conditionalFormatting>
  <conditionalFormatting sqref="A100:N100">
    <cfRule type="cellIs" dxfId="24" priority="3" stopIfTrue="1" operator="greaterThanOrEqual">
      <formula>3</formula>
    </cfRule>
  </conditionalFormatting>
  <conditionalFormatting sqref="A108:N108">
    <cfRule type="cellIs" dxfId="23" priority="2" stopIfTrue="1" operator="greaterThanOrEqual">
      <formula>3</formula>
    </cfRule>
  </conditionalFormatting>
  <conditionalFormatting sqref="A116:N116">
    <cfRule type="cellIs" dxfId="22" priority="1" stopIfTrue="1" operator="greaterThanOrEqual">
      <formula>3</formula>
    </cfRule>
  </conditionalFormatting>
  <conditionalFormatting sqref="G8:H87">
    <cfRule type="cellIs" dxfId="21" priority="21" stopIfTrue="1" operator="between">
      <formula>0</formula>
      <formula>59.999</formula>
    </cfRule>
    <cfRule type="cellIs" dxfId="20" priority="22" stopIfTrue="1" operator="between">
      <formula>60</formula>
      <formula>69.999</formula>
    </cfRule>
    <cfRule type="cellIs" dxfId="19" priority="23" stopIfTrue="1" operator="between">
      <formula>70</formula>
      <formula>100</formula>
    </cfRule>
  </conditionalFormatting>
  <conditionalFormatting sqref="I8:I87">
    <cfRule type="cellIs" dxfId="18" priority="108" stopIfTrue="1" operator="equal">
      <formula>"Y"</formula>
    </cfRule>
    <cfRule type="cellIs" dxfId="17" priority="109" stopIfTrue="1" operator="equal">
      <formula>"N"</formula>
    </cfRule>
  </conditionalFormatting>
  <conditionalFormatting sqref="K8:N8 K9:K87 L14:N21 L28:N28 L31:N39 L48:N58 L59 N59 M59:M63">
    <cfRule type="cellIs" dxfId="16" priority="105" stopIfTrue="1" operator="between">
      <formula>0</formula>
      <formula>59.999</formula>
    </cfRule>
    <cfRule type="cellIs" dxfId="15" priority="106" stopIfTrue="1" operator="between">
      <formula>60</formula>
      <formula>69.999</formula>
    </cfRule>
    <cfRule type="cellIs" dxfId="14" priority="107" stopIfTrue="1" operator="between">
      <formula>70</formula>
      <formula>100</formula>
    </cfRule>
  </conditionalFormatting>
  <conditionalFormatting sqref="L64:N87">
    <cfRule type="cellIs" dxfId="13" priority="49" stopIfTrue="1" operator="between">
      <formula>0</formula>
      <formula>59.999</formula>
    </cfRule>
    <cfRule type="cellIs" dxfId="12" priority="50" stopIfTrue="1" operator="between">
      <formula>60</formula>
      <formula>69.999</formula>
    </cfRule>
    <cfRule type="cellIs" dxfId="11" priority="51" stopIfTrue="1" operator="between">
      <formula>70</formula>
      <formula>100</formula>
    </cfRule>
  </conditionalFormatting>
  <conditionalFormatting sqref="L96:N99">
    <cfRule type="cellIs" dxfId="10" priority="110" stopIfTrue="1" operator="equal">
      <formula>"Action Required"</formula>
    </cfRule>
    <cfRule type="cellIs" dxfId="9" priority="111" stopIfTrue="1" operator="equal">
      <formula>"Acceptable"</formula>
    </cfRule>
  </conditionalFormatting>
  <dataValidations xWindow="1141" yWindow="387" count="3">
    <dataValidation allowBlank="1" showInputMessage="1" showErrorMessage="1" errorTitle="Exceeded Text Length Limit" error="Please reduce the length of your comments to 200 characters or less." sqref="C114:M114 C106:M106" xr:uid="{6C1316B4-B078-4147-837C-9373122AF663}"/>
    <dataValidation allowBlank="1" showInputMessage="1" showErrorMessage="1" promptTitle="VSAC Result" prompt="VSAC Result is updated antomatically based on audit scores. Describe &quot;Conditional Approval&quot; in Comments box, if applicable." sqref="L101:N101" xr:uid="{D59F8B59-6534-4BF0-84B7-32527E3B6A21}"/>
    <dataValidation allowBlank="1" showInputMessage="1" showErrorMessage="1" promptTitle="Final Disposition" prompt="VSAC Result is updated antomatically based on audit scores. Describe &quot;Conditional Approval&quot; in Comments box, if applicable." sqref="L109:N109" xr:uid="{F9184127-6200-4A5D-817C-A2AF6921DE19}"/>
  </dataValidations>
  <hyperlinks>
    <hyperlink ref="K5:K7" location="Checklist!D122:D129" tooltip="Go To Std Checklist for AUDITOR's Scoring Instruction for After CAPA Verification" display="After CA Verif. SCORE" xr:uid="{00000000-0004-0000-0200-000002000000}"/>
    <hyperlink ref="H5:H7" location="Checklist!D103:D111" tooltip="Go To Std Checklist for AUDITOR's Scoring Instructions for On-Site Audit" display="On-Site Audit SCORE" xr:uid="{00000000-0004-0000-0200-000001000000}"/>
    <hyperlink ref="G5:G7" location="Checklist!D95:D102" tooltip="Go To Std Checklist for SUPPLIER's Scoring Instructions for Self-Audit" display="Supplier Self-Audit SCORE" xr:uid="{00000000-0004-0000-0200-000000000000}"/>
    <hyperlink ref="A90:F90" location="'Technical Assessment - Generic'!B7" display="*Link to &quot;Technical assessment - Generic&quot; Tab" xr:uid="{F9F80E83-9DEF-49FF-ACAC-D6154CABD378}"/>
  </hyperlinks>
  <pageMargins left="0.7" right="0.7" top="0.75" bottom="0.75" header="0.3" footer="0.3"/>
  <pageSetup paperSize="9" scale="64"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AJ52"/>
  <sheetViews>
    <sheetView zoomScaleNormal="100" workbookViewId="0">
      <pane xSplit="3" ySplit="6" topLeftCell="E7" activePane="bottomRight" state="frozen"/>
      <selection pane="topRight" activeCell="D1" sqref="D1"/>
      <selection pane="bottomLeft" activeCell="A7" sqref="A7"/>
      <selection pane="bottomRight" activeCell="M8" sqref="M8"/>
    </sheetView>
  </sheetViews>
  <sheetFormatPr defaultColWidth="0" defaultRowHeight="11.4"/>
  <cols>
    <col min="1" max="1" width="2.77734375" style="202" customWidth="1"/>
    <col min="2" max="2" width="8.77734375" style="203" customWidth="1"/>
    <col min="3" max="3" width="5.21875" style="117" customWidth="1"/>
    <col min="4" max="4" width="25.77734375" style="6" customWidth="1"/>
    <col min="5" max="5" width="25.21875" style="6" customWidth="1"/>
    <col min="6" max="7" width="4.44140625" style="58" customWidth="1"/>
    <col min="8" max="9" width="9.21875" style="204" customWidth="1"/>
    <col min="10" max="10" width="35" style="183" customWidth="1"/>
    <col min="11" max="11" width="7.77734375" style="199" customWidth="1"/>
    <col min="12" max="12" width="12.44140625" style="200" customWidth="1"/>
    <col min="13" max="13" width="7" style="205" customWidth="1"/>
    <col min="14" max="18" width="25.44140625" style="206" customWidth="1"/>
    <col min="19" max="19" width="4" style="6" customWidth="1"/>
    <col min="20" max="20" width="5.5546875" style="6" customWidth="1"/>
    <col min="21" max="21" width="5.5546875" style="6" hidden="1" customWidth="1"/>
    <col min="22" max="22" width="3.44140625" style="6" hidden="1" customWidth="1"/>
    <col min="23" max="23" width="2.21875" style="142" hidden="1" customWidth="1"/>
    <col min="24" max="25" width="7.44140625" style="143" hidden="1" customWidth="1"/>
    <col min="26" max="26" width="2.21875" style="6" hidden="1" customWidth="1"/>
    <col min="27" max="27" width="14.44140625" style="6" hidden="1" customWidth="1"/>
    <col min="28" max="32" width="8.77734375" style="6" hidden="1" customWidth="1"/>
    <col min="33" max="34" width="9.21875" style="6" hidden="1" customWidth="1"/>
    <col min="35" max="35" width="2.21875" style="15" hidden="1" customWidth="1"/>
    <col min="36" max="36" width="9.21875" style="6" hidden="1" customWidth="1"/>
    <col min="37" max="16384" width="9.21875" style="6" hidden="1"/>
  </cols>
  <sheetData>
    <row r="1" spans="1:36" s="83" customFormat="1" ht="12" customHeight="1">
      <c r="A1" s="997"/>
      <c r="B1" s="998"/>
      <c r="C1" s="999"/>
      <c r="D1" s="724" t="s">
        <v>2</v>
      </c>
      <c r="E1" s="726" t="s">
        <v>3</v>
      </c>
      <c r="F1" s="299"/>
      <c r="G1" s="300"/>
      <c r="H1" s="301">
        <f>COUNTIF(H7:H13,100)</f>
        <v>0</v>
      </c>
      <c r="I1" s="301">
        <f>COUNTIF(I7:I13,100)</f>
        <v>0</v>
      </c>
      <c r="J1" s="305" t="str">
        <f>IF(SUM($H$1:$I$1)&gt;=2,"Refer to VSAC Auditor Scoring Guide when using score of '100'.","")</f>
        <v/>
      </c>
      <c r="K1" s="305"/>
      <c r="L1" s="305"/>
      <c r="M1" s="305"/>
      <c r="N1" s="583" t="s">
        <v>0</v>
      </c>
      <c r="O1" s="583"/>
      <c r="P1" s="80"/>
      <c r="Q1" s="81"/>
      <c r="R1" s="82"/>
      <c r="S1" s="979" t="s">
        <v>661</v>
      </c>
      <c r="W1" s="84" t="s">
        <v>276</v>
      </c>
      <c r="X1" s="85"/>
      <c r="Y1" s="85"/>
      <c r="Z1" s="3"/>
      <c r="AA1" s="86" t="s">
        <v>277</v>
      </c>
      <c r="AB1" s="87"/>
      <c r="AC1" s="87"/>
      <c r="AD1" s="87"/>
      <c r="AE1" s="87"/>
      <c r="AF1" s="87"/>
      <c r="AG1" s="88"/>
      <c r="AH1" s="89" t="s">
        <v>278</v>
      </c>
      <c r="AI1" s="90" t="s">
        <v>279</v>
      </c>
      <c r="AJ1" s="91"/>
    </row>
    <row r="2" spans="1:36" s="99" customFormat="1" ht="13.8" thickBot="1">
      <c r="A2" s="1000"/>
      <c r="B2" s="1001"/>
      <c r="C2" s="1002"/>
      <c r="D2" s="1003"/>
      <c r="E2" s="1004"/>
      <c r="F2" s="982"/>
      <c r="G2" s="983"/>
      <c r="H2" s="354"/>
      <c r="I2" s="352"/>
      <c r="J2" s="352"/>
      <c r="K2" s="355"/>
      <c r="L2" s="355"/>
      <c r="M2" s="452"/>
      <c r="N2" s="453"/>
      <c r="O2" s="454"/>
      <c r="P2" s="454"/>
      <c r="Q2" s="454"/>
      <c r="R2" s="464"/>
      <c r="S2" s="980"/>
      <c r="T2" s="96"/>
      <c r="U2" s="96"/>
      <c r="V2" s="97"/>
      <c r="W2" s="98" t="s">
        <v>276</v>
      </c>
      <c r="X2" s="100"/>
      <c r="Y2" s="100"/>
      <c r="Z2" s="101"/>
      <c r="AA2" s="86" t="s">
        <v>280</v>
      </c>
      <c r="AB2" s="87">
        <v>0</v>
      </c>
      <c r="AC2" s="87">
        <v>40</v>
      </c>
      <c r="AD2" s="87">
        <v>60</v>
      </c>
      <c r="AE2" s="87">
        <v>70</v>
      </c>
      <c r="AF2" s="87">
        <v>80</v>
      </c>
      <c r="AG2" s="102">
        <v>100</v>
      </c>
      <c r="AH2" s="103" t="s">
        <v>281</v>
      </c>
      <c r="AI2" s="104" t="s">
        <v>279</v>
      </c>
    </row>
    <row r="3" spans="1:36" s="75" customFormat="1" ht="26.25" customHeight="1" thickBot="1">
      <c r="A3" s="105"/>
      <c r="B3" s="455"/>
      <c r="C3" s="456"/>
      <c r="D3" s="457" t="s">
        <v>662</v>
      </c>
      <c r="E3" s="458" t="str">
        <f>IF('Supplier Profile &amp; Audit Plan'!$A$6="","",'Supplier Profile &amp; Audit Plan'!$A$6)</f>
        <v>Savannah Tank &amp; Equipment Corp.</v>
      </c>
      <c r="F3" s="984" t="s">
        <v>273</v>
      </c>
      <c r="G3" s="986" t="s">
        <v>274</v>
      </c>
      <c r="H3" s="989" t="s">
        <v>284</v>
      </c>
      <c r="I3" s="991" t="s">
        <v>285</v>
      </c>
      <c r="J3" s="994" t="s">
        <v>286</v>
      </c>
      <c r="K3" s="811" t="s">
        <v>287</v>
      </c>
      <c r="L3" s="972" t="s">
        <v>288</v>
      </c>
      <c r="M3" s="974" t="s">
        <v>289</v>
      </c>
      <c r="N3" s="811" t="s">
        <v>290</v>
      </c>
      <c r="O3" s="975" t="s">
        <v>291</v>
      </c>
      <c r="P3" s="811" t="s">
        <v>292</v>
      </c>
      <c r="Q3" s="977" t="s">
        <v>293</v>
      </c>
      <c r="R3" s="947" t="s">
        <v>294</v>
      </c>
      <c r="S3" s="981"/>
      <c r="T3" s="108"/>
      <c r="U3" s="108"/>
      <c r="V3" s="109"/>
      <c r="W3" s="110" t="s">
        <v>276</v>
      </c>
      <c r="X3" s="710" t="s">
        <v>296</v>
      </c>
      <c r="Y3" s="710" t="s">
        <v>297</v>
      </c>
      <c r="Z3" s="111"/>
      <c r="AA3" s="112" t="s">
        <v>298</v>
      </c>
      <c r="AB3" s="113">
        <v>0</v>
      </c>
      <c r="AC3" s="113">
        <v>40</v>
      </c>
      <c r="AD3" s="113">
        <v>60</v>
      </c>
      <c r="AE3" s="113">
        <v>70</v>
      </c>
      <c r="AF3" s="113">
        <v>80</v>
      </c>
      <c r="AG3" s="114">
        <v>100</v>
      </c>
      <c r="AH3" s="103" t="s">
        <v>299</v>
      </c>
      <c r="AI3" s="104" t="s">
        <v>279</v>
      </c>
      <c r="AJ3" s="115"/>
    </row>
    <row r="4" spans="1:36" s="115" customFormat="1" ht="12.75" customHeight="1">
      <c r="A4" s="105"/>
      <c r="B4" s="459"/>
      <c r="C4" s="117"/>
      <c r="D4" s="118" t="str">
        <f>IF('Supplier Profile &amp; Audit Plan'!$A$47&gt;0,'Supplier Profile &amp; Audit Plan'!$A$47,'Supplier Profile &amp; Audit Plan'!$A$46)</f>
        <v>TBD</v>
      </c>
      <c r="E4" s="119" t="str">
        <f>IF('Supplier Profile &amp; Audit Plan'!$A$49="","",'Supplier Profile &amp; Audit Plan'!$A$49)</f>
        <v>Sheet Metal &amp; Enclosure</v>
      </c>
      <c r="F4" s="985"/>
      <c r="G4" s="987"/>
      <c r="H4" s="990"/>
      <c r="I4" s="992"/>
      <c r="J4" s="995"/>
      <c r="K4" s="799"/>
      <c r="L4" s="973"/>
      <c r="M4" s="740"/>
      <c r="N4" s="799"/>
      <c r="O4" s="976"/>
      <c r="P4" s="799"/>
      <c r="Q4" s="978"/>
      <c r="R4" s="1015"/>
      <c r="S4" s="981"/>
      <c r="T4" s="108"/>
      <c r="U4" s="108"/>
      <c r="V4" s="120"/>
      <c r="W4" s="98" t="s">
        <v>276</v>
      </c>
      <c r="X4" s="710"/>
      <c r="Y4" s="710"/>
      <c r="Z4" s="117"/>
      <c r="AA4" s="121"/>
      <c r="AB4" s="122"/>
      <c r="AC4" s="122"/>
      <c r="AD4" s="122"/>
      <c r="AE4" s="122"/>
      <c r="AF4" s="122"/>
      <c r="AG4" s="122"/>
      <c r="AH4" s="103" t="s">
        <v>300</v>
      </c>
      <c r="AI4" s="104" t="s">
        <v>279</v>
      </c>
    </row>
    <row r="5" spans="1:36" s="115" customFormat="1" ht="24" customHeight="1">
      <c r="A5" s="105"/>
      <c r="B5" s="971"/>
      <c r="C5" s="737"/>
      <c r="D5" s="587" t="s">
        <v>663</v>
      </c>
      <c r="E5" s="441" t="s">
        <v>664</v>
      </c>
      <c r="F5" s="985"/>
      <c r="G5" s="988"/>
      <c r="H5" s="990"/>
      <c r="I5" s="993"/>
      <c r="J5" s="996"/>
      <c r="K5" s="799"/>
      <c r="L5" s="973"/>
      <c r="M5" s="741"/>
      <c r="N5" s="799"/>
      <c r="O5" s="976"/>
      <c r="P5" s="799"/>
      <c r="Q5" s="978"/>
      <c r="R5" s="1016"/>
      <c r="S5" s="981"/>
      <c r="T5" s="108"/>
      <c r="U5" s="108"/>
      <c r="V5" s="120"/>
      <c r="W5" s="98" t="s">
        <v>276</v>
      </c>
      <c r="X5" s="710"/>
      <c r="Y5" s="710"/>
      <c r="Z5" s="117"/>
      <c r="AA5" s="125"/>
      <c r="AB5" s="126"/>
      <c r="AC5" s="126"/>
      <c r="AD5" s="126"/>
      <c r="AE5" s="126"/>
      <c r="AF5" s="126"/>
      <c r="AG5" s="126"/>
      <c r="AH5" s="127"/>
      <c r="AI5" s="104" t="s">
        <v>279</v>
      </c>
    </row>
    <row r="6" spans="1:36" s="137" customFormat="1" ht="10.199999999999999">
      <c r="A6" s="128"/>
      <c r="B6" s="1005"/>
      <c r="C6" s="1006"/>
      <c r="D6" s="445" t="s">
        <v>303</v>
      </c>
      <c r="E6" s="444" t="s">
        <v>304</v>
      </c>
      <c r="F6" s="443"/>
      <c r="G6" s="442"/>
      <c r="H6" s="374"/>
      <c r="I6" s="374"/>
      <c r="J6" s="375" t="s">
        <v>305</v>
      </c>
      <c r="K6" s="131"/>
      <c r="L6" s="132"/>
      <c r="M6" s="133"/>
      <c r="N6" s="376" t="s">
        <v>306</v>
      </c>
      <c r="O6" s="134"/>
      <c r="P6" s="446"/>
      <c r="Q6" s="446"/>
      <c r="R6" s="465"/>
      <c r="S6" s="462"/>
      <c r="T6" s="135"/>
      <c r="U6" s="135"/>
      <c r="V6" s="135"/>
      <c r="W6" s="98" t="s">
        <v>276</v>
      </c>
      <c r="X6" s="136"/>
      <c r="Y6" s="136"/>
      <c r="Z6" s="115"/>
      <c r="AA6" s="115"/>
      <c r="AB6" s="115"/>
      <c r="AC6" s="115"/>
      <c r="AD6" s="115"/>
      <c r="AE6" s="115"/>
      <c r="AF6" s="115"/>
      <c r="AG6" s="115"/>
      <c r="AH6" s="115"/>
      <c r="AI6" s="104" t="s">
        <v>279</v>
      </c>
      <c r="AJ6" s="115"/>
    </row>
    <row r="7" spans="1:36" ht="45.6">
      <c r="A7" s="313" t="s">
        <v>307</v>
      </c>
      <c r="B7" s="1009" t="s">
        <v>665</v>
      </c>
      <c r="C7" s="332">
        <v>1.1000000000000001</v>
      </c>
      <c r="D7" s="335" t="s">
        <v>666</v>
      </c>
      <c r="E7" s="335"/>
      <c r="F7" s="588"/>
      <c r="G7" s="588"/>
      <c r="H7" s="589"/>
      <c r="I7" s="589"/>
      <c r="J7" s="566"/>
      <c r="K7" s="342" t="str">
        <f t="shared" ref="K7:K14" si="0">IF(H7="","",IF(F7&lt;&gt;"","",IF(H7&gt;=70,"N","Y")))</f>
        <v/>
      </c>
      <c r="L7" s="572"/>
      <c r="M7" s="343" t="str">
        <f>IF(H7="","",IF(H7&gt;=70,"",IF(SUM(IF(H7&gt;=70,1,-1)+IF(I7&gt;=70,1,-1))&gt;=0,"Closed","Open")))</f>
        <v/>
      </c>
      <c r="N7" s="439"/>
      <c r="O7" s="439"/>
      <c r="P7" s="439"/>
      <c r="Q7" s="439"/>
      <c r="R7" s="460"/>
      <c r="S7" s="438">
        <v>1</v>
      </c>
      <c r="T7" s="138"/>
      <c r="U7" s="138"/>
      <c r="V7" s="138"/>
      <c r="W7" s="98" t="s">
        <v>276</v>
      </c>
      <c r="X7" s="140" t="str">
        <f>IF(COUNTA($F7,$G7)&gt;0,"n/a",IF(H7="","",H7))</f>
        <v/>
      </c>
      <c r="Y7" s="140" t="str">
        <f>IF(COUNTA($F7,$G7)&gt;0,"n/a",IF(I7="","",I7))</f>
        <v/>
      </c>
      <c r="AI7" s="104" t="s">
        <v>279</v>
      </c>
    </row>
    <row r="8" spans="1:36" ht="120" customHeight="1">
      <c r="A8" s="314">
        <v>1</v>
      </c>
      <c r="B8" s="1010"/>
      <c r="C8" s="332">
        <v>1.2</v>
      </c>
      <c r="D8" s="335" t="s">
        <v>667</v>
      </c>
      <c r="E8" s="335" t="s">
        <v>668</v>
      </c>
      <c r="F8" s="588"/>
      <c r="G8" s="588"/>
      <c r="H8" s="589"/>
      <c r="I8" s="589"/>
      <c r="J8" s="566"/>
      <c r="K8" s="342"/>
      <c r="L8" s="572"/>
      <c r="M8" s="343"/>
      <c r="N8" s="439"/>
      <c r="O8" s="439"/>
      <c r="P8" s="439"/>
      <c r="Q8" s="439"/>
      <c r="R8" s="460"/>
      <c r="S8" s="438">
        <v>2</v>
      </c>
      <c r="T8" s="138"/>
      <c r="U8" s="138"/>
      <c r="V8" s="138"/>
      <c r="W8" s="98" t="s">
        <v>276</v>
      </c>
      <c r="X8" s="140" t="str">
        <f t="shared" ref="X8:Y14" si="1">IF(COUNTA($F8,$G8)&gt;0,"n/a",IF(H8="","",H8))</f>
        <v/>
      </c>
      <c r="Y8" s="140" t="str">
        <f t="shared" si="1"/>
        <v/>
      </c>
      <c r="AI8" s="104" t="s">
        <v>279</v>
      </c>
    </row>
    <row r="9" spans="1:36" ht="136.80000000000001">
      <c r="A9" s="314">
        <v>2</v>
      </c>
      <c r="B9" s="1009" t="s">
        <v>669</v>
      </c>
      <c r="C9" s="332">
        <v>2.1</v>
      </c>
      <c r="D9" s="335" t="s">
        <v>670</v>
      </c>
      <c r="E9" s="335"/>
      <c r="F9" s="588"/>
      <c r="G9" s="588"/>
      <c r="H9" s="589"/>
      <c r="I9" s="589"/>
      <c r="J9" s="566"/>
      <c r="K9" s="342" t="str">
        <f t="shared" si="0"/>
        <v/>
      </c>
      <c r="L9" s="572"/>
      <c r="M9" s="343" t="str">
        <f t="shared" ref="M9:M14" si="2">IF(H9="","",IF(H9&gt;=70,"",IF(SUM(IF(H9&gt;=70,1,-1)+IF(I9&gt;=70,1,-1))&gt;=0,"Closed","Open")))</f>
        <v/>
      </c>
      <c r="N9" s="439"/>
      <c r="O9" s="439"/>
      <c r="P9" s="439"/>
      <c r="Q9" s="439"/>
      <c r="R9" s="460"/>
      <c r="S9" s="438">
        <v>5</v>
      </c>
      <c r="T9" s="138"/>
      <c r="U9" s="138"/>
      <c r="V9" s="138"/>
      <c r="W9" s="98" t="s">
        <v>276</v>
      </c>
      <c r="X9" s="140" t="str">
        <f t="shared" si="1"/>
        <v/>
      </c>
      <c r="Y9" s="140" t="str">
        <f t="shared" si="1"/>
        <v/>
      </c>
      <c r="AI9" s="104" t="s">
        <v>279</v>
      </c>
    </row>
    <row r="10" spans="1:36" ht="75.75" customHeight="1">
      <c r="A10" s="314">
        <v>3</v>
      </c>
      <c r="B10" s="1011"/>
      <c r="C10" s="332">
        <v>2.2000000000000002</v>
      </c>
      <c r="D10" s="440" t="s">
        <v>671</v>
      </c>
      <c r="E10" s="335" t="s">
        <v>672</v>
      </c>
      <c r="F10" s="588"/>
      <c r="G10" s="588"/>
      <c r="H10" s="589"/>
      <c r="I10" s="589"/>
      <c r="J10" s="566"/>
      <c r="K10" s="342" t="str">
        <f t="shared" si="0"/>
        <v/>
      </c>
      <c r="L10" s="572"/>
      <c r="M10" s="343" t="str">
        <f t="shared" si="2"/>
        <v/>
      </c>
      <c r="N10" s="439"/>
      <c r="O10" s="439"/>
      <c r="P10" s="439"/>
      <c r="Q10" s="439"/>
      <c r="R10" s="460"/>
      <c r="S10" s="438">
        <v>6</v>
      </c>
      <c r="T10" s="138"/>
      <c r="U10" s="138"/>
      <c r="V10" s="138"/>
      <c r="W10" s="98"/>
      <c r="X10" s="140" t="str">
        <f t="shared" si="1"/>
        <v/>
      </c>
      <c r="Y10" s="140" t="str">
        <f t="shared" si="1"/>
        <v/>
      </c>
      <c r="AI10" s="104"/>
    </row>
    <row r="11" spans="1:36" ht="45.6">
      <c r="A11" s="314">
        <v>4</v>
      </c>
      <c r="B11" s="1010"/>
      <c r="C11" s="332">
        <v>2.2999999999999998</v>
      </c>
      <c r="D11" s="335" t="s">
        <v>673</v>
      </c>
      <c r="E11" s="335"/>
      <c r="F11" s="588"/>
      <c r="G11" s="588"/>
      <c r="H11" s="589"/>
      <c r="I11" s="589"/>
      <c r="J11" s="566"/>
      <c r="K11" s="342" t="str">
        <f t="shared" si="0"/>
        <v/>
      </c>
      <c r="L11" s="572"/>
      <c r="M11" s="343" t="str">
        <f t="shared" si="2"/>
        <v/>
      </c>
      <c r="N11" s="439"/>
      <c r="O11" s="439"/>
      <c r="P11" s="439"/>
      <c r="Q11" s="439"/>
      <c r="R11" s="460"/>
      <c r="S11" s="438">
        <v>7</v>
      </c>
      <c r="T11" s="138"/>
      <c r="U11" s="138"/>
      <c r="V11" s="138"/>
      <c r="W11" s="98" t="s">
        <v>276</v>
      </c>
      <c r="X11" s="140" t="str">
        <f t="shared" si="1"/>
        <v/>
      </c>
      <c r="Y11" s="140" t="str">
        <f t="shared" si="1"/>
        <v/>
      </c>
      <c r="AI11" s="104" t="s">
        <v>279</v>
      </c>
    </row>
    <row r="12" spans="1:36" ht="73.5" customHeight="1">
      <c r="A12" s="313" t="s">
        <v>307</v>
      </c>
      <c r="B12" s="1009" t="s">
        <v>674</v>
      </c>
      <c r="C12" s="332">
        <v>3.1</v>
      </c>
      <c r="D12" s="335" t="s">
        <v>675</v>
      </c>
      <c r="E12" s="335" t="s">
        <v>676</v>
      </c>
      <c r="F12" s="588"/>
      <c r="G12" s="588"/>
      <c r="H12" s="589"/>
      <c r="I12" s="589"/>
      <c r="J12" s="566"/>
      <c r="K12" s="342" t="str">
        <f t="shared" si="0"/>
        <v/>
      </c>
      <c r="L12" s="572"/>
      <c r="M12" s="343" t="str">
        <f t="shared" si="2"/>
        <v/>
      </c>
      <c r="N12" s="439"/>
      <c r="O12" s="439"/>
      <c r="P12" s="439"/>
      <c r="Q12" s="439"/>
      <c r="R12" s="460"/>
      <c r="S12" s="438">
        <v>9</v>
      </c>
      <c r="T12" s="138"/>
      <c r="U12" s="138"/>
      <c r="V12" s="138"/>
      <c r="W12" s="98" t="s">
        <v>276</v>
      </c>
      <c r="X12" s="140" t="str">
        <f t="shared" si="1"/>
        <v/>
      </c>
      <c r="Y12" s="140" t="str">
        <f t="shared" si="1"/>
        <v/>
      </c>
      <c r="AI12" s="104" t="s">
        <v>279</v>
      </c>
    </row>
    <row r="13" spans="1:36" ht="78" customHeight="1">
      <c r="A13" s="466">
        <v>1</v>
      </c>
      <c r="B13" s="1010"/>
      <c r="C13" s="447">
        <v>3.2</v>
      </c>
      <c r="D13" s="448" t="s">
        <v>677</v>
      </c>
      <c r="E13" s="448"/>
      <c r="F13" s="590"/>
      <c r="G13" s="590"/>
      <c r="H13" s="591"/>
      <c r="I13" s="591"/>
      <c r="J13" s="568"/>
      <c r="K13" s="449" t="str">
        <f t="shared" si="0"/>
        <v/>
      </c>
      <c r="L13" s="573"/>
      <c r="M13" s="450" t="str">
        <f t="shared" si="2"/>
        <v/>
      </c>
      <c r="N13" s="451"/>
      <c r="O13" s="451"/>
      <c r="P13" s="451"/>
      <c r="Q13" s="451"/>
      <c r="R13" s="461"/>
      <c r="S13" s="463">
        <v>10</v>
      </c>
      <c r="T13" s="138"/>
      <c r="U13" s="138"/>
      <c r="V13" s="138"/>
      <c r="W13" s="98" t="s">
        <v>276</v>
      </c>
      <c r="X13" s="140" t="str">
        <f t="shared" si="1"/>
        <v/>
      </c>
      <c r="Y13" s="140" t="str">
        <f t="shared" si="1"/>
        <v/>
      </c>
      <c r="AI13" s="104" t="s">
        <v>279</v>
      </c>
    </row>
    <row r="14" spans="1:36" ht="78" customHeight="1" thickBot="1">
      <c r="A14" s="466">
        <v>2</v>
      </c>
      <c r="B14" s="550" t="s">
        <v>678</v>
      </c>
      <c r="C14" s="551">
        <v>4</v>
      </c>
      <c r="D14" s="557" t="s">
        <v>679</v>
      </c>
      <c r="E14" s="552"/>
      <c r="F14" s="592"/>
      <c r="G14" s="592"/>
      <c r="H14" s="593"/>
      <c r="I14" s="593"/>
      <c r="J14" s="569"/>
      <c r="K14" s="553" t="str">
        <f t="shared" si="0"/>
        <v/>
      </c>
      <c r="L14" s="574"/>
      <c r="M14" s="554" t="str">
        <f t="shared" si="2"/>
        <v/>
      </c>
      <c r="N14" s="555"/>
      <c r="O14" s="555"/>
      <c r="P14" s="555"/>
      <c r="Q14" s="555"/>
      <c r="R14" s="556"/>
      <c r="S14" s="467">
        <v>11</v>
      </c>
      <c r="T14" s="138"/>
      <c r="U14" s="138"/>
      <c r="V14" s="138"/>
      <c r="W14" s="98"/>
      <c r="X14" s="140" t="str">
        <f t="shared" si="1"/>
        <v/>
      </c>
      <c r="Y14" s="140" t="str">
        <f t="shared" si="1"/>
        <v/>
      </c>
      <c r="AI14" s="104"/>
    </row>
    <row r="15" spans="1:36" ht="21" customHeight="1" thickBot="1">
      <c r="A15" s="350" t="s">
        <v>680</v>
      </c>
      <c r="B15" s="322"/>
      <c r="C15" s="323"/>
      <c r="D15" s="324"/>
      <c r="E15" s="324"/>
      <c r="F15" s="325"/>
      <c r="G15" s="325"/>
      <c r="H15" s="326"/>
      <c r="I15" s="326"/>
      <c r="J15" s="327"/>
      <c r="K15" s="328"/>
      <c r="L15" s="329"/>
      <c r="M15" s="330"/>
      <c r="N15" s="331"/>
      <c r="O15" s="331"/>
      <c r="P15" s="331"/>
      <c r="Q15" s="331"/>
      <c r="R15" s="331"/>
      <c r="S15" s="331" t="s">
        <v>680</v>
      </c>
    </row>
    <row r="16" spans="1:36" s="75" customFormat="1" ht="60" customHeight="1">
      <c r="A16" s="145"/>
      <c r="B16" s="378"/>
      <c r="C16" s="379"/>
      <c r="D16" s="1007" t="s">
        <v>681</v>
      </c>
      <c r="E16" s="1008"/>
      <c r="F16" s="380" t="s">
        <v>487</v>
      </c>
      <c r="G16" s="380" t="s">
        <v>274</v>
      </c>
      <c r="H16" s="426" t="s">
        <v>489</v>
      </c>
      <c r="I16" s="426" t="s">
        <v>490</v>
      </c>
      <c r="J16" s="479"/>
      <c r="K16" s="598" t="s">
        <v>491</v>
      </c>
      <c r="L16" s="599"/>
      <c r="M16" s="599"/>
      <c r="N16" s="599"/>
      <c r="O16" s="599"/>
      <c r="P16" s="600"/>
      <c r="Q16" s="383"/>
      <c r="R16" s="383"/>
      <c r="S16" s="474"/>
      <c r="T16" s="111"/>
      <c r="U16" s="111"/>
      <c r="W16" s="144"/>
      <c r="Z16" s="6"/>
      <c r="AA16" s="6"/>
      <c r="AB16" s="6"/>
      <c r="AC16" s="6"/>
      <c r="AD16" s="6"/>
      <c r="AE16" s="6"/>
      <c r="AF16" s="6"/>
      <c r="AG16" s="6"/>
      <c r="AH16" s="6"/>
      <c r="AI16" s="15"/>
      <c r="AJ16" s="6" t="s">
        <v>682</v>
      </c>
    </row>
    <row r="17" spans="1:36" s="148" customFormat="1" ht="15" customHeight="1">
      <c r="A17" s="145"/>
      <c r="B17" s="384"/>
      <c r="C17" s="109"/>
      <c r="D17" s="954" t="s">
        <v>683</v>
      </c>
      <c r="E17" s="955"/>
      <c r="F17" s="427"/>
      <c r="G17" s="427"/>
      <c r="H17" s="428">
        <f>SUM($X$7:$X$14)</f>
        <v>0</v>
      </c>
      <c r="I17" s="428">
        <f>SUM($Y$7:$Y$14)</f>
        <v>0</v>
      </c>
      <c r="J17" s="480"/>
      <c r="K17" s="969" t="s">
        <v>684</v>
      </c>
      <c r="L17" s="969"/>
      <c r="M17" s="969"/>
      <c r="N17" s="969"/>
      <c r="O17" s="1012"/>
      <c r="P17" s="1012"/>
      <c r="Q17" s="473"/>
      <c r="R17" s="473"/>
      <c r="S17" s="475"/>
      <c r="T17" s="109"/>
      <c r="U17" s="109"/>
      <c r="V17" s="150"/>
      <c r="W17" s="149"/>
      <c r="Z17" s="151"/>
      <c r="AA17" s="151"/>
      <c r="AB17" s="151"/>
      <c r="AC17" s="151"/>
      <c r="AD17" s="151"/>
      <c r="AE17" s="151"/>
      <c r="AF17" s="151"/>
      <c r="AG17" s="151"/>
      <c r="AH17" s="151"/>
      <c r="AI17" s="152"/>
      <c r="AJ17" s="151" t="s">
        <v>685</v>
      </c>
    </row>
    <row r="18" spans="1:36" s="75" customFormat="1" ht="15" customHeight="1">
      <c r="A18" s="141"/>
      <c r="B18" s="385"/>
      <c r="C18" s="111"/>
      <c r="D18" s="306"/>
      <c r="E18" s="306" t="s">
        <v>686</v>
      </c>
      <c r="F18" s="429">
        <f>COUNTA(F7:F14)</f>
        <v>0</v>
      </c>
      <c r="G18" s="429">
        <f>COUNTA(G7:G14)</f>
        <v>0</v>
      </c>
      <c r="H18" s="430">
        <f>(COUNTA($D$7:$D$14)-($F18+$G18))*100</f>
        <v>800</v>
      </c>
      <c r="I18" s="430">
        <f>(COUNTA($D$7:$D$14)-($F18+$G18))*100</f>
        <v>800</v>
      </c>
      <c r="J18" s="482"/>
      <c r="K18" s="970" t="s">
        <v>495</v>
      </c>
      <c r="L18" s="970"/>
      <c r="M18" s="970"/>
      <c r="N18" s="970"/>
      <c r="O18" s="1013"/>
      <c r="P18" s="1013"/>
      <c r="Q18" s="476"/>
      <c r="R18" s="476"/>
      <c r="S18" s="387"/>
      <c r="T18" s="111"/>
      <c r="U18" s="111"/>
      <c r="V18" s="153"/>
      <c r="W18" s="144"/>
      <c r="Z18" s="6"/>
      <c r="AA18" s="6"/>
      <c r="AB18" s="6"/>
      <c r="AC18" s="6"/>
      <c r="AD18" s="6"/>
      <c r="AE18" s="6"/>
      <c r="AF18" s="6"/>
      <c r="AG18" s="6"/>
      <c r="AH18" s="6"/>
      <c r="AI18" s="15"/>
      <c r="AJ18" s="6"/>
    </row>
    <row r="19" spans="1:36" s="75" customFormat="1" ht="15" customHeight="1">
      <c r="A19" s="478"/>
      <c r="B19" s="386"/>
      <c r="C19" s="111"/>
      <c r="D19" s="307"/>
      <c r="E19" s="308" t="s">
        <v>687</v>
      </c>
      <c r="F19" s="429"/>
      <c r="G19" s="429"/>
      <c r="H19" s="304">
        <f>(H17/H18)</f>
        <v>0</v>
      </c>
      <c r="I19" s="304">
        <f>(I17/I18)</f>
        <v>0</v>
      </c>
      <c r="J19" s="482"/>
      <c r="K19" s="970" t="s">
        <v>688</v>
      </c>
      <c r="L19" s="970"/>
      <c r="M19" s="970"/>
      <c r="N19" s="970"/>
      <c r="O19" s="1013"/>
      <c r="P19" s="1013"/>
      <c r="Q19" s="477"/>
      <c r="R19" s="477"/>
      <c r="S19" s="387"/>
      <c r="T19" s="111"/>
      <c r="U19" s="111"/>
      <c r="V19" s="153"/>
      <c r="W19" s="144"/>
      <c r="Z19" s="6"/>
      <c r="AA19" s="6"/>
      <c r="AB19" s="6"/>
      <c r="AC19" s="6"/>
      <c r="AD19" s="6"/>
      <c r="AE19" s="6"/>
      <c r="AF19" s="6"/>
      <c r="AG19" s="6"/>
      <c r="AH19" s="6"/>
      <c r="AI19" s="15"/>
      <c r="AJ19" s="6"/>
    </row>
    <row r="20" spans="1:36" s="75" customFormat="1" ht="15" customHeight="1">
      <c r="A20" s="346"/>
      <c r="B20" s="385"/>
      <c r="C20" s="377"/>
      <c r="D20" s="956" t="s">
        <v>627</v>
      </c>
      <c r="E20" s="957"/>
      <c r="F20" s="752" t="str">
        <f>IF('Supplier Profile &amp; Audit Plan'!$A$47="","",'Supplier Profile &amp; Audit Plan'!$A$47)</f>
        <v>TBD</v>
      </c>
      <c r="G20" s="753"/>
      <c r="H20" s="753"/>
      <c r="I20" s="754"/>
      <c r="J20" s="481"/>
      <c r="K20" s="970" t="s">
        <v>499</v>
      </c>
      <c r="L20" s="970"/>
      <c r="M20" s="970"/>
      <c r="N20" s="970"/>
      <c r="O20" s="1014"/>
      <c r="P20" s="1014"/>
      <c r="Q20" s="472"/>
      <c r="R20" s="472"/>
      <c r="S20" s="387"/>
      <c r="T20" s="111"/>
      <c r="U20" s="111"/>
      <c r="V20" s="153"/>
      <c r="W20" s="144"/>
      <c r="X20" s="155"/>
      <c r="Y20" s="155"/>
      <c r="Z20" s="6"/>
      <c r="AA20" s="6"/>
      <c r="AB20" s="6"/>
      <c r="AC20" s="6"/>
      <c r="AD20" s="6"/>
      <c r="AE20" s="6"/>
      <c r="AF20" s="6"/>
      <c r="AG20" s="6"/>
      <c r="AH20" s="6"/>
      <c r="AI20" s="15"/>
      <c r="AJ20" s="6"/>
    </row>
    <row r="21" spans="1:36" s="75" customFormat="1" ht="15" customHeight="1">
      <c r="A21" s="346"/>
      <c r="B21" s="385"/>
      <c r="C21" s="111"/>
      <c r="D21" s="154"/>
      <c r="E21" s="144"/>
      <c r="F21" s="6"/>
      <c r="G21" s="6"/>
      <c r="H21" s="6"/>
      <c r="I21" s="6"/>
      <c r="J21" s="6"/>
      <c r="K21" s="138">
        <f>COUNTIF(K7:K14,"Y")</f>
        <v>0</v>
      </c>
      <c r="L21" s="6"/>
      <c r="M21" s="138">
        <f>COUNTIF(M7:M14,"Open")</f>
        <v>0</v>
      </c>
      <c r="N21" s="6"/>
      <c r="O21" s="147"/>
      <c r="Q21" s="144"/>
      <c r="R21" s="349"/>
      <c r="S21" s="387"/>
      <c r="T21" s="111"/>
      <c r="U21" s="111"/>
      <c r="V21" s="153"/>
      <c r="W21" s="144"/>
      <c r="X21" s="155"/>
      <c r="Y21" s="155"/>
      <c r="Z21" s="6"/>
      <c r="AA21" s="6"/>
      <c r="AB21" s="6"/>
      <c r="AC21" s="6"/>
      <c r="AD21" s="6"/>
      <c r="AE21" s="6"/>
      <c r="AF21" s="6"/>
      <c r="AG21" s="6"/>
      <c r="AH21" s="6"/>
      <c r="AI21" s="15"/>
      <c r="AJ21" s="6"/>
    </row>
    <row r="22" spans="1:36" s="75" customFormat="1" ht="12.75" customHeight="1">
      <c r="A22" s="346"/>
      <c r="B22" s="385"/>
      <c r="C22" s="111"/>
      <c r="D22" s="186"/>
      <c r="E22" s="186"/>
      <c r="F22" s="6"/>
      <c r="G22" s="958" t="s">
        <v>689</v>
      </c>
      <c r="H22" s="959"/>
      <c r="I22" s="959"/>
      <c r="J22" s="960"/>
      <c r="K22" s="961"/>
      <c r="L22" s="961"/>
      <c r="M22" s="962"/>
      <c r="N22" s="6"/>
      <c r="O22" s="147"/>
      <c r="Q22" s="144"/>
      <c r="R22" s="349"/>
      <c r="S22" s="387"/>
      <c r="T22" s="111"/>
      <c r="U22" s="111"/>
      <c r="V22" s="153"/>
      <c r="W22" s="144"/>
      <c r="X22" s="155"/>
      <c r="Y22" s="155"/>
      <c r="Z22" s="6"/>
      <c r="AA22" s="6"/>
      <c r="AB22" s="6"/>
      <c r="AC22" s="6"/>
      <c r="AD22" s="6"/>
      <c r="AE22" s="6"/>
      <c r="AF22" s="6"/>
      <c r="AG22" s="6"/>
      <c r="AH22" s="6"/>
      <c r="AI22" s="15"/>
      <c r="AJ22" s="6"/>
    </row>
    <row r="23" spans="1:36" s="75" customFormat="1" ht="13.5" customHeight="1" thickBot="1">
      <c r="A23" s="346"/>
      <c r="B23" s="385"/>
      <c r="C23" s="111"/>
      <c r="D23" s="154"/>
      <c r="E23" s="144"/>
      <c r="F23" s="6"/>
      <c r="G23" s="6"/>
      <c r="H23" s="6"/>
      <c r="I23" s="6"/>
      <c r="J23" s="963"/>
      <c r="K23" s="964"/>
      <c r="L23" s="964"/>
      <c r="M23" s="965"/>
      <c r="N23" s="6"/>
      <c r="O23" s="147"/>
      <c r="Q23" s="144"/>
      <c r="R23" s="349"/>
      <c r="S23" s="387"/>
      <c r="T23" s="111"/>
      <c r="U23" s="111"/>
      <c r="V23" s="153"/>
      <c r="W23" s="144"/>
      <c r="X23" s="155"/>
      <c r="Y23" s="155"/>
      <c r="Z23" s="6"/>
      <c r="AA23" s="6"/>
      <c r="AB23" s="6"/>
      <c r="AC23" s="6"/>
      <c r="AD23" s="6"/>
      <c r="AE23" s="6"/>
      <c r="AF23" s="6"/>
      <c r="AG23" s="6"/>
      <c r="AH23" s="6"/>
      <c r="AI23" s="15"/>
      <c r="AJ23" s="6"/>
    </row>
    <row r="24" spans="1:36" s="163" customFormat="1" ht="30" customHeight="1">
      <c r="A24" s="347" t="s">
        <v>690</v>
      </c>
      <c r="B24" s="388"/>
      <c r="C24" s="156"/>
      <c r="D24" s="945" t="s">
        <v>512</v>
      </c>
      <c r="E24" s="946"/>
      <c r="F24" s="946"/>
      <c r="G24" s="947"/>
      <c r="H24" s="6"/>
      <c r="I24" s="6"/>
      <c r="J24" s="963"/>
      <c r="K24" s="964"/>
      <c r="L24" s="964"/>
      <c r="M24" s="965"/>
      <c r="N24" s="6"/>
      <c r="O24" s="158"/>
      <c r="P24" s="158"/>
      <c r="Q24" s="158"/>
      <c r="R24" s="159" t="s">
        <v>502</v>
      </c>
      <c r="S24" s="389"/>
      <c r="T24" s="160"/>
      <c r="U24" s="160"/>
      <c r="V24" s="160"/>
      <c r="W24" s="161"/>
      <c r="X24" s="162"/>
      <c r="Y24" s="162"/>
      <c r="Z24" s="6"/>
      <c r="AA24" s="6"/>
      <c r="AB24" s="6"/>
      <c r="AC24" s="6"/>
      <c r="AD24" s="6"/>
      <c r="AE24" s="6"/>
      <c r="AF24" s="6"/>
      <c r="AG24" s="6"/>
      <c r="AH24" s="6"/>
      <c r="AI24" s="15"/>
      <c r="AJ24" s="6"/>
    </row>
    <row r="25" spans="1:36" s="165" customFormat="1" ht="30" customHeight="1">
      <c r="A25" s="347"/>
      <c r="B25" s="390"/>
      <c r="C25" s="164"/>
      <c r="D25" s="939" t="s">
        <v>513</v>
      </c>
      <c r="E25" s="940"/>
      <c r="F25" s="940"/>
      <c r="G25" s="941"/>
      <c r="H25" s="6"/>
      <c r="I25" s="6"/>
      <c r="J25" s="963"/>
      <c r="K25" s="964"/>
      <c r="L25" s="964"/>
      <c r="M25" s="965"/>
      <c r="N25" s="6"/>
      <c r="O25" s="167"/>
      <c r="P25" s="167"/>
      <c r="Q25" s="167"/>
      <c r="R25" s="167"/>
      <c r="S25" s="391"/>
      <c r="W25" s="170"/>
      <c r="X25" s="171"/>
      <c r="Y25" s="171"/>
      <c r="Z25" s="6"/>
      <c r="AA25" s="6"/>
      <c r="AB25" s="6"/>
      <c r="AC25" s="6"/>
      <c r="AD25" s="6"/>
      <c r="AE25" s="6"/>
      <c r="AF25" s="6"/>
      <c r="AG25" s="6"/>
      <c r="AH25" s="6"/>
      <c r="AI25" s="15"/>
      <c r="AJ25" s="6"/>
    </row>
    <row r="26" spans="1:36" s="173" customFormat="1" ht="45" customHeight="1">
      <c r="A26" s="347"/>
      <c r="B26" s="392"/>
      <c r="C26" s="172"/>
      <c r="D26" s="942" t="s">
        <v>691</v>
      </c>
      <c r="E26" s="943"/>
      <c r="F26" s="943"/>
      <c r="G26" s="944"/>
      <c r="H26" s="6"/>
      <c r="I26" s="6"/>
      <c r="J26" s="963"/>
      <c r="K26" s="964"/>
      <c r="L26" s="964"/>
      <c r="M26" s="965"/>
      <c r="N26" s="6"/>
      <c r="O26" s="176"/>
      <c r="P26" s="176"/>
      <c r="Q26" s="176"/>
      <c r="R26" s="176"/>
      <c r="S26" s="393"/>
      <c r="W26" s="179"/>
      <c r="X26" s="180"/>
      <c r="Y26" s="180"/>
      <c r="Z26" s="6"/>
      <c r="AA26" s="6"/>
      <c r="AB26" s="6"/>
      <c r="AC26" s="6"/>
      <c r="AD26" s="6"/>
      <c r="AE26" s="6"/>
      <c r="AF26" s="6"/>
      <c r="AG26" s="6"/>
      <c r="AH26" s="6"/>
      <c r="AI26" s="15"/>
      <c r="AJ26" s="6"/>
    </row>
    <row r="27" spans="1:36" s="151" customFormat="1" ht="15" customHeight="1">
      <c r="A27" s="347"/>
      <c r="B27" s="390"/>
      <c r="C27" s="181"/>
      <c r="D27" s="932" t="s">
        <v>692</v>
      </c>
      <c r="E27" s="933"/>
      <c r="F27" s="933"/>
      <c r="G27" s="934"/>
      <c r="H27" s="6"/>
      <c r="I27" s="6"/>
      <c r="J27" s="963"/>
      <c r="K27" s="964"/>
      <c r="L27" s="964"/>
      <c r="M27" s="965"/>
      <c r="N27" s="6"/>
      <c r="O27" s="183"/>
      <c r="P27" s="183"/>
      <c r="Q27" s="183"/>
      <c r="R27" s="183"/>
      <c r="S27" s="394"/>
      <c r="W27" s="146"/>
      <c r="X27" s="185"/>
      <c r="Y27" s="185"/>
      <c r="Z27" s="6"/>
      <c r="AA27" s="6"/>
      <c r="AB27" s="6"/>
      <c r="AC27" s="6"/>
      <c r="AD27" s="6"/>
      <c r="AE27" s="6"/>
      <c r="AF27" s="6"/>
      <c r="AG27" s="6"/>
      <c r="AH27" s="6"/>
      <c r="AI27" s="15"/>
      <c r="AJ27" s="6"/>
    </row>
    <row r="28" spans="1:36" s="151" customFormat="1" ht="15" customHeight="1">
      <c r="A28" s="347"/>
      <c r="B28" s="390"/>
      <c r="C28" s="181"/>
      <c r="D28" s="932" t="s">
        <v>516</v>
      </c>
      <c r="E28" s="933"/>
      <c r="F28" s="933"/>
      <c r="G28" s="934"/>
      <c r="H28" s="6"/>
      <c r="I28" s="6"/>
      <c r="J28" s="966"/>
      <c r="K28" s="967"/>
      <c r="L28" s="967"/>
      <c r="M28" s="968"/>
      <c r="N28" s="6"/>
      <c r="O28" s="183"/>
      <c r="P28" s="183"/>
      <c r="Q28" s="183"/>
      <c r="R28" s="183"/>
      <c r="S28" s="394"/>
      <c r="W28" s="146"/>
      <c r="X28" s="185"/>
      <c r="Y28" s="185"/>
      <c r="Z28" s="6"/>
      <c r="AA28" s="6"/>
      <c r="AB28" s="6"/>
      <c r="AC28" s="6"/>
      <c r="AD28" s="6"/>
      <c r="AE28" s="6"/>
      <c r="AF28" s="6"/>
      <c r="AG28" s="6"/>
      <c r="AH28" s="6"/>
      <c r="AI28" s="15"/>
      <c r="AJ28" s="6"/>
    </row>
    <row r="29" spans="1:36" s="151" customFormat="1" ht="15" customHeight="1">
      <c r="A29" s="347"/>
      <c r="B29" s="390"/>
      <c r="C29" s="181"/>
      <c r="D29" s="932" t="s">
        <v>517</v>
      </c>
      <c r="E29" s="933"/>
      <c r="F29" s="933"/>
      <c r="G29" s="934"/>
      <c r="H29" s="6"/>
      <c r="I29" s="6"/>
      <c r="J29" s="316"/>
      <c r="K29" s="317"/>
      <c r="L29" s="317"/>
      <c r="M29" s="317"/>
      <c r="N29" s="6"/>
      <c r="O29" s="183"/>
      <c r="P29" s="183"/>
      <c r="Q29" s="183"/>
      <c r="R29" s="183"/>
      <c r="S29" s="394"/>
      <c r="W29" s="146"/>
      <c r="X29" s="185"/>
      <c r="Y29" s="185"/>
      <c r="Z29" s="6"/>
      <c r="AA29" s="6"/>
      <c r="AB29" s="6"/>
      <c r="AC29" s="6"/>
      <c r="AD29" s="6"/>
      <c r="AE29" s="6"/>
      <c r="AF29" s="6"/>
      <c r="AG29" s="6"/>
      <c r="AH29" s="6"/>
      <c r="AI29" s="15"/>
      <c r="AJ29" s="6"/>
    </row>
    <row r="30" spans="1:36" s="151" customFormat="1" ht="15" customHeight="1">
      <c r="A30" s="347"/>
      <c r="B30" s="390"/>
      <c r="C30" s="181"/>
      <c r="D30" s="932" t="s">
        <v>693</v>
      </c>
      <c r="E30" s="933"/>
      <c r="F30" s="933"/>
      <c r="G30" s="934"/>
      <c r="H30" s="6"/>
      <c r="I30" s="6"/>
      <c r="J30" s="317"/>
      <c r="K30" s="317"/>
      <c r="L30" s="317"/>
      <c r="M30" s="317"/>
      <c r="N30" s="6"/>
      <c r="O30" s="183"/>
      <c r="P30" s="183"/>
      <c r="Q30" s="183"/>
      <c r="R30" s="183"/>
      <c r="S30" s="394"/>
      <c r="W30" s="146"/>
      <c r="X30" s="185"/>
      <c r="Y30" s="185"/>
      <c r="Z30" s="6"/>
      <c r="AA30" s="6"/>
      <c r="AB30" s="6"/>
      <c r="AC30" s="6"/>
      <c r="AD30" s="6"/>
      <c r="AE30" s="6"/>
      <c r="AF30" s="6"/>
      <c r="AG30" s="6"/>
      <c r="AH30" s="6"/>
      <c r="AI30" s="15"/>
      <c r="AJ30" s="6"/>
    </row>
    <row r="31" spans="1:36" s="151" customFormat="1" ht="15" customHeight="1">
      <c r="A31" s="347"/>
      <c r="B31" s="390"/>
      <c r="C31" s="181"/>
      <c r="D31" s="932" t="s">
        <v>540</v>
      </c>
      <c r="E31" s="933"/>
      <c r="F31" s="933"/>
      <c r="G31" s="934"/>
      <c r="H31" s="6"/>
      <c r="I31" s="6"/>
      <c r="J31" s="317"/>
      <c r="K31" s="317"/>
      <c r="L31" s="317"/>
      <c r="M31" s="317"/>
      <c r="N31" s="6"/>
      <c r="O31" s="183"/>
      <c r="P31" s="183"/>
      <c r="Q31" s="183"/>
      <c r="R31" s="183"/>
      <c r="S31" s="394"/>
      <c r="W31" s="146"/>
      <c r="X31" s="185"/>
      <c r="Y31" s="185"/>
      <c r="Z31" s="6"/>
      <c r="AA31" s="6"/>
      <c r="AB31" s="6"/>
      <c r="AC31" s="6"/>
      <c r="AD31" s="6"/>
      <c r="AE31" s="6"/>
      <c r="AF31" s="6"/>
      <c r="AG31" s="6"/>
      <c r="AH31" s="6"/>
      <c r="AI31" s="15"/>
      <c r="AJ31" s="6"/>
    </row>
    <row r="32" spans="1:36" s="151" customFormat="1" ht="15" customHeight="1" thickBot="1">
      <c r="A32" s="347"/>
      <c r="B32" s="390"/>
      <c r="C32" s="181"/>
      <c r="D32" s="935" t="s">
        <v>511</v>
      </c>
      <c r="E32" s="936"/>
      <c r="F32" s="936"/>
      <c r="G32" s="937"/>
      <c r="H32" s="6"/>
      <c r="I32" s="6"/>
      <c r="J32" s="317"/>
      <c r="K32" s="317"/>
      <c r="L32" s="317"/>
      <c r="M32" s="317"/>
      <c r="N32" s="6"/>
      <c r="O32" s="183"/>
      <c r="P32" s="183"/>
      <c r="Q32" s="183"/>
      <c r="R32" s="183"/>
      <c r="S32" s="394"/>
      <c r="W32" s="146"/>
      <c r="X32" s="185"/>
      <c r="Y32" s="185"/>
      <c r="Z32" s="6"/>
      <c r="AA32" s="6"/>
      <c r="AB32" s="6"/>
      <c r="AC32" s="6"/>
      <c r="AD32" s="6"/>
      <c r="AE32" s="6"/>
      <c r="AF32" s="6"/>
      <c r="AG32" s="6"/>
      <c r="AH32" s="6"/>
      <c r="AI32" s="15"/>
      <c r="AJ32" s="6"/>
    </row>
    <row r="33" spans="1:36" s="151" customFormat="1" ht="30" customHeight="1">
      <c r="A33" s="347"/>
      <c r="B33" s="390"/>
      <c r="C33" s="181"/>
      <c r="D33" s="951" t="s">
        <v>522</v>
      </c>
      <c r="E33" s="952"/>
      <c r="F33" s="952"/>
      <c r="G33" s="953"/>
      <c r="H33" s="6"/>
      <c r="I33" s="6"/>
      <c r="J33" s="317"/>
      <c r="K33" s="317"/>
      <c r="L33" s="317"/>
      <c r="M33" s="317"/>
      <c r="N33" s="6"/>
      <c r="O33" s="183"/>
      <c r="P33" s="183"/>
      <c r="Q33" s="183"/>
      <c r="R33" s="183"/>
      <c r="S33" s="394"/>
      <c r="T33" s="483"/>
      <c r="W33" s="146"/>
      <c r="X33" s="185"/>
      <c r="Y33" s="185"/>
      <c r="Z33" s="6"/>
      <c r="AA33" s="6"/>
      <c r="AB33" s="6"/>
      <c r="AC33" s="6"/>
      <c r="AD33" s="6"/>
      <c r="AE33" s="6"/>
      <c r="AF33" s="6"/>
      <c r="AG33" s="6"/>
      <c r="AH33" s="6"/>
      <c r="AI33" s="15"/>
      <c r="AJ33" s="6"/>
    </row>
    <row r="34" spans="1:36" s="173" customFormat="1" ht="45" customHeight="1">
      <c r="A34" s="347"/>
      <c r="B34" s="392"/>
      <c r="C34" s="172"/>
      <c r="D34" s="948" t="s">
        <v>524</v>
      </c>
      <c r="E34" s="949"/>
      <c r="F34" s="949"/>
      <c r="G34" s="950"/>
      <c r="H34" s="6"/>
      <c r="I34" s="6"/>
      <c r="J34" s="6"/>
      <c r="K34" s="6"/>
      <c r="L34" s="6"/>
      <c r="M34" s="6"/>
      <c r="N34" s="6"/>
      <c r="O34" s="176"/>
      <c r="P34" s="176"/>
      <c r="Q34" s="176"/>
      <c r="R34" s="176"/>
      <c r="S34" s="393"/>
      <c r="W34" s="179"/>
      <c r="X34" s="180"/>
      <c r="Y34" s="180"/>
      <c r="Z34" s="6"/>
      <c r="AA34" s="6"/>
      <c r="AB34" s="6"/>
      <c r="AC34" s="6"/>
      <c r="AD34" s="6"/>
      <c r="AE34" s="6"/>
      <c r="AF34" s="6"/>
      <c r="AG34" s="6"/>
      <c r="AH34" s="6"/>
      <c r="AI34" s="15"/>
      <c r="AJ34" s="6"/>
    </row>
    <row r="35" spans="1:36" s="151" customFormat="1" ht="30" customHeight="1">
      <c r="A35" s="347"/>
      <c r="B35" s="390"/>
      <c r="C35" s="181"/>
      <c r="D35" s="939" t="s">
        <v>525</v>
      </c>
      <c r="E35" s="940"/>
      <c r="F35" s="940"/>
      <c r="G35" s="941"/>
      <c r="H35" s="182"/>
      <c r="I35" s="182"/>
      <c r="J35" s="183"/>
      <c r="K35" s="168"/>
      <c r="L35" s="184"/>
      <c r="M35" s="183"/>
      <c r="N35" s="183"/>
      <c r="O35" s="183"/>
      <c r="P35" s="183"/>
      <c r="Q35" s="183"/>
      <c r="R35" s="183"/>
      <c r="S35" s="394"/>
      <c r="W35" s="146"/>
      <c r="X35" s="185"/>
      <c r="Y35" s="185"/>
      <c r="Z35" s="6"/>
      <c r="AA35" s="6"/>
      <c r="AB35" s="6"/>
      <c r="AC35" s="6"/>
      <c r="AD35" s="6"/>
      <c r="AE35" s="6"/>
      <c r="AF35" s="6"/>
      <c r="AG35" s="6"/>
      <c r="AH35" s="6"/>
      <c r="AI35" s="15"/>
      <c r="AJ35" s="6"/>
    </row>
    <row r="36" spans="1:36" s="151" customFormat="1" ht="30" customHeight="1">
      <c r="A36" s="347"/>
      <c r="B36" s="390"/>
      <c r="C36" s="181"/>
      <c r="D36" s="932" t="s">
        <v>526</v>
      </c>
      <c r="E36" s="933"/>
      <c r="F36" s="933"/>
      <c r="G36" s="934"/>
      <c r="H36" s="182"/>
      <c r="I36" s="182"/>
      <c r="J36" s="183"/>
      <c r="K36" s="168"/>
      <c r="L36" s="184"/>
      <c r="M36" s="168"/>
      <c r="N36" s="183"/>
      <c r="O36" s="183"/>
      <c r="P36" s="183"/>
      <c r="Q36" s="183"/>
      <c r="R36" s="183"/>
      <c r="S36" s="394"/>
      <c r="W36" s="146"/>
      <c r="X36" s="185"/>
      <c r="Y36" s="185"/>
      <c r="Z36" s="6"/>
      <c r="AA36" s="6"/>
      <c r="AB36" s="6"/>
      <c r="AC36" s="6"/>
      <c r="AD36" s="6"/>
      <c r="AE36" s="6"/>
      <c r="AF36" s="6"/>
      <c r="AG36" s="6"/>
      <c r="AH36" s="6"/>
      <c r="AI36" s="15"/>
      <c r="AJ36" s="6"/>
    </row>
    <row r="37" spans="1:36" s="151" customFormat="1" ht="15" customHeight="1">
      <c r="A37" s="347"/>
      <c r="B37" s="390"/>
      <c r="C37" s="181"/>
      <c r="D37" s="932" t="s">
        <v>527</v>
      </c>
      <c r="E37" s="933"/>
      <c r="F37" s="933"/>
      <c r="G37" s="934"/>
      <c r="H37" s="182"/>
      <c r="I37" s="182"/>
      <c r="J37" s="183"/>
      <c r="K37" s="168"/>
      <c r="L37" s="184"/>
      <c r="M37" s="183"/>
      <c r="N37" s="183"/>
      <c r="O37" s="183"/>
      <c r="P37" s="183"/>
      <c r="Q37" s="183"/>
      <c r="R37" s="183"/>
      <c r="S37" s="394"/>
      <c r="W37" s="146"/>
      <c r="X37" s="185"/>
      <c r="Y37" s="185"/>
      <c r="Z37" s="6"/>
      <c r="AA37" s="6"/>
      <c r="AB37" s="6"/>
      <c r="AC37" s="6"/>
      <c r="AD37" s="6"/>
      <c r="AE37" s="6"/>
      <c r="AF37" s="6"/>
      <c r="AG37" s="6"/>
      <c r="AH37" s="6"/>
      <c r="AI37" s="15"/>
      <c r="AJ37" s="6"/>
    </row>
    <row r="38" spans="1:36" s="151" customFormat="1" ht="15" customHeight="1">
      <c r="A38" s="347"/>
      <c r="B38" s="390"/>
      <c r="C38" s="181"/>
      <c r="D38" s="932" t="s">
        <v>528</v>
      </c>
      <c r="E38" s="933"/>
      <c r="F38" s="933"/>
      <c r="G38" s="934"/>
      <c r="H38" s="182"/>
      <c r="I38" s="182"/>
      <c r="J38" s="183"/>
      <c r="K38" s="168"/>
      <c r="L38" s="184"/>
      <c r="M38" s="183"/>
      <c r="N38" s="183"/>
      <c r="O38" s="183"/>
      <c r="P38" s="183"/>
      <c r="Q38" s="183"/>
      <c r="R38" s="183"/>
      <c r="S38" s="394"/>
      <c r="W38" s="146"/>
      <c r="X38" s="185"/>
      <c r="Y38" s="185"/>
      <c r="Z38" s="6"/>
      <c r="AA38" s="6"/>
      <c r="AB38" s="6"/>
      <c r="AC38" s="6"/>
      <c r="AD38" s="6"/>
      <c r="AE38" s="6"/>
      <c r="AF38" s="6"/>
      <c r="AG38" s="6"/>
      <c r="AH38" s="6"/>
      <c r="AI38" s="15"/>
      <c r="AJ38" s="6"/>
    </row>
    <row r="39" spans="1:36" s="151" customFormat="1" ht="15" customHeight="1">
      <c r="A39" s="347"/>
      <c r="B39" s="390"/>
      <c r="C39" s="181"/>
      <c r="D39" s="932" t="s">
        <v>529</v>
      </c>
      <c r="E39" s="933"/>
      <c r="F39" s="933"/>
      <c r="G39" s="934"/>
      <c r="H39" s="182"/>
      <c r="I39" s="182"/>
      <c r="J39" s="183"/>
      <c r="K39" s="168"/>
      <c r="L39" s="184"/>
      <c r="M39" s="183"/>
      <c r="N39" s="183" t="s">
        <v>694</v>
      </c>
      <c r="O39" s="183"/>
      <c r="P39" s="183"/>
      <c r="Q39" s="183"/>
      <c r="R39" s="183"/>
      <c r="S39" s="394"/>
      <c r="W39" s="146"/>
      <c r="X39" s="185"/>
      <c r="Y39" s="185"/>
      <c r="Z39" s="6"/>
      <c r="AA39" s="6"/>
      <c r="AB39" s="6"/>
      <c r="AC39" s="6"/>
      <c r="AD39" s="6"/>
      <c r="AE39" s="6"/>
      <c r="AF39" s="6"/>
      <c r="AG39" s="6"/>
      <c r="AH39" s="6"/>
      <c r="AI39" s="15"/>
      <c r="AJ39" s="6"/>
    </row>
    <row r="40" spans="1:36" s="151" customFormat="1" ht="15" customHeight="1">
      <c r="A40" s="347"/>
      <c r="B40" s="390"/>
      <c r="C40" s="181"/>
      <c r="D40" s="932" t="s">
        <v>530</v>
      </c>
      <c r="E40" s="933"/>
      <c r="F40" s="933"/>
      <c r="G40" s="934"/>
      <c r="H40" s="182"/>
      <c r="I40" s="182"/>
      <c r="J40" s="183"/>
      <c r="K40" s="168"/>
      <c r="L40" s="184"/>
      <c r="M40" s="183"/>
      <c r="N40" s="183"/>
      <c r="O40" s="183"/>
      <c r="P40" s="183"/>
      <c r="Q40" s="183"/>
      <c r="R40" s="183"/>
      <c r="S40" s="394"/>
      <c r="W40" s="146"/>
      <c r="X40" s="185"/>
      <c r="Y40" s="185"/>
      <c r="Z40" s="6"/>
      <c r="AA40" s="6"/>
      <c r="AB40" s="6"/>
      <c r="AC40" s="6"/>
      <c r="AD40" s="6"/>
      <c r="AE40" s="6"/>
      <c r="AF40" s="6"/>
      <c r="AG40" s="6"/>
      <c r="AH40" s="6"/>
      <c r="AI40" s="15"/>
      <c r="AJ40" s="6"/>
    </row>
    <row r="41" spans="1:36" s="151" customFormat="1" ht="15" customHeight="1">
      <c r="A41" s="347"/>
      <c r="B41" s="390"/>
      <c r="C41" s="181"/>
      <c r="D41" s="932" t="s">
        <v>695</v>
      </c>
      <c r="E41" s="933"/>
      <c r="F41" s="933"/>
      <c r="G41" s="934"/>
      <c r="H41" s="182"/>
      <c r="I41" s="182"/>
      <c r="J41" s="183"/>
      <c r="K41" s="168"/>
      <c r="L41" s="184"/>
      <c r="M41" s="183"/>
      <c r="N41" s="183"/>
      <c r="O41" s="183"/>
      <c r="P41" s="183"/>
      <c r="Q41" s="183"/>
      <c r="R41" s="183"/>
      <c r="S41" s="394"/>
      <c r="W41" s="146"/>
      <c r="X41" s="185"/>
      <c r="Y41" s="185"/>
      <c r="Z41" s="6"/>
      <c r="AA41" s="6"/>
      <c r="AB41" s="6"/>
      <c r="AC41" s="6"/>
      <c r="AD41" s="6"/>
      <c r="AE41" s="6"/>
      <c r="AF41" s="6"/>
      <c r="AG41" s="6"/>
      <c r="AH41" s="6"/>
      <c r="AI41" s="15"/>
      <c r="AJ41" s="6"/>
    </row>
    <row r="42" spans="1:36" s="151" customFormat="1" ht="15" customHeight="1" thickBot="1">
      <c r="A42" s="347"/>
      <c r="B42" s="390"/>
      <c r="C42" s="181"/>
      <c r="D42" s="935" t="s">
        <v>532</v>
      </c>
      <c r="E42" s="936"/>
      <c r="F42" s="936"/>
      <c r="G42" s="937"/>
      <c r="H42" s="182"/>
      <c r="I42" s="182"/>
      <c r="J42" s="183"/>
      <c r="K42" s="168"/>
      <c r="L42" s="184"/>
      <c r="M42" s="183"/>
      <c r="N42" s="183"/>
      <c r="O42" s="183"/>
      <c r="P42" s="183"/>
      <c r="Q42" s="183"/>
      <c r="R42" s="183"/>
      <c r="S42" s="394"/>
      <c r="W42" s="146"/>
      <c r="X42" s="185"/>
      <c r="Y42" s="185"/>
      <c r="Z42" s="6"/>
      <c r="AA42" s="6"/>
      <c r="AB42" s="6"/>
      <c r="AC42" s="6"/>
      <c r="AD42" s="6"/>
      <c r="AE42" s="6"/>
      <c r="AF42" s="6"/>
      <c r="AG42" s="6"/>
      <c r="AH42" s="6"/>
      <c r="AI42" s="15"/>
      <c r="AJ42" s="6"/>
    </row>
    <row r="43" spans="1:36" s="151" customFormat="1" ht="30" customHeight="1">
      <c r="A43" s="347"/>
      <c r="B43" s="390"/>
      <c r="C43" s="181"/>
      <c r="D43" s="945" t="s">
        <v>533</v>
      </c>
      <c r="E43" s="946"/>
      <c r="F43" s="946"/>
      <c r="G43" s="947"/>
      <c r="H43" s="182"/>
      <c r="I43" s="182"/>
      <c r="J43" s="183"/>
      <c r="K43" s="168"/>
      <c r="L43" s="184"/>
      <c r="M43" s="183"/>
      <c r="N43" s="183"/>
      <c r="O43" s="183"/>
      <c r="P43" s="183"/>
      <c r="Q43" s="183"/>
      <c r="R43" s="183"/>
      <c r="S43" s="394"/>
      <c r="W43" s="146"/>
      <c r="X43" s="185"/>
      <c r="Y43" s="185"/>
      <c r="Z43" s="6"/>
      <c r="AA43" s="6"/>
      <c r="AB43" s="6"/>
      <c r="AC43" s="6"/>
      <c r="AD43" s="6"/>
      <c r="AE43" s="6"/>
      <c r="AF43" s="6"/>
      <c r="AG43" s="6"/>
      <c r="AH43" s="6"/>
      <c r="AI43" s="15"/>
      <c r="AJ43" s="6"/>
    </row>
    <row r="44" spans="1:36" s="189" customFormat="1" ht="30" customHeight="1">
      <c r="A44" s="347"/>
      <c r="B44" s="395"/>
      <c r="C44" s="188"/>
      <c r="D44" s="939" t="s">
        <v>534</v>
      </c>
      <c r="E44" s="940"/>
      <c r="F44" s="940"/>
      <c r="G44" s="941"/>
      <c r="H44" s="191"/>
      <c r="I44" s="191"/>
      <c r="J44" s="192"/>
      <c r="K44" s="193"/>
      <c r="L44" s="194"/>
      <c r="M44" s="192"/>
      <c r="N44" s="192"/>
      <c r="O44" s="192"/>
      <c r="P44" s="192"/>
      <c r="Q44" s="192"/>
      <c r="R44" s="192"/>
      <c r="S44" s="396"/>
      <c r="W44" s="195"/>
      <c r="X44" s="196"/>
      <c r="Y44" s="196"/>
      <c r="Z44" s="6"/>
      <c r="AA44" s="6"/>
      <c r="AB44" s="6"/>
      <c r="AC44" s="6"/>
      <c r="AD44" s="6"/>
      <c r="AE44" s="6"/>
      <c r="AF44" s="6"/>
      <c r="AG44" s="6"/>
      <c r="AH44" s="6"/>
      <c r="AI44" s="15"/>
      <c r="AJ44" s="6"/>
    </row>
    <row r="45" spans="1:36" s="151" customFormat="1" ht="30" customHeight="1">
      <c r="A45" s="347"/>
      <c r="B45" s="390"/>
      <c r="C45" s="181"/>
      <c r="D45" s="942" t="s">
        <v>535</v>
      </c>
      <c r="E45" s="943"/>
      <c r="F45" s="943"/>
      <c r="G45" s="944"/>
      <c r="H45" s="182"/>
      <c r="I45" s="182"/>
      <c r="J45" s="183"/>
      <c r="K45" s="168"/>
      <c r="L45" s="184"/>
      <c r="M45" s="183"/>
      <c r="N45" s="183"/>
      <c r="O45" s="183"/>
      <c r="P45" s="183"/>
      <c r="Q45" s="183"/>
      <c r="R45" s="183"/>
      <c r="S45" s="394"/>
      <c r="W45" s="146"/>
      <c r="X45" s="185"/>
      <c r="Y45" s="185"/>
      <c r="Z45" s="6"/>
      <c r="AA45" s="6"/>
      <c r="AB45" s="6"/>
      <c r="AC45" s="6"/>
      <c r="AD45" s="6"/>
      <c r="AE45" s="6"/>
      <c r="AF45" s="6"/>
      <c r="AG45" s="6"/>
      <c r="AH45" s="6"/>
      <c r="AI45" s="15"/>
      <c r="AJ45" s="6"/>
    </row>
    <row r="46" spans="1:36" s="151" customFormat="1" ht="15" customHeight="1">
      <c r="A46" s="347"/>
      <c r="B46" s="390"/>
      <c r="C46" s="181"/>
      <c r="D46" s="932" t="s">
        <v>537</v>
      </c>
      <c r="E46" s="933"/>
      <c r="F46" s="933"/>
      <c r="G46" s="934"/>
      <c r="H46" s="182"/>
      <c r="I46" s="182"/>
      <c r="J46" s="183"/>
      <c r="K46" s="168"/>
      <c r="L46" s="184"/>
      <c r="M46" s="183"/>
      <c r="N46" s="183"/>
      <c r="O46" s="183"/>
      <c r="P46" s="183"/>
      <c r="Q46" s="183"/>
      <c r="R46" s="183"/>
      <c r="S46" s="394"/>
      <c r="W46" s="146"/>
      <c r="X46" s="185"/>
      <c r="Y46" s="185"/>
      <c r="Z46" s="6"/>
      <c r="AA46" s="6"/>
      <c r="AB46" s="6"/>
      <c r="AC46" s="6"/>
      <c r="AD46" s="6"/>
      <c r="AE46" s="6"/>
      <c r="AF46" s="6"/>
      <c r="AG46" s="6"/>
      <c r="AH46" s="6"/>
      <c r="AI46" s="15"/>
      <c r="AJ46" s="6"/>
    </row>
    <row r="47" spans="1:36" s="151" customFormat="1" ht="15" customHeight="1">
      <c r="A47" s="347"/>
      <c r="B47" s="390"/>
      <c r="C47" s="181"/>
      <c r="D47" s="932" t="s">
        <v>538</v>
      </c>
      <c r="E47" s="933"/>
      <c r="F47" s="933"/>
      <c r="G47" s="934"/>
      <c r="H47" s="182"/>
      <c r="I47" s="182"/>
      <c r="J47" s="183"/>
      <c r="K47" s="168"/>
      <c r="L47" s="184"/>
      <c r="M47" s="183"/>
      <c r="N47" s="183"/>
      <c r="O47" s="183"/>
      <c r="P47" s="183"/>
      <c r="Q47" s="183"/>
      <c r="R47" s="183"/>
      <c r="S47" s="394"/>
      <c r="W47" s="146"/>
      <c r="X47" s="185"/>
      <c r="Y47" s="185"/>
      <c r="Z47" s="6"/>
      <c r="AA47" s="6"/>
      <c r="AB47" s="6"/>
      <c r="AC47" s="6"/>
      <c r="AD47" s="6"/>
      <c r="AE47" s="6"/>
      <c r="AF47" s="6"/>
      <c r="AG47" s="6"/>
      <c r="AH47" s="6"/>
      <c r="AI47" s="15"/>
      <c r="AJ47" s="6"/>
    </row>
    <row r="48" spans="1:36" s="151" customFormat="1" ht="15" customHeight="1">
      <c r="A48" s="347"/>
      <c r="B48" s="390"/>
      <c r="C48" s="181"/>
      <c r="D48" s="932" t="s">
        <v>539</v>
      </c>
      <c r="E48" s="933"/>
      <c r="F48" s="933"/>
      <c r="G48" s="934"/>
      <c r="H48" s="182"/>
      <c r="I48" s="182"/>
      <c r="J48" s="183"/>
      <c r="K48" s="168"/>
      <c r="L48" s="184"/>
      <c r="M48" s="183"/>
      <c r="N48" s="183"/>
      <c r="O48" s="183"/>
      <c r="P48" s="183"/>
      <c r="Q48" s="183"/>
      <c r="R48" s="183"/>
      <c r="S48" s="394"/>
      <c r="W48" s="146"/>
      <c r="X48" s="185"/>
      <c r="Y48" s="185"/>
      <c r="Z48" s="6"/>
      <c r="AA48" s="6"/>
      <c r="AB48" s="6"/>
      <c r="AC48" s="6"/>
      <c r="AD48" s="6"/>
      <c r="AE48" s="6"/>
      <c r="AF48" s="6"/>
      <c r="AG48" s="6"/>
      <c r="AH48" s="6"/>
      <c r="AI48" s="15"/>
      <c r="AJ48" s="6"/>
    </row>
    <row r="49" spans="1:36" s="151" customFormat="1" ht="15" customHeight="1">
      <c r="A49" s="347"/>
      <c r="B49" s="390"/>
      <c r="C49" s="181"/>
      <c r="D49" s="932" t="s">
        <v>518</v>
      </c>
      <c r="E49" s="933"/>
      <c r="F49" s="933"/>
      <c r="G49" s="934"/>
      <c r="H49" s="182"/>
      <c r="I49" s="182"/>
      <c r="J49" s="183"/>
      <c r="K49" s="168"/>
      <c r="L49" s="184"/>
      <c r="M49" s="183"/>
      <c r="N49" s="183"/>
      <c r="O49" s="183"/>
      <c r="P49" s="183"/>
      <c r="Q49" s="183"/>
      <c r="R49" s="183"/>
      <c r="S49" s="394"/>
      <c r="W49" s="146"/>
      <c r="X49" s="185"/>
      <c r="Y49" s="185"/>
      <c r="Z49" s="6"/>
      <c r="AA49" s="6"/>
      <c r="AB49" s="6"/>
      <c r="AC49" s="6"/>
      <c r="AD49" s="6"/>
      <c r="AE49" s="6"/>
      <c r="AF49" s="6"/>
      <c r="AG49" s="6"/>
      <c r="AH49" s="6"/>
      <c r="AI49" s="15"/>
      <c r="AJ49" s="6"/>
    </row>
    <row r="50" spans="1:36" s="151" customFormat="1" ht="15" customHeight="1">
      <c r="A50" s="347"/>
      <c r="B50" s="390"/>
      <c r="C50" s="181"/>
      <c r="D50" s="932" t="s">
        <v>520</v>
      </c>
      <c r="E50" s="933"/>
      <c r="F50" s="933"/>
      <c r="G50" s="934"/>
      <c r="H50" s="182"/>
      <c r="I50" s="182"/>
      <c r="J50" s="183"/>
      <c r="K50" s="168"/>
      <c r="L50" s="184"/>
      <c r="M50" s="183"/>
      <c r="N50" s="183"/>
      <c r="O50" s="183"/>
      <c r="P50" s="183"/>
      <c r="Q50" s="183"/>
      <c r="R50" s="183"/>
      <c r="S50" s="394"/>
      <c r="W50" s="146"/>
      <c r="X50" s="185"/>
      <c r="Y50" s="185"/>
      <c r="Z50" s="6"/>
      <c r="AA50" s="6"/>
      <c r="AB50" s="6"/>
      <c r="AC50" s="6"/>
      <c r="AD50" s="6"/>
      <c r="AE50" s="6"/>
      <c r="AF50" s="6"/>
      <c r="AG50" s="6"/>
      <c r="AH50" s="6"/>
      <c r="AI50" s="15"/>
      <c r="AJ50" s="6"/>
    </row>
    <row r="51" spans="1:36" s="151" customFormat="1" ht="15" customHeight="1" thickBot="1">
      <c r="A51" s="347"/>
      <c r="B51" s="390"/>
      <c r="C51" s="181"/>
      <c r="D51" s="935" t="s">
        <v>511</v>
      </c>
      <c r="E51" s="936"/>
      <c r="F51" s="936"/>
      <c r="G51" s="937"/>
      <c r="H51" s="182"/>
      <c r="I51" s="182"/>
      <c r="J51" s="183"/>
      <c r="K51" s="168"/>
      <c r="L51" s="184"/>
      <c r="M51" s="183"/>
      <c r="N51" s="183"/>
      <c r="O51" s="183"/>
      <c r="P51" s="183"/>
      <c r="Q51" s="183"/>
      <c r="R51" s="183"/>
      <c r="S51" s="394"/>
      <c r="W51" s="146"/>
      <c r="X51" s="185"/>
      <c r="Y51" s="185"/>
      <c r="Z51" s="6"/>
      <c r="AA51" s="6"/>
      <c r="AB51" s="6"/>
      <c r="AC51" s="6"/>
      <c r="AD51" s="6"/>
      <c r="AE51" s="6"/>
      <c r="AF51" s="6"/>
      <c r="AG51" s="6"/>
      <c r="AH51" s="6"/>
      <c r="AI51" s="15"/>
      <c r="AJ51" s="6"/>
    </row>
    <row r="52" spans="1:36" s="151" customFormat="1" ht="15" customHeight="1" thickBot="1">
      <c r="A52" s="347"/>
      <c r="B52" s="397"/>
      <c r="C52" s="398"/>
      <c r="D52" s="938" t="s">
        <v>696</v>
      </c>
      <c r="E52" s="938"/>
      <c r="F52" s="938"/>
      <c r="G52" s="938"/>
      <c r="H52" s="399"/>
      <c r="I52" s="399"/>
      <c r="J52" s="400"/>
      <c r="K52" s="401"/>
      <c r="L52" s="402"/>
      <c r="M52" s="400"/>
      <c r="N52" s="400"/>
      <c r="O52" s="400"/>
      <c r="P52" s="400"/>
      <c r="Q52" s="400"/>
      <c r="R52" s="400"/>
      <c r="S52" s="403"/>
      <c r="W52" s="146"/>
      <c r="X52" s="185"/>
      <c r="Y52" s="185"/>
      <c r="Z52" s="6"/>
      <c r="AA52" s="6"/>
      <c r="AB52" s="6"/>
      <c r="AC52" s="6"/>
      <c r="AD52" s="6"/>
      <c r="AE52" s="6"/>
      <c r="AF52" s="6"/>
      <c r="AG52" s="6"/>
      <c r="AH52" s="6"/>
      <c r="AI52" s="15"/>
      <c r="AJ52" s="6"/>
    </row>
  </sheetData>
  <sheetProtection algorithmName="SHA-512" hashValue="/RPVoFNXLcEHnLL+55Mz249Lgggxg1THzST/JB0wOevnviUG6YgEus/Rt7KN1Yc4oyOUmD9lPrdJL2pbg/nkfA==" saltValue="j76mDjrzcWe1O+8RzkHbWQ==" spinCount="100000" sheet="1" objects="1" scenarios="1"/>
  <protectedRanges>
    <protectedRange sqref="F7:R14 F20 O17 O18 O19 O20 J22" name="区域1"/>
    <protectedRange sqref="F7:R14 F20 O17 O18 O19 O20 J22" name="区域2"/>
  </protectedRanges>
  <autoFilter ref="H6:I13" xr:uid="{00000000-0009-0000-0000-000004000000}"/>
  <mergeCells count="69">
    <mergeCell ref="O17:P17"/>
    <mergeCell ref="O18:P18"/>
    <mergeCell ref="O19:P19"/>
    <mergeCell ref="O20:P20"/>
    <mergeCell ref="R3:R5"/>
    <mergeCell ref="J3:J5"/>
    <mergeCell ref="K16:P16"/>
    <mergeCell ref="A1:C2"/>
    <mergeCell ref="D1:D2"/>
    <mergeCell ref="E1:E2"/>
    <mergeCell ref="B6:C6"/>
    <mergeCell ref="D16:E16"/>
    <mergeCell ref="B7:B8"/>
    <mergeCell ref="B9:B11"/>
    <mergeCell ref="B12:B13"/>
    <mergeCell ref="X3:X5"/>
    <mergeCell ref="Y3:Y5"/>
    <mergeCell ref="B5:C5"/>
    <mergeCell ref="L3:L5"/>
    <mergeCell ref="M3:M5"/>
    <mergeCell ref="N3:N5"/>
    <mergeCell ref="O3:O5"/>
    <mergeCell ref="P3:P5"/>
    <mergeCell ref="Q3:Q5"/>
    <mergeCell ref="S1:S5"/>
    <mergeCell ref="F2:G2"/>
    <mergeCell ref="F3:F5"/>
    <mergeCell ref="G3:G5"/>
    <mergeCell ref="H3:H5"/>
    <mergeCell ref="I3:I5"/>
    <mergeCell ref="K3:K5"/>
    <mergeCell ref="D17:E17"/>
    <mergeCell ref="D20:E20"/>
    <mergeCell ref="G22:I22"/>
    <mergeCell ref="J22:M28"/>
    <mergeCell ref="F20:I20"/>
    <mergeCell ref="D24:G24"/>
    <mergeCell ref="D25:G25"/>
    <mergeCell ref="D26:G26"/>
    <mergeCell ref="D27:G27"/>
    <mergeCell ref="D28:G28"/>
    <mergeCell ref="K17:N17"/>
    <mergeCell ref="K18:N18"/>
    <mergeCell ref="K19:N19"/>
    <mergeCell ref="K20:N20"/>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9:G49"/>
    <mergeCell ref="D51:G51"/>
    <mergeCell ref="D50:G50"/>
    <mergeCell ref="D52:G52"/>
    <mergeCell ref="D44:G44"/>
    <mergeCell ref="D45:G45"/>
    <mergeCell ref="D46:G46"/>
    <mergeCell ref="D47:G47"/>
    <mergeCell ref="D48:G48"/>
  </mergeCells>
  <phoneticPr fontId="73" type="noConversion"/>
  <conditionalFormatting sqref="H1:I1">
    <cfRule type="cellIs" dxfId="8" priority="13" stopIfTrue="1" operator="greaterThanOrEqual">
      <formula>2</formula>
    </cfRule>
  </conditionalFormatting>
  <conditionalFormatting sqref="H7:I14">
    <cfRule type="expression" dxfId="7" priority="1" stopIfTrue="1">
      <formula>COUNTA($F7,$G7)&gt;0</formula>
    </cfRule>
  </conditionalFormatting>
  <conditionalFormatting sqref="H19:I19">
    <cfRule type="cellIs" dxfId="6" priority="9" stopIfTrue="1" operator="between">
      <formula>0.001</formula>
      <formula>0.59999</formula>
    </cfRule>
    <cfRule type="cellIs" dxfId="5" priority="10" stopIfTrue="1" operator="between">
      <formula>0.6</formula>
      <formula>0.69999</formula>
    </cfRule>
    <cfRule type="cellIs" dxfId="4" priority="11" stopIfTrue="1" operator="greaterThanOrEqual">
      <formula>0.7</formula>
    </cfRule>
  </conditionalFormatting>
  <conditionalFormatting sqref="H2:J2">
    <cfRule type="cellIs" dxfId="3" priority="2" stopIfTrue="1" operator="greaterThanOrEqual">
      <formula>3</formula>
    </cfRule>
  </conditionalFormatting>
  <conditionalFormatting sqref="X7:Y14">
    <cfRule type="cellIs" dxfId="2" priority="6" stopIfTrue="1" operator="between">
      <formula>0</formula>
      <formula>39.999</formula>
    </cfRule>
    <cfRule type="cellIs" dxfId="1" priority="7" stopIfTrue="1" operator="between">
      <formula>40</formula>
      <formula>69.999</formula>
    </cfRule>
    <cfRule type="cellIs" dxfId="0" priority="8" stopIfTrue="1" operator="greaterThanOrEqual">
      <formula>70</formula>
    </cfRule>
  </conditionalFormatting>
  <dataValidations count="6">
    <dataValidation type="date" operator="greaterThanOrEqual" allowBlank="1" showErrorMessage="1" errorTitle="DATE FIELD:" error="Type date as mm/dd/yyyy" sqref="O17 R18 R20:R23 L7:L14 O20 Q20" xr:uid="{00000000-0002-0000-0400-000000000000}">
      <formula1>37622</formula1>
    </dataValidation>
    <dataValidation type="whole" errorStyle="warning" allowBlank="1" showInputMessage="1" showErrorMessage="1" errorTitle="Scores of &quot;100&quot;" error="Scores of &quot;100&quot; should be applied only to &quot;Best in Class&quot;. You have scored 3 or more Requirements at '100'. Are you sure this is appropriate?" sqref="I1" xr:uid="{00000000-0002-0000-0400-000001000000}">
      <formula1>0</formula1>
      <formula2>3</formula2>
    </dataValidation>
    <dataValidation type="list" allowBlank="1" showErrorMessage="1" errorTitle="Score" error="Wrong value entered.  Values must be: 0, 40, 60, 70, 80 or 100. " promptTitle="Score" prompt="Value must be: 0, 40, 60,70,  80 or 100" sqref="H7:H14" xr:uid="{00000000-0002-0000-0400-000004000000}">
      <formula1>$AB$3:$AG$3</formula1>
    </dataValidation>
    <dataValidation type="custom" allowBlank="1" showDropDown="1" showErrorMessage="1" errorTitle="Not Applicable / Not Verified" error="Do not &quot;x&quot; both columns." promptTitle="Not Applicable / Not Verified" prompt="Place 'x' in appropriate column. Choose one, not both." sqref="F7:F14" xr:uid="{00000000-0002-0000-0400-000002000000}">
      <formula1>(COUNTA(F7)+COUNTA(G7))&lt;2</formula1>
    </dataValidation>
    <dataValidation type="custom" allowBlank="1" showDropDown="1" showErrorMessage="1" errorTitle="Meets Requirements" error="Do not &quot;x&quot; both columns." promptTitle="Not Applicable / Not Verified" prompt="Place 'x' in appropriate column._x000a_Choose one, not both." sqref="G7:G14" xr:uid="{00000000-0002-0000-0400-000003000000}">
      <formula1>(COUNTA(F7)+COUNTA(G7))&lt;2</formula1>
    </dataValidation>
    <dataValidation type="list" allowBlank="1" showErrorMessage="1" errorTitle="Score" error="Wrong value entered.  Values must be: 0, 40, 60, 70, 80 or 100. " promptTitle="Score" prompt="Value must be: 0, 40, 60,70,  80 or 100" sqref="I7:I14" xr:uid="{41C09D08-6E3B-4839-9F34-97B638DA0076}">
      <formula1>$AC$3:$AH$3</formula1>
    </dataValidation>
  </dataValidations>
  <hyperlinks>
    <hyperlink ref="A8" location="'Technical Assessment - Generic'!A7" tooltip="1.0  QUALITY MANAGEMENT" display="'Technical Assessment - Generic'!A7" xr:uid="{00000000-0004-0000-0400-000007000000}"/>
    <hyperlink ref="A7" location="'Technical Assessment - Generic'!A25" tooltip="Go to Bottom of page." display="Bottom" xr:uid="{00000000-0004-0000-0400-000055000000}"/>
    <hyperlink ref="E6" location="'Technical Assessment - Generic'!N3:R14" display="Go to: Corrective Actions" xr:uid="{00000000-0004-0000-0400-000056000000}"/>
    <hyperlink ref="N6" location="'Technical Assessment - Generic'!D33:D42" display="Go to: Corrective Action Instructions" xr:uid="{00000000-0004-0000-0400-000058000000}"/>
    <hyperlink ref="R24" location="'Std Checklist'!B7" display="Top" xr:uid="{00000000-0004-0000-0400-000059000000}"/>
    <hyperlink ref="J6:L6" location="'Std Checklist'!P123:BK158" display="Scoring Guidelines" xr:uid="{00000000-0004-0000-0400-000079000000}"/>
    <hyperlink ref="J6" location="'Technical Assessment - Generic'!D24:D51" display="Go to: Scoring Guidelines" xr:uid="{00000000-0004-0000-0400-00008D000000}"/>
    <hyperlink ref="D6" location="'Technical Assessment - Generic'!J3:J14" display="Go to: Findings" xr:uid="{00000000-0004-0000-0400-00008E000000}"/>
    <hyperlink ref="I3:I5" location="'Technical Assessment - Generic'!D43:D51" tooltip="Go To Std Checklist for AUDITOR's Scoring Instruction for After CAPA Verification" display="After CA Verif. SCORE" xr:uid="{00000000-0004-0000-0400-00008F000000}"/>
    <hyperlink ref="H3:H5" location="'Technical Assessment - Generic'!D24:D32" tooltip="Go To Std Checklist for AUDITOR's Scoring Instructions for On-Site Audit" display="On-Site Audit SCORE" xr:uid="{00000000-0004-0000-0400-000090000000}"/>
    <hyperlink ref="A9" location="'Technical Assessment - Generic'!A10" display="'Technical Assessment - Generic'!A10" xr:uid="{483D76FF-D6F3-4EBF-92FC-459AB73F3D1D}"/>
    <hyperlink ref="A10" location="'Technical Assessment - Generic'!A13" display="'Technical Assessment - Generic'!A13" xr:uid="{CEE99CE5-398F-4382-A85B-4643A68921D4}"/>
    <hyperlink ref="A11" location="'Technical Assessment - Generic'!A18" display="4" xr:uid="{8CEDC15B-FFEF-4B6B-9A0C-31448B0448BE}"/>
    <hyperlink ref="D52:G52" location="'Technical Assessment - Generic'!A7" display="Top" xr:uid="{949CE297-6014-49F0-A772-B9BBBE2FA235}"/>
    <hyperlink ref="A12" location="'Technical Assessment - Generic'!A24" display="Bottom" xr:uid="{D6EC0715-CDEF-454F-B61C-8136400CDA23}"/>
    <hyperlink ref="A13" location="'Technical Assessment - Generic'!A7" display="1" xr:uid="{E03DBCBC-5BEF-4185-91D0-94158D8AB0E3}"/>
    <hyperlink ref="A14" location="'Technical Assessment - Generic'!A9" display="'Technical Assessment - Generic'!A9" xr:uid="{A81B5474-77C1-403D-8B08-1E2FB7234929}"/>
  </hyperlink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am_x0020_Members xmlns="4bd2f001-c236-40b3-88b6-b439244af21b">
      <UserInfo>
        <DisplayName/>
        <AccountId xsi:nil="true"/>
        <AccountType/>
      </UserInfo>
    </Team_x0020_Members>
    <SharedWithUsers xmlns="8eda0e79-4743-4c7a-aa84-d4f5ec26d17a">
      <UserInfo>
        <DisplayName>Durin, Veronica</DisplayName>
        <AccountId>15347</AccountId>
        <AccountType/>
      </UserInfo>
      <UserInfo>
        <DisplayName>McFann, Dillon</DisplayName>
        <AccountId>16944</AccountId>
        <AccountType/>
      </UserInfo>
      <UserInfo>
        <DisplayName>Tamez, Juvel  [AMER-MX-TA-REY]</DisplayName>
        <AccountId>4248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DCB97A0239FE340AC3FD92A3C7D0CE9" ma:contentTypeVersion="12" ma:contentTypeDescription="Create a new document." ma:contentTypeScope="" ma:versionID="39da813f12706f43433bcd3f04d9720b">
  <xsd:schema xmlns:xsd="http://www.w3.org/2001/XMLSchema" xmlns:xs="http://www.w3.org/2001/XMLSchema" xmlns:p="http://schemas.microsoft.com/office/2006/metadata/properties" xmlns:ns2="4bd2f001-c236-40b3-88b6-b439244af21b" xmlns:ns3="527be410-682e-4f1d-9a0d-84d9464b3d7b" xmlns:ns4="8eda0e79-4743-4c7a-aa84-d4f5ec26d17a" targetNamespace="http://schemas.microsoft.com/office/2006/metadata/properties" ma:root="true" ma:fieldsID="a768d0a99de5408eaf70e4145d2f7369" ns2:_="" ns3:_="" ns4:_="">
    <xsd:import namespace="4bd2f001-c236-40b3-88b6-b439244af21b"/>
    <xsd:import namespace="527be410-682e-4f1d-9a0d-84d9464b3d7b"/>
    <xsd:import namespace="8eda0e79-4743-4c7a-aa84-d4f5ec26d17a"/>
    <xsd:element name="properties">
      <xsd:complexType>
        <xsd:sequence>
          <xsd:element name="documentManagement">
            <xsd:complexType>
              <xsd:all>
                <xsd:element ref="ns2:Team_x0020_Members"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d2f001-c236-40b3-88b6-b439244af21b" elementFormDefault="qualified">
    <xsd:import namespace="http://schemas.microsoft.com/office/2006/documentManagement/types"/>
    <xsd:import namespace="http://schemas.microsoft.com/office/infopath/2007/PartnerControls"/>
    <xsd:element name="Team_x0020_Members" ma:index="4" nillable="true" ma:displayName="Team Members" ma:list="UserInfo" ma:SharePointGroup="0" ma:internalName="Team_x0020_Membe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27be410-682e-4f1d-9a0d-84d9464b3d7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da0e79-4743-4c7a-aa84-d4f5ec26d17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41FA78-68F4-4A1C-9B71-813682F78970}">
  <ds:schemaRefs>
    <ds:schemaRef ds:uri="http://schemas.microsoft.com/office/infopath/2007/PartnerControls"/>
    <ds:schemaRef ds:uri="http://purl.org/dc/terms/"/>
    <ds:schemaRef ds:uri="http://schemas.microsoft.com/office/2006/documentManagement/types"/>
    <ds:schemaRef ds:uri="527be410-682e-4f1d-9a0d-84d9464b3d7b"/>
    <ds:schemaRef ds:uri="4bd2f001-c236-40b3-88b6-b439244af21b"/>
    <ds:schemaRef ds:uri="http://purl.org/dc/elements/1.1/"/>
    <ds:schemaRef ds:uri="http://schemas.openxmlformats.org/package/2006/metadata/core-properties"/>
    <ds:schemaRef ds:uri="8eda0e79-4743-4c7a-aa84-d4f5ec26d17a"/>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95A7538F-7084-48AF-94F8-F2F7A653C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d2f001-c236-40b3-88b6-b439244af21b"/>
    <ds:schemaRef ds:uri="527be410-682e-4f1d-9a0d-84d9464b3d7b"/>
    <ds:schemaRef ds:uri="8eda0e79-4743-4c7a-aa84-d4f5ec26d1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6F666D-DA17-402F-A508-E1CB42CC56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Supplier Profile &amp; Audit Plan</vt:lpstr>
      <vt:lpstr>Checklist</vt:lpstr>
      <vt:lpstr>Audit Results</vt:lpstr>
      <vt:lpstr>Technical Assessment - Generic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everetk8952</dc:creator>
  <cp:keywords/>
  <dc:description/>
  <cp:lastModifiedBy>Chris Fletcher</cp:lastModifiedBy>
  <cp:revision/>
  <dcterms:created xsi:type="dcterms:W3CDTF">2017-09-13T20:16:00Z</dcterms:created>
  <dcterms:modified xsi:type="dcterms:W3CDTF">2025-11-05T20:18:58Z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0x010100ADCB97A0239FE340AC3FD92A3C7D0CE9</vt:lpwstr>
  </property>
  <property fmtid="{D5CDD505-2E9C-101B-9397-08002B2CF9AE}" pid="3" name="_dlc_DocIdItemGuid">
    <vt:lpwstr>96bec3f1-2765-416f-b96d-1b3a6c86b9b6</vt:lpwstr>
  </property>
</Properties>
</file>