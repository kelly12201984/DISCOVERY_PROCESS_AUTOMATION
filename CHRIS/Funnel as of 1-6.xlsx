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hris\Odds &amp; Ends\Meetings\"/>
    </mc:Choice>
  </mc:AlternateContent>
  <xr:revisionPtr revIDLastSave="0" documentId="13_ncr:1_{88C205AD-3939-4980-98D2-99FFA439A3D8}" xr6:coauthVersionLast="47" xr6:coauthVersionMax="47" xr10:uidLastSave="{00000000-0000-0000-0000-000000000000}"/>
  <bookViews>
    <workbookView xWindow="-120" yWindow="-120" windowWidth="29040" windowHeight="15840" xr2:uid="{02D6CEF2-3FEE-4A4A-965C-F861739F2CC4}"/>
  </bookViews>
  <sheets>
    <sheet name="New Funnel" sheetId="1" r:id="rId1"/>
    <sheet name="Sheet1" sheetId="2" r:id="rId2"/>
    <sheet name="Sheet2" sheetId="3" r:id="rId3"/>
  </sheets>
  <definedNames>
    <definedName name="_xlnm._FilterDatabase" localSheetId="1" hidden="1">Sheet1!$A$1:$H$1</definedName>
    <definedName name="_xlnm._FilterDatabase" localSheetId="2" hidden="1">Sheet2!$A$1:$J$25</definedName>
    <definedName name="_xlnm.Print_Area" localSheetId="0">'New Funnel'!$A$1:$K$47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J3" i="1"/>
  <c r="J35" i="1" l="1"/>
  <c r="K35" i="1"/>
  <c r="J36" i="1"/>
  <c r="K36" i="1"/>
  <c r="J37" i="1"/>
  <c r="K37" i="1"/>
  <c r="J7" i="1"/>
  <c r="K7" i="1"/>
  <c r="J8" i="1"/>
  <c r="K8" i="1"/>
  <c r="J34" i="1"/>
  <c r="K34" i="1"/>
  <c r="J38" i="1"/>
  <c r="K38" i="1"/>
  <c r="J39" i="1"/>
  <c r="K39" i="1"/>
  <c r="J23" i="1"/>
  <c r="K23" i="1"/>
  <c r="J24" i="1"/>
  <c r="K24" i="1"/>
  <c r="J25" i="1"/>
  <c r="K25" i="1"/>
  <c r="J26" i="1"/>
  <c r="K26" i="1"/>
  <c r="J27" i="1"/>
  <c r="K27" i="1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K41" i="1"/>
  <c r="J41" i="1"/>
  <c r="K40" i="1"/>
  <c r="J40" i="1"/>
  <c r="K33" i="1"/>
  <c r="J33" i="1"/>
  <c r="J22" i="1"/>
  <c r="K22" i="1"/>
  <c r="K21" i="1"/>
  <c r="J21" i="1"/>
  <c r="K3" i="1"/>
  <c r="K5" i="1"/>
  <c r="K6" i="1"/>
  <c r="K9" i="1"/>
  <c r="K10" i="1"/>
  <c r="K11" i="1"/>
  <c r="K12" i="1"/>
  <c r="K13" i="1"/>
  <c r="K14" i="1"/>
  <c r="K15" i="1"/>
  <c r="K16" i="1"/>
  <c r="K2" i="1"/>
  <c r="J5" i="1"/>
  <c r="J6" i="1"/>
  <c r="J9" i="1"/>
  <c r="J10" i="1"/>
  <c r="J11" i="1"/>
  <c r="J12" i="1"/>
  <c r="J13" i="1"/>
  <c r="J14" i="1"/>
  <c r="J15" i="1"/>
  <c r="J16" i="1"/>
  <c r="J2" i="1"/>
  <c r="I44" i="1"/>
  <c r="H44" i="1"/>
  <c r="K44" i="1" l="1"/>
  <c r="J29" i="1"/>
  <c r="K29" i="1"/>
  <c r="J44" i="1"/>
  <c r="K18" i="1"/>
  <c r="J18" i="1"/>
  <c r="I29" i="1"/>
  <c r="H29" i="1"/>
  <c r="I18" i="1"/>
  <c r="H18" i="1"/>
  <c r="H47" i="1" l="1"/>
  <c r="J47" i="1"/>
  <c r="K47" i="1"/>
  <c r="I47" i="1"/>
</calcChain>
</file>

<file path=xl/sharedStrings.xml><?xml version="1.0" encoding="utf-8"?>
<sst xmlns="http://schemas.openxmlformats.org/spreadsheetml/2006/main" count="534" uniqueCount="283">
  <si>
    <t>Deal Name</t>
  </si>
  <si>
    <t>Deal Stage</t>
  </si>
  <si>
    <t>Close Date</t>
  </si>
  <si>
    <t>Deal probability</t>
  </si>
  <si>
    <t>Company</t>
  </si>
  <si>
    <t>Deal Description</t>
  </si>
  <si>
    <t>Contact</t>
  </si>
  <si>
    <t>Amount</t>
  </si>
  <si>
    <t>Man Hours</t>
  </si>
  <si>
    <t>Total</t>
  </si>
  <si>
    <t>Contract Packaging</t>
  </si>
  <si>
    <t>(3) 138-16-1 RAW JUICE TANK and FREIGHT</t>
  </si>
  <si>
    <t>Phase 2</t>
  </si>
  <si>
    <t>(1) 157-02-1 POLISH FILTER FEED TANK and FREIGHT</t>
  </si>
  <si>
    <t>100 TON HOPPERS</t>
  </si>
  <si>
    <t>Syensqo</t>
  </si>
  <si>
    <t>Andritz</t>
  </si>
  <si>
    <t>EPIC Systems Group</t>
  </si>
  <si>
    <t>VEi Global</t>
  </si>
  <si>
    <t>Perdue Chicken</t>
  </si>
  <si>
    <t>(1) 10,000 Gallon Storage Tank</t>
  </si>
  <si>
    <t>National Gypsum</t>
  </si>
  <si>
    <t>(2) SS Reactors</t>
  </si>
  <si>
    <t>CDM</t>
  </si>
  <si>
    <t>Franklin Engineering Group</t>
  </si>
  <si>
    <t>Valmet</t>
  </si>
  <si>
    <t>Next 90 Days Grand Totals</t>
  </si>
  <si>
    <t>Dennis Moss (dennis.moss@kellyreg.com)</t>
  </si>
  <si>
    <t>Bob Lofgren (blofgren@veiglobal.com)</t>
  </si>
  <si>
    <t>Nigel Kaas (nigel.kaas@perdue.com)</t>
  </si>
  <si>
    <t>Nicholas (Nick) Ahrens (nicholasah@goldbondbuilding.com)</t>
  </si>
  <si>
    <t>Byron Black (bblack@cdm-inc.com)</t>
  </si>
  <si>
    <t>Joel Weber (jweber@franklinengineering.com);Bill Kistler (wkistler@franklinengineering.com)</t>
  </si>
  <si>
    <t>Clewiston, USSC CVC Cooling Water Tank</t>
  </si>
  <si>
    <t>Brian Baker (bbaker@veiglobal.com)</t>
  </si>
  <si>
    <t>Polishing &amp; Trap Filter Blow Down tank</t>
  </si>
  <si>
    <t>CDM Smith</t>
  </si>
  <si>
    <t>SAV Bulk Filter Aid Project</t>
  </si>
  <si>
    <t>Kraton</t>
  </si>
  <si>
    <t>Above Ground Storage tank</t>
  </si>
  <si>
    <t>Robert Rogers (robert.rogers@kraton.com)</t>
  </si>
  <si>
    <t>HMT LLC</t>
  </si>
  <si>
    <t>Glen Mclain (glen.mclain@hmttank.com)</t>
  </si>
  <si>
    <t>Water Tank</t>
  </si>
  <si>
    <t>Budget</t>
  </si>
  <si>
    <t>Slurry Tank</t>
  </si>
  <si>
    <t>Milliken</t>
  </si>
  <si>
    <t>(1) C-276 Still Pot, (1) C-276 Column, (1) C-276 Reboiler, (1) C-276 Condenser</t>
  </si>
  <si>
    <t>Paul Libbers (paul.libbers@milliken.com)</t>
  </si>
  <si>
    <t>Clewiston, E25026 Trap Filter Precoat Tank</t>
  </si>
  <si>
    <t>McGehee, Dissolving Tank</t>
  </si>
  <si>
    <t>Samuel Miller (samuel.miller@andritz.com)</t>
  </si>
  <si>
    <t>Petrosmith</t>
  </si>
  <si>
    <t>Storage Tank (Budget)</t>
  </si>
  <si>
    <t>Michael Duffy (mduffy@petrosmith.com)</t>
  </si>
  <si>
    <t>(1) NO. 7 SAND SEPARATOR</t>
  </si>
  <si>
    <t>Jonathan Steinbiss (jonathan.steinbiss@andritz.com)</t>
  </si>
  <si>
    <t>Johns Manville</t>
  </si>
  <si>
    <t>(1) Water Tank</t>
  </si>
  <si>
    <t>Luke Bauer (luke.bauer@jm.com)</t>
  </si>
  <si>
    <t>Airco Industrial Services</t>
  </si>
  <si>
    <t>(1) T-4A CONDENSATE FLASH TANK</t>
  </si>
  <si>
    <t>Robert Wheeler (robert.wheeler@aircoindustrial.com)</t>
  </si>
  <si>
    <t>Sulzer</t>
  </si>
  <si>
    <t>(1) TK8001 GREASE TANK w/ SUPPORT BRIDGE</t>
  </si>
  <si>
    <t>SHINSUNG PETROCHEMICAL</t>
  </si>
  <si>
    <t>(1) DINP STORAGE TANK and FREIGHT</t>
  </si>
  <si>
    <t>Synthomer plc</t>
  </si>
  <si>
    <t>(3) 50K GAL. RESIN STORAGE, (3) 30K GAL. RESIN STORAGE, (2) 15K GAL. RESIN STORAGE, (1) QUIDIC TANK, (2) BULK PREP TANK, (1) COAGULATION TANK, (2) RESIN SILO, (1) REACTOR</t>
  </si>
  <si>
    <t>Jedson Engineering</t>
  </si>
  <si>
    <t>(1) IGA40-H0100</t>
  </si>
  <si>
    <t>Charlie Roy (charlie.roy@jedson.com)</t>
  </si>
  <si>
    <t>(1) T300-T-005 FIELD KIT</t>
  </si>
  <si>
    <t>SCHUST DEVELOPMENT INC.</t>
  </si>
  <si>
    <t>(1) AQUEOUS AMMONIA TANK and FREIGHT</t>
  </si>
  <si>
    <t>Matt Hall (m.hall@scheuch.com)</t>
  </si>
  <si>
    <t>Sungdo Engineering</t>
  </si>
  <si>
    <t>(6) YD-128 and FREIGHT</t>
  </si>
  <si>
    <t>Adsorptech</t>
  </si>
  <si>
    <t>(2) 8186-VD-100 ABSORBER VESSELS, (1) 8186-VD-200 BUFFER TANK</t>
  </si>
  <si>
    <t>General Motors</t>
  </si>
  <si>
    <t>(1) FRESH NMP TNK-001, (1) WASTE TNK-002</t>
  </si>
  <si>
    <t>John MacLean (john.1.maclean@gm.com)</t>
  </si>
  <si>
    <t>IMI Industrial Services Group</t>
  </si>
  <si>
    <t>(1) 20,000 GALLON VESSEL, (1) 25,000 GALLON VESSEL</t>
  </si>
  <si>
    <t>Tim Howard (tim.howard@imiindustrialservices.com)</t>
  </si>
  <si>
    <t>Sunpol</t>
  </si>
  <si>
    <t>(1) 11' OD REACTOR w/ DISHED TOP &amp; BOTTOM</t>
  </si>
  <si>
    <t>Lucas Fairfield (lucas@sunpol.com)</t>
  </si>
  <si>
    <t>Desotec</t>
  </si>
  <si>
    <t>AIRCON HC</t>
  </si>
  <si>
    <t>V3865 WEAK ACID SCRUBBER SUMP TANK</t>
  </si>
  <si>
    <t>Brown Nguyen (brown.nguyen@hmttank.com)</t>
  </si>
  <si>
    <t>U.S. Sugar</t>
  </si>
  <si>
    <t>NO. 2 BOILER FEEDWATER TANK</t>
  </si>
  <si>
    <t>GA Transformer</t>
  </si>
  <si>
    <t>Carbon steel horizontal vessel</t>
  </si>
  <si>
    <t>Storage tank</t>
  </si>
  <si>
    <t>DSM-Firmenich</t>
  </si>
  <si>
    <t>Jemal Fondel (jemal.fondel@dsm-firmenich.com)</t>
  </si>
  <si>
    <t>Further than 90</t>
  </si>
  <si>
    <t>Kimberly-Clark</t>
  </si>
  <si>
    <t>Bonnie Project</t>
  </si>
  <si>
    <t>On hold</t>
  </si>
  <si>
    <t>Crude Crystallizer Surge Drum</t>
  </si>
  <si>
    <t>250 Gallon Ploymer recovery tank</t>
  </si>
  <si>
    <t>AtkinsRÃ©alis</t>
  </si>
  <si>
    <t>(3) Fly ash silos</t>
  </si>
  <si>
    <t>F300 Tank Replacement</t>
  </si>
  <si>
    <t>Process Tanks</t>
  </si>
  <si>
    <t>Zachry Group</t>
  </si>
  <si>
    <t>7,000 GAL Horizontal</t>
  </si>
  <si>
    <t>Earl Harvard (harvardb@zachrygroup.com)</t>
  </si>
  <si>
    <t>Crawford Trent (trent.crawford@synthomer.com)</t>
  </si>
  <si>
    <t>HMT</t>
  </si>
  <si>
    <t>Matthew Stuart (matthew.stuart@hmttank.com)</t>
  </si>
  <si>
    <t>Crude Still Base</t>
  </si>
  <si>
    <t>Ronaldo Junor (ronaldo.junor@kraton.com);Marco Marra (marco.marra@kraton.com)</t>
  </si>
  <si>
    <t>8,000 Gallon Ester Tank</t>
  </si>
  <si>
    <t>Greg Grindstaff (greg.grindstaff@imiindustrialservices.com)</t>
  </si>
  <si>
    <t>No. 5 Sand Separator Top Section 1-2135-44/1-2134-86</t>
  </si>
  <si>
    <t>Symrise</t>
  </si>
  <si>
    <t>Rubber Lined Storage Tank</t>
  </si>
  <si>
    <t>Baris Kaymak (kaymakb@cdmsmith.com)</t>
  </si>
  <si>
    <t>Kang Hangu (hgkang@ssipec.com)</t>
  </si>
  <si>
    <t>Bakelite Synthetics</t>
  </si>
  <si>
    <t>Repeat of 003-24</t>
  </si>
  <si>
    <t>michael.diehl@bakelite.com</t>
  </si>
  <si>
    <t>Hemp Degumming Tank</t>
  </si>
  <si>
    <t>macie1b@icloud.com</t>
  </si>
  <si>
    <t>McKee</t>
  </si>
  <si>
    <t>(3) 10,000 Gallon Tanks</t>
  </si>
  <si>
    <t>Chance Donahue (chance.donahue@mckee.com)</t>
  </si>
  <si>
    <t>weemsengineering.com</t>
  </si>
  <si>
    <t>Large API Package</t>
  </si>
  <si>
    <t>Walt Rhudy (walt.rhudy@weemsengineering.com)</t>
  </si>
  <si>
    <t>Delray Beach Water Treatment Plant</t>
  </si>
  <si>
    <t>Larry Oliver (oliverlr@cdmsmith.com)</t>
  </si>
  <si>
    <t>Remake of 101-20</t>
  </si>
  <si>
    <t>Robert Hazelbaker (robert.hazelbaker@symrise.com)</t>
  </si>
  <si>
    <t>BurgGroup</t>
  </si>
  <si>
    <t>Vinegar Tanks</t>
  </si>
  <si>
    <t>Craig Brand (cbr@burgvinegar.com)</t>
  </si>
  <si>
    <t>PALAMATIC PROCESS France</t>
  </si>
  <si>
    <t>SNF</t>
  </si>
  <si>
    <t>Continental Industrial</t>
  </si>
  <si>
    <t>Wastewater Tanks</t>
  </si>
  <si>
    <t>John Roberson (robersonj@continental-is.com)</t>
  </si>
  <si>
    <t>Stainless Illinois Tank</t>
  </si>
  <si>
    <t>Arthurleconte (arthurleconte@palamaticprocess.com)</t>
  </si>
  <si>
    <t>JE Dunn Construction</t>
  </si>
  <si>
    <t>Tinci Electrolytes Plant</t>
  </si>
  <si>
    <t>Jacob Laney (jacob.laney@jedunn.com)</t>
  </si>
  <si>
    <t>Heat Exchangers</t>
  </si>
  <si>
    <t>Brandon The (brandon.the@andritz.com)</t>
  </si>
  <si>
    <t>L&amp;T Technology Services</t>
  </si>
  <si>
    <t>North Carolina Project</t>
  </si>
  <si>
    <t>Kaushik Prajapati (kaushik.prajapati@ltts.com)</t>
  </si>
  <si>
    <t>Hargrove Engineers &amp; Constructors</t>
  </si>
  <si>
    <t>Todd Bland (tbland@snf.com)</t>
  </si>
  <si>
    <t>Sylvamo Eastover - RB2 DT Replacement</t>
  </si>
  <si>
    <t>Casey Beirne (casey.beirne@valmet.com)</t>
  </si>
  <si>
    <t>Matrix Service</t>
  </si>
  <si>
    <t>(2) Monroe Selenium Tanks</t>
  </si>
  <si>
    <t>Eric Pfeffer (ericpfeffer@matrixnac.com)</t>
  </si>
  <si>
    <t>(2) EPI Storage Tanks</t>
  </si>
  <si>
    <t>Yuma Field Tanks</t>
  </si>
  <si>
    <t>Rjacobs Jacobs (rjacobs@hargrove-epc.com)</t>
  </si>
  <si>
    <t>LignoTech Florida</t>
  </si>
  <si>
    <t>Mixing tank in (2) options</t>
  </si>
  <si>
    <t>Mixing Tank</t>
  </si>
  <si>
    <t>yueyan@hbwanrun.com</t>
  </si>
  <si>
    <t>Ajay-SQM Group</t>
  </si>
  <si>
    <t>C22 Reactor</t>
  </si>
  <si>
    <t>Matthew Dedman (matthew.dedman@ajay-sqm.com)</t>
  </si>
  <si>
    <t>Stainless Steel Tank Package</t>
  </si>
  <si>
    <t>Kerby Hefley (khefley@epicsysinc.com)</t>
  </si>
  <si>
    <t>(1) Vent Gas Scrubber  (1) Vent Gas Condenser  (1) HVLC Condenser  (1) Vent Gas Fan (1) HVLC Fan</t>
  </si>
  <si>
    <t>Mark Shields (mark.shields@valmet.com)</t>
  </si>
  <si>
    <t>Carollo Engineers</t>
  </si>
  <si>
    <t>(1) RAS Mixing Tank</t>
  </si>
  <si>
    <t>Sunny Li (syli@carollo.com)</t>
  </si>
  <si>
    <t>(1) Molasses Storage Tank</t>
  </si>
  <si>
    <t>Bulk Tanks</t>
  </si>
  <si>
    <t>Wellons</t>
  </si>
  <si>
    <t>Blowdown Tanks</t>
  </si>
  <si>
    <t>Chris Ballance (chris.ballance@wellons.com)</t>
  </si>
  <si>
    <t>Fat Ice</t>
  </si>
  <si>
    <t>Crushed Ice Holding Tank</t>
  </si>
  <si>
    <t>Tim St Denis (tstdenis@fatice.com)</t>
  </si>
  <si>
    <t>Emulsion Tank</t>
  </si>
  <si>
    <t>Allan Springer (allan.springer@synthomer.com)</t>
  </si>
  <si>
    <t>Launder Chute</t>
  </si>
  <si>
    <t>Fortera</t>
  </si>
  <si>
    <t>Cricket Mountain Adsorbers</t>
  </si>
  <si>
    <t>Eric Price (eprice@forterausa.com)</t>
  </si>
  <si>
    <t>Wash Water Tank</t>
  </si>
  <si>
    <t>Andrew Cooper (andrew.cooper@imiindustrialservices.com)</t>
  </si>
  <si>
    <t>budget</t>
  </si>
  <si>
    <t>Field Tank</t>
  </si>
  <si>
    <t>Statiflo</t>
  </si>
  <si>
    <t>Chemical Feed Pipe</t>
  </si>
  <si>
    <t>Edward Todd (edwardtodd@statiflocorp.com)</t>
  </si>
  <si>
    <t>Viliam Varhol (viliam.varhol@borregaard.com)</t>
  </si>
  <si>
    <t>No 8 Sand Separator</t>
  </si>
  <si>
    <t>further than 90</t>
  </si>
  <si>
    <t>RQ Construction</t>
  </si>
  <si>
    <t>(1) Lube Oil Storage (1) Lube Oil Sump (1) Water Tank with Skimmer (1) Neutralization Tank</t>
  </si>
  <si>
    <t>Daniel  Hernandez (dhernandez@rqconstruction.com)</t>
  </si>
  <si>
    <t>Vertiv</t>
  </si>
  <si>
    <t>Continuous Cooling Tanks</t>
  </si>
  <si>
    <t>beth.gigliotti@vertiv.com</t>
  </si>
  <si>
    <t>25-086 Miner Smart Run Project, Buffer Tanks</t>
  </si>
  <si>
    <t>25-061 Moses Lake Project, Pressure Vessels</t>
  </si>
  <si>
    <t>Total of (5) vessels</t>
  </si>
  <si>
    <t>Wrestore Tech</t>
  </si>
  <si>
    <t>HMGMA</t>
  </si>
  <si>
    <t>(12) Metaplant Tanks</t>
  </si>
  <si>
    <t>Kennedy Moreno (kennedy.moreno@hmgma.com)</t>
  </si>
  <si>
    <t>Expected $</t>
  </si>
  <si>
    <t>Expected Hours</t>
  </si>
  <si>
    <t>Parker Hannifin</t>
  </si>
  <si>
    <t>Filter Housing</t>
  </si>
  <si>
    <t>John Henry (john.henry@parker.com)</t>
  </si>
  <si>
    <t>Activated Sludge Wastewater Tank</t>
  </si>
  <si>
    <t>Mary Cochran (mary.cochran@sulzer.com)</t>
  </si>
  <si>
    <t>(2) IBC Containers</t>
  </si>
  <si>
    <t>David Cox (david.cox@palamaticprocess.com)</t>
  </si>
  <si>
    <t>9399</t>
  </si>
  <si>
    <t/>
  </si>
  <si>
    <t>Analysis Buffer Tank</t>
  </si>
  <si>
    <t>9266</t>
  </si>
  <si>
    <t>9039</t>
  </si>
  <si>
    <t>9166</t>
  </si>
  <si>
    <t>Arvind Bhatnagar (arvind.bhatnagar@syensqo.com)</t>
  </si>
  <si>
    <t>9087</t>
  </si>
  <si>
    <t>9338</t>
  </si>
  <si>
    <t>9413</t>
  </si>
  <si>
    <t>Project Ares</t>
  </si>
  <si>
    <t>Amanda Luikart (amanda.luikart@syensqo.com)</t>
  </si>
  <si>
    <t>9378</t>
  </si>
  <si>
    <t>9379</t>
  </si>
  <si>
    <t>9366</t>
  </si>
  <si>
    <t>9282</t>
  </si>
  <si>
    <t>9192</t>
  </si>
  <si>
    <t>9369</t>
  </si>
  <si>
    <t>9372</t>
  </si>
  <si>
    <t>9236</t>
  </si>
  <si>
    <t>9417</t>
  </si>
  <si>
    <t>Kiewit</t>
  </si>
  <si>
    <t>Ammonia Storage Tank</t>
  </si>
  <si>
    <t>Tyson Campbell (tyson.campbell@kiewit.com)</t>
  </si>
  <si>
    <t>9403</t>
  </si>
  <si>
    <t>9344</t>
  </si>
  <si>
    <t>9228</t>
  </si>
  <si>
    <t>9042</t>
  </si>
  <si>
    <t>9271</t>
  </si>
  <si>
    <t>9415</t>
  </si>
  <si>
    <t>Freudenberg</t>
  </si>
  <si>
    <t>(1) Starch Tank</t>
  </si>
  <si>
    <t>Matthew Dunson (matthew.dunson@freudenberg-pm.com)</t>
  </si>
  <si>
    <t>9405</t>
  </si>
  <si>
    <t>9333</t>
  </si>
  <si>
    <t>9316</t>
  </si>
  <si>
    <t>9308</t>
  </si>
  <si>
    <t>9161</t>
  </si>
  <si>
    <t>9392</t>
  </si>
  <si>
    <t>9390</t>
  </si>
  <si>
    <t>8837A</t>
  </si>
  <si>
    <t>Kimberly Clark</t>
  </si>
  <si>
    <t>Bonnie Project Part 2</t>
  </si>
  <si>
    <t>Tim Rooyakkers (tim.j.rooyakkers@kcc.com)</t>
  </si>
  <si>
    <t>Raw Juice Tanks</t>
  </si>
  <si>
    <t>9391A</t>
  </si>
  <si>
    <t>Temp Sensors</t>
  </si>
  <si>
    <t>Negotiating (Quote Log)</t>
  </si>
  <si>
    <t>Negotiating (Mass Production)</t>
  </si>
  <si>
    <t>Next 30 days (Quote Log)</t>
  </si>
  <si>
    <t>Next 30 days (India Quote)</t>
  </si>
  <si>
    <t>Next 60 Days (Quote Log)</t>
  </si>
  <si>
    <t>Next 90 Days (Quote Log)</t>
  </si>
  <si>
    <t>Next 90 Days (India Quote)</t>
  </si>
  <si>
    <t>Next 90 Days (Mass Production)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</si>
</sst>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9" fontId="0" fillId="0" borderId="0" xfId="0" applyNumberFormat="1"/>
    <xf numFmtId="0" fontId="0" fillId="0" borderId="10" xfId="0" applyBorder="1"/>
    <xf numFmtId="9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9" fontId="0" fillId="0" borderId="17" xfId="0" applyNumberFormat="1" applyBorder="1"/>
    <xf numFmtId="9" fontId="0" fillId="0" borderId="12" xfId="0" applyNumberFormat="1" applyBorder="1"/>
    <xf numFmtId="164" fontId="0" fillId="0" borderId="0" xfId="0" applyNumberFormat="1"/>
    <xf numFmtId="164" fontId="0" fillId="0" borderId="12" xfId="0" applyNumberFormat="1" applyBorder="1"/>
    <xf numFmtId="164" fontId="0" fillId="0" borderId="17" xfId="0" applyNumberFormat="1" applyBorder="1"/>
    <xf numFmtId="164" fontId="0" fillId="0" borderId="10" xfId="0" applyNumberFormat="1" applyBorder="1"/>
    <xf numFmtId="165" fontId="0" fillId="0" borderId="12" xfId="0" applyNumberFormat="1" applyBorder="1"/>
    <xf numFmtId="165" fontId="0" fillId="0" borderId="0" xfId="0" applyNumberFormat="1"/>
    <xf numFmtId="1" fontId="0" fillId="0" borderId="0" xfId="0" applyNumberFormat="1"/>
    <xf numFmtId="1" fontId="0" fillId="0" borderId="13" xfId="0" applyNumberFormat="1" applyBorder="1"/>
    <xf numFmtId="0" fontId="0" fillId="0" borderId="16" xfId="0" applyBorder="1"/>
    <xf numFmtId="0" fontId="0" fillId="0" borderId="14" xfId="0" applyBorder="1"/>
    <xf numFmtId="165" fontId="0" fillId="0" borderId="10" xfId="0" applyNumberFormat="1" applyBorder="1"/>
    <xf numFmtId="165" fontId="0" fillId="0" borderId="17" xfId="0" applyNumberFormat="1" applyBorder="1"/>
    <xf numFmtId="49" fontId="0" fillId="0" borderId="10" xfId="0" applyNumberFormat="1" applyBorder="1"/>
    <xf numFmtId="1" fontId="0" fillId="0" borderId="15" xfId="0" applyNumberFormat="1" applyBorder="1"/>
    <xf numFmtId="49" fontId="0" fillId="0" borderId="17" xfId="0" applyNumberFormat="1" applyBorder="1"/>
    <xf numFmtId="1" fontId="0" fillId="0" borderId="18" xfId="0" applyNumberFormat="1" applyBorder="1"/>
    <xf numFmtId="0" fontId="0" fillId="0" borderId="19" xfId="0" applyBorder="1"/>
    <xf numFmtId="0" fontId="0" fillId="0" borderId="20" xfId="0" applyBorder="1"/>
    <xf numFmtId="49" fontId="0" fillId="0" borderId="12" xfId="0" applyNumberFormat="1" applyBorder="1"/>
    <xf numFmtId="1" fontId="0" fillId="0" borderId="12" xfId="0" applyNumberFormat="1" applyBorder="1"/>
    <xf numFmtId="0" fontId="0" fillId="0" borderId="11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theme="0"/>
      </font>
      <fill>
        <patternFill>
          <bgColor rgb="FF003A7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3A7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3A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5</xdr:row>
      <xdr:rowOff>0</xdr:rowOff>
    </xdr:from>
    <xdr:to>
      <xdr:col>15</xdr:col>
      <xdr:colOff>47625</xdr:colOff>
      <xdr:row>5</xdr:row>
      <xdr:rowOff>133350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0A5B014F-7326-4833-8F59-181C6031AB00}"/>
            </a:ext>
          </a:extLst>
        </xdr:cNvPr>
        <xdr:cNvSpPr/>
      </xdr:nvSpPr>
      <xdr:spPr>
        <a:xfrm rot="10800000">
          <a:off x="17335500" y="762000"/>
          <a:ext cx="466725" cy="133350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219075</xdr:colOff>
      <xdr:row>13</xdr:row>
      <xdr:rowOff>19050</xdr:rowOff>
    </xdr:from>
    <xdr:to>
      <xdr:col>15</xdr:col>
      <xdr:colOff>76200</xdr:colOff>
      <xdr:row>13</xdr:row>
      <xdr:rowOff>152400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D38C0FD4-D796-4B5C-9419-C9B604C35CF8}"/>
            </a:ext>
          </a:extLst>
        </xdr:cNvPr>
        <xdr:cNvSpPr/>
      </xdr:nvSpPr>
      <xdr:spPr>
        <a:xfrm>
          <a:off x="17364075" y="2305050"/>
          <a:ext cx="466725" cy="1333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438150</xdr:colOff>
      <xdr:row>2</xdr:row>
      <xdr:rowOff>104775</xdr:rowOff>
    </xdr:from>
    <xdr:to>
      <xdr:col>13</xdr:col>
      <xdr:colOff>600075</xdr:colOff>
      <xdr:row>4</xdr:row>
      <xdr:rowOff>66675</xdr:rowOff>
    </xdr:to>
    <xdr:sp macro="" textlink="">
      <xdr:nvSpPr>
        <xdr:cNvPr id="19" name="Arrow: Down 18">
          <a:extLst>
            <a:ext uri="{FF2B5EF4-FFF2-40B4-BE49-F238E27FC236}">
              <a16:creationId xmlns:a16="http://schemas.microsoft.com/office/drawing/2014/main" id="{1EF6C55B-DAC2-4C72-AFDD-CF57AC56AF45}"/>
            </a:ext>
          </a:extLst>
        </xdr:cNvPr>
        <xdr:cNvSpPr/>
      </xdr:nvSpPr>
      <xdr:spPr>
        <a:xfrm rot="10800000">
          <a:off x="16973550" y="485775"/>
          <a:ext cx="161925" cy="152400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466725</xdr:colOff>
      <xdr:row>6</xdr:row>
      <xdr:rowOff>104775</xdr:rowOff>
    </xdr:from>
    <xdr:to>
      <xdr:col>14</xdr:col>
      <xdr:colOff>19050</xdr:colOff>
      <xdr:row>7</xdr:row>
      <xdr:rowOff>66675</xdr:rowOff>
    </xdr:to>
    <xdr:sp macro="" textlink="">
      <xdr:nvSpPr>
        <xdr:cNvPr id="20" name="Arrow: Down 19">
          <a:extLst>
            <a:ext uri="{FF2B5EF4-FFF2-40B4-BE49-F238E27FC236}">
              <a16:creationId xmlns:a16="http://schemas.microsoft.com/office/drawing/2014/main" id="{1E8F8FE3-6750-4A18-AC92-9E5BC815260D}"/>
            </a:ext>
          </a:extLst>
        </xdr:cNvPr>
        <xdr:cNvSpPr/>
      </xdr:nvSpPr>
      <xdr:spPr>
        <a:xfrm>
          <a:off x="17002125" y="1057275"/>
          <a:ext cx="161925" cy="152400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8</xdr:row>
      <xdr:rowOff>171450</xdr:rowOff>
    </xdr:from>
    <xdr:to>
      <xdr:col>13</xdr:col>
      <xdr:colOff>571500</xdr:colOff>
      <xdr:row>9</xdr:row>
      <xdr:rowOff>95249</xdr:rowOff>
    </xdr:to>
    <xdr:sp macro="" textlink="">
      <xdr:nvSpPr>
        <xdr:cNvPr id="21" name="Star: 5 Points 20">
          <a:extLst>
            <a:ext uri="{FF2B5EF4-FFF2-40B4-BE49-F238E27FC236}">
              <a16:creationId xmlns:a16="http://schemas.microsoft.com/office/drawing/2014/main" id="{E18A8D24-CD97-4F34-8B6F-D7366379A921}"/>
            </a:ext>
          </a:extLst>
        </xdr:cNvPr>
        <xdr:cNvSpPr/>
      </xdr:nvSpPr>
      <xdr:spPr>
        <a:xfrm>
          <a:off x="16954500" y="1504950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200025</xdr:colOff>
      <xdr:row>29</xdr:row>
      <xdr:rowOff>0</xdr:rowOff>
    </xdr:from>
    <xdr:to>
      <xdr:col>15</xdr:col>
      <xdr:colOff>57150</xdr:colOff>
      <xdr:row>29</xdr:row>
      <xdr:rowOff>133350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795C7628-73A1-469E-80BD-66C05F60AD91}"/>
            </a:ext>
          </a:extLst>
        </xdr:cNvPr>
        <xdr:cNvSpPr/>
      </xdr:nvSpPr>
      <xdr:spPr>
        <a:xfrm>
          <a:off x="17345025" y="5343525"/>
          <a:ext cx="466725" cy="1333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1</xdr:row>
      <xdr:rowOff>171450</xdr:rowOff>
    </xdr:from>
    <xdr:to>
      <xdr:col>13</xdr:col>
      <xdr:colOff>571500</xdr:colOff>
      <xdr:row>2</xdr:row>
      <xdr:rowOff>95249</xdr:rowOff>
    </xdr:to>
    <xdr:sp macro="" textlink="">
      <xdr:nvSpPr>
        <xdr:cNvPr id="31" name="Star: 5 Points 30">
          <a:extLst>
            <a:ext uri="{FF2B5EF4-FFF2-40B4-BE49-F238E27FC236}">
              <a16:creationId xmlns:a16="http://schemas.microsoft.com/office/drawing/2014/main" id="{8AB795A8-1D8C-4B90-AB71-FF719E2758E4}"/>
            </a:ext>
          </a:extLst>
        </xdr:cNvPr>
        <xdr:cNvSpPr/>
      </xdr:nvSpPr>
      <xdr:spPr>
        <a:xfrm>
          <a:off x="16954500" y="361950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0</xdr:row>
      <xdr:rowOff>171450</xdr:rowOff>
    </xdr:from>
    <xdr:to>
      <xdr:col>13</xdr:col>
      <xdr:colOff>571500</xdr:colOff>
      <xdr:row>1</xdr:row>
      <xdr:rowOff>95249</xdr:rowOff>
    </xdr:to>
    <xdr:sp macro="" textlink="">
      <xdr:nvSpPr>
        <xdr:cNvPr id="32" name="Star: 5 Points 31">
          <a:extLst>
            <a:ext uri="{FF2B5EF4-FFF2-40B4-BE49-F238E27FC236}">
              <a16:creationId xmlns:a16="http://schemas.microsoft.com/office/drawing/2014/main" id="{0E1D839D-C9DA-4DFA-A0AA-BB7D0064C377}"/>
            </a:ext>
          </a:extLst>
        </xdr:cNvPr>
        <xdr:cNvSpPr/>
      </xdr:nvSpPr>
      <xdr:spPr>
        <a:xfrm>
          <a:off x="16954500" y="171450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447675</xdr:colOff>
      <xdr:row>20</xdr:row>
      <xdr:rowOff>180975</xdr:rowOff>
    </xdr:from>
    <xdr:to>
      <xdr:col>13</xdr:col>
      <xdr:colOff>600075</xdr:colOff>
      <xdr:row>21</xdr:row>
      <xdr:rowOff>104774</xdr:rowOff>
    </xdr:to>
    <xdr:sp macro="" textlink="">
      <xdr:nvSpPr>
        <xdr:cNvPr id="33" name="Star: 5 Points 32">
          <a:extLst>
            <a:ext uri="{FF2B5EF4-FFF2-40B4-BE49-F238E27FC236}">
              <a16:creationId xmlns:a16="http://schemas.microsoft.com/office/drawing/2014/main" id="{55F4D043-3422-4488-8B17-947841C81CE2}"/>
            </a:ext>
          </a:extLst>
        </xdr:cNvPr>
        <xdr:cNvSpPr/>
      </xdr:nvSpPr>
      <xdr:spPr>
        <a:xfrm>
          <a:off x="16983075" y="3810000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38100</xdr:colOff>
      <xdr:row>4</xdr:row>
      <xdr:rowOff>104775</xdr:rowOff>
    </xdr:from>
    <xdr:to>
      <xdr:col>14</xdr:col>
      <xdr:colOff>200025</xdr:colOff>
      <xdr:row>5</xdr:row>
      <xdr:rowOff>66675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3AEFEFDE-8EC0-439F-A4F0-C9B16C62054A}"/>
            </a:ext>
          </a:extLst>
        </xdr:cNvPr>
        <xdr:cNvSpPr/>
      </xdr:nvSpPr>
      <xdr:spPr>
        <a:xfrm rot="10800000">
          <a:off x="17183100" y="676275"/>
          <a:ext cx="161925" cy="152400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238125</xdr:colOff>
      <xdr:row>6</xdr:row>
      <xdr:rowOff>9525</xdr:rowOff>
    </xdr:from>
    <xdr:to>
      <xdr:col>15</xdr:col>
      <xdr:colOff>95250</xdr:colOff>
      <xdr:row>6</xdr:row>
      <xdr:rowOff>142875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44A97FB-11A6-4BDC-A9EE-34FAEB066FDE}"/>
            </a:ext>
          </a:extLst>
        </xdr:cNvPr>
        <xdr:cNvSpPr/>
      </xdr:nvSpPr>
      <xdr:spPr>
        <a:xfrm rot="10800000">
          <a:off x="17383125" y="962025"/>
          <a:ext cx="466725" cy="133350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21</xdr:row>
      <xdr:rowOff>180975</xdr:rowOff>
    </xdr:from>
    <xdr:to>
      <xdr:col>13</xdr:col>
      <xdr:colOff>571500</xdr:colOff>
      <xdr:row>22</xdr:row>
      <xdr:rowOff>104774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93D83F96-197E-4F36-AD17-F301E966E372}"/>
            </a:ext>
          </a:extLst>
        </xdr:cNvPr>
        <xdr:cNvSpPr/>
      </xdr:nvSpPr>
      <xdr:spPr>
        <a:xfrm>
          <a:off x="16954500" y="4000500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25</xdr:row>
      <xdr:rowOff>114300</xdr:rowOff>
    </xdr:from>
    <xdr:to>
      <xdr:col>13</xdr:col>
      <xdr:colOff>581025</xdr:colOff>
      <xdr:row>26</xdr:row>
      <xdr:rowOff>76200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CA493677-9529-4C1A-8F35-B66A2A5E05A0}"/>
            </a:ext>
          </a:extLst>
        </xdr:cNvPr>
        <xdr:cNvSpPr/>
      </xdr:nvSpPr>
      <xdr:spPr>
        <a:xfrm>
          <a:off x="16954500" y="4695825"/>
          <a:ext cx="161925" cy="152400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35</xdr:row>
      <xdr:rowOff>19050</xdr:rowOff>
    </xdr:from>
    <xdr:to>
      <xdr:col>15</xdr:col>
      <xdr:colOff>38100</xdr:colOff>
      <xdr:row>35</xdr:row>
      <xdr:rowOff>152400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0CF874DB-9133-4ACA-88F2-706BCD237D54}"/>
            </a:ext>
          </a:extLst>
        </xdr:cNvPr>
        <xdr:cNvSpPr/>
      </xdr:nvSpPr>
      <xdr:spPr>
        <a:xfrm>
          <a:off x="17325975" y="6515100"/>
          <a:ext cx="466725" cy="1333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438150</xdr:colOff>
      <xdr:row>32</xdr:row>
      <xdr:rowOff>180975</xdr:rowOff>
    </xdr:from>
    <xdr:to>
      <xdr:col>13</xdr:col>
      <xdr:colOff>590550</xdr:colOff>
      <xdr:row>33</xdr:row>
      <xdr:rowOff>104774</xdr:rowOff>
    </xdr:to>
    <xdr:sp macro="" textlink="">
      <xdr:nvSpPr>
        <xdr:cNvPr id="7" name="Star: 5 Points 6">
          <a:extLst>
            <a:ext uri="{FF2B5EF4-FFF2-40B4-BE49-F238E27FC236}">
              <a16:creationId xmlns:a16="http://schemas.microsoft.com/office/drawing/2014/main" id="{29B86321-92D8-4352-9E12-8C98FDF4C064}"/>
            </a:ext>
          </a:extLst>
        </xdr:cNvPr>
        <xdr:cNvSpPr/>
      </xdr:nvSpPr>
      <xdr:spPr>
        <a:xfrm>
          <a:off x="16973550" y="6105525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438150</xdr:colOff>
      <xdr:row>33</xdr:row>
      <xdr:rowOff>180975</xdr:rowOff>
    </xdr:from>
    <xdr:to>
      <xdr:col>13</xdr:col>
      <xdr:colOff>590550</xdr:colOff>
      <xdr:row>34</xdr:row>
      <xdr:rowOff>104774</xdr:rowOff>
    </xdr:to>
    <xdr:sp macro="" textlink="">
      <xdr:nvSpPr>
        <xdr:cNvPr id="8" name="Star: 5 Points 7">
          <a:extLst>
            <a:ext uri="{FF2B5EF4-FFF2-40B4-BE49-F238E27FC236}">
              <a16:creationId xmlns:a16="http://schemas.microsoft.com/office/drawing/2014/main" id="{F7F49C1B-9218-4ED9-93D0-A926A69754D2}"/>
            </a:ext>
          </a:extLst>
        </xdr:cNvPr>
        <xdr:cNvSpPr/>
      </xdr:nvSpPr>
      <xdr:spPr>
        <a:xfrm>
          <a:off x="16973550" y="6296025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190500</xdr:colOff>
      <xdr:row>25</xdr:row>
      <xdr:rowOff>152400</xdr:rowOff>
    </xdr:from>
    <xdr:to>
      <xdr:col>13</xdr:col>
      <xdr:colOff>342900</xdr:colOff>
      <xdr:row>26</xdr:row>
      <xdr:rowOff>76199</xdr:rowOff>
    </xdr:to>
    <xdr:sp macro="" textlink="">
      <xdr:nvSpPr>
        <xdr:cNvPr id="9" name="Star: 5 Points 8">
          <a:extLst>
            <a:ext uri="{FF2B5EF4-FFF2-40B4-BE49-F238E27FC236}">
              <a16:creationId xmlns:a16="http://schemas.microsoft.com/office/drawing/2014/main" id="{BC9429CB-B828-41BF-A7D0-7220D88BB862}"/>
            </a:ext>
          </a:extLst>
        </xdr:cNvPr>
        <xdr:cNvSpPr/>
      </xdr:nvSpPr>
      <xdr:spPr>
        <a:xfrm>
          <a:off x="16725900" y="4924425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323849</xdr:colOff>
      <xdr:row>28</xdr:row>
      <xdr:rowOff>85726</xdr:rowOff>
    </xdr:from>
    <xdr:to>
      <xdr:col>13</xdr:col>
      <xdr:colOff>438148</xdr:colOff>
      <xdr:row>29</xdr:row>
      <xdr:rowOff>47626</xdr:rowOff>
    </xdr:to>
    <xdr:sp macro="" textlink="">
      <xdr:nvSpPr>
        <xdr:cNvPr id="10" name="Star: 5 Points 9">
          <a:extLst>
            <a:ext uri="{FF2B5EF4-FFF2-40B4-BE49-F238E27FC236}">
              <a16:creationId xmlns:a16="http://schemas.microsoft.com/office/drawing/2014/main" id="{7510271C-24BE-4FB5-B91B-91BF85EEB3D5}"/>
            </a:ext>
          </a:extLst>
        </xdr:cNvPr>
        <xdr:cNvSpPr/>
      </xdr:nvSpPr>
      <xdr:spPr>
        <a:xfrm rot="5610756">
          <a:off x="16840199" y="5448301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342899</xdr:colOff>
      <xdr:row>29</xdr:row>
      <xdr:rowOff>85726</xdr:rowOff>
    </xdr:from>
    <xdr:to>
      <xdr:col>13</xdr:col>
      <xdr:colOff>457198</xdr:colOff>
      <xdr:row>30</xdr:row>
      <xdr:rowOff>47626</xdr:rowOff>
    </xdr:to>
    <xdr:sp macro="" textlink="">
      <xdr:nvSpPr>
        <xdr:cNvPr id="11" name="Star: 5 Points 10">
          <a:extLst>
            <a:ext uri="{FF2B5EF4-FFF2-40B4-BE49-F238E27FC236}">
              <a16:creationId xmlns:a16="http://schemas.microsoft.com/office/drawing/2014/main" id="{7DB79C5F-31F6-4254-9FC9-3EEBAD03603B}"/>
            </a:ext>
          </a:extLst>
        </xdr:cNvPr>
        <xdr:cNvSpPr/>
      </xdr:nvSpPr>
      <xdr:spPr>
        <a:xfrm rot="5610756">
          <a:off x="16859249" y="5638801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361949</xdr:colOff>
      <xdr:row>30</xdr:row>
      <xdr:rowOff>85726</xdr:rowOff>
    </xdr:from>
    <xdr:to>
      <xdr:col>13</xdr:col>
      <xdr:colOff>476248</xdr:colOff>
      <xdr:row>31</xdr:row>
      <xdr:rowOff>38101</xdr:rowOff>
    </xdr:to>
    <xdr:sp macro="" textlink="">
      <xdr:nvSpPr>
        <xdr:cNvPr id="12" name="Star: 5 Points 11">
          <a:extLst>
            <a:ext uri="{FF2B5EF4-FFF2-40B4-BE49-F238E27FC236}">
              <a16:creationId xmlns:a16="http://schemas.microsoft.com/office/drawing/2014/main" id="{E508034B-FBAF-4DD0-A18E-9500B11E35D7}"/>
            </a:ext>
          </a:extLst>
        </xdr:cNvPr>
        <xdr:cNvSpPr/>
      </xdr:nvSpPr>
      <xdr:spPr>
        <a:xfrm rot="5610756">
          <a:off x="16878299" y="5829301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C908-590F-4E4D-8118-9B4AD43D0DD1}">
  <sheetPr>
    <pageSetUpPr fitToPage="1"/>
  </sheetPr>
  <dimension ref="A1:K47"/>
  <sheetViews>
    <sheetView tabSelected="1" zoomScaleNormal="100" workbookViewId="0">
      <selection activeCell="B36" sqref="B36"/>
    </sheetView>
  </sheetViews>
  <sheetFormatPr defaultRowHeight="15" x14ac:dyDescent="0.25"/>
  <cols>
    <col min="1" max="1" width="10.7109375" style="31" bestFit="1" customWidth="1"/>
    <col min="2" max="2" width="28.42578125" bestFit="1" customWidth="1"/>
    <col min="3" max="3" width="11.42578125" style="9" customWidth="1"/>
    <col min="4" max="4" width="15.140625" style="1" bestFit="1" customWidth="1"/>
    <col min="5" max="6" width="46.7109375" bestFit="1" customWidth="1"/>
    <col min="7" max="7" width="34" customWidth="1"/>
    <col min="8" max="8" width="11.85546875" style="14" bestFit="1" customWidth="1"/>
    <col min="9" max="9" width="10.5703125" style="15" bestFit="1" customWidth="1"/>
    <col min="10" max="10" width="11.140625" bestFit="1" customWidth="1"/>
    <col min="11" max="11" width="14.5703125" style="15" bestFit="1" customWidth="1"/>
  </cols>
  <sheetData>
    <row r="1" spans="1:11" x14ac:dyDescent="0.25">
      <c r="A1" s="33" t="s">
        <v>0</v>
      </c>
      <c r="B1" s="5" t="s">
        <v>1</v>
      </c>
      <c r="C1" s="10" t="s">
        <v>2</v>
      </c>
      <c r="D1" s="8" t="s">
        <v>3</v>
      </c>
      <c r="E1" s="5" t="s">
        <v>4</v>
      </c>
      <c r="F1" s="5" t="s">
        <v>5</v>
      </c>
      <c r="G1" s="5" t="s">
        <v>6</v>
      </c>
      <c r="H1" s="13" t="s">
        <v>7</v>
      </c>
      <c r="I1" s="28" t="s">
        <v>8</v>
      </c>
      <c r="J1" s="5" t="s">
        <v>219</v>
      </c>
      <c r="K1" s="16" t="s">
        <v>220</v>
      </c>
    </row>
    <row r="2" spans="1:11" x14ac:dyDescent="0.25">
      <c r="A2" s="30" t="s">
        <v>228</v>
      </c>
      <c r="B2" s="2" t="s">
        <v>275</v>
      </c>
      <c r="C2" s="12">
        <v>46031</v>
      </c>
      <c r="D2" s="3">
        <v>0.9</v>
      </c>
      <c r="E2" s="2" t="s">
        <v>144</v>
      </c>
      <c r="F2" s="2" t="s">
        <v>230</v>
      </c>
      <c r="G2" s="2" t="s">
        <v>159</v>
      </c>
      <c r="H2" s="19">
        <v>452250</v>
      </c>
      <c r="I2" s="2">
        <v>1308</v>
      </c>
      <c r="J2" s="19">
        <f>H2*D2</f>
        <v>407025</v>
      </c>
      <c r="K2" s="22">
        <f>I2*D2</f>
        <v>1177.2</v>
      </c>
    </row>
    <row r="3" spans="1:11" x14ac:dyDescent="0.25">
      <c r="A3" s="34">
        <v>9189</v>
      </c>
      <c r="B3" s="2" t="s">
        <v>275</v>
      </c>
      <c r="C3" s="12">
        <v>46052</v>
      </c>
      <c r="D3" s="3">
        <v>0.9</v>
      </c>
      <c r="E3" s="2" t="s">
        <v>18</v>
      </c>
      <c r="F3" s="2" t="s">
        <v>272</v>
      </c>
      <c r="G3" s="2" t="s">
        <v>28</v>
      </c>
      <c r="H3" s="19">
        <v>106000</v>
      </c>
      <c r="I3" s="2">
        <v>490</v>
      </c>
      <c r="J3" s="19">
        <f t="shared" ref="J3:J16" si="0">H3*D3</f>
        <v>95400</v>
      </c>
      <c r="K3" s="22">
        <f t="shared" ref="K3:K16" si="1">I3*D3</f>
        <v>441</v>
      </c>
    </row>
    <row r="4" spans="1:11" x14ac:dyDescent="0.25">
      <c r="A4" s="34" t="s">
        <v>273</v>
      </c>
      <c r="B4" s="2" t="s">
        <v>276</v>
      </c>
      <c r="C4" s="12">
        <v>46031</v>
      </c>
      <c r="D4" s="3">
        <v>0.95</v>
      </c>
      <c r="E4" s="2" t="s">
        <v>209</v>
      </c>
      <c r="F4" s="2" t="s">
        <v>274</v>
      </c>
      <c r="G4" s="2" t="s">
        <v>211</v>
      </c>
      <c r="H4" s="19">
        <v>862400</v>
      </c>
      <c r="I4" s="2">
        <v>0</v>
      </c>
      <c r="J4" s="19">
        <f t="shared" ref="J4" si="2">H4*D4</f>
        <v>819280</v>
      </c>
      <c r="K4" s="22">
        <f t="shared" ref="K4" si="3">I4*D4</f>
        <v>0</v>
      </c>
    </row>
    <row r="5" spans="1:11" x14ac:dyDescent="0.25">
      <c r="A5" s="34" t="s">
        <v>231</v>
      </c>
      <c r="B5" s="2" t="s">
        <v>277</v>
      </c>
      <c r="C5" s="12">
        <v>46022</v>
      </c>
      <c r="D5" s="3">
        <v>0.2</v>
      </c>
      <c r="E5" s="2" t="s">
        <v>110</v>
      </c>
      <c r="F5" s="2" t="s">
        <v>111</v>
      </c>
      <c r="G5" s="2" t="s">
        <v>112</v>
      </c>
      <c r="H5" s="19">
        <v>130500</v>
      </c>
      <c r="I5" s="2">
        <v>560</v>
      </c>
      <c r="J5" s="19">
        <f t="shared" si="0"/>
        <v>26100</v>
      </c>
      <c r="K5" s="22">
        <f t="shared" si="1"/>
        <v>112</v>
      </c>
    </row>
    <row r="6" spans="1:11" x14ac:dyDescent="0.25">
      <c r="A6" s="34" t="s">
        <v>232</v>
      </c>
      <c r="B6" s="2" t="s">
        <v>277</v>
      </c>
      <c r="C6" s="12">
        <v>46022</v>
      </c>
      <c r="D6" s="3">
        <v>0.5</v>
      </c>
      <c r="E6" s="2" t="s">
        <v>184</v>
      </c>
      <c r="F6" s="2" t="s">
        <v>185</v>
      </c>
      <c r="G6" s="2" t="s">
        <v>186</v>
      </c>
      <c r="H6" s="19">
        <v>69500</v>
      </c>
      <c r="I6" s="2">
        <v>314</v>
      </c>
      <c r="J6" s="19">
        <f t="shared" si="0"/>
        <v>34750</v>
      </c>
      <c r="K6" s="22">
        <f t="shared" si="1"/>
        <v>157</v>
      </c>
    </row>
    <row r="7" spans="1:11" x14ac:dyDescent="0.25">
      <c r="A7" s="34" t="s">
        <v>233</v>
      </c>
      <c r="B7" s="2" t="s">
        <v>277</v>
      </c>
      <c r="C7" s="12">
        <v>46037</v>
      </c>
      <c r="D7" s="3">
        <v>0.5</v>
      </c>
      <c r="E7" s="2" t="s">
        <v>15</v>
      </c>
      <c r="F7" s="2" t="s">
        <v>104</v>
      </c>
      <c r="G7" s="2" t="s">
        <v>234</v>
      </c>
      <c r="H7" s="19">
        <v>910000</v>
      </c>
      <c r="I7" s="2">
        <v>823</v>
      </c>
      <c r="J7" s="19">
        <f t="shared" ref="J7:J8" si="4">H7*D7</f>
        <v>455000</v>
      </c>
      <c r="K7" s="22">
        <f t="shared" ref="K7:K8" si="5">I7*D7</f>
        <v>411.5</v>
      </c>
    </row>
    <row r="8" spans="1:11" x14ac:dyDescent="0.25">
      <c r="A8" s="34" t="s">
        <v>235</v>
      </c>
      <c r="B8" s="2" t="s">
        <v>277</v>
      </c>
      <c r="C8" s="12">
        <v>46040</v>
      </c>
      <c r="D8" s="3">
        <v>0.5</v>
      </c>
      <c r="E8" s="2" t="s">
        <v>24</v>
      </c>
      <c r="F8" s="2" t="s">
        <v>22</v>
      </c>
      <c r="G8" s="2" t="s">
        <v>32</v>
      </c>
      <c r="H8" s="19">
        <v>1034000</v>
      </c>
      <c r="I8" s="2">
        <v>2298</v>
      </c>
      <c r="J8" s="19">
        <f t="shared" si="4"/>
        <v>517000</v>
      </c>
      <c r="K8" s="22">
        <f t="shared" si="5"/>
        <v>1149</v>
      </c>
    </row>
    <row r="9" spans="1:11" x14ac:dyDescent="0.25">
      <c r="A9" s="34" t="s">
        <v>236</v>
      </c>
      <c r="B9" s="2" t="s">
        <v>278</v>
      </c>
      <c r="C9" s="12">
        <v>46045</v>
      </c>
      <c r="D9" s="3">
        <v>0.5</v>
      </c>
      <c r="E9" s="2" t="s">
        <v>25</v>
      </c>
      <c r="F9" s="2" t="s">
        <v>177</v>
      </c>
      <c r="G9" s="2" t="s">
        <v>178</v>
      </c>
      <c r="H9" s="19">
        <v>1041000</v>
      </c>
      <c r="I9" s="2">
        <v>1</v>
      </c>
      <c r="J9" s="19">
        <f t="shared" si="0"/>
        <v>520500</v>
      </c>
      <c r="K9" s="22">
        <f t="shared" si="1"/>
        <v>0.5</v>
      </c>
    </row>
    <row r="10" spans="1:11" x14ac:dyDescent="0.25">
      <c r="A10" s="34" t="s">
        <v>237</v>
      </c>
      <c r="B10" s="2" t="s">
        <v>277</v>
      </c>
      <c r="C10" s="12">
        <v>46052</v>
      </c>
      <c r="D10" s="3">
        <v>0.2</v>
      </c>
      <c r="E10" s="2" t="s">
        <v>15</v>
      </c>
      <c r="F10" s="2" t="s">
        <v>238</v>
      </c>
      <c r="G10" s="2" t="s">
        <v>239</v>
      </c>
      <c r="H10" s="19">
        <v>134750</v>
      </c>
      <c r="I10" s="2">
        <v>549</v>
      </c>
      <c r="J10" s="19">
        <f t="shared" si="0"/>
        <v>26950</v>
      </c>
      <c r="K10" s="22">
        <f t="shared" si="1"/>
        <v>109.80000000000001</v>
      </c>
    </row>
    <row r="11" spans="1:11" x14ac:dyDescent="0.25">
      <c r="A11" s="34" t="s">
        <v>240</v>
      </c>
      <c r="B11" s="2" t="s">
        <v>277</v>
      </c>
      <c r="C11" s="12">
        <v>46052</v>
      </c>
      <c r="D11" s="3">
        <v>0.5</v>
      </c>
      <c r="E11" s="2" t="s">
        <v>193</v>
      </c>
      <c r="F11" s="2" t="s">
        <v>194</v>
      </c>
      <c r="G11" s="2" t="s">
        <v>195</v>
      </c>
      <c r="H11" s="19">
        <v>3620000</v>
      </c>
      <c r="I11" s="2">
        <v>7400</v>
      </c>
      <c r="J11" s="19">
        <f t="shared" si="0"/>
        <v>1810000</v>
      </c>
      <c r="K11" s="22">
        <f t="shared" si="1"/>
        <v>3700</v>
      </c>
    </row>
    <row r="12" spans="1:11" x14ac:dyDescent="0.25">
      <c r="A12" s="34" t="s">
        <v>241</v>
      </c>
      <c r="B12" s="2" t="s">
        <v>277</v>
      </c>
      <c r="C12" s="12">
        <v>46052</v>
      </c>
      <c r="D12" s="3">
        <v>0.3</v>
      </c>
      <c r="E12" s="2" t="s">
        <v>221</v>
      </c>
      <c r="F12" s="2" t="s">
        <v>222</v>
      </c>
      <c r="G12" s="2" t="s">
        <v>223</v>
      </c>
      <c r="H12" s="19">
        <v>17250</v>
      </c>
      <c r="I12" s="2">
        <v>75</v>
      </c>
      <c r="J12" s="19">
        <f t="shared" si="0"/>
        <v>5175</v>
      </c>
      <c r="K12" s="22">
        <f t="shared" si="1"/>
        <v>22.5</v>
      </c>
    </row>
    <row r="13" spans="1:11" x14ac:dyDescent="0.25">
      <c r="A13" s="34" t="s">
        <v>242</v>
      </c>
      <c r="B13" s="2" t="s">
        <v>277</v>
      </c>
      <c r="C13" s="12">
        <v>46052</v>
      </c>
      <c r="D13" s="3">
        <v>0.5</v>
      </c>
      <c r="E13" s="2" t="s">
        <v>16</v>
      </c>
      <c r="F13" s="2" t="s">
        <v>192</v>
      </c>
      <c r="G13" s="2" t="s">
        <v>56</v>
      </c>
      <c r="H13" s="19">
        <v>32250</v>
      </c>
      <c r="I13" s="2">
        <v>104</v>
      </c>
      <c r="J13" s="19">
        <f t="shared" si="0"/>
        <v>16125</v>
      </c>
      <c r="K13" s="22">
        <f t="shared" si="1"/>
        <v>52</v>
      </c>
    </row>
    <row r="14" spans="1:11" x14ac:dyDescent="0.25">
      <c r="A14" s="34" t="s">
        <v>243</v>
      </c>
      <c r="B14" s="2" t="s">
        <v>277</v>
      </c>
      <c r="C14" s="12">
        <v>46052</v>
      </c>
      <c r="D14" s="3">
        <v>0.4</v>
      </c>
      <c r="E14" s="2" t="s">
        <v>125</v>
      </c>
      <c r="F14" s="2" t="s">
        <v>126</v>
      </c>
      <c r="G14" s="2" t="s">
        <v>127</v>
      </c>
      <c r="H14" s="19">
        <v>165500</v>
      </c>
      <c r="I14" s="2">
        <v>600</v>
      </c>
      <c r="J14" s="19">
        <f t="shared" si="0"/>
        <v>66200</v>
      </c>
      <c r="K14" s="22">
        <f t="shared" si="1"/>
        <v>240</v>
      </c>
    </row>
    <row r="15" spans="1:11" x14ac:dyDescent="0.25">
      <c r="A15" s="34" t="s">
        <v>244</v>
      </c>
      <c r="B15" s="2" t="s">
        <v>277</v>
      </c>
      <c r="C15" s="12">
        <v>46052</v>
      </c>
      <c r="D15" s="3">
        <v>0.75</v>
      </c>
      <c r="E15" s="2" t="s">
        <v>83</v>
      </c>
      <c r="F15" s="2" t="s">
        <v>84</v>
      </c>
      <c r="G15" s="2" t="s">
        <v>85</v>
      </c>
      <c r="H15" s="19">
        <v>264500</v>
      </c>
      <c r="I15" s="2">
        <v>958</v>
      </c>
      <c r="J15" s="19">
        <f t="shared" si="0"/>
        <v>198375</v>
      </c>
      <c r="K15" s="22">
        <f t="shared" si="1"/>
        <v>718.5</v>
      </c>
    </row>
    <row r="16" spans="1:11" x14ac:dyDescent="0.25">
      <c r="A16" s="34" t="s">
        <v>245</v>
      </c>
      <c r="B16" s="2" t="s">
        <v>277</v>
      </c>
      <c r="C16" s="12">
        <v>46053</v>
      </c>
      <c r="D16" s="3">
        <v>0.2</v>
      </c>
      <c r="E16" s="2" t="s">
        <v>83</v>
      </c>
      <c r="F16" s="2" t="s">
        <v>196</v>
      </c>
      <c r="G16" s="2" t="s">
        <v>197</v>
      </c>
      <c r="H16" s="19">
        <v>149500</v>
      </c>
      <c r="I16" s="2">
        <v>481</v>
      </c>
      <c r="J16" s="19">
        <f t="shared" si="0"/>
        <v>29900</v>
      </c>
      <c r="K16" s="22">
        <f t="shared" si="1"/>
        <v>96.2</v>
      </c>
    </row>
    <row r="17" spans="1:11" x14ac:dyDescent="0.25">
      <c r="I17"/>
    </row>
    <row r="18" spans="1:11" x14ac:dyDescent="0.25">
      <c r="G18" t="s">
        <v>9</v>
      </c>
      <c r="H18" s="14">
        <f>SUM(H2:H16)</f>
        <v>8989400</v>
      </c>
      <c r="I18" s="15">
        <f>SUM(I2:I16)</f>
        <v>15961</v>
      </c>
      <c r="J18" s="14">
        <f>SUM(J2:J16)</f>
        <v>5027780</v>
      </c>
      <c r="K18" s="15">
        <f>SUM(K2:K16)</f>
        <v>8387.2000000000007</v>
      </c>
    </row>
    <row r="19" spans="1:11" ht="15.75" thickBot="1" x14ac:dyDescent="0.3"/>
    <row r="20" spans="1:11" x14ac:dyDescent="0.25">
      <c r="A20" s="29" t="s">
        <v>0</v>
      </c>
      <c r="B20" s="5" t="s">
        <v>1</v>
      </c>
      <c r="C20" s="10" t="s">
        <v>2</v>
      </c>
      <c r="D20" s="8" t="s">
        <v>3</v>
      </c>
      <c r="E20" s="5" t="s">
        <v>4</v>
      </c>
      <c r="F20" s="5" t="s">
        <v>5</v>
      </c>
      <c r="G20" s="5" t="s">
        <v>6</v>
      </c>
      <c r="H20" s="13" t="s">
        <v>7</v>
      </c>
      <c r="I20" s="28" t="s">
        <v>8</v>
      </c>
      <c r="J20" s="5" t="s">
        <v>219</v>
      </c>
      <c r="K20" s="16" t="s">
        <v>220</v>
      </c>
    </row>
    <row r="21" spans="1:11" x14ac:dyDescent="0.25">
      <c r="A21" s="30" t="s">
        <v>246</v>
      </c>
      <c r="B21" s="2" t="s">
        <v>279</v>
      </c>
      <c r="C21" s="12">
        <v>46054</v>
      </c>
      <c r="D21" s="3">
        <v>0.1</v>
      </c>
      <c r="E21" s="2" t="s">
        <v>216</v>
      </c>
      <c r="F21" s="2" t="s">
        <v>217</v>
      </c>
      <c r="G21" s="2" t="s">
        <v>218</v>
      </c>
      <c r="H21" s="19">
        <v>1280750</v>
      </c>
      <c r="I21" s="2">
        <v>5320</v>
      </c>
      <c r="J21" s="19">
        <f>H21*D21</f>
        <v>128075</v>
      </c>
      <c r="K21" s="22">
        <f>I21*D21</f>
        <v>532</v>
      </c>
    </row>
    <row r="22" spans="1:11" x14ac:dyDescent="0.25">
      <c r="A22" s="30" t="s">
        <v>247</v>
      </c>
      <c r="B22" s="2" t="s">
        <v>279</v>
      </c>
      <c r="C22" s="12">
        <v>46080</v>
      </c>
      <c r="D22" s="3">
        <v>0.3</v>
      </c>
      <c r="E22" s="2" t="s">
        <v>36</v>
      </c>
      <c r="F22" s="2" t="s">
        <v>136</v>
      </c>
      <c r="G22" s="2" t="s">
        <v>137</v>
      </c>
      <c r="H22" s="19">
        <v>186500</v>
      </c>
      <c r="I22" s="2">
        <v>502</v>
      </c>
      <c r="J22" s="19">
        <f t="shared" ref="J22" si="6">H22*D22</f>
        <v>55950</v>
      </c>
      <c r="K22" s="22">
        <f t="shared" ref="K22" si="7">I22*D22</f>
        <v>150.6</v>
      </c>
    </row>
    <row r="23" spans="1:11" x14ac:dyDescent="0.25">
      <c r="A23" s="30" t="s">
        <v>248</v>
      </c>
      <c r="B23" s="2" t="s">
        <v>279</v>
      </c>
      <c r="C23" s="12">
        <v>46080</v>
      </c>
      <c r="D23" s="3">
        <v>0.5</v>
      </c>
      <c r="E23" s="2" t="s">
        <v>249</v>
      </c>
      <c r="F23" s="2" t="s">
        <v>250</v>
      </c>
      <c r="G23" s="2" t="s">
        <v>251</v>
      </c>
      <c r="H23" s="19">
        <v>424000</v>
      </c>
      <c r="I23">
        <v>1169</v>
      </c>
      <c r="J23" s="19">
        <f t="shared" ref="J23:J27" si="8">H23*D23</f>
        <v>212000</v>
      </c>
      <c r="K23" s="22">
        <f t="shared" ref="K23:K27" si="9">I23*D23</f>
        <v>584.5</v>
      </c>
    </row>
    <row r="24" spans="1:11" x14ac:dyDescent="0.25">
      <c r="A24" s="30" t="s">
        <v>252</v>
      </c>
      <c r="B24" s="2" t="s">
        <v>279</v>
      </c>
      <c r="C24" s="12">
        <v>46080</v>
      </c>
      <c r="D24" s="3">
        <v>0.2</v>
      </c>
      <c r="E24" s="2" t="s">
        <v>63</v>
      </c>
      <c r="F24" s="2" t="s">
        <v>224</v>
      </c>
      <c r="G24" s="2" t="s">
        <v>225</v>
      </c>
      <c r="H24" s="19">
        <v>213000</v>
      </c>
      <c r="I24" s="2">
        <v>751</v>
      </c>
      <c r="J24" s="19">
        <f t="shared" si="8"/>
        <v>42600</v>
      </c>
      <c r="K24" s="22">
        <f t="shared" si="9"/>
        <v>150.20000000000002</v>
      </c>
    </row>
    <row r="25" spans="1:11" x14ac:dyDescent="0.25">
      <c r="A25" s="30" t="s">
        <v>253</v>
      </c>
      <c r="B25" s="2" t="s">
        <v>279</v>
      </c>
      <c r="C25" s="12">
        <v>46080</v>
      </c>
      <c r="D25" s="3">
        <v>0.2</v>
      </c>
      <c r="E25" s="2" t="s">
        <v>17</v>
      </c>
      <c r="F25" s="2" t="s">
        <v>175</v>
      </c>
      <c r="G25" s="2" t="s">
        <v>176</v>
      </c>
      <c r="H25" s="19">
        <v>103750</v>
      </c>
      <c r="I25" s="2">
        <v>521</v>
      </c>
      <c r="J25" s="19">
        <f t="shared" si="8"/>
        <v>20750</v>
      </c>
      <c r="K25" s="22">
        <f t="shared" si="9"/>
        <v>104.2</v>
      </c>
    </row>
    <row r="26" spans="1:11" x14ac:dyDescent="0.25">
      <c r="A26" s="30" t="s">
        <v>254</v>
      </c>
      <c r="B26" s="2" t="s">
        <v>279</v>
      </c>
      <c r="C26" s="12">
        <v>46080</v>
      </c>
      <c r="D26" s="3">
        <v>0.5</v>
      </c>
      <c r="E26" s="2" t="s">
        <v>21</v>
      </c>
      <c r="F26" s="2" t="s">
        <v>20</v>
      </c>
      <c r="G26" s="2" t="s">
        <v>30</v>
      </c>
      <c r="H26" s="19">
        <v>95000</v>
      </c>
      <c r="I26" s="2">
        <v>382</v>
      </c>
      <c r="J26" s="19">
        <f t="shared" si="8"/>
        <v>47500</v>
      </c>
      <c r="K26" s="22">
        <f t="shared" si="9"/>
        <v>191</v>
      </c>
    </row>
    <row r="27" spans="1:11" x14ac:dyDescent="0.25">
      <c r="A27" s="30" t="s">
        <v>255</v>
      </c>
      <c r="B27" s="2" t="s">
        <v>279</v>
      </c>
      <c r="C27" s="12">
        <v>46080</v>
      </c>
      <c r="D27" s="3">
        <v>0.75</v>
      </c>
      <c r="E27" s="2" t="s">
        <v>19</v>
      </c>
      <c r="F27" s="2" t="s">
        <v>12</v>
      </c>
      <c r="G27" s="2" t="s">
        <v>29</v>
      </c>
      <c r="H27" s="19">
        <v>297000</v>
      </c>
      <c r="I27" s="2">
        <v>1350</v>
      </c>
      <c r="J27" s="19">
        <f t="shared" si="8"/>
        <v>222750</v>
      </c>
      <c r="K27" s="22">
        <f t="shared" si="9"/>
        <v>1012.5</v>
      </c>
    </row>
    <row r="28" spans="1:11" x14ac:dyDescent="0.25">
      <c r="I28"/>
    </row>
    <row r="29" spans="1:11" x14ac:dyDescent="0.25">
      <c r="G29" t="s">
        <v>9</v>
      </c>
      <c r="H29" s="14">
        <f>SUM(H21:H27)</f>
        <v>2600000</v>
      </c>
      <c r="I29" s="15">
        <f>SUM(I21:I27)</f>
        <v>9995</v>
      </c>
      <c r="J29" s="14">
        <f>SUM(J21:J27)</f>
        <v>729625</v>
      </c>
      <c r="K29" s="15">
        <f>SUM(K21:K27)</f>
        <v>2725</v>
      </c>
    </row>
    <row r="31" spans="1:11" ht="15.75" thickBot="1" x14ac:dyDescent="0.3"/>
    <row r="32" spans="1:11" x14ac:dyDescent="0.25">
      <c r="A32" s="29" t="s">
        <v>0</v>
      </c>
      <c r="B32" s="5" t="s">
        <v>1</v>
      </c>
      <c r="C32" s="10" t="s">
        <v>2</v>
      </c>
      <c r="D32" s="8" t="s">
        <v>3</v>
      </c>
      <c r="E32" s="5" t="s">
        <v>4</v>
      </c>
      <c r="F32" s="5" t="s">
        <v>5</v>
      </c>
      <c r="G32" s="5" t="s">
        <v>6</v>
      </c>
      <c r="H32" s="13" t="s">
        <v>7</v>
      </c>
      <c r="I32" s="28" t="s">
        <v>8</v>
      </c>
      <c r="J32" s="5" t="s">
        <v>219</v>
      </c>
      <c r="K32" s="16" t="s">
        <v>220</v>
      </c>
    </row>
    <row r="33" spans="1:11" x14ac:dyDescent="0.25">
      <c r="A33" s="30" t="s">
        <v>256</v>
      </c>
      <c r="B33" s="2" t="s">
        <v>280</v>
      </c>
      <c r="C33" s="12">
        <v>46111</v>
      </c>
      <c r="D33" s="3">
        <v>0.4</v>
      </c>
      <c r="E33" s="2" t="s">
        <v>130</v>
      </c>
      <c r="F33" s="2" t="s">
        <v>131</v>
      </c>
      <c r="G33" s="2" t="s">
        <v>132</v>
      </c>
      <c r="H33" s="19">
        <v>396000</v>
      </c>
      <c r="I33" s="2">
        <v>1481</v>
      </c>
      <c r="J33" s="19">
        <f t="shared" ref="J33:J41" si="10">H33*D33</f>
        <v>158400</v>
      </c>
      <c r="K33" s="22">
        <f t="shared" ref="K33:K41" si="11">I33*D33</f>
        <v>592.4</v>
      </c>
    </row>
    <row r="34" spans="1:11" x14ac:dyDescent="0.25">
      <c r="A34" s="30" t="s">
        <v>257</v>
      </c>
      <c r="B34" s="2" t="s">
        <v>280</v>
      </c>
      <c r="C34" s="12">
        <v>46112</v>
      </c>
      <c r="D34" s="3">
        <v>0.1</v>
      </c>
      <c r="E34" s="2" t="s">
        <v>258</v>
      </c>
      <c r="F34" s="2" t="s">
        <v>259</v>
      </c>
      <c r="G34" s="2" t="s">
        <v>260</v>
      </c>
      <c r="H34" s="19">
        <v>77500</v>
      </c>
      <c r="I34" s="2">
        <v>292</v>
      </c>
      <c r="J34" s="19">
        <f t="shared" ref="J34:J39" si="12">H34*D34</f>
        <v>7750</v>
      </c>
      <c r="K34" s="22">
        <f t="shared" ref="K34:K39" si="13">I34*D34</f>
        <v>29.200000000000003</v>
      </c>
    </row>
    <row r="35" spans="1:11" x14ac:dyDescent="0.25">
      <c r="A35" s="30" t="s">
        <v>261</v>
      </c>
      <c r="B35" s="2" t="s">
        <v>281</v>
      </c>
      <c r="C35" s="12">
        <v>46112</v>
      </c>
      <c r="D35" s="3">
        <v>0.2</v>
      </c>
      <c r="E35" s="2" t="s">
        <v>143</v>
      </c>
      <c r="F35" s="2" t="s">
        <v>226</v>
      </c>
      <c r="G35" s="2" t="s">
        <v>227</v>
      </c>
      <c r="H35" s="19">
        <v>1200000</v>
      </c>
      <c r="I35" s="2">
        <v>1</v>
      </c>
      <c r="J35" s="19">
        <f t="shared" ref="J35:J37" si="14">H35*D35</f>
        <v>240000</v>
      </c>
      <c r="K35" s="22">
        <f t="shared" ref="K35:K37" si="15">I35*D35</f>
        <v>0.2</v>
      </c>
    </row>
    <row r="36" spans="1:11" x14ac:dyDescent="0.25">
      <c r="A36" s="30" t="s">
        <v>262</v>
      </c>
      <c r="B36" s="2" t="s">
        <v>280</v>
      </c>
      <c r="C36" s="12">
        <v>46112</v>
      </c>
      <c r="D36" s="3">
        <v>0.2</v>
      </c>
      <c r="E36" s="2" t="s">
        <v>18</v>
      </c>
      <c r="F36" s="2" t="s">
        <v>182</v>
      </c>
      <c r="G36" s="2" t="s">
        <v>34</v>
      </c>
      <c r="H36" s="19">
        <v>4691500</v>
      </c>
      <c r="I36" s="2">
        <v>3374</v>
      </c>
      <c r="J36" s="19">
        <f t="shared" si="14"/>
        <v>938300</v>
      </c>
      <c r="K36" s="22">
        <f t="shared" si="15"/>
        <v>674.80000000000007</v>
      </c>
    </row>
    <row r="37" spans="1:11" x14ac:dyDescent="0.25">
      <c r="A37" s="30" t="s">
        <v>263</v>
      </c>
      <c r="B37" s="2" t="s">
        <v>280</v>
      </c>
      <c r="C37" s="12">
        <v>46112</v>
      </c>
      <c r="D37" s="3">
        <v>0.2</v>
      </c>
      <c r="E37" s="2" t="s">
        <v>145</v>
      </c>
      <c r="F37" s="2" t="s">
        <v>146</v>
      </c>
      <c r="G37" s="2" t="s">
        <v>147</v>
      </c>
      <c r="H37" s="19">
        <v>1042000</v>
      </c>
      <c r="I37" s="2">
        <v>2259</v>
      </c>
      <c r="J37" s="19">
        <f t="shared" si="14"/>
        <v>208400</v>
      </c>
      <c r="K37" s="22">
        <f t="shared" si="15"/>
        <v>451.8</v>
      </c>
    </row>
    <row r="38" spans="1:11" x14ac:dyDescent="0.25">
      <c r="A38" s="30" t="s">
        <v>264</v>
      </c>
      <c r="B38" s="2" t="s">
        <v>280</v>
      </c>
      <c r="C38" s="12">
        <v>46112</v>
      </c>
      <c r="D38" s="3">
        <v>0.5</v>
      </c>
      <c r="E38" s="2" t="s">
        <v>121</v>
      </c>
      <c r="F38" s="2" t="s">
        <v>138</v>
      </c>
      <c r="G38" s="2" t="s">
        <v>139</v>
      </c>
      <c r="H38" s="19">
        <v>98250</v>
      </c>
      <c r="I38" s="2">
        <v>420</v>
      </c>
      <c r="J38" s="19">
        <f t="shared" si="12"/>
        <v>49125</v>
      </c>
      <c r="K38" s="22">
        <f t="shared" si="13"/>
        <v>210</v>
      </c>
    </row>
    <row r="39" spans="1:11" x14ac:dyDescent="0.25">
      <c r="A39" s="30" t="s">
        <v>265</v>
      </c>
      <c r="B39" s="2" t="s">
        <v>280</v>
      </c>
      <c r="C39" s="12">
        <v>46112</v>
      </c>
      <c r="D39" s="3">
        <v>0.25</v>
      </c>
      <c r="E39" s="2" t="s">
        <v>23</v>
      </c>
      <c r="F39" s="2" t="s">
        <v>14</v>
      </c>
      <c r="G39" s="2" t="s">
        <v>31</v>
      </c>
      <c r="H39" s="19">
        <v>640000</v>
      </c>
      <c r="I39" s="2">
        <v>2372</v>
      </c>
      <c r="J39" s="19">
        <f t="shared" si="12"/>
        <v>160000</v>
      </c>
      <c r="K39" s="22">
        <f t="shared" si="13"/>
        <v>593</v>
      </c>
    </row>
    <row r="40" spans="1:11" x14ac:dyDescent="0.25">
      <c r="A40" s="30" t="s">
        <v>266</v>
      </c>
      <c r="B40" s="2" t="s">
        <v>282</v>
      </c>
      <c r="C40" s="12" t="s">
        <v>229</v>
      </c>
      <c r="D40" s="3">
        <v>0.4</v>
      </c>
      <c r="E40" s="2" t="s">
        <v>209</v>
      </c>
      <c r="F40" s="2" t="s">
        <v>210</v>
      </c>
      <c r="G40" s="2" t="s">
        <v>211</v>
      </c>
      <c r="H40" s="19">
        <v>18549000</v>
      </c>
      <c r="I40" s="2">
        <v>60264</v>
      </c>
      <c r="J40" s="19">
        <f t="shared" si="10"/>
        <v>7419600</v>
      </c>
      <c r="K40" s="22">
        <f t="shared" si="11"/>
        <v>24105.600000000002</v>
      </c>
    </row>
    <row r="41" spans="1:11" x14ac:dyDescent="0.25">
      <c r="A41" s="30" t="s">
        <v>267</v>
      </c>
      <c r="B41" s="2" t="s">
        <v>282</v>
      </c>
      <c r="C41" s="12" t="s">
        <v>229</v>
      </c>
      <c r="D41" s="3">
        <v>0.5</v>
      </c>
      <c r="E41" s="2" t="s">
        <v>209</v>
      </c>
      <c r="F41" s="2" t="s">
        <v>213</v>
      </c>
      <c r="G41" s="2" t="s">
        <v>211</v>
      </c>
      <c r="H41" s="19">
        <v>567000</v>
      </c>
      <c r="I41" s="2">
        <v>2250</v>
      </c>
      <c r="J41" s="19">
        <f t="shared" si="10"/>
        <v>283500</v>
      </c>
      <c r="K41" s="22">
        <f t="shared" si="11"/>
        <v>1125</v>
      </c>
    </row>
    <row r="42" spans="1:11" ht="15.75" thickBot="1" x14ac:dyDescent="0.3">
      <c r="A42" s="32" t="s">
        <v>268</v>
      </c>
      <c r="B42" s="2" t="s">
        <v>282</v>
      </c>
      <c r="C42" s="11" t="s">
        <v>229</v>
      </c>
      <c r="D42" s="7">
        <v>0.2</v>
      </c>
      <c r="E42" s="6" t="s">
        <v>269</v>
      </c>
      <c r="F42" s="6" t="s">
        <v>270</v>
      </c>
      <c r="G42" s="6" t="s">
        <v>271</v>
      </c>
      <c r="H42" s="20" t="s">
        <v>229</v>
      </c>
      <c r="I42" s="6" t="s">
        <v>229</v>
      </c>
      <c r="J42" s="20">
        <v>0</v>
      </c>
      <c r="K42" s="24">
        <v>0</v>
      </c>
    </row>
    <row r="43" spans="1:11" x14ac:dyDescent="0.25">
      <c r="I43"/>
    </row>
    <row r="44" spans="1:11" x14ac:dyDescent="0.25">
      <c r="G44" t="s">
        <v>9</v>
      </c>
      <c r="H44" s="14">
        <f>SUM(H33:H42)</f>
        <v>27261250</v>
      </c>
      <c r="I44" s="15">
        <f>SUM(I33:I42)</f>
        <v>72713</v>
      </c>
      <c r="J44" s="14">
        <f>SUM(J33:J42)</f>
        <v>9465075</v>
      </c>
      <c r="K44" s="15">
        <f>SUM(K33:K42)</f>
        <v>27782.000000000004</v>
      </c>
    </row>
    <row r="47" spans="1:11" x14ac:dyDescent="0.25">
      <c r="G47" t="s">
        <v>26</v>
      </c>
      <c r="H47" s="14">
        <f>H44+H29+H18</f>
        <v>38850650</v>
      </c>
      <c r="I47" s="15">
        <f>I44+I29+I18</f>
        <v>98669</v>
      </c>
      <c r="J47" s="14">
        <f>J44+J29+J18</f>
        <v>15222480</v>
      </c>
      <c r="K47" s="15">
        <f>K44+K29+K18</f>
        <v>38894.200000000004</v>
      </c>
    </row>
  </sheetData>
  <conditionalFormatting sqref="D2:D19 D21:D31 D33:D1048576">
    <cfRule type="cellIs" dxfId="5" priority="3" operator="greaterThan">
      <formula>0.5</formula>
    </cfRule>
  </conditionalFormatting>
  <conditionalFormatting sqref="H2:H17 H19 H21:H28 H30:H31 H33:H43 H45:H46 H48:H1048576">
    <cfRule type="cellIs" dxfId="4" priority="1" operator="between">
      <formula>500000</formula>
      <formula>999999</formula>
    </cfRule>
    <cfRule type="cellIs" dxfId="3" priority="2" operator="greaterThan">
      <formula>1000000</formula>
    </cfRule>
  </conditionalFormatting>
  <pageMargins left="0.25" right="0.25" top="0.75" bottom="0.75" header="0.3" footer="0.3"/>
  <pageSetup paperSize="3" scale="8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77BB-341A-4C6D-8669-DEB0602204D9}">
  <sheetPr>
    <pageSetUpPr fitToPage="1"/>
  </sheetPr>
  <dimension ref="A1:H65"/>
  <sheetViews>
    <sheetView view="pageBreakPreview" zoomScale="60" zoomScaleNormal="100" workbookViewId="0">
      <selection activeCell="C1" sqref="C1:C1048576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3" width="15.140625" style="1" bestFit="1" customWidth="1"/>
    <col min="4" max="4" width="23.28515625" bestFit="1" customWidth="1"/>
    <col min="5" max="5" width="54" bestFit="1" customWidth="1"/>
    <col min="6" max="6" width="83.28515625" bestFit="1" customWidth="1"/>
    <col min="7" max="7" width="10.140625" bestFit="1" customWidth="1"/>
    <col min="8" max="8" width="12.5703125" bestFit="1" customWidth="1"/>
  </cols>
  <sheetData>
    <row r="1" spans="1:8" x14ac:dyDescent="0.25">
      <c r="A1" s="4" t="s">
        <v>0</v>
      </c>
      <c r="B1" s="5" t="s">
        <v>1</v>
      </c>
      <c r="C1" s="8" t="s">
        <v>3</v>
      </c>
      <c r="D1" s="5" t="s">
        <v>4</v>
      </c>
      <c r="E1" s="5" t="s">
        <v>5</v>
      </c>
      <c r="F1" s="5" t="s">
        <v>6</v>
      </c>
      <c r="G1" s="13" t="s">
        <v>7</v>
      </c>
      <c r="H1" s="16" t="s">
        <v>8</v>
      </c>
    </row>
    <row r="2" spans="1:8" x14ac:dyDescent="0.25">
      <c r="A2" s="18">
        <v>9362</v>
      </c>
      <c r="B2" s="2" t="s">
        <v>44</v>
      </c>
      <c r="C2" s="3">
        <v>0.2</v>
      </c>
      <c r="D2" s="21" t="s">
        <v>114</v>
      </c>
      <c r="E2" s="2" t="s">
        <v>199</v>
      </c>
      <c r="F2" s="2" t="s">
        <v>115</v>
      </c>
      <c r="G2" s="19">
        <v>121250</v>
      </c>
      <c r="H2" s="22">
        <v>379</v>
      </c>
    </row>
    <row r="3" spans="1:8" x14ac:dyDescent="0.25">
      <c r="A3" s="18">
        <v>9360</v>
      </c>
      <c r="B3" s="2" t="s">
        <v>198</v>
      </c>
      <c r="C3" s="3">
        <v>0.2</v>
      </c>
      <c r="D3" s="21" t="s">
        <v>200</v>
      </c>
      <c r="E3" s="2" t="s">
        <v>201</v>
      </c>
      <c r="F3" s="2" t="s">
        <v>202</v>
      </c>
      <c r="G3" s="19">
        <v>86250</v>
      </c>
      <c r="H3" s="22">
        <v>235</v>
      </c>
    </row>
    <row r="4" spans="1:8" x14ac:dyDescent="0.25">
      <c r="A4" s="18">
        <v>9351</v>
      </c>
      <c r="B4" s="2" t="s">
        <v>198</v>
      </c>
      <c r="C4" s="3">
        <v>0.2</v>
      </c>
      <c r="D4" s="21" t="s">
        <v>168</v>
      </c>
      <c r="E4" s="2" t="s">
        <v>169</v>
      </c>
      <c r="F4" s="2" t="s">
        <v>203</v>
      </c>
      <c r="G4" s="19">
        <v>55000</v>
      </c>
      <c r="H4" s="22">
        <v>229</v>
      </c>
    </row>
    <row r="5" spans="1:8" x14ac:dyDescent="0.25">
      <c r="A5" s="18">
        <v>9349</v>
      </c>
      <c r="B5" s="2" t="s">
        <v>44</v>
      </c>
      <c r="C5" s="3">
        <v>0.2</v>
      </c>
      <c r="D5" s="21" t="s">
        <v>172</v>
      </c>
      <c r="E5" s="2" t="s">
        <v>173</v>
      </c>
      <c r="F5" s="2" t="s">
        <v>174</v>
      </c>
      <c r="G5" s="19">
        <v>257500</v>
      </c>
      <c r="H5" s="22">
        <v>282</v>
      </c>
    </row>
    <row r="6" spans="1:8" x14ac:dyDescent="0.25">
      <c r="A6" s="18">
        <v>9339</v>
      </c>
      <c r="B6" s="2" t="s">
        <v>44</v>
      </c>
      <c r="C6" s="3">
        <v>0.2</v>
      </c>
      <c r="D6" s="21" t="s">
        <v>162</v>
      </c>
      <c r="E6" s="2" t="s">
        <v>163</v>
      </c>
      <c r="F6" s="2" t="s">
        <v>164</v>
      </c>
      <c r="G6" s="19">
        <v>206000</v>
      </c>
      <c r="H6" s="22">
        <v>732</v>
      </c>
    </row>
    <row r="7" spans="1:8" x14ac:dyDescent="0.25">
      <c r="A7" s="18">
        <v>9336</v>
      </c>
      <c r="B7" s="2" t="s">
        <v>44</v>
      </c>
      <c r="C7" s="3">
        <v>0.2</v>
      </c>
      <c r="D7" s="21" t="s">
        <v>144</v>
      </c>
      <c r="E7" s="2" t="s">
        <v>165</v>
      </c>
      <c r="F7" s="2" t="s">
        <v>159</v>
      </c>
      <c r="G7" s="19">
        <v>660000</v>
      </c>
      <c r="H7" s="22">
        <v>1172</v>
      </c>
    </row>
    <row r="8" spans="1:8" x14ac:dyDescent="0.25">
      <c r="A8" s="18">
        <v>9335</v>
      </c>
      <c r="B8" s="2" t="s">
        <v>44</v>
      </c>
      <c r="C8" s="3">
        <v>0.2</v>
      </c>
      <c r="D8" s="21" t="s">
        <v>179</v>
      </c>
      <c r="E8" s="2" t="s">
        <v>180</v>
      </c>
      <c r="F8" s="2" t="s">
        <v>181</v>
      </c>
      <c r="G8" s="19">
        <v>48000</v>
      </c>
      <c r="H8" s="22">
        <v>261</v>
      </c>
    </row>
    <row r="9" spans="1:8" x14ac:dyDescent="0.25">
      <c r="A9" s="18">
        <v>9331</v>
      </c>
      <c r="B9" s="2" t="s">
        <v>44</v>
      </c>
      <c r="C9" s="3">
        <v>0.2</v>
      </c>
      <c r="D9" s="21" t="s">
        <v>155</v>
      </c>
      <c r="E9" s="2" t="s">
        <v>183</v>
      </c>
      <c r="F9" s="2" t="s">
        <v>157</v>
      </c>
      <c r="G9" s="19">
        <v>337000</v>
      </c>
      <c r="H9" s="22">
        <v>1268</v>
      </c>
    </row>
    <row r="10" spans="1:8" x14ac:dyDescent="0.25">
      <c r="A10" s="18">
        <v>9330</v>
      </c>
      <c r="B10" s="2" t="s">
        <v>44</v>
      </c>
      <c r="C10" s="3">
        <v>0.15</v>
      </c>
      <c r="D10" s="21" t="s">
        <v>16</v>
      </c>
      <c r="E10" s="2" t="s">
        <v>204</v>
      </c>
      <c r="F10" s="2" t="s">
        <v>56</v>
      </c>
      <c r="G10" s="19">
        <v>79150</v>
      </c>
      <c r="H10" s="22">
        <v>159</v>
      </c>
    </row>
    <row r="11" spans="1:8" x14ac:dyDescent="0.25">
      <c r="A11" s="18">
        <v>9329</v>
      </c>
      <c r="B11" s="2" t="s">
        <v>44</v>
      </c>
      <c r="C11" s="3">
        <v>0.2</v>
      </c>
      <c r="D11" s="21" t="s">
        <v>158</v>
      </c>
      <c r="E11" s="2" t="s">
        <v>166</v>
      </c>
      <c r="F11" s="2" t="s">
        <v>167</v>
      </c>
      <c r="G11" s="19"/>
      <c r="H11" s="22"/>
    </row>
    <row r="12" spans="1:8" x14ac:dyDescent="0.25">
      <c r="A12" s="18">
        <v>9301</v>
      </c>
      <c r="B12" s="2" t="s">
        <v>44</v>
      </c>
      <c r="C12" s="3">
        <v>0.2</v>
      </c>
      <c r="D12" s="21" t="s">
        <v>155</v>
      </c>
      <c r="E12" s="2" t="s">
        <v>156</v>
      </c>
      <c r="F12" s="2" t="s">
        <v>157</v>
      </c>
      <c r="G12" s="19">
        <v>744250</v>
      </c>
      <c r="H12" s="22">
        <v>2611</v>
      </c>
    </row>
    <row r="13" spans="1:8" x14ac:dyDescent="0.25">
      <c r="A13" s="18">
        <v>9295</v>
      </c>
      <c r="B13" s="2" t="s">
        <v>44</v>
      </c>
      <c r="C13" s="3">
        <v>0.2</v>
      </c>
      <c r="D13" s="21" t="s">
        <v>83</v>
      </c>
      <c r="E13" s="2" t="s">
        <v>118</v>
      </c>
      <c r="F13" s="2" t="s">
        <v>119</v>
      </c>
      <c r="G13" s="19">
        <v>62500</v>
      </c>
      <c r="H13" s="22">
        <v>224</v>
      </c>
    </row>
    <row r="14" spans="1:8" x14ac:dyDescent="0.25">
      <c r="A14" s="18">
        <v>9277</v>
      </c>
      <c r="B14" s="2" t="s">
        <v>44</v>
      </c>
      <c r="C14" s="3">
        <v>0.2</v>
      </c>
      <c r="D14" s="21" t="s">
        <v>16</v>
      </c>
      <c r="E14" s="2" t="s">
        <v>120</v>
      </c>
      <c r="F14" s="2" t="s">
        <v>56</v>
      </c>
      <c r="G14" s="19">
        <v>45000</v>
      </c>
      <c r="H14" s="22">
        <v>180</v>
      </c>
    </row>
    <row r="15" spans="1:8" x14ac:dyDescent="0.25">
      <c r="A15" s="18">
        <v>9247</v>
      </c>
      <c r="B15" s="2" t="s">
        <v>44</v>
      </c>
      <c r="C15" s="3">
        <v>0.1</v>
      </c>
      <c r="D15" s="21" t="s">
        <v>36</v>
      </c>
      <c r="E15" s="2" t="s">
        <v>122</v>
      </c>
      <c r="F15" s="2" t="s">
        <v>123</v>
      </c>
      <c r="G15" s="19">
        <v>388000</v>
      </c>
      <c r="H15" s="22">
        <v>568</v>
      </c>
    </row>
    <row r="16" spans="1:8" x14ac:dyDescent="0.25">
      <c r="A16" s="18">
        <v>9237</v>
      </c>
      <c r="B16" s="2" t="s">
        <v>44</v>
      </c>
      <c r="C16" s="3">
        <v>0.2</v>
      </c>
      <c r="D16" s="21" t="s">
        <v>38</v>
      </c>
      <c r="E16" s="2" t="s">
        <v>39</v>
      </c>
      <c r="F16" s="2" t="s">
        <v>40</v>
      </c>
      <c r="G16" s="19">
        <v>432000</v>
      </c>
      <c r="H16" s="22">
        <v>538</v>
      </c>
    </row>
    <row r="17" spans="1:8" x14ac:dyDescent="0.25">
      <c r="A17" s="18">
        <v>9232</v>
      </c>
      <c r="B17" s="2" t="s">
        <v>44</v>
      </c>
      <c r="C17" s="3">
        <v>0.2</v>
      </c>
      <c r="D17" s="21" t="s">
        <v>46</v>
      </c>
      <c r="E17" s="2" t="s">
        <v>47</v>
      </c>
      <c r="F17" s="2" t="s">
        <v>48</v>
      </c>
      <c r="G17" s="19">
        <v>132750</v>
      </c>
      <c r="H17" s="22">
        <v>223</v>
      </c>
    </row>
    <row r="18" spans="1:8" x14ac:dyDescent="0.25">
      <c r="A18" s="18">
        <v>9226</v>
      </c>
      <c r="B18" s="2" t="s">
        <v>44</v>
      </c>
      <c r="C18" s="3">
        <v>0.2</v>
      </c>
      <c r="D18" s="21" t="s">
        <v>16</v>
      </c>
      <c r="E18" s="2" t="s">
        <v>50</v>
      </c>
      <c r="F18" s="2" t="s">
        <v>51</v>
      </c>
      <c r="G18" s="19">
        <v>645000</v>
      </c>
      <c r="H18" s="22">
        <v>1866</v>
      </c>
    </row>
    <row r="19" spans="1:8" x14ac:dyDescent="0.25">
      <c r="A19" s="18">
        <v>9224</v>
      </c>
      <c r="B19" s="2" t="s">
        <v>44</v>
      </c>
      <c r="C19" s="3">
        <v>0.2</v>
      </c>
      <c r="D19" s="21" t="s">
        <v>52</v>
      </c>
      <c r="E19" s="2" t="s">
        <v>53</v>
      </c>
      <c r="F19" s="2" t="s">
        <v>54</v>
      </c>
      <c r="G19" s="19">
        <v>87500</v>
      </c>
      <c r="H19" s="22">
        <v>310</v>
      </c>
    </row>
    <row r="20" spans="1:8" x14ac:dyDescent="0.25">
      <c r="A20" s="18">
        <v>9222</v>
      </c>
      <c r="B20" s="2" t="s">
        <v>44</v>
      </c>
      <c r="C20" s="3">
        <v>0.2</v>
      </c>
      <c r="D20" s="21" t="s">
        <v>16</v>
      </c>
      <c r="E20" s="2" t="s">
        <v>55</v>
      </c>
      <c r="F20" s="2" t="s">
        <v>56</v>
      </c>
      <c r="G20" s="19">
        <v>42500</v>
      </c>
      <c r="H20" s="22">
        <v>117</v>
      </c>
    </row>
    <row r="21" spans="1:8" x14ac:dyDescent="0.25">
      <c r="A21" s="18">
        <v>9218</v>
      </c>
      <c r="B21" s="2" t="s">
        <v>44</v>
      </c>
      <c r="C21" s="3">
        <v>0.2</v>
      </c>
      <c r="D21" s="21" t="s">
        <v>57</v>
      </c>
      <c r="E21" s="2" t="s">
        <v>58</v>
      </c>
      <c r="F21" s="2" t="s">
        <v>59</v>
      </c>
      <c r="G21" s="19">
        <v>58250</v>
      </c>
      <c r="H21" s="22">
        <v>256</v>
      </c>
    </row>
    <row r="22" spans="1:8" x14ac:dyDescent="0.25">
      <c r="A22" s="18">
        <v>9216</v>
      </c>
      <c r="B22" s="2" t="s">
        <v>44</v>
      </c>
      <c r="C22" s="3">
        <v>0.2</v>
      </c>
      <c r="D22" s="21" t="s">
        <v>60</v>
      </c>
      <c r="E22" s="2" t="s">
        <v>61</v>
      </c>
      <c r="F22" s="2" t="s">
        <v>62</v>
      </c>
      <c r="G22" s="19">
        <v>42500</v>
      </c>
      <c r="H22" s="22">
        <v>163</v>
      </c>
    </row>
    <row r="23" spans="1:8" x14ac:dyDescent="0.25">
      <c r="A23" s="18">
        <v>9215</v>
      </c>
      <c r="B23" s="2" t="s">
        <v>44</v>
      </c>
      <c r="C23" s="3">
        <v>0.2</v>
      </c>
      <c r="D23" s="21" t="s">
        <v>63</v>
      </c>
      <c r="E23" s="2" t="s">
        <v>64</v>
      </c>
      <c r="F23" s="2"/>
      <c r="G23" s="19">
        <v>191500</v>
      </c>
      <c r="H23" s="22">
        <v>869</v>
      </c>
    </row>
    <row r="24" spans="1:8" x14ac:dyDescent="0.25">
      <c r="A24" s="18">
        <v>9214</v>
      </c>
      <c r="B24" s="2" t="s">
        <v>44</v>
      </c>
      <c r="C24" s="3">
        <v>0.2</v>
      </c>
      <c r="D24" s="21" t="s">
        <v>65</v>
      </c>
      <c r="E24" s="2" t="s">
        <v>66</v>
      </c>
      <c r="F24" s="2" t="s">
        <v>124</v>
      </c>
      <c r="G24" s="19">
        <v>86250</v>
      </c>
      <c r="H24" s="22">
        <v>306</v>
      </c>
    </row>
    <row r="25" spans="1:8" x14ac:dyDescent="0.25">
      <c r="A25" s="18">
        <v>9213</v>
      </c>
      <c r="B25" s="2" t="s">
        <v>44</v>
      </c>
      <c r="C25" s="3">
        <v>0.2</v>
      </c>
      <c r="D25" s="21" t="s">
        <v>67</v>
      </c>
      <c r="E25" s="2" t="s">
        <v>68</v>
      </c>
      <c r="F25" s="2" t="s">
        <v>113</v>
      </c>
      <c r="G25" s="19">
        <v>3575750</v>
      </c>
      <c r="H25" s="22">
        <v>7430</v>
      </c>
    </row>
    <row r="26" spans="1:8" x14ac:dyDescent="0.25">
      <c r="A26" s="18">
        <v>9208</v>
      </c>
      <c r="B26" s="2" t="s">
        <v>44</v>
      </c>
      <c r="C26" s="3">
        <v>0.2</v>
      </c>
      <c r="D26" s="21" t="s">
        <v>69</v>
      </c>
      <c r="E26" s="2" t="s">
        <v>70</v>
      </c>
      <c r="F26" s="2" t="s">
        <v>71</v>
      </c>
      <c r="G26" s="19">
        <v>42000</v>
      </c>
      <c r="H26" s="22">
        <v>194</v>
      </c>
    </row>
    <row r="27" spans="1:8" x14ac:dyDescent="0.25">
      <c r="A27" s="18">
        <v>9207</v>
      </c>
      <c r="B27" s="2" t="s">
        <v>44</v>
      </c>
      <c r="C27" s="3">
        <v>0.2</v>
      </c>
      <c r="D27" s="21" t="s">
        <v>60</v>
      </c>
      <c r="E27" s="2" t="s">
        <v>72</v>
      </c>
      <c r="F27" s="2"/>
      <c r="G27" s="19">
        <v>840000</v>
      </c>
      <c r="H27" s="22">
        <v>1665</v>
      </c>
    </row>
    <row r="28" spans="1:8" x14ac:dyDescent="0.25">
      <c r="A28" s="18">
        <v>9205</v>
      </c>
      <c r="B28" s="2" t="s">
        <v>44</v>
      </c>
      <c r="C28" s="3">
        <v>0.2</v>
      </c>
      <c r="D28" s="21" t="s">
        <v>73</v>
      </c>
      <c r="E28" s="2" t="s">
        <v>74</v>
      </c>
      <c r="F28" s="2" t="s">
        <v>75</v>
      </c>
      <c r="G28" s="19">
        <v>103000</v>
      </c>
      <c r="H28" s="22">
        <v>414</v>
      </c>
    </row>
    <row r="29" spans="1:8" x14ac:dyDescent="0.25">
      <c r="A29" s="18">
        <v>9204</v>
      </c>
      <c r="B29" s="2" t="s">
        <v>44</v>
      </c>
      <c r="C29" s="3">
        <v>0.2</v>
      </c>
      <c r="D29" s="21" t="s">
        <v>76</v>
      </c>
      <c r="E29" s="2" t="s">
        <v>77</v>
      </c>
      <c r="F29" s="2"/>
      <c r="G29" s="19">
        <v>5970000</v>
      </c>
      <c r="H29" s="22">
        <v>10566</v>
      </c>
    </row>
    <row r="30" spans="1:8" x14ac:dyDescent="0.25">
      <c r="A30" s="18">
        <v>9196</v>
      </c>
      <c r="B30" s="2" t="s">
        <v>44</v>
      </c>
      <c r="C30" s="3">
        <v>0.2</v>
      </c>
      <c r="D30" s="21" t="s">
        <v>78</v>
      </c>
      <c r="E30" s="2" t="s">
        <v>79</v>
      </c>
      <c r="F30" s="2"/>
      <c r="G30" s="19">
        <v>699500</v>
      </c>
      <c r="H30" s="22">
        <v>3183</v>
      </c>
    </row>
    <row r="31" spans="1:8" x14ac:dyDescent="0.25">
      <c r="A31" s="18">
        <v>9193</v>
      </c>
      <c r="B31" s="2" t="s">
        <v>44</v>
      </c>
      <c r="C31" s="3">
        <v>0.2</v>
      </c>
      <c r="D31" s="21" t="s">
        <v>80</v>
      </c>
      <c r="E31" s="2" t="s">
        <v>81</v>
      </c>
      <c r="F31" s="2" t="s">
        <v>82</v>
      </c>
      <c r="G31" s="19">
        <v>469000</v>
      </c>
      <c r="H31" s="22">
        <v>1841</v>
      </c>
    </row>
    <row r="32" spans="1:8" x14ac:dyDescent="0.25">
      <c r="A32" s="18">
        <v>9187</v>
      </c>
      <c r="B32" s="2" t="s">
        <v>44</v>
      </c>
      <c r="C32" s="3">
        <v>0.2</v>
      </c>
      <c r="D32" s="21" t="s">
        <v>86</v>
      </c>
      <c r="E32" s="2" t="s">
        <v>87</v>
      </c>
      <c r="F32" s="2" t="s">
        <v>88</v>
      </c>
      <c r="G32" s="19">
        <v>187500</v>
      </c>
      <c r="H32" s="22">
        <v>732</v>
      </c>
    </row>
    <row r="33" spans="1:8" x14ac:dyDescent="0.25">
      <c r="A33" s="18">
        <v>9180</v>
      </c>
      <c r="B33" s="2" t="s">
        <v>44</v>
      </c>
      <c r="C33" s="3">
        <v>0.2</v>
      </c>
      <c r="D33" s="21" t="s">
        <v>89</v>
      </c>
      <c r="E33" s="2" t="s">
        <v>90</v>
      </c>
      <c r="F33" s="2"/>
      <c r="G33" s="19">
        <v>67500</v>
      </c>
      <c r="H33" s="22">
        <v>261</v>
      </c>
    </row>
    <row r="34" spans="1:8" x14ac:dyDescent="0.25">
      <c r="A34" s="18">
        <v>9178</v>
      </c>
      <c r="B34" s="2" t="s">
        <v>44</v>
      </c>
      <c r="C34" s="3">
        <v>0.2</v>
      </c>
      <c r="D34" s="21" t="s">
        <v>41</v>
      </c>
      <c r="E34" s="2" t="s">
        <v>91</v>
      </c>
      <c r="F34" s="2" t="s">
        <v>92</v>
      </c>
      <c r="G34" s="19">
        <v>46750</v>
      </c>
      <c r="H34" s="22">
        <v>169</v>
      </c>
    </row>
    <row r="35" spans="1:8" x14ac:dyDescent="0.25">
      <c r="A35" s="18">
        <v>9177</v>
      </c>
      <c r="B35" s="2" t="s">
        <v>44</v>
      </c>
      <c r="C35" s="3">
        <v>0.2</v>
      </c>
      <c r="D35" s="21" t="s">
        <v>93</v>
      </c>
      <c r="E35" s="2" t="s">
        <v>94</v>
      </c>
      <c r="F35" s="2"/>
      <c r="G35" s="19">
        <v>106500</v>
      </c>
      <c r="H35" s="22">
        <v>387</v>
      </c>
    </row>
    <row r="36" spans="1:8" x14ac:dyDescent="0.25">
      <c r="A36" s="18">
        <v>9174</v>
      </c>
      <c r="B36" s="2" t="s">
        <v>44</v>
      </c>
      <c r="C36" s="3">
        <v>0.2</v>
      </c>
      <c r="D36" s="21" t="s">
        <v>95</v>
      </c>
      <c r="E36" s="2" t="s">
        <v>96</v>
      </c>
      <c r="F36" s="2"/>
      <c r="G36" s="19">
        <v>124000</v>
      </c>
      <c r="H36" s="22">
        <v>356</v>
      </c>
    </row>
    <row r="37" spans="1:8" x14ac:dyDescent="0.25">
      <c r="A37" s="18">
        <v>9168</v>
      </c>
      <c r="B37" s="2" t="s">
        <v>44</v>
      </c>
      <c r="C37" s="3">
        <v>0.2</v>
      </c>
      <c r="D37" s="21" t="s">
        <v>41</v>
      </c>
      <c r="E37" s="2" t="s">
        <v>97</v>
      </c>
      <c r="F37" s="2" t="s">
        <v>42</v>
      </c>
      <c r="G37" s="19">
        <v>223000</v>
      </c>
      <c r="H37" s="22">
        <v>826</v>
      </c>
    </row>
    <row r="38" spans="1:8" ht="15.75" thickBot="1" x14ac:dyDescent="0.3">
      <c r="A38" s="17">
        <v>9103</v>
      </c>
      <c r="B38" s="6" t="s">
        <v>44</v>
      </c>
      <c r="C38" s="7">
        <v>0.2</v>
      </c>
      <c r="D38" s="23" t="s">
        <v>98</v>
      </c>
      <c r="E38" s="6" t="s">
        <v>43</v>
      </c>
      <c r="F38" s="6" t="s">
        <v>99</v>
      </c>
      <c r="G38" s="20">
        <v>152000</v>
      </c>
      <c r="H38" s="24">
        <v>411</v>
      </c>
    </row>
    <row r="39" spans="1:8" ht="15.75" thickBot="1" x14ac:dyDescent="0.3">
      <c r="A39" s="25"/>
      <c r="H39" s="26"/>
    </row>
    <row r="40" spans="1:8" ht="15.75" thickBot="1" x14ac:dyDescent="0.3">
      <c r="A40" s="4" t="s">
        <v>0</v>
      </c>
      <c r="B40" s="5" t="s">
        <v>1</v>
      </c>
      <c r="C40" s="8" t="s">
        <v>3</v>
      </c>
      <c r="D40" s="5" t="s">
        <v>4</v>
      </c>
      <c r="E40" s="5" t="s">
        <v>5</v>
      </c>
      <c r="F40" s="5" t="s">
        <v>6</v>
      </c>
      <c r="G40" s="13" t="s">
        <v>7</v>
      </c>
      <c r="H40" s="16" t="s">
        <v>8</v>
      </c>
    </row>
    <row r="41" spans="1:8" x14ac:dyDescent="0.25">
      <c r="A41" s="4">
        <v>9317</v>
      </c>
      <c r="B41" s="5" t="s">
        <v>100</v>
      </c>
      <c r="C41" s="8">
        <v>0.2</v>
      </c>
      <c r="D41" s="27" t="s">
        <v>143</v>
      </c>
      <c r="E41" s="5" t="s">
        <v>148</v>
      </c>
      <c r="F41" s="5" t="s">
        <v>149</v>
      </c>
      <c r="G41" s="13">
        <v>320000</v>
      </c>
      <c r="H41" s="16">
        <v>1370</v>
      </c>
    </row>
    <row r="42" spans="1:8" x14ac:dyDescent="0.25">
      <c r="A42" s="18">
        <v>9258</v>
      </c>
      <c r="B42" s="2" t="s">
        <v>100</v>
      </c>
      <c r="C42" s="3">
        <v>0.2</v>
      </c>
      <c r="D42" s="21" t="s">
        <v>133</v>
      </c>
      <c r="E42" s="2" t="s">
        <v>134</v>
      </c>
      <c r="F42" s="2" t="s">
        <v>135</v>
      </c>
      <c r="G42" s="19">
        <v>1730750</v>
      </c>
      <c r="H42" s="22">
        <v>6131</v>
      </c>
    </row>
    <row r="43" spans="1:8" x14ac:dyDescent="0.25">
      <c r="A43" s="18">
        <v>9236</v>
      </c>
      <c r="B43" s="2" t="s">
        <v>100</v>
      </c>
      <c r="C43" s="3">
        <v>0.3</v>
      </c>
      <c r="D43" s="21" t="s">
        <v>36</v>
      </c>
      <c r="E43" s="2" t="s">
        <v>136</v>
      </c>
      <c r="F43" s="2" t="s">
        <v>137</v>
      </c>
      <c r="G43" s="19">
        <v>186500</v>
      </c>
      <c r="H43" s="22">
        <v>502</v>
      </c>
    </row>
    <row r="44" spans="1:8" x14ac:dyDescent="0.25">
      <c r="A44" s="18">
        <v>9308</v>
      </c>
      <c r="B44" s="2" t="s">
        <v>100</v>
      </c>
      <c r="C44" s="3">
        <v>0.5</v>
      </c>
      <c r="D44" s="21" t="s">
        <v>121</v>
      </c>
      <c r="E44" s="2" t="s">
        <v>138</v>
      </c>
      <c r="F44" s="2" t="s">
        <v>139</v>
      </c>
      <c r="G44" s="19">
        <v>98250</v>
      </c>
      <c r="H44" s="22">
        <v>420</v>
      </c>
    </row>
    <row r="45" spans="1:8" x14ac:dyDescent="0.25">
      <c r="A45" s="18">
        <v>9161</v>
      </c>
      <c r="B45" s="2" t="s">
        <v>205</v>
      </c>
      <c r="C45" s="3">
        <v>0.25</v>
      </c>
      <c r="D45" s="21" t="s">
        <v>23</v>
      </c>
      <c r="E45" s="2" t="s">
        <v>14</v>
      </c>
      <c r="F45" s="2" t="s">
        <v>31</v>
      </c>
      <c r="G45" s="19">
        <v>640000</v>
      </c>
      <c r="H45" s="22">
        <v>2372</v>
      </c>
    </row>
    <row r="46" spans="1:8" x14ac:dyDescent="0.25">
      <c r="A46" s="18">
        <v>9333</v>
      </c>
      <c r="B46" s="2" t="s">
        <v>100</v>
      </c>
      <c r="C46" s="3">
        <v>0.2</v>
      </c>
      <c r="D46" s="21" t="s">
        <v>18</v>
      </c>
      <c r="E46" s="2" t="s">
        <v>182</v>
      </c>
      <c r="F46" s="2" t="s">
        <v>34</v>
      </c>
      <c r="G46" s="19">
        <v>4691500</v>
      </c>
      <c r="H46" s="22">
        <v>3374</v>
      </c>
    </row>
    <row r="47" spans="1:8" x14ac:dyDescent="0.25">
      <c r="A47" s="18">
        <v>9316</v>
      </c>
      <c r="B47" s="2" t="s">
        <v>100</v>
      </c>
      <c r="C47" s="3">
        <v>0.2</v>
      </c>
      <c r="D47" s="21" t="s">
        <v>145</v>
      </c>
      <c r="E47" s="2" t="s">
        <v>146</v>
      </c>
      <c r="F47" s="2" t="s">
        <v>147</v>
      </c>
      <c r="G47" s="19">
        <v>1042000</v>
      </c>
      <c r="H47" s="22">
        <v>2259</v>
      </c>
    </row>
    <row r="48" spans="1:8" x14ac:dyDescent="0.25">
      <c r="A48" s="18">
        <v>9279</v>
      </c>
      <c r="B48" s="2" t="s">
        <v>100</v>
      </c>
      <c r="C48" s="3">
        <v>0.2</v>
      </c>
      <c r="D48" s="21"/>
      <c r="E48" s="2" t="s">
        <v>128</v>
      </c>
      <c r="F48" s="2" t="s">
        <v>129</v>
      </c>
      <c r="G48" s="19">
        <v>34000</v>
      </c>
      <c r="H48" s="22">
        <v>146</v>
      </c>
    </row>
    <row r="49" spans="1:8" x14ac:dyDescent="0.25">
      <c r="A49" s="18">
        <v>9358</v>
      </c>
      <c r="B49" s="2" t="s">
        <v>100</v>
      </c>
      <c r="C49" s="3">
        <v>0.4</v>
      </c>
      <c r="D49" s="21" t="s">
        <v>187</v>
      </c>
      <c r="E49" s="2" t="s">
        <v>188</v>
      </c>
      <c r="F49" s="2" t="s">
        <v>189</v>
      </c>
      <c r="G49" s="19">
        <v>37000</v>
      </c>
      <c r="H49" s="22">
        <v>161</v>
      </c>
    </row>
    <row r="50" spans="1:8" x14ac:dyDescent="0.25">
      <c r="A50" s="18">
        <v>9294</v>
      </c>
      <c r="B50" s="2" t="s">
        <v>100</v>
      </c>
      <c r="C50" s="3">
        <v>0.5</v>
      </c>
      <c r="D50" s="21" t="s">
        <v>140</v>
      </c>
      <c r="E50" s="2" t="s">
        <v>141</v>
      </c>
      <c r="F50" s="2" t="s">
        <v>142</v>
      </c>
      <c r="G50" s="19">
        <v>574000</v>
      </c>
      <c r="H50" s="22">
        <v>2840</v>
      </c>
    </row>
    <row r="51" spans="1:8" x14ac:dyDescent="0.25">
      <c r="A51" s="18">
        <v>9230</v>
      </c>
      <c r="B51" s="2" t="s">
        <v>100</v>
      </c>
      <c r="C51" s="3">
        <v>0.5</v>
      </c>
      <c r="D51" s="21" t="s">
        <v>18</v>
      </c>
      <c r="E51" s="2" t="s">
        <v>33</v>
      </c>
      <c r="F51" s="2" t="s">
        <v>34</v>
      </c>
      <c r="G51" s="19">
        <v>69500</v>
      </c>
      <c r="H51" s="22">
        <v>332</v>
      </c>
    </row>
    <row r="52" spans="1:8" x14ac:dyDescent="0.25">
      <c r="A52" s="18">
        <v>9306</v>
      </c>
      <c r="B52" s="2" t="s">
        <v>100</v>
      </c>
      <c r="C52" s="3">
        <v>0.15</v>
      </c>
      <c r="D52" s="21" t="s">
        <v>16</v>
      </c>
      <c r="E52" s="2" t="s">
        <v>153</v>
      </c>
      <c r="F52" s="2" t="s">
        <v>154</v>
      </c>
      <c r="G52" s="19">
        <v>160000</v>
      </c>
      <c r="H52" s="22">
        <v>1</v>
      </c>
    </row>
    <row r="53" spans="1:8" ht="15.75" thickBot="1" x14ac:dyDescent="0.3">
      <c r="A53" s="17">
        <v>9231</v>
      </c>
      <c r="B53" s="6" t="s">
        <v>100</v>
      </c>
      <c r="C53" s="7">
        <v>0.25</v>
      </c>
      <c r="D53" s="23" t="s">
        <v>18</v>
      </c>
      <c r="E53" s="6" t="s">
        <v>49</v>
      </c>
      <c r="F53" s="6" t="s">
        <v>28</v>
      </c>
      <c r="G53" s="20">
        <v>48250</v>
      </c>
      <c r="H53" s="24">
        <v>185</v>
      </c>
    </row>
    <row r="54" spans="1:8" ht="15.75" thickBot="1" x14ac:dyDescent="0.3">
      <c r="A54" s="25"/>
      <c r="H54" s="26"/>
    </row>
    <row r="55" spans="1:8" ht="15.75" thickBot="1" x14ac:dyDescent="0.3">
      <c r="A55" s="4" t="s">
        <v>0</v>
      </c>
      <c r="B55" s="5" t="s">
        <v>1</v>
      </c>
      <c r="C55" s="8" t="s">
        <v>3</v>
      </c>
      <c r="D55" s="5" t="s">
        <v>4</v>
      </c>
      <c r="E55" s="5" t="s">
        <v>5</v>
      </c>
      <c r="F55" s="5" t="s">
        <v>6</v>
      </c>
      <c r="G55" s="13" t="s">
        <v>7</v>
      </c>
      <c r="H55" s="16" t="s">
        <v>8</v>
      </c>
    </row>
    <row r="56" spans="1:8" x14ac:dyDescent="0.25">
      <c r="A56" s="4">
        <v>9327</v>
      </c>
      <c r="B56" s="5" t="s">
        <v>103</v>
      </c>
      <c r="C56" s="8">
        <v>0.4</v>
      </c>
      <c r="D56" s="27" t="s">
        <v>25</v>
      </c>
      <c r="E56" s="5" t="s">
        <v>160</v>
      </c>
      <c r="F56" s="5" t="s">
        <v>161</v>
      </c>
      <c r="G56" s="13">
        <v>895000</v>
      </c>
      <c r="H56" s="16">
        <v>1947</v>
      </c>
    </row>
    <row r="57" spans="1:8" x14ac:dyDescent="0.25">
      <c r="A57" s="18">
        <v>9241</v>
      </c>
      <c r="B57" s="2" t="s">
        <v>103</v>
      </c>
      <c r="C57" s="3">
        <v>0.25</v>
      </c>
      <c r="D57" s="21" t="s">
        <v>18</v>
      </c>
      <c r="E57" s="2" t="s">
        <v>45</v>
      </c>
      <c r="F57" s="2" t="s">
        <v>28</v>
      </c>
      <c r="G57" s="19">
        <v>48500</v>
      </c>
      <c r="H57" s="22">
        <v>222</v>
      </c>
    </row>
    <row r="58" spans="1:8" x14ac:dyDescent="0.25">
      <c r="A58" s="18">
        <v>9244</v>
      </c>
      <c r="B58" s="2" t="s">
        <v>103</v>
      </c>
      <c r="C58" s="3">
        <v>0.25</v>
      </c>
      <c r="D58" s="21" t="s">
        <v>18</v>
      </c>
      <c r="E58" s="2" t="s">
        <v>37</v>
      </c>
      <c r="F58" s="2" t="s">
        <v>28</v>
      </c>
      <c r="G58" s="19">
        <v>142250</v>
      </c>
      <c r="H58" s="22">
        <v>592</v>
      </c>
    </row>
    <row r="59" spans="1:8" x14ac:dyDescent="0.25">
      <c r="A59" s="18">
        <v>9238</v>
      </c>
      <c r="B59" s="2" t="s">
        <v>103</v>
      </c>
      <c r="C59" s="3">
        <v>0.2</v>
      </c>
      <c r="D59" s="21" t="s">
        <v>18</v>
      </c>
      <c r="E59" s="2" t="s">
        <v>35</v>
      </c>
      <c r="F59" s="2" t="s">
        <v>28</v>
      </c>
      <c r="G59" s="19">
        <v>46500</v>
      </c>
      <c r="H59" s="22">
        <v>227</v>
      </c>
    </row>
    <row r="60" spans="1:8" x14ac:dyDescent="0.25">
      <c r="A60" s="18">
        <v>9189</v>
      </c>
      <c r="B60" s="2" t="s">
        <v>103</v>
      </c>
      <c r="C60" s="3">
        <v>0.75</v>
      </c>
      <c r="D60" s="21" t="s">
        <v>18</v>
      </c>
      <c r="E60" s="2" t="s">
        <v>11</v>
      </c>
      <c r="F60" s="2" t="s">
        <v>28</v>
      </c>
      <c r="G60" s="19">
        <v>158250</v>
      </c>
      <c r="H60" s="22">
        <v>735</v>
      </c>
    </row>
    <row r="61" spans="1:8" x14ac:dyDescent="0.25">
      <c r="A61" s="18">
        <v>9190</v>
      </c>
      <c r="B61" s="2" t="s">
        <v>103</v>
      </c>
      <c r="C61" s="3">
        <v>0.6</v>
      </c>
      <c r="D61" s="21" t="s">
        <v>18</v>
      </c>
      <c r="E61" s="2" t="s">
        <v>13</v>
      </c>
      <c r="F61" s="2" t="s">
        <v>28</v>
      </c>
      <c r="G61" s="19">
        <v>53000</v>
      </c>
      <c r="H61" s="22">
        <v>256</v>
      </c>
    </row>
    <row r="62" spans="1:8" x14ac:dyDescent="0.25">
      <c r="A62" s="18">
        <v>9164</v>
      </c>
      <c r="B62" s="2" t="s">
        <v>103</v>
      </c>
      <c r="C62" s="3">
        <v>0.1</v>
      </c>
      <c r="D62" s="21" t="s">
        <v>15</v>
      </c>
      <c r="E62" s="2" t="s">
        <v>105</v>
      </c>
      <c r="F62" s="2"/>
      <c r="G62" s="19">
        <v>18000</v>
      </c>
      <c r="H62" s="22">
        <v>67</v>
      </c>
    </row>
    <row r="63" spans="1:8" x14ac:dyDescent="0.25">
      <c r="A63" s="18">
        <v>9151</v>
      </c>
      <c r="B63" s="2" t="s">
        <v>103</v>
      </c>
      <c r="C63" s="3">
        <v>0.1</v>
      </c>
      <c r="D63" s="21" t="s">
        <v>106</v>
      </c>
      <c r="E63" s="2" t="s">
        <v>107</v>
      </c>
      <c r="F63" s="2"/>
      <c r="G63" s="19">
        <v>1055000</v>
      </c>
      <c r="H63" s="22">
        <v>1319</v>
      </c>
    </row>
    <row r="64" spans="1:8" x14ac:dyDescent="0.25">
      <c r="A64" s="18">
        <v>9149</v>
      </c>
      <c r="B64" s="2" t="s">
        <v>103</v>
      </c>
      <c r="C64" s="3">
        <v>0.1</v>
      </c>
      <c r="D64" s="21" t="s">
        <v>15</v>
      </c>
      <c r="E64" s="2" t="s">
        <v>108</v>
      </c>
      <c r="F64" s="2"/>
      <c r="G64" s="19">
        <v>115000</v>
      </c>
      <c r="H64" s="22">
        <v>409</v>
      </c>
    </row>
    <row r="65" spans="1:8" ht="15.75" thickBot="1" x14ac:dyDescent="0.3">
      <c r="A65" s="17">
        <v>9145</v>
      </c>
      <c r="B65" s="6" t="s">
        <v>103</v>
      </c>
      <c r="C65" s="7">
        <v>0.1</v>
      </c>
      <c r="D65" s="23" t="s">
        <v>41</v>
      </c>
      <c r="E65" s="6" t="s">
        <v>109</v>
      </c>
      <c r="F65" s="6" t="s">
        <v>42</v>
      </c>
      <c r="G65" s="20">
        <v>283000</v>
      </c>
      <c r="H65" s="24">
        <v>237</v>
      </c>
    </row>
  </sheetData>
  <autoFilter ref="A1:H1" xr:uid="{C40577BB-341A-4C6D-8669-DEB0602204D9}">
    <sortState xmlns:xlrd2="http://schemas.microsoft.com/office/spreadsheetml/2017/richdata2" ref="A2:H30">
      <sortCondition ref="A1"/>
    </sortState>
  </autoFilter>
  <pageMargins left="0.25" right="0.25" top="0.75" bottom="0.75" header="0.3" footer="0.3"/>
  <pageSetup paperSize="3" scale="59" fitToHeight="0" orientation="landscape" r:id="rId1"/>
  <rowBreaks count="1" manualBreakCount="1">
    <brk id="3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6890-04A6-474C-9E92-BD464C5CEDA1}">
  <sheetPr filterMode="1"/>
  <dimension ref="A1:J25"/>
  <sheetViews>
    <sheetView workbookViewId="0">
      <selection activeCell="H2" sqref="H2:H25"/>
    </sheetView>
  </sheetViews>
  <sheetFormatPr defaultRowHeight="15" x14ac:dyDescent="0.25"/>
  <cols>
    <col min="1" max="1" width="13" bestFit="1" customWidth="1"/>
    <col min="2" max="2" width="12.5703125" bestFit="1" customWidth="1"/>
    <col min="3" max="3" width="17.42578125" bestFit="1" customWidth="1"/>
    <col min="4" max="4" width="26.7109375" bestFit="1" customWidth="1"/>
    <col min="5" max="5" width="34.28515625" customWidth="1"/>
    <col min="6" max="6" width="36.28515625" customWidth="1"/>
    <col min="7" max="7" width="11.140625" bestFit="1" customWidth="1"/>
    <col min="8" max="8" width="12.85546875" bestFit="1" customWidth="1"/>
    <col min="9" max="9" width="12.42578125" bestFit="1" customWidth="1"/>
    <col min="10" max="10" width="16.85546875" bestFit="1" customWidth="1"/>
  </cols>
  <sheetData>
    <row r="1" spans="1:10" x14ac:dyDescent="0.25">
      <c r="A1" s="4" t="s">
        <v>0</v>
      </c>
      <c r="B1" s="10" t="s">
        <v>2</v>
      </c>
      <c r="C1" s="8" t="s">
        <v>3</v>
      </c>
      <c r="D1" s="5" t="s">
        <v>4</v>
      </c>
      <c r="E1" s="5" t="s">
        <v>5</v>
      </c>
      <c r="F1" s="5" t="s">
        <v>6</v>
      </c>
      <c r="G1" s="13" t="s">
        <v>7</v>
      </c>
      <c r="H1" s="28" t="s">
        <v>8</v>
      </c>
      <c r="I1" s="5" t="s">
        <v>219</v>
      </c>
      <c r="J1" s="16" t="s">
        <v>220</v>
      </c>
    </row>
    <row r="2" spans="1:10" x14ac:dyDescent="0.25">
      <c r="A2" s="18">
        <v>9192</v>
      </c>
      <c r="B2" s="12">
        <v>45989.520138888889</v>
      </c>
      <c r="C2" s="3">
        <v>0.75</v>
      </c>
      <c r="D2" s="2" t="s">
        <v>83</v>
      </c>
      <c r="E2" s="2" t="s">
        <v>84</v>
      </c>
      <c r="F2" s="2" t="s">
        <v>85</v>
      </c>
      <c r="G2" s="19">
        <v>264500</v>
      </c>
      <c r="H2" s="2">
        <v>958</v>
      </c>
      <c r="I2" s="19">
        <f>G2*C2</f>
        <v>198375</v>
      </c>
      <c r="J2" s="22">
        <f>H2*C2</f>
        <v>718.5</v>
      </c>
    </row>
    <row r="3" spans="1:10" x14ac:dyDescent="0.25">
      <c r="A3" s="18">
        <v>9039</v>
      </c>
      <c r="B3" s="12">
        <v>45991</v>
      </c>
      <c r="C3" s="3">
        <v>0.8</v>
      </c>
      <c r="D3" s="2" t="s">
        <v>184</v>
      </c>
      <c r="E3" s="2" t="s">
        <v>185</v>
      </c>
      <c r="F3" s="2" t="s">
        <v>186</v>
      </c>
      <c r="G3" s="19">
        <v>69500</v>
      </c>
      <c r="H3" s="2">
        <v>314</v>
      </c>
      <c r="I3" s="19">
        <f t="shared" ref="I3:I15" si="0">G3*C3</f>
        <v>55600</v>
      </c>
      <c r="J3" s="22">
        <f t="shared" ref="J3:J15" si="1">H3*C3</f>
        <v>251.20000000000002</v>
      </c>
    </row>
    <row r="4" spans="1:10" x14ac:dyDescent="0.25">
      <c r="A4" s="18">
        <v>9228</v>
      </c>
      <c r="B4" s="12">
        <v>45991</v>
      </c>
      <c r="C4" s="3">
        <v>0.75</v>
      </c>
      <c r="D4" s="2" t="s">
        <v>21</v>
      </c>
      <c r="E4" s="2" t="s">
        <v>20</v>
      </c>
      <c r="F4" s="2" t="s">
        <v>30</v>
      </c>
      <c r="G4" s="19">
        <v>95000</v>
      </c>
      <c r="H4" s="2">
        <v>382</v>
      </c>
      <c r="I4" s="19">
        <f t="shared" si="0"/>
        <v>71250</v>
      </c>
      <c r="J4" s="22">
        <f t="shared" si="1"/>
        <v>286.5</v>
      </c>
    </row>
    <row r="5" spans="1:10" x14ac:dyDescent="0.25">
      <c r="A5" s="18">
        <v>9391</v>
      </c>
      <c r="B5" s="12">
        <v>46003.331944444442</v>
      </c>
      <c r="C5" s="3">
        <v>0.9</v>
      </c>
      <c r="D5" s="2" t="s">
        <v>209</v>
      </c>
      <c r="E5" s="2" t="s">
        <v>212</v>
      </c>
      <c r="F5" s="2" t="s">
        <v>211</v>
      </c>
      <c r="G5" s="19">
        <v>5307000</v>
      </c>
      <c r="H5" s="2">
        <v>25132</v>
      </c>
      <c r="I5" s="19">
        <f t="shared" si="0"/>
        <v>4776300</v>
      </c>
      <c r="J5" s="22">
        <f t="shared" si="1"/>
        <v>22618.799999999999</v>
      </c>
    </row>
    <row r="6" spans="1:10" x14ac:dyDescent="0.25">
      <c r="A6" s="18">
        <v>9087</v>
      </c>
      <c r="B6" s="12">
        <v>46006.48541666667</v>
      </c>
      <c r="C6" s="3">
        <v>0.5</v>
      </c>
      <c r="D6" s="2" t="s">
        <v>24</v>
      </c>
      <c r="E6" s="2" t="s">
        <v>22</v>
      </c>
      <c r="F6" s="2" t="s">
        <v>32</v>
      </c>
      <c r="G6" s="19">
        <v>1034000</v>
      </c>
      <c r="H6" s="2">
        <v>2298</v>
      </c>
      <c r="I6" s="19">
        <f t="shared" si="0"/>
        <v>517000</v>
      </c>
      <c r="J6" s="22">
        <f t="shared" si="1"/>
        <v>1149</v>
      </c>
    </row>
    <row r="7" spans="1:10" x14ac:dyDescent="0.25">
      <c r="A7" s="18">
        <v>8837</v>
      </c>
      <c r="B7" s="12">
        <v>46010</v>
      </c>
      <c r="C7" s="3">
        <v>0.9</v>
      </c>
      <c r="D7" s="2" t="s">
        <v>101</v>
      </c>
      <c r="E7" s="2" t="s">
        <v>102</v>
      </c>
      <c r="F7" s="2"/>
      <c r="G7" s="19">
        <v>289750</v>
      </c>
      <c r="H7" s="2">
        <v>1726</v>
      </c>
      <c r="I7" s="19">
        <f t="shared" si="0"/>
        <v>260775</v>
      </c>
      <c r="J7" s="22">
        <f t="shared" si="1"/>
        <v>1553.4</v>
      </c>
    </row>
    <row r="8" spans="1:10" hidden="1" x14ac:dyDescent="0.25">
      <c r="A8" s="18">
        <v>9307</v>
      </c>
      <c r="B8" s="12">
        <v>46021.411111111112</v>
      </c>
      <c r="C8" s="3">
        <v>0.1</v>
      </c>
      <c r="D8" s="2" t="s">
        <v>150</v>
      </c>
      <c r="E8" s="2" t="s">
        <v>151</v>
      </c>
      <c r="F8" s="2" t="s">
        <v>152</v>
      </c>
      <c r="G8" s="19">
        <v>1317000</v>
      </c>
      <c r="H8" s="2">
        <v>5344</v>
      </c>
      <c r="I8" s="19">
        <f t="shared" si="0"/>
        <v>131700</v>
      </c>
      <c r="J8" s="22">
        <f t="shared" si="1"/>
        <v>534.4</v>
      </c>
    </row>
    <row r="9" spans="1:10" hidden="1" x14ac:dyDescent="0.25">
      <c r="A9" s="18">
        <v>9194</v>
      </c>
      <c r="B9" s="12">
        <v>46021.425694444442</v>
      </c>
      <c r="C9" s="3">
        <v>0.1</v>
      </c>
      <c r="D9" s="2" t="s">
        <v>10</v>
      </c>
      <c r="E9" s="2" t="s">
        <v>214</v>
      </c>
      <c r="F9" s="2" t="s">
        <v>27</v>
      </c>
      <c r="G9" s="19">
        <v>483500</v>
      </c>
      <c r="H9" s="2">
        <v>2151</v>
      </c>
      <c r="I9" s="19">
        <f t="shared" si="0"/>
        <v>48350</v>
      </c>
      <c r="J9" s="22">
        <f t="shared" si="1"/>
        <v>215.10000000000002</v>
      </c>
    </row>
    <row r="10" spans="1:10" hidden="1" x14ac:dyDescent="0.25">
      <c r="A10" s="18">
        <v>9350</v>
      </c>
      <c r="B10" s="12">
        <v>46021.466666666667</v>
      </c>
      <c r="C10" s="3">
        <v>0.2</v>
      </c>
      <c r="D10" s="2" t="s">
        <v>215</v>
      </c>
      <c r="E10" s="2" t="s">
        <v>170</v>
      </c>
      <c r="F10" s="2" t="s">
        <v>171</v>
      </c>
      <c r="G10" s="19">
        <v>75750</v>
      </c>
      <c r="H10" s="2">
        <v>237</v>
      </c>
      <c r="I10" s="19">
        <f t="shared" si="0"/>
        <v>15150</v>
      </c>
      <c r="J10" s="22">
        <f t="shared" si="1"/>
        <v>47.400000000000006</v>
      </c>
    </row>
    <row r="11" spans="1:10" hidden="1" x14ac:dyDescent="0.25">
      <c r="A11" s="18">
        <v>9271</v>
      </c>
      <c r="B11" s="12">
        <v>46021.481249999997</v>
      </c>
      <c r="C11" s="3">
        <v>0.4</v>
      </c>
      <c r="D11" s="2" t="s">
        <v>130</v>
      </c>
      <c r="E11" s="2" t="s">
        <v>131</v>
      </c>
      <c r="F11" s="2" t="s">
        <v>132</v>
      </c>
      <c r="G11" s="19">
        <v>396000</v>
      </c>
      <c r="H11" s="2">
        <v>1481</v>
      </c>
      <c r="I11" s="19">
        <f t="shared" si="0"/>
        <v>158400</v>
      </c>
      <c r="J11" s="22">
        <f t="shared" si="1"/>
        <v>592.4</v>
      </c>
    </row>
    <row r="12" spans="1:10" hidden="1" x14ac:dyDescent="0.25">
      <c r="A12" s="18">
        <v>9373</v>
      </c>
      <c r="B12" s="12">
        <v>46022.420138888891</v>
      </c>
      <c r="C12" s="3">
        <v>0.1</v>
      </c>
      <c r="D12" s="2" t="s">
        <v>206</v>
      </c>
      <c r="E12" s="2" t="s">
        <v>207</v>
      </c>
      <c r="F12" s="2" t="s">
        <v>208</v>
      </c>
      <c r="G12" s="19">
        <v>64000</v>
      </c>
      <c r="H12" s="2">
        <v>248</v>
      </c>
      <c r="I12" s="19">
        <f t="shared" si="0"/>
        <v>6400</v>
      </c>
      <c r="J12" s="22">
        <f t="shared" si="1"/>
        <v>24.8</v>
      </c>
    </row>
    <row r="13" spans="1:10" hidden="1" x14ac:dyDescent="0.25">
      <c r="A13" s="18">
        <v>9267</v>
      </c>
      <c r="B13" s="12">
        <v>46022.42291666667</v>
      </c>
      <c r="C13" s="3">
        <v>0.1</v>
      </c>
      <c r="D13" s="2" t="s">
        <v>38</v>
      </c>
      <c r="E13" s="2" t="s">
        <v>116</v>
      </c>
      <c r="F13" s="2" t="s">
        <v>117</v>
      </c>
      <c r="G13" s="19">
        <v>52500</v>
      </c>
      <c r="H13" s="2">
        <v>250</v>
      </c>
      <c r="I13" s="19">
        <f t="shared" si="0"/>
        <v>5250</v>
      </c>
      <c r="J13" s="22">
        <f t="shared" si="1"/>
        <v>25</v>
      </c>
    </row>
    <row r="14" spans="1:10" x14ac:dyDescent="0.25">
      <c r="A14" s="18">
        <v>9378</v>
      </c>
      <c r="B14" s="12">
        <v>46022.425694444442</v>
      </c>
      <c r="C14" s="3">
        <v>0.5</v>
      </c>
      <c r="D14" s="2" t="s">
        <v>193</v>
      </c>
      <c r="E14" s="2" t="s">
        <v>194</v>
      </c>
      <c r="F14" s="2" t="s">
        <v>195</v>
      </c>
      <c r="G14" s="19">
        <v>3620000</v>
      </c>
      <c r="H14" s="2">
        <v>7400</v>
      </c>
      <c r="I14" s="19">
        <f t="shared" si="0"/>
        <v>1810000</v>
      </c>
      <c r="J14" s="22">
        <f t="shared" si="1"/>
        <v>3700</v>
      </c>
    </row>
    <row r="15" spans="1:10" ht="15.75" hidden="1" thickBot="1" x14ac:dyDescent="0.3">
      <c r="A15" s="17">
        <v>9266</v>
      </c>
      <c r="B15" s="11">
        <v>46022.522916666669</v>
      </c>
      <c r="C15" s="7">
        <v>0.2</v>
      </c>
      <c r="D15" s="6" t="s">
        <v>110</v>
      </c>
      <c r="E15" s="6" t="s">
        <v>111</v>
      </c>
      <c r="F15" s="6" t="s">
        <v>112</v>
      </c>
      <c r="G15" s="20">
        <v>130500</v>
      </c>
      <c r="H15" s="6">
        <v>560</v>
      </c>
      <c r="I15" s="20">
        <f t="shared" si="0"/>
        <v>26100</v>
      </c>
      <c r="J15" s="24">
        <f t="shared" si="1"/>
        <v>112</v>
      </c>
    </row>
    <row r="16" spans="1:10" x14ac:dyDescent="0.25">
      <c r="A16" s="18">
        <v>9166</v>
      </c>
      <c r="B16" s="12">
        <v>46037.510416666664</v>
      </c>
      <c r="C16" s="3">
        <v>0.5</v>
      </c>
      <c r="D16" s="2" t="s">
        <v>15</v>
      </c>
      <c r="E16" s="2" t="s">
        <v>104</v>
      </c>
      <c r="F16" s="2"/>
      <c r="G16" s="19">
        <v>910000</v>
      </c>
      <c r="H16" s="2">
        <v>823</v>
      </c>
      <c r="I16" s="19">
        <f>G16*C16</f>
        <v>455000</v>
      </c>
      <c r="J16" s="22">
        <f>H16*C16</f>
        <v>411.5</v>
      </c>
    </row>
    <row r="17" spans="1:10" x14ac:dyDescent="0.25">
      <c r="A17" s="18">
        <v>9338</v>
      </c>
      <c r="B17" s="12">
        <v>46045</v>
      </c>
      <c r="C17" s="3">
        <v>0.5</v>
      </c>
      <c r="D17" s="2" t="s">
        <v>25</v>
      </c>
      <c r="E17" s="2" t="s">
        <v>177</v>
      </c>
      <c r="F17" s="2" t="s">
        <v>178</v>
      </c>
      <c r="G17" s="19">
        <v>1041000</v>
      </c>
      <c r="H17" s="2">
        <v>1</v>
      </c>
      <c r="I17" s="19">
        <f t="shared" ref="I17:I25" si="2">G17*C17</f>
        <v>520500</v>
      </c>
      <c r="J17" s="22">
        <f t="shared" ref="J17:J25" si="3">H17*C17</f>
        <v>0.5</v>
      </c>
    </row>
    <row r="18" spans="1:10" x14ac:dyDescent="0.25">
      <c r="A18" s="18">
        <v>9361</v>
      </c>
      <c r="B18" s="12">
        <v>46052</v>
      </c>
      <c r="C18" s="3">
        <v>0.75</v>
      </c>
      <c r="D18" s="2" t="s">
        <v>67</v>
      </c>
      <c r="E18" s="2" t="s">
        <v>190</v>
      </c>
      <c r="F18" s="2" t="s">
        <v>191</v>
      </c>
      <c r="G18" s="19">
        <v>114750</v>
      </c>
      <c r="H18" s="2">
        <v>382</v>
      </c>
      <c r="I18" s="19">
        <f t="shared" si="2"/>
        <v>86062.5</v>
      </c>
      <c r="J18" s="22">
        <f t="shared" si="3"/>
        <v>286.5</v>
      </c>
    </row>
    <row r="19" spans="1:10" hidden="1" x14ac:dyDescent="0.25">
      <c r="A19" s="18">
        <v>9282</v>
      </c>
      <c r="B19" s="12">
        <v>46052.467361111114</v>
      </c>
      <c r="C19" s="3">
        <v>0.4</v>
      </c>
      <c r="D19" s="2" t="s">
        <v>125</v>
      </c>
      <c r="E19" s="2" t="s">
        <v>126</v>
      </c>
      <c r="F19" s="2" t="s">
        <v>127</v>
      </c>
      <c r="G19" s="19">
        <v>165500</v>
      </c>
      <c r="H19" s="2">
        <v>600</v>
      </c>
      <c r="I19" s="19">
        <f t="shared" si="2"/>
        <v>66200</v>
      </c>
      <c r="J19" s="22">
        <f t="shared" si="3"/>
        <v>240</v>
      </c>
    </row>
    <row r="20" spans="1:10" x14ac:dyDescent="0.25">
      <c r="A20" s="18">
        <v>9042</v>
      </c>
      <c r="B20" s="12">
        <v>46053.431250000001</v>
      </c>
      <c r="C20" s="3">
        <v>0.75</v>
      </c>
      <c r="D20" s="2" t="s">
        <v>19</v>
      </c>
      <c r="E20" s="2" t="s">
        <v>12</v>
      </c>
      <c r="F20" s="2" t="s">
        <v>29</v>
      </c>
      <c r="G20" s="19">
        <v>297000</v>
      </c>
      <c r="H20" s="2">
        <v>1350</v>
      </c>
      <c r="I20" s="19">
        <f t="shared" si="2"/>
        <v>222750</v>
      </c>
      <c r="J20" s="22">
        <f t="shared" si="3"/>
        <v>1012.5</v>
      </c>
    </row>
    <row r="21" spans="1:10" ht="15.75" hidden="1" thickBot="1" x14ac:dyDescent="0.3">
      <c r="A21" s="17">
        <v>9369</v>
      </c>
      <c r="B21" s="11">
        <v>46053.447222222225</v>
      </c>
      <c r="C21" s="7">
        <v>0.2</v>
      </c>
      <c r="D21" s="6" t="s">
        <v>83</v>
      </c>
      <c r="E21" s="6" t="s">
        <v>196</v>
      </c>
      <c r="F21" s="6" t="s">
        <v>197</v>
      </c>
      <c r="G21" s="20">
        <v>149500</v>
      </c>
      <c r="H21" s="6">
        <v>481</v>
      </c>
      <c r="I21" s="20">
        <f t="shared" si="2"/>
        <v>29900</v>
      </c>
      <c r="J21" s="24">
        <f t="shared" si="3"/>
        <v>96.2</v>
      </c>
    </row>
    <row r="22" spans="1:10" hidden="1" x14ac:dyDescent="0.25">
      <c r="A22" s="18">
        <v>9372</v>
      </c>
      <c r="B22" s="12">
        <v>46054</v>
      </c>
      <c r="C22" s="3">
        <v>0.3</v>
      </c>
      <c r="D22" s="2" t="s">
        <v>216</v>
      </c>
      <c r="E22" s="2" t="s">
        <v>217</v>
      </c>
      <c r="F22" s="2" t="s">
        <v>218</v>
      </c>
      <c r="G22" s="19">
        <v>1280750</v>
      </c>
      <c r="H22" s="2">
        <v>5320</v>
      </c>
      <c r="I22" s="19">
        <f t="shared" si="2"/>
        <v>384225</v>
      </c>
      <c r="J22" s="22">
        <f t="shared" si="3"/>
        <v>1596</v>
      </c>
    </row>
    <row r="23" spans="1:10" x14ac:dyDescent="0.25">
      <c r="A23" s="18">
        <v>9344</v>
      </c>
      <c r="B23" s="12">
        <v>46080</v>
      </c>
      <c r="C23" s="3">
        <v>0.5</v>
      </c>
      <c r="D23" s="2" t="s">
        <v>17</v>
      </c>
      <c r="E23" s="2" t="s">
        <v>175</v>
      </c>
      <c r="F23" s="2" t="s">
        <v>176</v>
      </c>
      <c r="G23" s="19">
        <v>103750</v>
      </c>
      <c r="H23" s="2">
        <v>521</v>
      </c>
      <c r="I23" s="19">
        <f t="shared" si="2"/>
        <v>51875</v>
      </c>
      <c r="J23" s="22">
        <f t="shared" si="3"/>
        <v>260.5</v>
      </c>
    </row>
    <row r="24" spans="1:10" hidden="1" x14ac:dyDescent="0.25">
      <c r="A24" s="18">
        <v>9392</v>
      </c>
      <c r="B24" s="12"/>
      <c r="C24" s="3">
        <v>0.4</v>
      </c>
      <c r="D24" s="2" t="s">
        <v>209</v>
      </c>
      <c r="E24" s="2" t="s">
        <v>210</v>
      </c>
      <c r="F24" s="2" t="s">
        <v>211</v>
      </c>
      <c r="G24" s="19">
        <v>18549000</v>
      </c>
      <c r="H24" s="2">
        <v>60264</v>
      </c>
      <c r="I24" s="19">
        <f t="shared" si="2"/>
        <v>7419600</v>
      </c>
      <c r="J24" s="22">
        <f t="shared" si="3"/>
        <v>24105.600000000002</v>
      </c>
    </row>
    <row r="25" spans="1:10" ht="15.75" thickBot="1" x14ac:dyDescent="0.3">
      <c r="A25" s="17">
        <v>9390</v>
      </c>
      <c r="B25" s="11"/>
      <c r="C25" s="7">
        <v>0.5</v>
      </c>
      <c r="D25" s="6" t="s">
        <v>209</v>
      </c>
      <c r="E25" s="6" t="s">
        <v>213</v>
      </c>
      <c r="F25" s="6" t="s">
        <v>211</v>
      </c>
      <c r="G25" s="20">
        <v>567000</v>
      </c>
      <c r="H25" s="6">
        <v>2250</v>
      </c>
      <c r="I25" s="20">
        <f t="shared" si="2"/>
        <v>283500</v>
      </c>
      <c r="J25" s="24">
        <f t="shared" si="3"/>
        <v>1125</v>
      </c>
    </row>
  </sheetData>
  <autoFilter ref="A1:J25" xr:uid="{4D5C6890-04A6-474C-9E92-BD464C5CEDA1}">
    <filterColumn colId="2">
      <filters>
        <filter val="50%"/>
        <filter val="75%"/>
        <filter val="80%"/>
        <filter val="90%"/>
      </filters>
    </filterColumn>
  </autoFilter>
  <conditionalFormatting sqref="C2:C25">
    <cfRule type="cellIs" dxfId="2" priority="3" operator="greaterThan">
      <formula>0.5</formula>
    </cfRule>
  </conditionalFormatting>
  <conditionalFormatting sqref="G2:G25">
    <cfRule type="cellIs" dxfId="1" priority="1" operator="between">
      <formula>500000</formula>
      <formula>999999</formula>
    </cfRule>
    <cfRule type="cellIs" dxfId="0" priority="2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New Funnel</vt:lpstr>
      <vt:lpstr>Sheet1</vt:lpstr>
      <vt:lpstr>Sheet2</vt:lpstr>
      <vt:lpstr>'New Funnel'!Print_Area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cp:lastPrinted>2026-01-06T17:55:44Z</cp:lastPrinted>
  <dcterms:created xsi:type="dcterms:W3CDTF">2025-12-30T14:32:32Z</dcterms:created>
  <dcterms:modified xsi:type="dcterms:W3CDTF">2026-01-06T17:57:46Z</dcterms:modified>
</cp:coreProperties>
</file>