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hris\"/>
    </mc:Choice>
  </mc:AlternateContent>
  <xr:revisionPtr revIDLastSave="0" documentId="13_ncr:1_{32F86C21-FF73-4875-BEC4-0FCF39C4BAB6}" xr6:coauthVersionLast="47" xr6:coauthVersionMax="47" xr10:uidLastSave="{00000000-0000-0000-0000-000000000000}"/>
  <bookViews>
    <workbookView xWindow="28680" yWindow="-120" windowWidth="29040" windowHeight="15840" xr2:uid="{2AD88066-83F5-4479-8B43-469410695C71}"/>
  </bookViews>
  <sheets>
    <sheet name="Sheet1" sheetId="1" r:id="rId1"/>
  </sheets>
  <definedNames>
    <definedName name="_xlnm.Print_Area" localSheetId="0">Sheet1!$A$1:$G$24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8" i="1"/>
  <c r="G11" i="1"/>
  <c r="G9" i="1"/>
  <c r="G12" i="1" l="1"/>
  <c r="C8" i="1"/>
  <c r="C19" i="1"/>
  <c r="C22" i="1"/>
  <c r="C13" i="1" l="1"/>
  <c r="C23" i="1" s="1"/>
  <c r="C24" i="1" s="1"/>
</calcChain>
</file>

<file path=xl/sharedStrings.xml><?xml version="1.0" encoding="utf-8"?>
<sst xmlns="http://schemas.openxmlformats.org/spreadsheetml/2006/main" count="40" uniqueCount="34">
  <si>
    <t>US Price</t>
  </si>
  <si>
    <t>ST&amp;E PVT Cost</t>
  </si>
  <si>
    <t>India Price Markdown</t>
  </si>
  <si>
    <t>Company Name</t>
  </si>
  <si>
    <t>Project Name</t>
  </si>
  <si>
    <t>Quote #</t>
  </si>
  <si>
    <t>Freight to US</t>
  </si>
  <si>
    <t>Cost of Tank to Savannah Tank</t>
  </si>
  <si>
    <t>Duty</t>
  </si>
  <si>
    <t>Total</t>
  </si>
  <si>
    <t xml:space="preserve">   Labor Cost </t>
  </si>
  <si>
    <t>Price if Made in USA</t>
  </si>
  <si>
    <t xml:space="preserve">   Estimated Materials</t>
  </si>
  <si>
    <t xml:space="preserve">   Estimated Labor Hours</t>
  </si>
  <si>
    <t>Actual Estimated Price (if done)</t>
  </si>
  <si>
    <t>Price to Customer</t>
  </si>
  <si>
    <t>Cost to ST&amp;E from ST&amp;EPVT</t>
  </si>
  <si>
    <t>ST&amp;E PVT Profit (%)</t>
  </si>
  <si>
    <t>ST&amp;E PVT Profit ($)</t>
  </si>
  <si>
    <t>ST&amp;E Cost</t>
  </si>
  <si>
    <t>ST&amp;E Profit ($)</t>
  </si>
  <si>
    <t>Labor Cost</t>
  </si>
  <si>
    <t>Tank Name</t>
  </si>
  <si>
    <t>ST&amp;E Profit (%)</t>
  </si>
  <si>
    <t>No Touchy</t>
  </si>
  <si>
    <t>Fill-in</t>
  </si>
  <si>
    <t>Change if needed</t>
  </si>
  <si>
    <t>Services</t>
  </si>
  <si>
    <t>=</t>
  </si>
  <si>
    <t>material cost plus 5%</t>
  </si>
  <si>
    <t>price in USD -material cost</t>
  </si>
  <si>
    <t>total(m+c+l) +packing + India freight</t>
  </si>
  <si>
    <t>Remember per unit</t>
  </si>
  <si>
    <t xml:space="preserve">ST&amp;E Labor Hours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</si>
</sst>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&quot;$&quot;#,##0"/>
    <numFmt numFmtId="167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164" fontId="0" fillId="0" borderId="0" xfId="2" applyNumberFormat="1" applyFont="1"/>
    <xf numFmtId="0" fontId="3" fillId="0" borderId="0" xfId="0" applyFont="1"/>
    <xf numFmtId="0" fontId="2" fillId="0" borderId="0" xfId="0" applyFont="1"/>
    <xf numFmtId="9" fontId="0" fillId="0" borderId="0" xfId="3" applyFont="1" applyFill="1"/>
    <xf numFmtId="0" fontId="0" fillId="3" borderId="0" xfId="0" applyFill="1"/>
    <xf numFmtId="0" fontId="0" fillId="0" borderId="1" xfId="0" applyBorder="1"/>
    <xf numFmtId="164" fontId="0" fillId="0" borderId="1" xfId="2" applyNumberFormat="1" applyFont="1" applyFill="1" applyBorder="1"/>
    <xf numFmtId="165" fontId="0" fillId="3" borderId="1" xfId="1" applyNumberFormat="1" applyFont="1" applyFill="1" applyBorder="1"/>
    <xf numFmtId="164" fontId="0" fillId="2" borderId="1" xfId="2" applyNumberFormat="1" applyFont="1" applyFill="1" applyBorder="1"/>
    <xf numFmtId="164" fontId="0" fillId="0" borderId="1" xfId="2" applyNumberFormat="1" applyFont="1" applyBorder="1"/>
    <xf numFmtId="0" fontId="0" fillId="0" borderId="5" xfId="0" applyBorder="1"/>
    <xf numFmtId="164" fontId="0" fillId="3" borderId="6" xfId="2" applyNumberFormat="1" applyFont="1" applyFill="1" applyBorder="1"/>
    <xf numFmtId="5" fontId="0" fillId="3" borderId="6" xfId="2" applyNumberFormat="1" applyFont="1" applyFill="1" applyBorder="1"/>
    <xf numFmtId="0" fontId="0" fillId="0" borderId="6" xfId="0" applyBorder="1"/>
    <xf numFmtId="0" fontId="0" fillId="0" borderId="7" xfId="0" applyBorder="1"/>
    <xf numFmtId="9" fontId="0" fillId="2" borderId="8" xfId="3" applyFont="1" applyFill="1" applyBorder="1"/>
    <xf numFmtId="0" fontId="0" fillId="0" borderId="9" xfId="0" applyBorder="1"/>
    <xf numFmtId="9" fontId="0" fillId="2" borderId="1" xfId="0" applyNumberFormat="1" applyFill="1" applyBorder="1"/>
    <xf numFmtId="0" fontId="0" fillId="0" borderId="8" xfId="0" applyBorder="1"/>
    <xf numFmtId="166" fontId="0" fillId="0" borderId="9" xfId="0" applyNumberFormat="1" applyBorder="1"/>
    <xf numFmtId="0" fontId="0" fillId="0" borderId="10" xfId="0" applyBorder="1"/>
    <xf numFmtId="165" fontId="0" fillId="4" borderId="6" xfId="1" applyNumberFormat="1" applyFont="1" applyFill="1" applyBorder="1"/>
    <xf numFmtId="0" fontId="0" fillId="3" borderId="1" xfId="0" applyFill="1" applyBorder="1"/>
    <xf numFmtId="166" fontId="0" fillId="4" borderId="6" xfId="0" applyNumberFormat="1" applyFill="1" applyBorder="1"/>
    <xf numFmtId="0" fontId="0" fillId="4" borderId="1" xfId="0" applyFill="1" applyBorder="1"/>
    <xf numFmtId="166" fontId="0" fillId="2" borderId="11" xfId="0" applyNumberFormat="1" applyFill="1" applyBorder="1"/>
    <xf numFmtId="164" fontId="0" fillId="5" borderId="6" xfId="2" applyNumberFormat="1" applyFont="1" applyFill="1" applyBorder="1"/>
    <xf numFmtId="0" fontId="0" fillId="5" borderId="0" xfId="0" applyFill="1"/>
    <xf numFmtId="0" fontId="0" fillId="0" borderId="2" xfId="0" applyBorder="1"/>
    <xf numFmtId="164" fontId="0" fillId="0" borderId="3" xfId="2" applyNumberFormat="1" applyFont="1" applyBorder="1"/>
    <xf numFmtId="0" fontId="0" fillId="3" borderId="4" xfId="0" applyFill="1" applyBorder="1"/>
    <xf numFmtId="167" fontId="0" fillId="5" borderId="6" xfId="0" applyNumberFormat="1" applyFill="1" applyBorder="1"/>
    <xf numFmtId="164" fontId="0" fillId="5" borderId="6" xfId="0" applyNumberFormat="1" applyFill="1" applyBorder="1"/>
    <xf numFmtId="167" fontId="0" fillId="5" borderId="9" xfId="0" applyNumberFormat="1" applyFill="1" applyBorder="1"/>
    <xf numFmtId="0" fontId="0" fillId="2" borderId="0" xfId="0" applyFill="1"/>
    <xf numFmtId="0" fontId="4" fillId="4" borderId="0" xfId="0" applyFont="1" applyFill="1"/>
    <xf numFmtId="0" fontId="0" fillId="0" borderId="0" xfId="0" applyAlignment="1">
      <alignment horizontal="center"/>
    </xf>
    <xf numFmtId="164" fontId="0" fillId="5" borderId="0" xfId="0" applyNumberFormat="1" applyFill="1"/>
    <xf numFmtId="0" fontId="0" fillId="6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35E3-851A-4D5E-87F5-F9A81019E58B}">
  <dimension ref="A1:Q24"/>
  <sheetViews>
    <sheetView tabSelected="1" workbookViewId="0">
      <selection activeCell="E12" sqref="E12"/>
    </sheetView>
  </sheetViews>
  <sheetFormatPr defaultRowHeight="15" x14ac:dyDescent="0.25"/>
  <cols>
    <col min="1" max="1" width="37" customWidth="1"/>
    <col min="2" max="2" width="12.28515625" customWidth="1"/>
    <col min="4" max="4" width="3" customWidth="1"/>
    <col min="5" max="5" width="28.28515625" bestFit="1" customWidth="1"/>
    <col min="8" max="8" width="17.85546875" bestFit="1" customWidth="1"/>
    <col min="10" max="10" width="16.140625" bestFit="1" customWidth="1"/>
    <col min="15" max="15" width="24.7109375" bestFit="1" customWidth="1"/>
    <col min="17" max="17" width="24.7109375" bestFit="1" customWidth="1"/>
  </cols>
  <sheetData>
    <row r="1" spans="1:17" ht="15.75" x14ac:dyDescent="0.25">
      <c r="A1" s="2" t="s">
        <v>3</v>
      </c>
      <c r="B1" s="43"/>
      <c r="C1" s="43"/>
    </row>
    <row r="2" spans="1:17" ht="15.75" x14ac:dyDescent="0.25">
      <c r="A2" s="3" t="s">
        <v>4</v>
      </c>
      <c r="B2" s="43"/>
      <c r="C2" s="43"/>
    </row>
    <row r="3" spans="1:17" ht="15.75" x14ac:dyDescent="0.25">
      <c r="A3" s="3" t="s">
        <v>5</v>
      </c>
      <c r="B3" s="43"/>
      <c r="C3" s="43"/>
    </row>
    <row r="4" spans="1:17" ht="16.5" thickBot="1" x14ac:dyDescent="0.3">
      <c r="A4" s="3" t="s">
        <v>22</v>
      </c>
      <c r="B4" s="43"/>
      <c r="C4" s="43"/>
    </row>
    <row r="5" spans="1:17" x14ac:dyDescent="0.25">
      <c r="A5" s="40" t="s">
        <v>11</v>
      </c>
      <c r="B5" s="41"/>
      <c r="C5" s="42"/>
      <c r="E5" s="40" t="s">
        <v>7</v>
      </c>
      <c r="F5" s="41"/>
      <c r="G5" s="42"/>
    </row>
    <row r="6" spans="1:17" x14ac:dyDescent="0.25">
      <c r="A6" s="11" t="s">
        <v>12</v>
      </c>
      <c r="B6" s="7"/>
      <c r="C6" s="12"/>
      <c r="E6" s="11" t="s">
        <v>16</v>
      </c>
      <c r="F6" s="25"/>
      <c r="G6" s="12"/>
      <c r="J6" s="28" t="s">
        <v>24</v>
      </c>
    </row>
    <row r="7" spans="1:17" x14ac:dyDescent="0.25">
      <c r="A7" s="11" t="s">
        <v>13</v>
      </c>
      <c r="B7" s="8"/>
      <c r="C7" s="22"/>
      <c r="E7" s="11" t="s">
        <v>27</v>
      </c>
      <c r="F7" s="25"/>
      <c r="G7" s="12"/>
      <c r="J7" s="5" t="s">
        <v>25</v>
      </c>
      <c r="O7" s="11" t="s">
        <v>16</v>
      </c>
      <c r="P7" s="37" t="s">
        <v>28</v>
      </c>
      <c r="Q7" t="s">
        <v>29</v>
      </c>
    </row>
    <row r="8" spans="1:17" x14ac:dyDescent="0.25">
      <c r="A8" s="11" t="s">
        <v>10</v>
      </c>
      <c r="B8" s="9">
        <v>150</v>
      </c>
      <c r="C8" s="27">
        <f>B7*B8</f>
        <v>0</v>
      </c>
      <c r="E8" s="11" t="s">
        <v>6</v>
      </c>
      <c r="F8" s="25"/>
      <c r="G8" s="12"/>
      <c r="H8" s="39" t="s">
        <v>32</v>
      </c>
      <c r="J8" s="35" t="s">
        <v>26</v>
      </c>
      <c r="O8" s="11" t="s">
        <v>27</v>
      </c>
      <c r="P8" s="37" t="s">
        <v>28</v>
      </c>
      <c r="Q8" t="s">
        <v>30</v>
      </c>
    </row>
    <row r="9" spans="1:17" x14ac:dyDescent="0.25">
      <c r="A9" s="11" t="s">
        <v>14</v>
      </c>
      <c r="B9" s="7"/>
      <c r="C9" s="13"/>
      <c r="E9" s="11" t="s">
        <v>8</v>
      </c>
      <c r="F9" s="18">
        <v>0.5</v>
      </c>
      <c r="G9" s="27">
        <f>(G6)*F9</f>
        <v>0</v>
      </c>
      <c r="J9" s="36" t="s">
        <v>24</v>
      </c>
    </row>
    <row r="10" spans="1:17" x14ac:dyDescent="0.25">
      <c r="A10" s="11" t="s">
        <v>0</v>
      </c>
      <c r="B10" s="7"/>
      <c r="C10" s="27">
        <f>IF(C9&gt;0,C9,SUM(C6:C9)*1.1)</f>
        <v>0</v>
      </c>
      <c r="E10" s="11" t="s">
        <v>33</v>
      </c>
      <c r="F10" s="23"/>
      <c r="G10" s="24"/>
    </row>
    <row r="11" spans="1:17" ht="15.75" thickBot="1" x14ac:dyDescent="0.3">
      <c r="A11" s="15" t="s">
        <v>2</v>
      </c>
      <c r="B11" s="16">
        <v>0.3</v>
      </c>
      <c r="C11" s="17"/>
      <c r="E11" s="21" t="s">
        <v>21</v>
      </c>
      <c r="F11" s="26">
        <v>80</v>
      </c>
      <c r="G11" s="27">
        <f>F10*F11</f>
        <v>0</v>
      </c>
    </row>
    <row r="12" spans="1:17" ht="15.75" thickBot="1" x14ac:dyDescent="0.3">
      <c r="B12" s="4"/>
      <c r="E12" s="15" t="s">
        <v>9</v>
      </c>
      <c r="F12" s="19"/>
      <c r="G12" s="20">
        <f>SUM(G6:G11)</f>
        <v>0</v>
      </c>
    </row>
    <row r="13" spans="1:17" x14ac:dyDescent="0.25">
      <c r="A13" t="s">
        <v>15</v>
      </c>
      <c r="B13" s="1"/>
      <c r="C13" s="38">
        <f>C10*(1-B11)</f>
        <v>0</v>
      </c>
    </row>
    <row r="14" spans="1:17" x14ac:dyDescent="0.25">
      <c r="B14" s="1"/>
    </row>
    <row r="15" spans="1:17" x14ac:dyDescent="0.25">
      <c r="B15" s="1"/>
    </row>
    <row r="16" spans="1:17" ht="15.75" thickBot="1" x14ac:dyDescent="0.3">
      <c r="B16" s="1"/>
    </row>
    <row r="17" spans="1:17" x14ac:dyDescent="0.25">
      <c r="A17" s="29" t="s">
        <v>1</v>
      </c>
      <c r="B17" s="30"/>
      <c r="C17" s="31"/>
      <c r="O17" s="29" t="s">
        <v>1</v>
      </c>
      <c r="P17" s="37" t="s">
        <v>28</v>
      </c>
      <c r="Q17" t="s">
        <v>31</v>
      </c>
    </row>
    <row r="18" spans="1:17" x14ac:dyDescent="0.25">
      <c r="A18" s="11" t="s">
        <v>18</v>
      </c>
      <c r="B18" s="10"/>
      <c r="C18" s="27">
        <f>(G6+G7)-C17</f>
        <v>0</v>
      </c>
    </row>
    <row r="19" spans="1:17" x14ac:dyDescent="0.25">
      <c r="A19" s="11" t="s">
        <v>17</v>
      </c>
      <c r="B19" s="6"/>
      <c r="C19" s="32" t="e">
        <f>C18/G6</f>
        <v>#DIV/0!</v>
      </c>
    </row>
    <row r="20" spans="1:17" x14ac:dyDescent="0.25">
      <c r="A20" s="11"/>
      <c r="B20" s="6"/>
      <c r="C20" s="14"/>
    </row>
    <row r="21" spans="1:17" x14ac:dyDescent="0.25">
      <c r="A21" s="11"/>
      <c r="B21" s="6"/>
      <c r="C21" s="14"/>
    </row>
    <row r="22" spans="1:17" x14ac:dyDescent="0.25">
      <c r="A22" s="11" t="s">
        <v>19</v>
      </c>
      <c r="B22" s="6"/>
      <c r="C22" s="27">
        <f>G12</f>
        <v>0</v>
      </c>
    </row>
    <row r="23" spans="1:17" x14ac:dyDescent="0.25">
      <c r="A23" s="11" t="s">
        <v>20</v>
      </c>
      <c r="B23" s="6"/>
      <c r="C23" s="33">
        <f>C13-C22</f>
        <v>0</v>
      </c>
    </row>
    <row r="24" spans="1:17" ht="15.75" thickBot="1" x14ac:dyDescent="0.3">
      <c r="A24" s="15" t="s">
        <v>23</v>
      </c>
      <c r="B24" s="19"/>
      <c r="C24" s="34" t="e">
        <f>C23/C13</f>
        <v>#DIV/0!</v>
      </c>
    </row>
  </sheetData>
  <mergeCells count="6">
    <mergeCell ref="E5:G5"/>
    <mergeCell ref="A5:C5"/>
    <mergeCell ref="B1:C1"/>
    <mergeCell ref="B2:C2"/>
    <mergeCell ref="B3:C3"/>
    <mergeCell ref="B4:C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Onachilla</dc:creator>
  <cp:lastModifiedBy>Chris Fletcher</cp:lastModifiedBy>
  <cp:lastPrinted>2025-09-04T18:26:46Z</cp:lastPrinted>
  <dcterms:created xsi:type="dcterms:W3CDTF">2025-08-21T15:03:23Z</dcterms:created>
  <dcterms:modified xsi:type="dcterms:W3CDTF">2025-09-25T11:54:45Z</dcterms:modified>
</cp:coreProperties>
</file>