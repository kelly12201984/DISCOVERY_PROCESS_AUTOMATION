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P:\LOGS\Sales Tracker\"/>
    </mc:Choice>
  </mc:AlternateContent>
  <xr:revisionPtr revIDLastSave="0" documentId="13_ncr:1_{9A562FC7-6982-4BE0-8119-92652FE1E3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 P1" sheetId="3" r:id="rId1"/>
    <sheet name="Dashboard P2" sheetId="6" r:id="rId2"/>
    <sheet name="2026" sheetId="11" r:id="rId3"/>
  </sheets>
  <externalReferences>
    <externalReference r:id="rId4"/>
  </externalReferences>
  <definedNames>
    <definedName name="_xlnm.Print_Area" localSheetId="0">'Dashboard P1'!$B$1:$AG$53</definedName>
    <definedName name="_xlnm.Print_Area" localSheetId="1">'Dashboard P2'!$B$1:$T$38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1" l="1"/>
  <c r="M9" i="11"/>
  <c r="N9" i="11"/>
  <c r="O9" i="11"/>
  <c r="M10" i="11"/>
  <c r="N10" i="11"/>
  <c r="O10" i="11"/>
  <c r="R12" i="11" s="1"/>
  <c r="M11" i="11"/>
  <c r="N11" i="11"/>
  <c r="O11" i="11"/>
  <c r="M12" i="11"/>
  <c r="N12" i="11"/>
  <c r="O12" i="11"/>
  <c r="Q12" i="11"/>
  <c r="M7" i="11"/>
  <c r="N7" i="11"/>
  <c r="O7" i="11"/>
  <c r="M8" i="11"/>
  <c r="N8" i="11"/>
  <c r="O8" i="11"/>
  <c r="J7" i="11"/>
  <c r="J8" i="11" s="1"/>
  <c r="J9" i="11" s="1"/>
  <c r="J10" i="11" s="1"/>
  <c r="J11" i="11" s="1"/>
  <c r="J12" i="11" s="1"/>
  <c r="W6" i="11"/>
  <c r="O19" i="6"/>
  <c r="AQ24" i="11" l="1"/>
  <c r="AP3" i="11"/>
  <c r="T1" i="3"/>
  <c r="AP5" i="11" l="1"/>
  <c r="V18" i="11"/>
  <c r="N19" i="6"/>
  <c r="R13" i="6"/>
  <c r="S13" i="6"/>
  <c r="R14" i="6"/>
  <c r="S14" i="6"/>
  <c r="R15" i="6"/>
  <c r="S15" i="6"/>
  <c r="R16" i="6"/>
  <c r="S16" i="6"/>
  <c r="R17" i="6"/>
  <c r="S17" i="6"/>
  <c r="R12" i="6"/>
  <c r="S12" i="6" l="1"/>
  <c r="S11" i="6"/>
  <c r="R11" i="6"/>
  <c r="R10" i="6" l="1"/>
  <c r="S10" i="6"/>
  <c r="R9" i="6"/>
  <c r="S9" i="6"/>
  <c r="S8" i="6" l="1"/>
  <c r="R8" i="6"/>
  <c r="S7" i="6"/>
  <c r="R7" i="6"/>
  <c r="R6" i="6"/>
  <c r="S6" i="6"/>
  <c r="S5" i="6"/>
  <c r="R5" i="6"/>
  <c r="R19" i="6" l="1"/>
  <c r="S19" i="6"/>
  <c r="AU16" i="11" l="1"/>
  <c r="L1" i="6" l="1"/>
  <c r="AR8" i="11" l="1"/>
  <c r="AQ5" i="11" l="1"/>
  <c r="AR7" i="11" l="1"/>
  <c r="AP7" i="11" l="1"/>
  <c r="AQ7" i="11"/>
  <c r="V22" i="11" l="1"/>
  <c r="V23" i="11"/>
  <c r="V24" i="11"/>
  <c r="AU15" i="11"/>
  <c r="AU14" i="11"/>
  <c r="AU13" i="11"/>
  <c r="AQ14" i="11"/>
  <c r="AQ15" i="11"/>
  <c r="AQ16" i="11"/>
  <c r="AQ17" i="11"/>
  <c r="AQ18" i="11"/>
  <c r="AQ19" i="11"/>
  <c r="AQ20" i="11"/>
  <c r="AQ21" i="11"/>
  <c r="AQ22" i="11"/>
  <c r="AQ23" i="11"/>
  <c r="AQ13" i="11"/>
  <c r="AP8" i="11" l="1"/>
  <c r="AP9" i="11" s="1"/>
  <c r="Y39" i="3" s="1"/>
  <c r="Y47" i="3"/>
  <c r="Y45" i="3"/>
  <c r="AR9" i="11" l="1"/>
  <c r="AQ8" i="11"/>
  <c r="AQ9" i="11" s="1"/>
  <c r="AA39" i="3" s="1"/>
  <c r="AC39" i="3" l="1"/>
  <c r="AH18" i="11"/>
  <c r="AD18" i="11"/>
  <c r="AJ5" i="11"/>
  <c r="AF5" i="11"/>
  <c r="AF6" i="11" s="1"/>
  <c r="AF7" i="11" s="1"/>
  <c r="AF8" i="11" s="1"/>
  <c r="AF9" i="11" s="1"/>
  <c r="AF10" i="11" s="1"/>
  <c r="AF11" i="11" s="1"/>
  <c r="AF12" i="11" s="1"/>
  <c r="AF13" i="11" s="1"/>
  <c r="AF14" i="11" s="1"/>
  <c r="AF15" i="11" s="1"/>
  <c r="AF16" i="11" s="1"/>
  <c r="O5" i="11"/>
  <c r="N5" i="11"/>
  <c r="M5" i="11"/>
  <c r="AJ6" i="11" l="1"/>
  <c r="AJ7" i="11" s="1"/>
  <c r="AJ8" i="11" s="1"/>
  <c r="AJ9" i="11" s="1"/>
  <c r="AJ10" i="11" s="1"/>
  <c r="AJ11" i="11" s="1"/>
  <c r="AJ12" i="11" s="1"/>
  <c r="AJ13" i="11" s="1"/>
  <c r="AJ14" i="11" s="1"/>
  <c r="AJ15" i="11" s="1"/>
  <c r="AJ16" i="11" s="1"/>
  <c r="V21" i="11" l="1"/>
  <c r="X5" i="11"/>
  <c r="X6" i="11" l="1"/>
  <c r="X7" i="11" s="1"/>
  <c r="X8" i="11" s="1"/>
  <c r="X9" i="11" s="1"/>
  <c r="X10" i="11" s="1"/>
  <c r="X11" i="11" s="1"/>
  <c r="X12" i="11" s="1"/>
  <c r="X13" i="11" s="1"/>
  <c r="X14" i="11" s="1"/>
  <c r="X15" i="11" s="1"/>
  <c r="X16" i="11" s="1"/>
  <c r="AE5" i="11" l="1"/>
  <c r="AE6" i="11" s="1"/>
  <c r="AE7" i="11" s="1"/>
  <c r="AE8" i="11" s="1"/>
  <c r="AE9" i="11" s="1"/>
  <c r="AE10" i="11" s="1"/>
  <c r="AE11" i="11" s="1"/>
  <c r="AE12" i="11" s="1"/>
  <c r="AE13" i="11" s="1"/>
  <c r="AC18" i="11"/>
  <c r="C18" i="6" s="1"/>
  <c r="AI5" i="11"/>
  <c r="AI6" i="11" s="1"/>
  <c r="AI7" i="11" s="1"/>
  <c r="AI8" i="11" s="1"/>
  <c r="AI9" i="11" s="1"/>
  <c r="AI10" i="11" s="1"/>
  <c r="AI11" i="11" s="1"/>
  <c r="AI12" i="11" s="1"/>
  <c r="AI13" i="11" s="1"/>
  <c r="AI14" i="11" s="1"/>
  <c r="AI15" i="11" s="1"/>
  <c r="AI16" i="11" s="1"/>
  <c r="AG18" i="11"/>
  <c r="AE19" i="11" l="1"/>
  <c r="AE14" i="11"/>
  <c r="AE15" i="11" s="1"/>
  <c r="AE16" i="11" s="1"/>
  <c r="C36" i="6"/>
  <c r="I36" i="6" s="1"/>
  <c r="AI19" i="11"/>
  <c r="I18" i="6"/>
  <c r="J18" i="6"/>
  <c r="J36" i="6" l="1"/>
  <c r="M60" i="11" l="1"/>
  <c r="N60" i="11"/>
  <c r="N61" i="11" l="1"/>
  <c r="M61" i="11"/>
  <c r="M62" i="11" l="1"/>
  <c r="N62" i="11"/>
  <c r="Q59" i="11" l="1"/>
  <c r="P59" i="11" l="1"/>
  <c r="AA45" i="3"/>
  <c r="F19" i="11" l="1"/>
  <c r="F43" i="11"/>
  <c r="F27" i="11"/>
  <c r="F9" i="11"/>
  <c r="F25" i="11"/>
  <c r="F33" i="11"/>
  <c r="F50" i="11"/>
  <c r="F20" i="11"/>
  <c r="F16" i="11"/>
  <c r="F54" i="11"/>
  <c r="F8" i="11"/>
  <c r="F39" i="11"/>
  <c r="F34" i="11"/>
  <c r="F6" i="11"/>
  <c r="J6" i="11" s="1"/>
  <c r="O6" i="11" s="1"/>
  <c r="F7" i="11"/>
  <c r="F17" i="11"/>
  <c r="F40" i="11"/>
  <c r="F56" i="11"/>
  <c r="F29" i="11"/>
  <c r="F31" i="11"/>
  <c r="F18" i="11"/>
  <c r="F52" i="11"/>
  <c r="F42" i="11"/>
  <c r="F46" i="11"/>
  <c r="F53" i="11"/>
  <c r="F23" i="11"/>
  <c r="F28" i="11"/>
  <c r="F22" i="11"/>
  <c r="F45" i="11"/>
  <c r="F36" i="11"/>
  <c r="F44" i="11"/>
  <c r="F24" i="11"/>
  <c r="F14" i="11"/>
  <c r="F21" i="11"/>
  <c r="F5" i="11"/>
  <c r="F37" i="11"/>
  <c r="F55" i="11"/>
  <c r="F32" i="11"/>
  <c r="F11" i="11"/>
  <c r="F12" i="11"/>
  <c r="F35" i="11"/>
  <c r="F26" i="11"/>
  <c r="F48" i="11"/>
  <c r="F51" i="11"/>
  <c r="F41" i="11"/>
  <c r="F47" i="11"/>
  <c r="F30" i="11"/>
  <c r="F13" i="11"/>
  <c r="F49" i="11"/>
  <c r="F10" i="11"/>
  <c r="F38" i="11"/>
  <c r="F15" i="11"/>
  <c r="N6" i="11" l="1"/>
  <c r="M6" i="11"/>
  <c r="F58" i="11"/>
  <c r="Q8" i="11" l="1"/>
  <c r="AA47" i="3" s="1"/>
  <c r="N59" i="11"/>
  <c r="N58" i="11"/>
  <c r="AC47" i="3" s="1"/>
  <c r="P8" i="11"/>
  <c r="M59" i="11"/>
  <c r="M58" i="11"/>
  <c r="AC45" i="3" s="1"/>
  <c r="E38" i="11" l="1"/>
  <c r="E18" i="11"/>
  <c r="E9" i="11"/>
  <c r="E35" i="11"/>
  <c r="E12" i="11"/>
  <c r="E56" i="11"/>
  <c r="E21" i="11"/>
  <c r="E31" i="11"/>
  <c r="E50" i="11"/>
  <c r="E42" i="11"/>
  <c r="E14" i="11"/>
  <c r="E25" i="11"/>
  <c r="E15" i="11"/>
  <c r="E37" i="11"/>
  <c r="E28" i="11"/>
  <c r="E54" i="11"/>
  <c r="E44" i="11"/>
  <c r="E8" i="11"/>
  <c r="E7" i="11"/>
  <c r="E40" i="11"/>
  <c r="E22" i="11"/>
  <c r="E53" i="11"/>
  <c r="E52" i="11"/>
  <c r="E24" i="11"/>
  <c r="E23" i="11"/>
  <c r="E11" i="11"/>
  <c r="E47" i="11"/>
  <c r="E51" i="11"/>
  <c r="E19" i="11"/>
  <c r="E48" i="11"/>
  <c r="E27" i="11"/>
  <c r="E43" i="11"/>
  <c r="E17" i="11"/>
  <c r="E10" i="11"/>
  <c r="E39" i="11"/>
  <c r="E55" i="11"/>
  <c r="E26" i="11"/>
  <c r="E45" i="11"/>
  <c r="E30" i="11"/>
  <c r="E46" i="11"/>
  <c r="E34" i="11"/>
  <c r="E36" i="11"/>
  <c r="E41" i="11"/>
  <c r="E49" i="11"/>
  <c r="E13" i="11"/>
  <c r="E16" i="11"/>
  <c r="E32" i="11"/>
  <c r="E33" i="11"/>
  <c r="E6" i="11"/>
  <c r="E20" i="11"/>
  <c r="E29" i="11"/>
  <c r="E5" i="11"/>
  <c r="R8" i="11" l="1"/>
  <c r="E58" i="11"/>
  <c r="U14" i="11"/>
  <c r="U10" i="11"/>
  <c r="U9" i="11"/>
  <c r="U6" i="11"/>
  <c r="U5" i="11"/>
  <c r="U8" i="11"/>
  <c r="U11" i="11"/>
  <c r="U12" i="11"/>
  <c r="U15" i="11"/>
  <c r="U16" i="11"/>
  <c r="U7" i="11"/>
  <c r="U13" i="11"/>
  <c r="U23" i="11" l="1"/>
  <c r="U24" i="11"/>
  <c r="U22" i="11"/>
  <c r="U21" i="11"/>
  <c r="W5" i="11"/>
  <c r="U18" i="11"/>
  <c r="AT37" i="3"/>
  <c r="AT39" i="3" s="1"/>
  <c r="Y37" i="3"/>
  <c r="AC37" i="3" l="1"/>
  <c r="E29" i="3"/>
  <c r="AA37" i="3"/>
  <c r="AT45" i="3"/>
  <c r="AT47" i="3" s="1"/>
  <c r="O60" i="11" l="1"/>
  <c r="P29" i="3"/>
  <c r="Q29" i="3"/>
  <c r="R59" i="11" l="1"/>
  <c r="O59" i="11"/>
  <c r="O61" i="11" l="1"/>
  <c r="O58" i="11" l="1"/>
  <c r="AC49" i="3" s="1"/>
  <c r="O62" i="11"/>
  <c r="G56" i="11"/>
  <c r="H56" i="11" s="1"/>
  <c r="G55" i="11"/>
  <c r="H55" i="11" s="1"/>
  <c r="G9" i="11"/>
  <c r="H9" i="11" s="1"/>
  <c r="G6" i="11"/>
  <c r="H6" i="11" s="1"/>
  <c r="G8" i="11"/>
  <c r="H8" i="11" s="1"/>
  <c r="G10" i="11"/>
  <c r="H10" i="11" s="1"/>
  <c r="G12" i="11"/>
  <c r="H12" i="11" s="1"/>
  <c r="G14" i="11"/>
  <c r="H14" i="11" s="1"/>
  <c r="G16" i="11"/>
  <c r="H16" i="11" s="1"/>
  <c r="G18" i="11"/>
  <c r="H18" i="11" s="1"/>
  <c r="G20" i="11"/>
  <c r="H20" i="11" s="1"/>
  <c r="G22" i="11"/>
  <c r="H22" i="11" s="1"/>
  <c r="G24" i="11"/>
  <c r="H24" i="11" s="1"/>
  <c r="G26" i="11"/>
  <c r="H26" i="11" s="1"/>
  <c r="G28" i="11"/>
  <c r="H28" i="11" s="1"/>
  <c r="G30" i="11"/>
  <c r="H30" i="11" s="1"/>
  <c r="G32" i="11"/>
  <c r="H32" i="11" s="1"/>
  <c r="G34" i="11"/>
  <c r="H34" i="11" s="1"/>
  <c r="G36" i="11"/>
  <c r="H36" i="11" s="1"/>
  <c r="G38" i="11"/>
  <c r="H38" i="11" s="1"/>
  <c r="G40" i="11"/>
  <c r="H40" i="11" s="1"/>
  <c r="G42" i="11"/>
  <c r="H42" i="11" s="1"/>
  <c r="G44" i="11"/>
  <c r="H44" i="11" s="1"/>
  <c r="G46" i="11"/>
  <c r="H46" i="11" s="1"/>
  <c r="G48" i="11"/>
  <c r="H48" i="11" s="1"/>
  <c r="G50" i="11"/>
  <c r="H50" i="11" s="1"/>
  <c r="G52" i="11"/>
  <c r="H52" i="11" s="1"/>
  <c r="G54" i="11"/>
  <c r="H54" i="11" s="1"/>
  <c r="G5" i="11"/>
  <c r="G7" i="11"/>
  <c r="H7" i="11" s="1"/>
  <c r="G11" i="11"/>
  <c r="H11" i="11" s="1"/>
  <c r="G13" i="11"/>
  <c r="H13" i="11" s="1"/>
  <c r="G15" i="11"/>
  <c r="H15" i="11" s="1"/>
  <c r="G17" i="11"/>
  <c r="H17" i="11" s="1"/>
  <c r="G19" i="11"/>
  <c r="H19" i="11" s="1"/>
  <c r="G21" i="11"/>
  <c r="H21" i="11" s="1"/>
  <c r="G23" i="11"/>
  <c r="H23" i="11" s="1"/>
  <c r="G25" i="11"/>
  <c r="H25" i="11" s="1"/>
  <c r="G27" i="11"/>
  <c r="H27" i="11" s="1"/>
  <c r="G29" i="11"/>
  <c r="H29" i="11" s="1"/>
  <c r="G31" i="11"/>
  <c r="H31" i="11" s="1"/>
  <c r="G33" i="11"/>
  <c r="H33" i="11" s="1"/>
  <c r="G35" i="11"/>
  <c r="H35" i="11" s="1"/>
  <c r="G37" i="11"/>
  <c r="H37" i="11" s="1"/>
  <c r="G39" i="11"/>
  <c r="H39" i="11" s="1"/>
  <c r="G41" i="11"/>
  <c r="H41" i="11" s="1"/>
  <c r="G43" i="11"/>
  <c r="H43" i="11" s="1"/>
  <c r="G45" i="11"/>
  <c r="H45" i="11" s="1"/>
  <c r="G47" i="11"/>
  <c r="H47" i="11" s="1"/>
  <c r="G49" i="11"/>
  <c r="H49" i="11" s="1"/>
  <c r="G51" i="11"/>
  <c r="H51" i="11" s="1"/>
  <c r="G53" i="11"/>
  <c r="H53" i="11" s="1"/>
  <c r="H5" i="11" l="1"/>
  <c r="G58" i="11"/>
  <c r="P44" i="6" l="1"/>
  <c r="P46" i="6" s="1"/>
  <c r="H58" i="11"/>
  <c r="P52" i="6" s="1"/>
  <c r="P54" i="6" s="1"/>
</calcChain>
</file>

<file path=xl/sharedStrings.xml><?xml version="1.0" encoding="utf-8"?>
<sst xmlns="http://schemas.openxmlformats.org/spreadsheetml/2006/main" count="205" uniqueCount="112">
  <si>
    <t>Date:</t>
  </si>
  <si>
    <t>Current Month</t>
  </si>
  <si>
    <t>% Compl</t>
  </si>
  <si>
    <t>Month</t>
  </si>
  <si>
    <t>QTR</t>
  </si>
  <si>
    <t>Order Intake</t>
  </si>
  <si>
    <t>Actual</t>
  </si>
  <si>
    <t>BUS DAYS:</t>
  </si>
  <si>
    <t>BUS DAY #</t>
  </si>
  <si>
    <t>-</t>
  </si>
  <si>
    <t>Red</t>
  </si>
  <si>
    <t>Amber</t>
  </si>
  <si>
    <t>Green</t>
  </si>
  <si>
    <t>Invisible</t>
  </si>
  <si>
    <t>Value</t>
  </si>
  <si>
    <t>Pointer</t>
  </si>
  <si>
    <t>End</t>
  </si>
  <si>
    <t>Week</t>
  </si>
  <si>
    <t>Year</t>
  </si>
  <si>
    <t>$</t>
  </si>
  <si>
    <t>Hours</t>
  </si>
  <si>
    <t>Week of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</si>
  <si>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</si>
  <si>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</si>
  <si>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</si>
  <si>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</si>
  <si>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</si>
  <si>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</si>
  <si>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</si>
  <si>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</si>
  <si>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</si>
  <si>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</si>
  <si>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</si>
  <si>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</si>
  <si>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Act.</t>
  </si>
  <si>
    <t>Target</t>
  </si>
  <si>
    <t>Backlog (Hours)</t>
  </si>
  <si>
    <t>&lt; Target</t>
  </si>
  <si>
    <t>&lt; Red</t>
  </si>
  <si>
    <t>Quarter</t>
  </si>
  <si>
    <t>YTD</t>
  </si>
  <si>
    <t>Period % Complete</t>
  </si>
  <si>
    <t>Key Stats</t>
  </si>
  <si>
    <t>Weeks Below Target</t>
  </si>
  <si>
    <t>Weeks in Red Zone</t>
  </si>
  <si>
    <t>Orders % Target</t>
  </si>
  <si>
    <t xml:space="preserve">   Order Intake</t>
  </si>
  <si>
    <t xml:space="preserve">   Backlog</t>
  </si>
  <si>
    <t>Weeks Above Target</t>
  </si>
  <si>
    <t>Savannah Tank Sales Dashboard</t>
  </si>
  <si>
    <t>&gt; Target</t>
  </si>
  <si>
    <t>1st Qtr.</t>
  </si>
  <si>
    <t>2nd Qtr.</t>
  </si>
  <si>
    <t>3rd Qtr.</t>
  </si>
  <si>
    <t>4th Qtr.</t>
  </si>
  <si>
    <t>YTD Act.</t>
  </si>
  <si>
    <t>YTD Target</t>
  </si>
  <si>
    <t>YTD Orig.</t>
  </si>
  <si>
    <t>Forecast</t>
  </si>
  <si>
    <t>Gap</t>
  </si>
  <si>
    <t>VA $</t>
  </si>
  <si>
    <t>VA $ / Hr.</t>
  </si>
  <si>
    <t>VA $ / Hour</t>
  </si>
  <si>
    <t>YTD Actual</t>
  </si>
  <si>
    <t>Difference</t>
  </si>
  <si>
    <t>Factory Backlog by Week (Hours)</t>
  </si>
  <si>
    <t xml:space="preserve">Non-Budget Quote $ </t>
  </si>
  <si>
    <t># of Quotes (Non-Budget)</t>
  </si>
  <si>
    <t>Value Added Sales $ (Orders) / Quoted Labor Hour</t>
  </si>
  <si>
    <t>1ST QTR</t>
  </si>
  <si>
    <t>2ND QTR</t>
  </si>
  <si>
    <t>3RD QTR</t>
  </si>
  <si>
    <t>4TH QTR</t>
  </si>
  <si>
    <t>Deal Name</t>
  </si>
  <si>
    <t>Company</t>
  </si>
  <si>
    <t>Amount</t>
  </si>
  <si>
    <t>Man Hours</t>
  </si>
  <si>
    <t>Close Date</t>
  </si>
  <si>
    <t>Prob%</t>
  </si>
  <si>
    <t>Prob $</t>
  </si>
  <si>
    <t>Prob Hrs.</t>
  </si>
  <si>
    <t>Sales Funnel   (30 Days)</t>
  </si>
  <si>
    <t>National Gypsum</t>
  </si>
  <si>
    <t>Perdue Chicken</t>
  </si>
  <si>
    <t>IMI Industrial Services Group</t>
  </si>
  <si>
    <t>Wellons</t>
  </si>
  <si>
    <t>Franklin Engineering Group</t>
  </si>
  <si>
    <t>Fortera</t>
  </si>
  <si>
    <t>Syensqo</t>
  </si>
  <si>
    <t>Valmet</t>
  </si>
  <si>
    <t>EPIC Systems Group</t>
  </si>
  <si>
    <t>January</t>
  </si>
  <si>
    <t>9399</t>
  </si>
  <si>
    <t>9238</t>
  </si>
  <si>
    <t>9039</t>
  </si>
  <si>
    <t>9166</t>
  </si>
  <si>
    <t>9087</t>
  </si>
  <si>
    <t>9338</t>
  </si>
  <si>
    <t>9378</t>
  </si>
  <si>
    <t>9366</t>
  </si>
  <si>
    <t>9192</t>
  </si>
  <si>
    <t>SNF</t>
  </si>
  <si>
    <t>VEi Global</t>
  </si>
  <si>
    <t>Andritz</t>
  </si>
  <si>
    <t>9042</t>
  </si>
  <si>
    <t>9417</t>
  </si>
  <si>
    <t>9344</t>
  </si>
  <si>
    <t>9228</t>
  </si>
  <si>
    <t>Kiewit</t>
  </si>
  <si>
    <t>February</t>
  </si>
  <si>
    <t>2026 YTD Order Intake vs. Plan</t>
  </si>
  <si>
    <t xml:space="preserve">2026 Quotes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</si>
</sst>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&quot;$&quot;* #,##0_);_(&quot;$&quot;* \(#,##0\);_(&quot;$&quot;* &quot;-&quot;??_);_(@_)"/>
    <numFmt numFmtId="166" formatCode="_(* #,##0_);_(* \(#,##0\);_(* &quot;-&quot;??_);_(@_)"/>
    <numFmt numFmtId="167" formatCode="[$-409]mmmm\ d\,\ yyyy;@"/>
    <numFmt numFmtId="168" formatCode="&quot;$&quot;#,##0"/>
    <numFmt numFmtId="169" formatCode="[$-409]d\-mmm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8" xfId="0" applyBorder="1" applyAlignment="1">
      <alignment horizontal="right" vertical="center" wrapText="1"/>
    </xf>
    <xf numFmtId="0" fontId="0" fillId="0" borderId="8" xfId="0" applyBorder="1"/>
    <xf numFmtId="0" fontId="0" fillId="0" borderId="8" xfId="0" applyBorder="1" applyAlignment="1">
      <alignment horizontal="right"/>
    </xf>
    <xf numFmtId="42" fontId="0" fillId="0" borderId="0" xfId="0" applyNumberFormat="1"/>
    <xf numFmtId="0" fontId="0" fillId="0" borderId="0" xfId="0" applyAlignment="1">
      <alignment horizontal="center"/>
    </xf>
    <xf numFmtId="165" fontId="0" fillId="0" borderId="0" xfId="3" applyNumberFormat="1" applyFont="1"/>
    <xf numFmtId="166" fontId="0" fillId="0" borderId="0" xfId="2" applyNumberFormat="1" applyFont="1"/>
    <xf numFmtId="14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0" xfId="2" applyNumberFormat="1" applyFont="1" applyAlignment="1">
      <alignment horizontal="center"/>
    </xf>
    <xf numFmtId="0" fontId="0" fillId="0" borderId="5" xfId="0" applyBorder="1"/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0" xfId="0" applyFont="1" applyAlignment="1">
      <alignment vertical="center" textRotation="90"/>
    </xf>
    <xf numFmtId="9" fontId="5" fillId="0" borderId="0" xfId="0" applyNumberFormat="1" applyFont="1" applyAlignment="1">
      <alignment vertical="center"/>
    </xf>
    <xf numFmtId="0" fontId="6" fillId="0" borderId="10" xfId="0" applyFont="1" applyBorder="1" applyAlignment="1">
      <alignment vertical="center" textRotation="90"/>
    </xf>
    <xf numFmtId="0" fontId="6" fillId="0" borderId="14" xfId="0" applyFont="1" applyBorder="1" applyAlignment="1">
      <alignment vertical="center" textRotation="90"/>
    </xf>
    <xf numFmtId="165" fontId="0" fillId="0" borderId="0" xfId="3" applyNumberFormat="1" applyFont="1" applyAlignment="1">
      <alignment horizontal="center"/>
    </xf>
    <xf numFmtId="0" fontId="10" fillId="0" borderId="0" xfId="0" applyFont="1" applyAlignment="1">
      <alignment horizontal="center"/>
    </xf>
    <xf numFmtId="165" fontId="10" fillId="0" borderId="0" xfId="3" applyNumberFormat="1" applyFont="1" applyAlignment="1">
      <alignment horizontal="center"/>
    </xf>
    <xf numFmtId="166" fontId="10" fillId="0" borderId="0" xfId="2" applyNumberFormat="1" applyFont="1" applyAlignment="1">
      <alignment horizontal="center"/>
    </xf>
    <xf numFmtId="164" fontId="10" fillId="0" borderId="0" xfId="2" applyNumberFormat="1" applyFont="1" applyAlignment="1">
      <alignment horizontal="center"/>
    </xf>
    <xf numFmtId="9" fontId="10" fillId="0" borderId="0" xfId="1" applyFont="1" applyAlignment="1">
      <alignment horizontal="center"/>
    </xf>
    <xf numFmtId="0" fontId="3" fillId="0" borderId="0" xfId="0" applyFont="1"/>
    <xf numFmtId="0" fontId="7" fillId="3" borderId="0" xfId="0" applyFont="1" applyFill="1" applyAlignment="1">
      <alignment horizontal="center" vertical="center"/>
    </xf>
    <xf numFmtId="42" fontId="0" fillId="0" borderId="0" xfId="2" applyNumberFormat="1" applyFont="1"/>
    <xf numFmtId="44" fontId="0" fillId="0" borderId="0" xfId="3" applyFont="1"/>
    <xf numFmtId="0" fontId="0" fillId="0" borderId="3" xfId="0" applyBorder="1"/>
    <xf numFmtId="0" fontId="7" fillId="3" borderId="0" xfId="0" applyFont="1" applyFill="1" applyAlignment="1">
      <alignment vertical="center"/>
    </xf>
    <xf numFmtId="0" fontId="8" fillId="0" borderId="2" xfId="0" applyFont="1" applyBorder="1"/>
    <xf numFmtId="166" fontId="8" fillId="0" borderId="3" xfId="2" applyNumberFormat="1" applyFont="1" applyBorder="1"/>
    <xf numFmtId="0" fontId="8" fillId="0" borderId="3" xfId="0" applyFont="1" applyBorder="1"/>
    <xf numFmtId="38" fontId="8" fillId="0" borderId="3" xfId="0" applyNumberFormat="1" applyFont="1" applyBorder="1"/>
    <xf numFmtId="9" fontId="8" fillId="0" borderId="4" xfId="1" applyFont="1" applyBorder="1"/>
    <xf numFmtId="165" fontId="8" fillId="0" borderId="3" xfId="3" applyNumberFormat="1" applyFont="1" applyBorder="1"/>
    <xf numFmtId="6" fontId="8" fillId="0" borderId="3" xfId="0" applyNumberFormat="1" applyFont="1" applyBorder="1"/>
    <xf numFmtId="165" fontId="8" fillId="0" borderId="0" xfId="0" applyNumberFormat="1" applyFont="1"/>
    <xf numFmtId="0" fontId="0" fillId="0" borderId="2" xfId="0" applyBorder="1"/>
    <xf numFmtId="0" fontId="0" fillId="0" borderId="4" xfId="0" applyBorder="1"/>
    <xf numFmtId="42" fontId="8" fillId="0" borderId="3" xfId="0" applyNumberFormat="1" applyFont="1" applyBorder="1"/>
    <xf numFmtId="9" fontId="8" fillId="0" borderId="3" xfId="1" applyFont="1" applyBorder="1"/>
    <xf numFmtId="0" fontId="8" fillId="0" borderId="0" xfId="0" applyFont="1"/>
    <xf numFmtId="0" fontId="14" fillId="0" borderId="0" xfId="0" applyFont="1" applyAlignment="1">
      <alignment vertical="center"/>
    </xf>
    <xf numFmtId="9" fontId="14" fillId="0" borderId="0" xfId="0" applyNumberFormat="1" applyFont="1" applyAlignment="1">
      <alignment vertical="center"/>
    </xf>
    <xf numFmtId="0" fontId="11" fillId="0" borderId="10" xfId="0" applyFont="1" applyBorder="1"/>
    <xf numFmtId="0" fontId="14" fillId="0" borderId="10" xfId="0" applyFont="1" applyBorder="1" applyAlignment="1">
      <alignment vertical="center"/>
    </xf>
    <xf numFmtId="0" fontId="11" fillId="0" borderId="0" xfId="0" applyFont="1"/>
    <xf numFmtId="0" fontId="13" fillId="0" borderId="10" xfId="0" applyFont="1" applyBorder="1" applyAlignment="1">
      <alignment vertical="center" textRotation="90"/>
    </xf>
    <xf numFmtId="0" fontId="0" fillId="0" borderId="9" xfId="0" applyBorder="1"/>
    <xf numFmtId="0" fontId="14" fillId="0" borderId="0" xfId="0" applyFont="1"/>
    <xf numFmtId="0" fontId="12" fillId="0" borderId="0" xfId="0" applyFont="1" applyAlignment="1">
      <alignment vertical="center" readingOrder="1"/>
    </xf>
    <xf numFmtId="0" fontId="14" fillId="0" borderId="9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0" fontId="8" fillId="0" borderId="0" xfId="0" applyFont="1" applyAlignment="1">
      <alignment horizontal="center"/>
    </xf>
    <xf numFmtId="166" fontId="8" fillId="0" borderId="0" xfId="2" applyNumberFormat="1" applyFont="1" applyBorder="1" applyAlignment="1">
      <alignment horizontal="center"/>
    </xf>
    <xf numFmtId="9" fontId="10" fillId="0" borderId="0" xfId="1" applyFont="1" applyBorder="1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 vertical="center"/>
    </xf>
    <xf numFmtId="166" fontId="0" fillId="0" borderId="0" xfId="2" applyNumberFormat="1" applyFont="1" applyFill="1"/>
    <xf numFmtId="14" fontId="0" fillId="0" borderId="7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7" fontId="0" fillId="0" borderId="0" xfId="3" applyNumberFormat="1" applyFont="1"/>
    <xf numFmtId="168" fontId="10" fillId="0" borderId="0" xfId="0" applyNumberFormat="1" applyFont="1" applyAlignment="1">
      <alignment horizontal="right"/>
    </xf>
    <xf numFmtId="1" fontId="10" fillId="0" borderId="1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165" fontId="8" fillId="0" borderId="18" xfId="0" applyNumberFormat="1" applyFont="1" applyBorder="1"/>
    <xf numFmtId="9" fontId="10" fillId="0" borderId="18" xfId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6" xfId="0" applyFont="1" applyBorder="1" applyAlignment="1">
      <alignment horizontal="center"/>
    </xf>
    <xf numFmtId="37" fontId="8" fillId="0" borderId="18" xfId="0" applyNumberFormat="1" applyFont="1" applyBorder="1"/>
    <xf numFmtId="37" fontId="8" fillId="0" borderId="19" xfId="0" applyNumberFormat="1" applyFont="1" applyBorder="1"/>
    <xf numFmtId="0" fontId="10" fillId="0" borderId="0" xfId="0" applyFont="1"/>
    <xf numFmtId="168" fontId="10" fillId="0" borderId="0" xfId="0" applyNumberFormat="1" applyFont="1"/>
    <xf numFmtId="169" fontId="10" fillId="0" borderId="0" xfId="0" applyNumberFormat="1" applyFont="1"/>
    <xf numFmtId="9" fontId="10" fillId="0" borderId="0" xfId="0" applyNumberFormat="1" applyFont="1"/>
    <xf numFmtId="169" fontId="10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0" xfId="0" applyFont="1" applyBorder="1" applyAlignment="1">
      <alignment horizontal="left"/>
    </xf>
    <xf numFmtId="0" fontId="14" fillId="0" borderId="0" xfId="0" applyFont="1" applyAlignment="1">
      <alignment horizontal="left"/>
    </xf>
    <xf numFmtId="9" fontId="14" fillId="0" borderId="1" xfId="0" applyNumberFormat="1" applyFont="1" applyBorder="1" applyAlignment="1">
      <alignment horizontal="center"/>
    </xf>
    <xf numFmtId="9" fontId="13" fillId="4" borderId="1" xfId="0" applyNumberFormat="1" applyFont="1" applyFill="1" applyBorder="1" applyAlignment="1">
      <alignment horizontal="center"/>
    </xf>
    <xf numFmtId="167" fontId="7" fillId="3" borderId="0" xfId="0" quotePrefix="1" applyNumberFormat="1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12" fillId="3" borderId="11" xfId="0" applyFont="1" applyFill="1" applyBorder="1" applyAlignment="1">
      <alignment horizontal="center" vertical="center" readingOrder="1"/>
    </xf>
    <xf numFmtId="0" fontId="12" fillId="3" borderId="12" xfId="0" applyFont="1" applyFill="1" applyBorder="1" applyAlignment="1">
      <alignment horizontal="center" vertical="center" readingOrder="1"/>
    </xf>
    <xf numFmtId="0" fontId="12" fillId="3" borderId="13" xfId="0" applyFont="1" applyFill="1" applyBorder="1" applyAlignment="1">
      <alignment horizontal="center" vertical="center" readingOrder="1"/>
    </xf>
    <xf numFmtId="0" fontId="12" fillId="3" borderId="14" xfId="0" applyFont="1" applyFill="1" applyBorder="1" applyAlignment="1">
      <alignment horizontal="center" vertical="center" readingOrder="1"/>
    </xf>
    <xf numFmtId="0" fontId="12" fillId="3" borderId="5" xfId="0" applyFont="1" applyFill="1" applyBorder="1" applyAlignment="1">
      <alignment horizontal="center" vertical="center" readingOrder="1"/>
    </xf>
    <xf numFmtId="0" fontId="12" fillId="3" borderId="15" xfId="0" applyFont="1" applyFill="1" applyBorder="1" applyAlignment="1">
      <alignment horizontal="center" vertical="center" readingOrder="1"/>
    </xf>
    <xf numFmtId="0" fontId="14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167" fontId="7" fillId="3" borderId="0" xfId="0" applyNumberFormat="1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4">
    <dxf>
      <font>
        <color theme="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 Current Month Order Intake </a:t>
            </a:r>
          </a:p>
        </c:rich>
      </c:tx>
      <c:layout>
        <c:manualLayout>
          <c:xMode val="edge"/>
          <c:yMode val="edge"/>
          <c:x val="0.22578588546401118"/>
          <c:y val="0.57298643156829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803660364080711E-2"/>
          <c:y val="8.1151311654965627E-2"/>
          <c:w val="0.82581093245008541"/>
          <c:h val="0.91884868834503441"/>
        </c:manualLayout>
      </c:layout>
      <c:doughnutChart>
        <c:varyColors val="1"/>
        <c:ser>
          <c:idx val="0"/>
          <c:order val="0"/>
          <c:tx>
            <c:v>Gauge</c:v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A9-4F9E-9DA6-D105D3D13B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A9-4F9E-9DA6-D105D3D13B13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A9-4F9E-9DA6-D105D3D13B13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A9-4F9E-9DA6-D105D3D13B13}"/>
              </c:ext>
            </c:extLst>
          </c:dPt>
          <c:val>
            <c:numRef>
              <c:f>'Dashboard P1'!$AQ$37:$AQ$40</c:f>
              <c:numCache>
                <c:formatCode>_("$"* #,##0_);_("$"* \(#,##0\);_("$"* "-"_);_(@_)</c:formatCode>
                <c:ptCount val="4"/>
                <c:pt idx="0">
                  <c:v>1000000</c:v>
                </c:pt>
                <c:pt idx="1">
                  <c:v>200000</c:v>
                </c:pt>
                <c:pt idx="2">
                  <c:v>200000</c:v>
                </c:pt>
                <c:pt idx="3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A9-4F9E-9DA6-D105D3D1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7A9-4F9E-9DA6-D105D3D13B13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7A9-4F9E-9DA6-D105D3D13B13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7A9-4F9E-9DA6-D105D3D13B13}"/>
              </c:ext>
            </c:extLst>
          </c:dPt>
          <c:dLbls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9AA1D4-133C-42D8-BE57-1B71F2F832B5}" type="CELLREF">
                      <a:rPr lang="en-US" sz="1400" b="1"/>
                      <a:pPr>
                        <a:defRPr sz="1400" b="1"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{679AA1D4-133C-42D8-BE57-1B71F2F832B5}</c15:txfldGUID>
                      <c15:f>'Dashboard P1'!$AT$37</c15:f>
                      <c15:dlblFieldTableCache>
                        <c:ptCount val="1"/>
                        <c:pt idx="0">
                          <c:v> $208,751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7A9-4F9E-9DA6-D105D3D13B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P1'!$AT$37:$AT$39</c:f>
              <c:numCache>
                <c:formatCode>_("$"* #,##0_);_("$"* \(#,##0\);_("$"* "-"_);_(@_)</c:formatCode>
                <c:ptCount val="3"/>
                <c:pt idx="0">
                  <c:v>208751</c:v>
                </c:pt>
                <c:pt idx="1">
                  <c:v>20000</c:v>
                </c:pt>
                <c:pt idx="2">
                  <c:v>2591249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7A9-4F9E-9DA6-D105D3D1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Current QTR Order Intake </a:t>
            </a:r>
          </a:p>
        </c:rich>
      </c:tx>
      <c:layout>
        <c:manualLayout>
          <c:xMode val="edge"/>
          <c:yMode val="edge"/>
          <c:x val="0.29447297049829713"/>
          <c:y val="0.564215251467868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598406908788247E-2"/>
          <c:y val="7.9972707521591593E-2"/>
          <c:w val="0.88066084882172024"/>
          <c:h val="0.92002729247840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2D-49AA-90EE-5072BFE23F9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2D-49AA-90EE-5072BFE23F96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2D-49AA-90EE-5072BFE23F96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2D-49AA-90EE-5072BFE23F96}"/>
              </c:ext>
            </c:extLst>
          </c:dPt>
          <c:val>
            <c:numRef>
              <c:f>'Dashboard P1'!$AQ$45:$AQ$48</c:f>
              <c:numCache>
                <c:formatCode>_("$"* #,##0_);_("$"* \(#,##0\);_("$"* "-"_);_(@_)</c:formatCode>
                <c:ptCount val="4"/>
                <c:pt idx="0">
                  <c:v>3000000</c:v>
                </c:pt>
                <c:pt idx="1">
                  <c:v>600000</c:v>
                </c:pt>
                <c:pt idx="2">
                  <c:v>600000</c:v>
                </c:pt>
                <c:pt idx="3">
                  <c:v>4200000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2D-49AA-90EE-5072BFE23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72D-49AA-90EE-5072BFE23F96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72D-49AA-90EE-5072BFE23F96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72D-49AA-90EE-5072BFE23F96}"/>
              </c:ext>
            </c:extLst>
          </c:dPt>
          <c:dLbls>
            <c:dLbl>
              <c:idx val="1"/>
              <c:layout>
                <c:manualLayout>
                  <c:x val="0"/>
                  <c:y val="-0.1983911802201353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95212A-E57C-4305-9857-9AFBDFDFECB5}" type="CELLREF">
                      <a:rPr lang="en-US" sz="1400" b="1"/>
                      <a:pPr>
                        <a:defRPr sz="1400"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18851281430866"/>
                      <c:h val="0.13074054788453365"/>
                    </c:manualLayout>
                  </c15:layout>
                  <c15:dlblFieldTable>
                    <c15:dlblFTEntry>
                      <c15:txfldGUID>{1895212A-E57C-4305-9857-9AFBDFDFECB5}</c15:txfldGUID>
                      <c15:f>'Dashboard P1'!$AT$45</c15:f>
                      <c15:dlblFieldTableCache>
                        <c:ptCount val="1"/>
                        <c:pt idx="0">
                          <c:v> $2,450,001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72D-49AA-90EE-5072BFE23F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P1'!$AT$45:$AT$47</c:f>
              <c:numCache>
                <c:formatCode>General</c:formatCode>
                <c:ptCount val="3"/>
                <c:pt idx="0" formatCode="_(&quot;$&quot;* #,##0_);_(&quot;$&quot;* \(#,##0\);_(&quot;$&quot;* &quot;-&quot;_);_(@_)">
                  <c:v>2450001</c:v>
                </c:pt>
                <c:pt idx="1">
                  <c:v>50000</c:v>
                </c:pt>
                <c:pt idx="2" formatCode="_(&quot;$&quot;* #,##0_);_(&quot;$&quot;* \(#,##0\);_(&quot;$&quot;* &quot;-&quot;_);_(@_)">
                  <c:v>5949999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72D-49AA-90EE-5072BFE23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'2026'!$J$4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'2026'!$C$5:$C$56</c:f>
              <c:strCache>
                <c:ptCount val="48"/>
                <c:pt idx="0">
                  <c:v>Jan</c:v>
                </c:pt>
                <c:pt idx="4">
                  <c:v>Feb</c:v>
                </c:pt>
                <c:pt idx="8">
                  <c:v>Mar</c:v>
                </c:pt>
                <c:pt idx="13">
                  <c:v>Apr</c:v>
                </c:pt>
                <c:pt idx="17">
                  <c:v>May</c:v>
                </c:pt>
                <c:pt idx="21">
                  <c:v>Jun</c:v>
                </c:pt>
                <c:pt idx="26">
                  <c:v>Jul</c:v>
                </c:pt>
                <c:pt idx="30">
                  <c:v>Aug</c:v>
                </c:pt>
                <c:pt idx="34">
                  <c:v>Sep</c:v>
                </c:pt>
                <c:pt idx="39">
                  <c:v>Oct</c:v>
                </c:pt>
                <c:pt idx="43">
                  <c:v>Nov</c:v>
                </c:pt>
                <c:pt idx="47">
                  <c:v>Dec</c:v>
                </c:pt>
              </c:strCache>
            </c:strRef>
          </c:cat>
          <c:val>
            <c:numRef>
              <c:f>'2026'!$J$5:$J$56</c:f>
              <c:numCache>
                <c:formatCode>_(* #,##0_);_(* \(#,##0\);_(* "-"??_);_(@_)</c:formatCode>
                <c:ptCount val="52"/>
                <c:pt idx="0">
                  <c:v>22873</c:v>
                </c:pt>
                <c:pt idx="1">
                  <c:v>25386</c:v>
                </c:pt>
                <c:pt idx="2">
                  <c:v>24746</c:v>
                </c:pt>
                <c:pt idx="3">
                  <c:v>24118.55</c:v>
                </c:pt>
                <c:pt idx="4">
                  <c:v>23993.55</c:v>
                </c:pt>
                <c:pt idx="5">
                  <c:v>23613.55</c:v>
                </c:pt>
                <c:pt idx="6">
                  <c:v>22973.55</c:v>
                </c:pt>
                <c:pt idx="7">
                  <c:v>22334.55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9-4EA2-A744-C2A093F81CB1}"/>
            </c:ext>
          </c:extLst>
        </c:ser>
        <c:ser>
          <c:idx val="2"/>
          <c:order val="1"/>
          <c:tx>
            <c:v>Red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'2026'!$C$5:$C$56</c:f>
              <c:strCache>
                <c:ptCount val="48"/>
                <c:pt idx="0">
                  <c:v>Jan</c:v>
                </c:pt>
                <c:pt idx="4">
                  <c:v>Feb</c:v>
                </c:pt>
                <c:pt idx="8">
                  <c:v>Mar</c:v>
                </c:pt>
                <c:pt idx="13">
                  <c:v>Apr</c:v>
                </c:pt>
                <c:pt idx="17">
                  <c:v>May</c:v>
                </c:pt>
                <c:pt idx="21">
                  <c:v>Jun</c:v>
                </c:pt>
                <c:pt idx="26">
                  <c:v>Jul</c:v>
                </c:pt>
                <c:pt idx="30">
                  <c:v>Aug</c:v>
                </c:pt>
                <c:pt idx="34">
                  <c:v>Sep</c:v>
                </c:pt>
                <c:pt idx="39">
                  <c:v>Oct</c:v>
                </c:pt>
                <c:pt idx="43">
                  <c:v>Nov</c:v>
                </c:pt>
                <c:pt idx="47">
                  <c:v>Dec</c:v>
                </c:pt>
              </c:strCache>
            </c:strRef>
          </c:cat>
          <c:val>
            <c:numRef>
              <c:f>'2026'!$L$5:$L$56</c:f>
              <c:numCache>
                <c:formatCode>_(* #,##0_);_(* \(#,##0\);_(* "-"??_);_(@_)</c:formatCode>
                <c:ptCount val="5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  <c:pt idx="23">
                  <c:v>12000</c:v>
                </c:pt>
                <c:pt idx="24">
                  <c:v>12000</c:v>
                </c:pt>
                <c:pt idx="25">
                  <c:v>12000</c:v>
                </c:pt>
                <c:pt idx="26">
                  <c:v>12000</c:v>
                </c:pt>
                <c:pt idx="27">
                  <c:v>12000</c:v>
                </c:pt>
                <c:pt idx="28">
                  <c:v>12000</c:v>
                </c:pt>
                <c:pt idx="29">
                  <c:v>12000</c:v>
                </c:pt>
                <c:pt idx="30">
                  <c:v>12000</c:v>
                </c:pt>
                <c:pt idx="31">
                  <c:v>12000</c:v>
                </c:pt>
                <c:pt idx="32">
                  <c:v>12000</c:v>
                </c:pt>
                <c:pt idx="33">
                  <c:v>12000</c:v>
                </c:pt>
                <c:pt idx="34">
                  <c:v>12000</c:v>
                </c:pt>
                <c:pt idx="35">
                  <c:v>12000</c:v>
                </c:pt>
                <c:pt idx="36">
                  <c:v>12000</c:v>
                </c:pt>
                <c:pt idx="37">
                  <c:v>12000</c:v>
                </c:pt>
                <c:pt idx="38">
                  <c:v>12000</c:v>
                </c:pt>
                <c:pt idx="39">
                  <c:v>12000</c:v>
                </c:pt>
                <c:pt idx="40">
                  <c:v>12000</c:v>
                </c:pt>
                <c:pt idx="41">
                  <c:v>12000</c:v>
                </c:pt>
                <c:pt idx="42">
                  <c:v>12000</c:v>
                </c:pt>
                <c:pt idx="43">
                  <c:v>12000</c:v>
                </c:pt>
                <c:pt idx="44">
                  <c:v>12000</c:v>
                </c:pt>
                <c:pt idx="45">
                  <c:v>12000</c:v>
                </c:pt>
                <c:pt idx="46">
                  <c:v>12000</c:v>
                </c:pt>
                <c:pt idx="47">
                  <c:v>12000</c:v>
                </c:pt>
                <c:pt idx="48">
                  <c:v>12000</c:v>
                </c:pt>
                <c:pt idx="49">
                  <c:v>12000</c:v>
                </c:pt>
                <c:pt idx="50">
                  <c:v>12000</c:v>
                </c:pt>
                <c:pt idx="5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F7-423A-9E02-82E7451BCBEF}"/>
            </c:ext>
          </c:extLst>
        </c:ser>
        <c:ser>
          <c:idx val="1"/>
          <c:order val="2"/>
          <c:tx>
            <c:v>Target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'2026'!$C$5:$C$56</c:f>
              <c:strCache>
                <c:ptCount val="48"/>
                <c:pt idx="0">
                  <c:v>Jan</c:v>
                </c:pt>
                <c:pt idx="4">
                  <c:v>Feb</c:v>
                </c:pt>
                <c:pt idx="8">
                  <c:v>Mar</c:v>
                </c:pt>
                <c:pt idx="13">
                  <c:v>Apr</c:v>
                </c:pt>
                <c:pt idx="17">
                  <c:v>May</c:v>
                </c:pt>
                <c:pt idx="21">
                  <c:v>Jun</c:v>
                </c:pt>
                <c:pt idx="26">
                  <c:v>Jul</c:v>
                </c:pt>
                <c:pt idx="30">
                  <c:v>Aug</c:v>
                </c:pt>
                <c:pt idx="34">
                  <c:v>Sep</c:v>
                </c:pt>
                <c:pt idx="39">
                  <c:v>Oct</c:v>
                </c:pt>
                <c:pt idx="43">
                  <c:v>Nov</c:v>
                </c:pt>
                <c:pt idx="47">
                  <c:v>Dec</c:v>
                </c:pt>
              </c:strCache>
            </c:strRef>
          </c:cat>
          <c:val>
            <c:numRef>
              <c:f>'2026'!$K$5:$K$56</c:f>
              <c:numCache>
                <c:formatCode>_(* #,##0_);_(* \(#,##0\);_(* "-"??_);_(@_)</c:formatCode>
                <c:ptCount val="52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18000</c:v>
                </c:pt>
                <c:pt idx="5">
                  <c:v>18000</c:v>
                </c:pt>
                <c:pt idx="6">
                  <c:v>18000</c:v>
                </c:pt>
                <c:pt idx="7">
                  <c:v>18000</c:v>
                </c:pt>
                <c:pt idx="8">
                  <c:v>18000</c:v>
                </c:pt>
                <c:pt idx="9">
                  <c:v>18000</c:v>
                </c:pt>
                <c:pt idx="10">
                  <c:v>18000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18000</c:v>
                </c:pt>
                <c:pt idx="18">
                  <c:v>18000</c:v>
                </c:pt>
                <c:pt idx="19">
                  <c:v>18000</c:v>
                </c:pt>
                <c:pt idx="20">
                  <c:v>18000</c:v>
                </c:pt>
                <c:pt idx="21">
                  <c:v>18000</c:v>
                </c:pt>
                <c:pt idx="22">
                  <c:v>18000</c:v>
                </c:pt>
                <c:pt idx="23">
                  <c:v>18000</c:v>
                </c:pt>
                <c:pt idx="24">
                  <c:v>18000</c:v>
                </c:pt>
                <c:pt idx="25">
                  <c:v>18000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  <c:pt idx="34">
                  <c:v>18000</c:v>
                </c:pt>
                <c:pt idx="35">
                  <c:v>18000</c:v>
                </c:pt>
                <c:pt idx="36">
                  <c:v>18000</c:v>
                </c:pt>
                <c:pt idx="37">
                  <c:v>18000</c:v>
                </c:pt>
                <c:pt idx="38">
                  <c:v>18000</c:v>
                </c:pt>
                <c:pt idx="39">
                  <c:v>18000</c:v>
                </c:pt>
                <c:pt idx="40">
                  <c:v>18000</c:v>
                </c:pt>
                <c:pt idx="41">
                  <c:v>18000</c:v>
                </c:pt>
                <c:pt idx="42">
                  <c:v>18000</c:v>
                </c:pt>
                <c:pt idx="43">
                  <c:v>18000</c:v>
                </c:pt>
                <c:pt idx="44">
                  <c:v>18000</c:v>
                </c:pt>
                <c:pt idx="45">
                  <c:v>18000</c:v>
                </c:pt>
                <c:pt idx="46">
                  <c:v>18000</c:v>
                </c:pt>
                <c:pt idx="47">
                  <c:v>18000</c:v>
                </c:pt>
                <c:pt idx="48">
                  <c:v>18000</c:v>
                </c:pt>
                <c:pt idx="49">
                  <c:v>18000</c:v>
                </c:pt>
                <c:pt idx="50">
                  <c:v>18000</c:v>
                </c:pt>
                <c:pt idx="51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F7-423A-9E02-82E7451BC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954952"/>
        <c:axId val="336959440"/>
      </c:lineChart>
      <c:catAx>
        <c:axId val="33695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59440"/>
        <c:crosses val="autoZero"/>
        <c:auto val="1"/>
        <c:lblAlgn val="ctr"/>
        <c:lblOffset val="100"/>
        <c:noMultiLvlLbl val="0"/>
      </c:catAx>
      <c:valAx>
        <c:axId val="336959440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5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90234617043321E-2"/>
          <c:y val="3.4807994310744876E-2"/>
          <c:w val="0.89164803643099211"/>
          <c:h val="0.883949780493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'2026'!$W$4</c:f>
              <c:strCache>
                <c:ptCount val="1"/>
                <c:pt idx="0">
                  <c:v>YTD Act.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'2026'!$AB$5:$AB$16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'2026'!$W$5:$W$16</c:f>
              <c:numCache>
                <c:formatCode>_(* #,##0_);_(* \(#,##0\);_(* "-"??_);_(@_)</c:formatCode>
                <c:ptCount val="12"/>
                <c:pt idx="0">
                  <c:v>2241250</c:v>
                </c:pt>
                <c:pt idx="1">
                  <c:v>2450001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5-463E-AB9F-80E26F536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overlap val="-27"/>
        <c:axId val="336980944"/>
        <c:axId val="336981328"/>
      </c:barChart>
      <c:lineChart>
        <c:grouping val="standard"/>
        <c:varyColors val="0"/>
        <c:ser>
          <c:idx val="1"/>
          <c:order val="1"/>
          <c:tx>
            <c:strRef>
              <c:f>'2026'!$X$4</c:f>
              <c:strCache>
                <c:ptCount val="1"/>
                <c:pt idx="0">
                  <c:v>YTD Target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'2026'!$X$5:$X$16</c:f>
              <c:numCache>
                <c:formatCode>_(* #,##0_);_(* \(#,##0\);_(* "-"??_);_(@_)</c:formatCode>
                <c:ptCount val="12"/>
                <c:pt idx="0">
                  <c:v>1750000</c:v>
                </c:pt>
                <c:pt idx="1">
                  <c:v>3250000</c:v>
                </c:pt>
                <c:pt idx="2">
                  <c:v>4750000</c:v>
                </c:pt>
                <c:pt idx="3">
                  <c:v>6500000</c:v>
                </c:pt>
                <c:pt idx="4">
                  <c:v>8250000</c:v>
                </c:pt>
                <c:pt idx="5">
                  <c:v>10000000</c:v>
                </c:pt>
                <c:pt idx="6">
                  <c:v>11750000</c:v>
                </c:pt>
                <c:pt idx="7">
                  <c:v>13500000</c:v>
                </c:pt>
                <c:pt idx="8">
                  <c:v>15000000</c:v>
                </c:pt>
                <c:pt idx="9">
                  <c:v>16500000</c:v>
                </c:pt>
                <c:pt idx="10">
                  <c:v>18000000</c:v>
                </c:pt>
                <c:pt idx="11">
                  <c:v>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5-463E-AB9F-80E26F536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980944"/>
        <c:axId val="336981328"/>
      </c:lineChart>
      <c:catAx>
        <c:axId val="3369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81328"/>
        <c:crosses val="autoZero"/>
        <c:auto val="1"/>
        <c:lblAlgn val="ctr"/>
        <c:lblOffset val="100"/>
        <c:noMultiLvlLbl val="0"/>
      </c:catAx>
      <c:valAx>
        <c:axId val="3369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8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823679281259138"/>
          <c:y val="4.5661475977440483E-2"/>
          <c:w val="8.8813911118562877E-2"/>
          <c:h val="9.5316371418697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VA Sales / Labor Hour</a:t>
            </a:r>
          </a:p>
        </c:rich>
      </c:tx>
      <c:layout>
        <c:manualLayout>
          <c:xMode val="edge"/>
          <c:yMode val="edge"/>
          <c:x val="0.39548237287949073"/>
          <c:y val="0.645209221253596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598406908788247E-2"/>
          <c:y val="7.9972707521591593E-2"/>
          <c:w val="0.88066084882172024"/>
          <c:h val="0.92002729247840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2D-49AA-90EE-5072BFE23F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2D-49AA-90EE-5072BFE23F96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2D-49AA-90EE-5072BFE23F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2D-49AA-90EE-5072BFE23F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97-4CAA-A493-3EFA914A4203}"/>
              </c:ext>
            </c:extLst>
          </c:dPt>
          <c:dPt>
            <c:idx val="5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97-4CAA-A493-3EFA914A4203}"/>
              </c:ext>
            </c:extLst>
          </c:dPt>
          <c:val>
            <c:numRef>
              <c:f>'Dashboard P2'!$M$51:$M$56</c:f>
              <c:numCache>
                <c:formatCode>_("$"* #,##0_);_("$"* \(#,##0\);_("$"* "-"_);_(@_)</c:formatCode>
                <c:ptCount val="6"/>
                <c:pt idx="1">
                  <c:v>150</c:v>
                </c:pt>
                <c:pt idx="2">
                  <c:v>10</c:v>
                </c:pt>
                <c:pt idx="3">
                  <c:v>65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2D-49AA-90EE-5072BFE23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explosion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72D-49AA-90EE-5072BFE23F96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72D-49AA-90EE-5072BFE23F96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72D-49AA-90EE-5072BFE23F96}"/>
              </c:ext>
            </c:extLst>
          </c:dPt>
          <c:val>
            <c:numRef>
              <c:f>'Dashboard P2'!$P$52:$P$54</c:f>
              <c:numCache>
                <c:formatCode>General</c:formatCode>
                <c:ptCount val="3"/>
                <c:pt idx="0" formatCode="_(&quot;$&quot;* #,##0_);_(&quot;$&quot;* \(#,##0\);_(&quot;$&quot;* &quot;-&quot;_);_(@_)">
                  <c:v>205.67654160911763</c:v>
                </c:pt>
                <c:pt idx="1">
                  <c:v>3</c:v>
                </c:pt>
                <c:pt idx="2" formatCode="_(&quot;$&quot;* #,##0_);_(&quot;$&quot;* \(#,##0\);_(&quot;$&quot;* &quot;-&quot;_);_(@_)">
                  <c:v>234.32345839088237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72D-49AA-90EE-5072BFE23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'2026'!$AB$5:$AB$16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'2026'!$AI$5:$AI$16</c:f>
              <c:numCache>
                <c:formatCode>_(* #,##0_);_(* \(#,##0\);_(* "-"??_);_(@_)</c:formatCode>
                <c:ptCount val="12"/>
                <c:pt idx="0">
                  <c:v>10850000</c:v>
                </c:pt>
                <c:pt idx="1">
                  <c:v>11750000</c:v>
                </c:pt>
                <c:pt idx="2">
                  <c:v>11750000</c:v>
                </c:pt>
                <c:pt idx="3">
                  <c:v>11750000</c:v>
                </c:pt>
                <c:pt idx="4">
                  <c:v>11750000</c:v>
                </c:pt>
                <c:pt idx="5">
                  <c:v>11750000</c:v>
                </c:pt>
                <c:pt idx="6">
                  <c:v>11750000</c:v>
                </c:pt>
                <c:pt idx="7">
                  <c:v>11750000</c:v>
                </c:pt>
                <c:pt idx="8">
                  <c:v>11750000</c:v>
                </c:pt>
                <c:pt idx="9">
                  <c:v>11750000</c:v>
                </c:pt>
                <c:pt idx="10">
                  <c:v>11750000</c:v>
                </c:pt>
                <c:pt idx="11">
                  <c:v>11750000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E-4B0F-8A2E-298BD1C3A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axId val="336703328"/>
        <c:axId val="336716016"/>
      </c:barChart>
      <c:lineChart>
        <c:grouping val="standard"/>
        <c:varyColors val="0"/>
        <c:ser>
          <c:idx val="1"/>
          <c:order val="1"/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'2026'!$AB$5:$AB$16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'2026'!$AJ$5:$AJ$16</c:f>
              <c:numCache>
                <c:formatCode>_(* #,##0_);_(* \(#,##0\);_(* "-"??_);_(@_)</c:formatCode>
                <c:ptCount val="12"/>
                <c:pt idx="0">
                  <c:v>11000000</c:v>
                </c:pt>
                <c:pt idx="1">
                  <c:v>22000000</c:v>
                </c:pt>
                <c:pt idx="2">
                  <c:v>33000000</c:v>
                </c:pt>
                <c:pt idx="3">
                  <c:v>44000000</c:v>
                </c:pt>
                <c:pt idx="4">
                  <c:v>55000000</c:v>
                </c:pt>
                <c:pt idx="5">
                  <c:v>66000000</c:v>
                </c:pt>
                <c:pt idx="6">
                  <c:v>77000000</c:v>
                </c:pt>
                <c:pt idx="7">
                  <c:v>88000000</c:v>
                </c:pt>
                <c:pt idx="8">
                  <c:v>99000000</c:v>
                </c:pt>
                <c:pt idx="9">
                  <c:v>110000000</c:v>
                </c:pt>
                <c:pt idx="10">
                  <c:v>121000000</c:v>
                </c:pt>
                <c:pt idx="11">
                  <c:v>132000000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E-4B0F-8A2E-298BD1C3A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703328"/>
        <c:axId val="336716016"/>
      </c:lineChart>
      <c:catAx>
        <c:axId val="3367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716016"/>
        <c:crosses val="autoZero"/>
        <c:auto val="1"/>
        <c:lblAlgn val="ctr"/>
        <c:lblOffset val="100"/>
        <c:noMultiLvlLbl val="0"/>
      </c:catAx>
      <c:valAx>
        <c:axId val="3367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70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80037990378704E-2"/>
          <c:y val="0.12829054318614946"/>
          <c:w val="0.92338413245823736"/>
          <c:h val="0.800807358543192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'2026'!$AB$5:$AB$16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'2026'!$AE$5:$AE$16</c:f>
              <c:numCache>
                <c:formatCode>_(* #,##0_);_(* \(#,##0\);_(* "-"??_);_(@_)</c:formatCode>
                <c:ptCount val="12"/>
                <c:pt idx="0">
                  <c:v>27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0-49BB-9D24-3344D85E9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336834280"/>
        <c:axId val="336834664"/>
      </c:barChart>
      <c:lineChart>
        <c:grouping val="standard"/>
        <c:varyColors val="0"/>
        <c:ser>
          <c:idx val="1"/>
          <c:order val="1"/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'2026'!$AB$5:$AB$16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'2026'!$AF$5:$AF$16</c:f>
              <c:numCache>
                <c:formatCode>_(* #,##0_);_(* \(#,##0\);_(* "-"??_);_(@_)</c:formatCode>
                <c:ptCount val="12"/>
                <c:pt idx="0">
                  <c:v>32</c:v>
                </c:pt>
                <c:pt idx="1">
                  <c:v>64</c:v>
                </c:pt>
                <c:pt idx="2">
                  <c:v>94</c:v>
                </c:pt>
                <c:pt idx="3">
                  <c:v>124</c:v>
                </c:pt>
                <c:pt idx="4">
                  <c:v>156</c:v>
                </c:pt>
                <c:pt idx="5">
                  <c:v>188</c:v>
                </c:pt>
                <c:pt idx="6">
                  <c:v>220</c:v>
                </c:pt>
                <c:pt idx="7">
                  <c:v>252</c:v>
                </c:pt>
                <c:pt idx="8">
                  <c:v>284</c:v>
                </c:pt>
                <c:pt idx="9">
                  <c:v>316</c:v>
                </c:pt>
                <c:pt idx="10">
                  <c:v>348</c:v>
                </c:pt>
                <c:pt idx="11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0-49BB-9D24-3344D85E9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834280"/>
        <c:axId val="336834664"/>
      </c:lineChart>
      <c:catAx>
        <c:axId val="33683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34664"/>
        <c:crosses val="autoZero"/>
        <c:auto val="1"/>
        <c:lblAlgn val="ctr"/>
        <c:lblOffset val="100"/>
        <c:noMultiLvlLbl val="0"/>
      </c:catAx>
      <c:valAx>
        <c:axId val="3368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34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31</xdr:row>
      <xdr:rowOff>45427</xdr:rowOff>
    </xdr:from>
    <xdr:to>
      <xdr:col>9</xdr:col>
      <xdr:colOff>550068</xdr:colOff>
      <xdr:row>54</xdr:row>
      <xdr:rowOff>58616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31</xdr:row>
      <xdr:rowOff>72641</xdr:rowOff>
    </xdr:from>
    <xdr:to>
      <xdr:col>18</xdr:col>
      <xdr:colOff>43202</xdr:colOff>
      <xdr:row>54</xdr:row>
      <xdr:rowOff>85830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3</xdr:row>
      <xdr:rowOff>47625</xdr:rowOff>
    </xdr:from>
    <xdr:to>
      <xdr:col>32</xdr:col>
      <xdr:colOff>595311</xdr:colOff>
      <xdr:row>27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35718</xdr:colOff>
      <xdr:row>3</xdr:row>
      <xdr:rowOff>51290</xdr:rowOff>
    </xdr:from>
    <xdr:to>
      <xdr:col>17</xdr:col>
      <xdr:colOff>261937</xdr:colOff>
      <xdr:row>26</xdr:row>
      <xdr:rowOff>166688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0.67881</cdr:x>
      <cdr:y>0.39803</cdr:y>
    </cdr:from>
    <cdr:to>
      <cdr:x>0.89489</cdr:x>
      <cdr:y>0.53757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3285703" y="1662554"/>
          <a:ext cx="1045913" cy="5828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chemeClr val="bg1"/>
              </a:solidFill>
            </a:rPr>
            <a:t>Target</a:t>
          </a:r>
          <a:r>
            <a:rPr lang="en-US" sz="1400" b="1" baseline="0">
              <a:solidFill>
                <a:schemeClr val="bg1"/>
              </a:solidFill>
            </a:rPr>
            <a:t>  </a:t>
          </a:r>
        </a:p>
        <a:p xmlns:a="http://schemas.openxmlformats.org/drawingml/2006/main">
          <a:pPr algn="ctr"/>
          <a:r>
            <a:rPr lang="en-US" sz="1400" b="1" baseline="0">
              <a:solidFill>
                <a:schemeClr val="bg1"/>
              </a:solidFill>
            </a:rPr>
            <a:t>$1,200,000</a:t>
          </a:r>
          <a:endParaRPr lang="en-US" sz="14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0.18074</cdr:x>
      <cdr:y>0.20648</cdr:y>
    </cdr:from>
    <cdr:to>
      <cdr:x>0.42241</cdr:x>
      <cdr:y>0.37431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872404" y="858265"/>
          <a:ext cx="1166491" cy="6975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baseline="0">
              <a:solidFill>
                <a:schemeClr val="bg1"/>
              </a:solidFill>
            </a:rPr>
            <a:t>Baseline</a:t>
          </a:r>
        </a:p>
        <a:p xmlns:a="http://schemas.openxmlformats.org/drawingml/2006/main">
          <a:pPr algn="ctr"/>
          <a:r>
            <a:rPr lang="en-US" sz="1400" b="1" baseline="0">
              <a:solidFill>
                <a:schemeClr val="bg1"/>
              </a:solidFill>
            </a:rPr>
            <a:t> $1,000,000</a:t>
          </a:r>
          <a:endParaRPr lang="en-US" sz="1400" b="1">
            <a:solidFill>
              <a:schemeClr val="bg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0.65109</cdr:x>
      <cdr:y>0.4061</cdr:y>
    </cdr:from>
    <cdr:to>
      <cdr:x>0.91202</cdr:x>
      <cdr:y>0.5362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3182106" y="1696283"/>
          <a:ext cx="1275255" cy="54342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chemeClr val="bg1"/>
              </a:solidFill>
            </a:rPr>
            <a:t>Target</a:t>
          </a:r>
        </a:p>
        <a:p xmlns:a="http://schemas.openxmlformats.org/drawingml/2006/main">
          <a:pPr algn="ctr"/>
          <a:r>
            <a:rPr lang="en-US" sz="1400" b="1">
              <a:solidFill>
                <a:schemeClr val="bg1"/>
              </a:solidFill>
            </a:rPr>
            <a:t>$3,550,000</a:t>
          </a:r>
        </a:p>
      </cdr:txBody>
    </cdr:sp>
  </cdr:relSizeAnchor>
  <cdr:relSizeAnchor xmlns:cdr="http://schemas.openxmlformats.org/drawingml/2006/chartDrawing">
    <cdr:from>
      <cdr:x>0.30845</cdr:x>
      <cdr:y>0.17598</cdr:y>
    </cdr:from>
    <cdr:to>
      <cdr:x>0.51412</cdr:x>
      <cdr:y>0.30302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07518" y="735064"/>
          <a:ext cx="1005147" cy="5306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chemeClr val="bg1"/>
              </a:solidFill>
            </a:rPr>
            <a:t>Baseline</a:t>
          </a:r>
        </a:p>
        <a:p xmlns:a="http://schemas.openxmlformats.org/drawingml/2006/main">
          <a:pPr algn="ctr"/>
          <a:r>
            <a:rPr lang="en-US" sz="1400" b="1">
              <a:solidFill>
                <a:schemeClr val="bg1"/>
              </a:solidFill>
            </a:rPr>
            <a:t>$3,000,000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0.78846</cdr:x>
      <cdr:y>0.46417</cdr:y>
    </cdr:from>
    <cdr:to>
      <cdr:x>0.97907</cdr:x>
      <cdr:y>0.53302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6885134" y="2100085"/>
          <a:ext cx="1664495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Goal &gt; 18,000</a:t>
          </a:r>
          <a:r>
            <a:rPr lang="en-US" sz="1400" baseline="0"/>
            <a:t> Hours</a:t>
          </a:r>
          <a:endParaRPr lang="en-US" sz="1400"/>
        </a:p>
      </cdr:txBody>
    </cdr:sp>
  </cdr:relSizeAnchor>
  <cdr:relSizeAnchor xmlns:cdr="http://schemas.openxmlformats.org/drawingml/2006/chartDrawing">
    <cdr:from>
      <cdr:x>0.76391</cdr:x>
      <cdr:y>0.60027</cdr:y>
    </cdr:from>
    <cdr:to>
      <cdr:x>0.98406</cdr:x>
      <cdr:y>0.66912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670723" y="2715854"/>
          <a:ext cx="1922434" cy="31150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Red Zone &lt; 8,500 Hours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0.29994</cdr:x>
      <cdr:y>0.13251</cdr:y>
    </cdr:from>
    <cdr:to>
      <cdr:x>0.63436</cdr:x>
      <cdr:y>0.20874</cdr:y>
    </cdr:to>
    <cdr:sp macro="" textlink="">
      <cdr:nvSpPr>
        <cdr:cNvPr id="11" name="TextBox 2"/>
        <cdr:cNvSpPr txBox="1"/>
      </cdr:nvSpPr>
      <cdr:spPr>
        <a:xfrm xmlns:a="http://schemas.openxmlformats.org/drawingml/2006/main">
          <a:off x="2998245" y="595884"/>
          <a:ext cx="3342903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2026</a:t>
          </a:r>
          <a:r>
            <a:rPr lang="en-US" sz="1600" baseline="0"/>
            <a:t> Order Intake Plan = $20,000,000</a:t>
          </a:r>
          <a:endParaRPr lang="en-US" sz="16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13607</xdr:colOff>
      <xdr:row>20</xdr:row>
      <xdr:rowOff>68035</xdr:rowOff>
    </xdr:from>
    <xdr:to>
      <xdr:col>19</xdr:col>
      <xdr:colOff>0</xdr:colOff>
      <xdr:row>38</xdr:row>
      <xdr:rowOff>176892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130968</xdr:colOff>
      <xdr:row>20</xdr:row>
      <xdr:rowOff>23812</xdr:rowOff>
    </xdr:from>
    <xdr:to>
      <xdr:col>10</xdr:col>
      <xdr:colOff>0</xdr:colOff>
      <xdr:row>34</xdr:row>
      <xdr:rowOff>154781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59528</xdr:colOff>
      <xdr:row>3</xdr:row>
      <xdr:rowOff>47625</xdr:rowOff>
    </xdr:from>
    <xdr:to>
      <xdr:col>10</xdr:col>
      <xdr:colOff>23811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462642</xdr:colOff>
      <xdr:row>5</xdr:row>
      <xdr:rowOff>6804</xdr:rowOff>
    </xdr:from>
    <xdr:ext cx="1440729" cy="31149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136821" y="1421947"/>
          <a:ext cx="144072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/>
            <a:t>2026 Goal = 380</a:t>
          </a:r>
        </a:p>
      </xdr:txBody>
    </xdr:sp>
    <xdr:clientData/>
  </xdr:oneCellAnchor>
  <xdr:oneCellAnchor>
    <xdr:from>
      <xdr:col>2</xdr:col>
      <xdr:colOff>117134</xdr:colOff>
      <xdr:row>21</xdr:row>
      <xdr:rowOff>0</xdr:rowOff>
    </xdr:from>
    <xdr:ext cx="2105898" cy="31149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273741" y="5769429"/>
          <a:ext cx="210589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2026 Goal = $133,000,000</a:t>
          </a:r>
        </a:p>
      </xdr:txBody>
    </xdr:sp>
    <xdr:clientData/>
  </xdr:oneCellAnchor>
  <xdr:twoCellAnchor>
    <xdr:from>
      <xdr:col>12</xdr:col>
      <xdr:colOff>1306285</xdr:colOff>
      <xdr:row>24</xdr:row>
      <xdr:rowOff>0</xdr:rowOff>
    </xdr:from>
    <xdr:to>
      <xdr:col>12</xdr:col>
      <xdr:colOff>1877785</xdr:colOff>
      <xdr:row>24</xdr:row>
      <xdr:rowOff>40822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1076214" y="7361464"/>
          <a:ext cx="571500" cy="4082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938893</xdr:colOff>
      <xdr:row>24</xdr:row>
      <xdr:rowOff>13608</xdr:rowOff>
    </xdr:from>
    <xdr:to>
      <xdr:col>16</xdr:col>
      <xdr:colOff>557893</xdr:colOff>
      <xdr:row>24</xdr:row>
      <xdr:rowOff>68037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V="1">
          <a:off x="15185572" y="7375072"/>
          <a:ext cx="585107" cy="54429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13606</xdr:colOff>
      <xdr:row>20</xdr:row>
      <xdr:rowOff>68037</xdr:rowOff>
    </xdr:from>
    <xdr:to>
      <xdr:col>19</xdr:col>
      <xdr:colOff>13606</xdr:colOff>
      <xdr:row>34</xdr:row>
      <xdr:rowOff>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871856" y="6340930"/>
          <a:ext cx="9103179" cy="371475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63500</xdr:colOff>
      <xdr:row>29</xdr:row>
      <xdr:rowOff>215900</xdr:rowOff>
    </xdr:from>
    <xdr:to>
      <xdr:col>18</xdr:col>
      <xdr:colOff>863600</xdr:colOff>
      <xdr:row>31</xdr:row>
      <xdr:rowOff>50800</xdr:rowOff>
    </xdr:to>
    <xdr:sp macro="" textlink="$P$52">
      <xdr:nvSpPr>
        <xdr:cNvPr id="7" name="TextBox 6">
          <a:extLst>
            <a:ext uri="{FF2B5EF4-FFF2-40B4-BE49-F238E27FC236}">
              <a16:creationId xmlns:a16="http://schemas.microsoft.com/office/drawing/2014/main" id="{93B484EB-DE4E-4B97-BCED-4784BE17B77F}"/>
            </a:ext>
          </a:extLst>
        </xdr:cNvPr>
        <xdr:cNvSpPr txBox="1"/>
      </xdr:nvSpPr>
      <xdr:spPr>
        <a:xfrm>
          <a:off x="9271000" y="8328025"/>
          <a:ext cx="9388475" cy="374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1A36FCA-4701-40E0-A1E6-5788B66E1972}" type="TxLink">
            <a:rPr lang="en-US" sz="20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$206 </a:t>
          </a:fld>
          <a:endParaRPr lang="en-US" sz="2000" b="1"/>
        </a:p>
      </xdr:txBody>
    </xdr:sp>
    <xdr:clientData/>
  </xdr:twoCellAnchor>
  <xdr:twoCellAnchor>
    <xdr:from>
      <xdr:col>8</xdr:col>
      <xdr:colOff>748393</xdr:colOff>
      <xdr:row>0</xdr:row>
      <xdr:rowOff>122463</xdr:rowOff>
    </xdr:from>
    <xdr:to>
      <xdr:col>22</xdr:col>
      <xdr:colOff>557893</xdr:colOff>
      <xdr:row>20</xdr:row>
      <xdr:rowOff>163284</xdr:rowOff>
    </xdr:to>
    <xdr:sp macro="" textlink="">
      <xdr:nvSpPr>
        <xdr:cNvPr id="9" name="Multiplication Sign 8">
          <a:extLst>
            <a:ext uri="{FF2B5EF4-FFF2-40B4-BE49-F238E27FC236}">
              <a16:creationId xmlns:a16="http://schemas.microsoft.com/office/drawing/2014/main" id="{06AD3987-A975-755D-5478-5A371D352DFE}"/>
            </a:ext>
          </a:extLst>
        </xdr:cNvPr>
        <xdr:cNvSpPr/>
      </xdr:nvSpPr>
      <xdr:spPr>
        <a:xfrm>
          <a:off x="7361464" y="122463"/>
          <a:ext cx="13389429" cy="5538107"/>
        </a:xfrm>
        <a:prstGeom prst="mathMultiply">
          <a:avLst>
            <a:gd name="adj1" fmla="val 156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0.74232</cdr:x>
      <cdr:y>0.14672</cdr:y>
    </cdr:from>
    <cdr:to>
      <cdr:x>0.92033</cdr:x>
      <cdr:y>0.25746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6858480" y="703080"/>
          <a:ext cx="1644679" cy="5306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</a:rPr>
            <a:t>Max Target</a:t>
          </a:r>
        </a:p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</a:rPr>
            <a:t>$160 / Hour</a:t>
          </a:r>
        </a:p>
      </cdr:txBody>
    </cdr:sp>
  </cdr:relSizeAnchor>
  <cdr:relSizeAnchor xmlns:cdr="http://schemas.openxmlformats.org/drawingml/2006/chartDrawing">
    <cdr:from>
      <cdr:x>0.12796</cdr:x>
      <cdr:y>0.14997</cdr:y>
    </cdr:from>
    <cdr:to>
      <cdr:x>0.24197</cdr:x>
      <cdr:y>0.26071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208693" y="718654"/>
          <a:ext cx="1076834" cy="5306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</a:rPr>
            <a:t>Min Target</a:t>
          </a:r>
        </a:p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</a:rPr>
            <a:t>$150</a:t>
          </a:r>
          <a:r>
            <a:rPr lang="en-US" sz="1400" b="1" baseline="0">
              <a:solidFill>
                <a:sysClr val="windowText" lastClr="000000"/>
              </a:solidFill>
            </a:rPr>
            <a:t> / Hour</a:t>
          </a:r>
          <a:endParaRPr lang="en-US" sz="1400" b="1">
            <a:solidFill>
              <a:sysClr val="windowText" lastClr="000000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LOGS\JOBHISTORY.xls" TargetMode="External"/><Relationship Id="rId1" Type="http://schemas.openxmlformats.org/officeDocument/2006/relationships/externalLinkPath" Target="/LOGS/JOBHISTO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9 Billing Schedule"/>
      <sheetName val="2010 Billing Schedule"/>
      <sheetName val="2011 Billing Schedule"/>
      <sheetName val="2012 Billing Schedule "/>
      <sheetName val="2013 Billing Schedule"/>
      <sheetName val="2014 Billing Schedule "/>
      <sheetName val="2015 Billing Schedule"/>
      <sheetName val="2016 Billing Schedule"/>
      <sheetName val="2016 Quick Reference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 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  <sheetName val="Data Coll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2">
          <cell r="C2">
            <v>494500</v>
          </cell>
          <cell r="D2">
            <v>1380</v>
          </cell>
          <cell r="E2">
            <v>217469</v>
          </cell>
          <cell r="J2">
            <v>2241250</v>
          </cell>
        </row>
        <row r="3">
          <cell r="C3">
            <v>1744400</v>
          </cell>
          <cell r="D3">
            <v>3153</v>
          </cell>
          <cell r="E3">
            <v>749710</v>
          </cell>
          <cell r="J3">
            <v>208751</v>
          </cell>
        </row>
        <row r="4">
          <cell r="C4">
            <v>0</v>
          </cell>
          <cell r="D4">
            <v>0</v>
          </cell>
          <cell r="E4">
            <v>0</v>
          </cell>
          <cell r="J4">
            <v>0</v>
          </cell>
        </row>
        <row r="5">
          <cell r="C5">
            <v>2350</v>
          </cell>
          <cell r="D5">
            <v>12.55</v>
          </cell>
          <cell r="E5">
            <v>2017</v>
          </cell>
          <cell r="J5">
            <v>0</v>
          </cell>
        </row>
        <row r="6">
          <cell r="C6">
            <v>138750</v>
          </cell>
          <cell r="D6">
            <v>515</v>
          </cell>
          <cell r="E6">
            <v>84857</v>
          </cell>
          <cell r="J6">
            <v>0</v>
          </cell>
        </row>
        <row r="7">
          <cell r="C7">
            <v>70000</v>
          </cell>
          <cell r="D7">
            <v>260</v>
          </cell>
          <cell r="E7">
            <v>40464</v>
          </cell>
          <cell r="J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J8">
            <v>0</v>
          </cell>
        </row>
        <row r="9">
          <cell r="C9">
            <v>1</v>
          </cell>
          <cell r="D9">
            <v>1</v>
          </cell>
          <cell r="E9">
            <v>1</v>
          </cell>
          <cell r="J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J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J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J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J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T58"/>
  <sheetViews>
    <sheetView showGridLines="0" tabSelected="1" zoomScale="70" zoomScaleNormal="70" workbookViewId="0">
      <selection activeCell="AI17" sqref="AI17"/>
    </sheetView>
  </sheetViews>
  <sheetFormatPr defaultRowHeight="15" x14ac:dyDescent="0.25"/>
  <cols>
    <col min="1" max="1" width="1.85546875" customWidth="1"/>
    <col min="2" max="2" width="5.85546875" customWidth="1"/>
    <col min="3" max="3" width="9.140625" customWidth="1"/>
    <col min="5" max="5" width="18.85546875" customWidth="1"/>
    <col min="6" max="8" width="4.7109375" customWidth="1"/>
    <col min="9" max="10" width="8.7109375" customWidth="1"/>
    <col min="11" max="11" width="19.140625" bestFit="1" customWidth="1"/>
    <col min="12" max="13" width="4.7109375" customWidth="1"/>
    <col min="14" max="14" width="4" customWidth="1"/>
    <col min="15" max="15" width="10.140625" customWidth="1"/>
    <col min="16" max="16" width="19.140625" bestFit="1" customWidth="1"/>
    <col min="17" max="17" width="9.85546875" customWidth="1"/>
    <col min="18" max="19" width="4.28515625" customWidth="1"/>
    <col min="25" max="25" width="9.5703125" bestFit="1" customWidth="1"/>
    <col min="26" max="26" width="11.42578125" customWidth="1"/>
    <col min="43" max="43" width="14.7109375" bestFit="1" customWidth="1"/>
    <col min="46" max="46" width="14.7109375" bestFit="1" customWidth="1"/>
  </cols>
  <sheetData>
    <row r="1" spans="2:36" ht="38.25" customHeight="1" x14ac:dyDescent="0.35">
      <c r="B1" s="35"/>
      <c r="C1" s="35"/>
      <c r="D1" s="99" t="s">
        <v>49</v>
      </c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31" t="s">
        <v>9</v>
      </c>
      <c r="T1" s="98">
        <f ca="1">TODAY()</f>
        <v>46078</v>
      </c>
      <c r="U1" s="98"/>
      <c r="V1" s="98"/>
      <c r="W1" s="98"/>
      <c r="X1" s="98"/>
      <c r="Y1" s="98"/>
      <c r="Z1" s="60"/>
      <c r="AA1" s="60"/>
      <c r="AB1" s="35"/>
      <c r="AC1" s="35"/>
      <c r="AD1" s="35"/>
      <c r="AE1" s="35"/>
      <c r="AF1" s="35"/>
      <c r="AG1" s="35"/>
      <c r="AH1" s="48"/>
      <c r="AI1" s="48"/>
      <c r="AJ1" s="48"/>
    </row>
    <row r="3" spans="2:36" ht="21" x14ac:dyDescent="0.35">
      <c r="B3" s="88" t="s">
        <v>110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S3" s="48"/>
      <c r="T3" s="88" t="s">
        <v>65</v>
      </c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90"/>
      <c r="AH3" s="48"/>
      <c r="AI3" s="48"/>
      <c r="AJ3" s="48"/>
    </row>
    <row r="13" spans="2:36" x14ac:dyDescent="0.25">
      <c r="R13" s="10"/>
    </row>
    <row r="14" spans="2:36" x14ac:dyDescent="0.25">
      <c r="R14" s="10"/>
    </row>
    <row r="15" spans="2:36" x14ac:dyDescent="0.25">
      <c r="R15" s="10"/>
    </row>
    <row r="28" spans="2:36" ht="10.5" customHeight="1" x14ac:dyDescent="0.25"/>
    <row r="29" spans="2:36" ht="21" x14ac:dyDescent="0.35">
      <c r="B29" s="44"/>
      <c r="C29" s="38" t="s">
        <v>63</v>
      </c>
      <c r="D29" s="38"/>
      <c r="E29" s="46">
        <f>'2026'!U18</f>
        <v>2450001</v>
      </c>
      <c r="F29" s="38"/>
      <c r="G29" s="34"/>
      <c r="H29" s="38"/>
      <c r="I29" s="38" t="s">
        <v>56</v>
      </c>
      <c r="J29" s="38"/>
      <c r="K29" s="46">
        <v>3250000</v>
      </c>
      <c r="L29" s="38"/>
      <c r="M29" s="38"/>
      <c r="N29" s="38" t="s">
        <v>64</v>
      </c>
      <c r="O29" s="38"/>
      <c r="P29" s="46">
        <f>E29-K29</f>
        <v>-799999</v>
      </c>
      <c r="Q29" s="47">
        <f>E29/K29-1</f>
        <v>-0.24615353846153842</v>
      </c>
      <c r="R29" s="45"/>
      <c r="S29" s="48"/>
    </row>
    <row r="31" spans="2:36" ht="8.25" customHeight="1" x14ac:dyDescent="0.25"/>
    <row r="32" spans="2:36" ht="15" customHeight="1" x14ac:dyDescent="0.25">
      <c r="T32" s="100" t="s">
        <v>42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2"/>
      <c r="AH32" s="57"/>
      <c r="AI32" s="57"/>
      <c r="AJ32" s="57"/>
    </row>
    <row r="33" spans="20:46" ht="15" customHeight="1" x14ac:dyDescent="0.25">
      <c r="T33" s="103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5"/>
      <c r="AH33" s="57"/>
      <c r="AI33" s="57"/>
      <c r="AJ33" s="57"/>
    </row>
    <row r="34" spans="20:46" ht="6" customHeight="1" x14ac:dyDescent="0.25">
      <c r="T34" s="22"/>
      <c r="U34" s="18"/>
      <c r="V34" s="18"/>
      <c r="W34" s="18"/>
      <c r="X34" s="18"/>
      <c r="Y34" s="18"/>
      <c r="Z34" s="21"/>
      <c r="AG34" s="55"/>
    </row>
    <row r="35" spans="20:46" ht="15" customHeight="1" x14ac:dyDescent="0.25">
      <c r="T35" s="92" t="s">
        <v>46</v>
      </c>
      <c r="U35" s="93"/>
      <c r="V35" s="93"/>
      <c r="W35" s="93"/>
      <c r="X35" s="93"/>
      <c r="Y35" s="87" t="s">
        <v>3</v>
      </c>
      <c r="Z35" s="87"/>
      <c r="AA35" s="87" t="s">
        <v>39</v>
      </c>
      <c r="AB35" s="87"/>
      <c r="AC35" s="87" t="s">
        <v>40</v>
      </c>
      <c r="AD35" s="87"/>
      <c r="AE35" s="49"/>
      <c r="AF35" s="49"/>
      <c r="AG35" s="58"/>
      <c r="AH35" s="49"/>
      <c r="AI35" s="49"/>
      <c r="AJ35" s="49"/>
    </row>
    <row r="36" spans="20:46" ht="15" customHeight="1" x14ac:dyDescent="0.25">
      <c r="T36" s="92"/>
      <c r="U36" s="93"/>
      <c r="V36" s="93"/>
      <c r="W36" s="93"/>
      <c r="X36" s="93"/>
      <c r="Y36" s="87"/>
      <c r="Z36" s="87"/>
      <c r="AA36" s="87"/>
      <c r="AB36" s="87"/>
      <c r="AC36" s="87"/>
      <c r="AD36" s="87"/>
      <c r="AE36" s="49"/>
      <c r="AF36" s="49"/>
      <c r="AG36" s="58"/>
      <c r="AH36" s="49"/>
      <c r="AI36" s="49"/>
      <c r="AJ36" s="49"/>
      <c r="AP36" s="30" t="s">
        <v>3</v>
      </c>
    </row>
    <row r="37" spans="20:46" ht="15" customHeight="1" x14ac:dyDescent="0.4">
      <c r="T37" s="51"/>
      <c r="U37" s="93" t="s">
        <v>45</v>
      </c>
      <c r="V37" s="93"/>
      <c r="W37" s="93"/>
      <c r="X37" s="93"/>
      <c r="Y37" s="97">
        <f ca="1">LOOKUP('2026'!AP5,'2026'!T5:T16,'2026'!U5:U16)/'2026'!V5</f>
        <v>0.11928628571428572</v>
      </c>
      <c r="Z37" s="97"/>
      <c r="AA37" s="97">
        <f ca="1">LOOKUP('2026'!AQ5,'2026'!T21:T24,'2026'!U21:U24)/'2026'!V21</f>
        <v>0.51578968421052629</v>
      </c>
      <c r="AB37" s="97"/>
      <c r="AC37" s="97">
        <f>'2026'!U18/'2026'!V18</f>
        <v>0.12250005</v>
      </c>
      <c r="AD37" s="97"/>
      <c r="AE37" s="49"/>
      <c r="AF37" s="49"/>
      <c r="AG37" s="58"/>
      <c r="AH37" s="49"/>
      <c r="AI37" s="49"/>
      <c r="AJ37" s="49"/>
      <c r="AP37" t="s">
        <v>10</v>
      </c>
      <c r="AQ37" s="10">
        <v>1000000</v>
      </c>
      <c r="AS37" t="s">
        <v>14</v>
      </c>
      <c r="AT37" s="10">
        <f ca="1">VLOOKUP('2026'!AP5,'2026'!T5:U16,2,FALSE)</f>
        <v>208751</v>
      </c>
    </row>
    <row r="38" spans="20:46" ht="15" customHeight="1" x14ac:dyDescent="0.4">
      <c r="T38" s="51"/>
      <c r="U38" s="93"/>
      <c r="V38" s="93"/>
      <c r="W38" s="93"/>
      <c r="X38" s="93"/>
      <c r="Y38" s="97"/>
      <c r="Z38" s="97"/>
      <c r="AA38" s="97"/>
      <c r="AB38" s="97"/>
      <c r="AC38" s="97"/>
      <c r="AD38" s="97"/>
      <c r="AE38" s="49"/>
      <c r="AF38" s="49"/>
      <c r="AG38" s="58"/>
      <c r="AH38" s="49"/>
      <c r="AI38" s="49"/>
      <c r="AJ38" s="49"/>
      <c r="AP38" t="s">
        <v>11</v>
      </c>
      <c r="AQ38" s="10">
        <v>200000</v>
      </c>
      <c r="AS38" t="s">
        <v>15</v>
      </c>
      <c r="AT38" s="10">
        <v>20000</v>
      </c>
    </row>
    <row r="39" spans="20:46" ht="15" customHeight="1" x14ac:dyDescent="0.4">
      <c r="T39" s="51"/>
      <c r="U39" s="93" t="s">
        <v>41</v>
      </c>
      <c r="V39" s="93"/>
      <c r="W39" s="93"/>
      <c r="X39" s="93"/>
      <c r="Y39" s="96">
        <f ca="1">'2026'!AP9</f>
        <v>0.9</v>
      </c>
      <c r="Z39" s="96"/>
      <c r="AA39" s="96">
        <f ca="1">'2026'!AQ9</f>
        <v>0.61538461538461542</v>
      </c>
      <c r="AB39" s="96"/>
      <c r="AC39" s="96">
        <f ca="1">'2026'!AR9</f>
        <v>0.15267175572519084</v>
      </c>
      <c r="AD39" s="96"/>
      <c r="AE39" s="56"/>
      <c r="AF39" s="56"/>
      <c r="AG39" s="58"/>
      <c r="AH39" s="49"/>
      <c r="AI39" s="49"/>
      <c r="AJ39" s="49"/>
      <c r="AP39" t="s">
        <v>12</v>
      </c>
      <c r="AQ39" s="10">
        <v>200000</v>
      </c>
      <c r="AS39" t="s">
        <v>16</v>
      </c>
      <c r="AT39" s="10">
        <f ca="1">(AQ40*2)-AT37</f>
        <v>2591249</v>
      </c>
    </row>
    <row r="40" spans="20:46" ht="15" customHeight="1" x14ac:dyDescent="0.4">
      <c r="T40" s="51"/>
      <c r="U40" s="93"/>
      <c r="V40" s="93"/>
      <c r="W40" s="93"/>
      <c r="X40" s="93"/>
      <c r="Y40" s="96"/>
      <c r="Z40" s="96"/>
      <c r="AA40" s="96"/>
      <c r="AB40" s="96"/>
      <c r="AC40" s="96"/>
      <c r="AD40" s="96"/>
      <c r="AE40" s="56"/>
      <c r="AF40" s="56"/>
      <c r="AG40" s="58"/>
      <c r="AH40" s="49"/>
      <c r="AI40" s="49"/>
      <c r="AJ40" s="49"/>
      <c r="AP40" t="s">
        <v>13</v>
      </c>
      <c r="AQ40" s="10">
        <v>1400000</v>
      </c>
    </row>
    <row r="41" spans="20:46" ht="9.75" customHeight="1" x14ac:dyDescent="0.4">
      <c r="T41" s="52"/>
      <c r="U41" s="49"/>
      <c r="V41" s="49"/>
      <c r="W41" s="49"/>
      <c r="X41" s="49"/>
      <c r="Y41" s="49"/>
      <c r="Z41" s="49"/>
      <c r="AA41" s="53"/>
      <c r="AB41" s="53"/>
      <c r="AC41" s="53"/>
      <c r="AD41" s="53"/>
      <c r="AE41" s="53"/>
      <c r="AF41" s="53"/>
      <c r="AG41" s="58"/>
      <c r="AH41" s="49"/>
      <c r="AI41" s="49"/>
      <c r="AJ41" s="49"/>
    </row>
    <row r="42" spans="20:46" ht="11.25" customHeight="1" x14ac:dyDescent="0.4">
      <c r="T42" s="54"/>
      <c r="U42" s="49"/>
      <c r="V42" s="49"/>
      <c r="W42" s="49"/>
      <c r="X42" s="49"/>
      <c r="Y42" s="49"/>
      <c r="Z42" s="50"/>
      <c r="AA42" s="53"/>
      <c r="AB42" s="53"/>
      <c r="AC42" s="53"/>
      <c r="AD42" s="53"/>
      <c r="AE42" s="53"/>
      <c r="AF42" s="53"/>
      <c r="AG42" s="58"/>
      <c r="AH42" s="49"/>
      <c r="AI42" s="49"/>
      <c r="AJ42" s="49"/>
    </row>
    <row r="43" spans="20:46" ht="15" customHeight="1" x14ac:dyDescent="0.25">
      <c r="T43" s="94" t="s">
        <v>47</v>
      </c>
      <c r="U43" s="95"/>
      <c r="V43" s="95"/>
      <c r="W43" s="95"/>
      <c r="X43" s="95"/>
      <c r="Y43" s="87" t="s">
        <v>3</v>
      </c>
      <c r="Z43" s="87"/>
      <c r="AA43" s="87" t="s">
        <v>39</v>
      </c>
      <c r="AB43" s="87"/>
      <c r="AC43" s="87" t="s">
        <v>40</v>
      </c>
      <c r="AD43" s="87"/>
      <c r="AE43" s="49"/>
      <c r="AF43" s="49"/>
      <c r="AG43" s="58"/>
      <c r="AH43" s="49"/>
      <c r="AI43" s="49"/>
      <c r="AJ43" s="49"/>
    </row>
    <row r="44" spans="20:46" ht="15" customHeight="1" x14ac:dyDescent="0.25">
      <c r="T44" s="94"/>
      <c r="U44" s="95"/>
      <c r="V44" s="95"/>
      <c r="W44" s="95"/>
      <c r="X44" s="95"/>
      <c r="Y44" s="87"/>
      <c r="Z44" s="87"/>
      <c r="AA44" s="87"/>
      <c r="AB44" s="87"/>
      <c r="AC44" s="87"/>
      <c r="AD44" s="87"/>
      <c r="AE44" s="49"/>
      <c r="AF44" s="49"/>
      <c r="AG44" s="58"/>
      <c r="AH44" s="49"/>
      <c r="AI44" s="49"/>
      <c r="AJ44" s="49"/>
      <c r="AP44" s="30" t="s">
        <v>39</v>
      </c>
    </row>
    <row r="45" spans="20:46" ht="15" customHeight="1" x14ac:dyDescent="0.4">
      <c r="T45" s="51"/>
      <c r="U45" s="93" t="s">
        <v>48</v>
      </c>
      <c r="V45" s="93"/>
      <c r="W45" s="93"/>
      <c r="X45" s="93"/>
      <c r="Y45" s="87">
        <f>'2026'!P17</f>
        <v>0</v>
      </c>
      <c r="Z45" s="87"/>
      <c r="AA45" s="106">
        <f>'2026'!P9+'2026'!P13+'2026'!P17</f>
        <v>0</v>
      </c>
      <c r="AB45" s="106"/>
      <c r="AC45" s="106">
        <f>'2026'!M58</f>
        <v>8</v>
      </c>
      <c r="AD45" s="106"/>
      <c r="AE45" s="56"/>
      <c r="AF45" s="56"/>
      <c r="AG45" s="58"/>
      <c r="AH45" s="49"/>
      <c r="AI45" s="49"/>
      <c r="AJ45" s="49"/>
      <c r="AP45" t="s">
        <v>10</v>
      </c>
      <c r="AQ45" s="10">
        <v>3000000</v>
      </c>
      <c r="AS45" t="s">
        <v>14</v>
      </c>
      <c r="AT45" s="10">
        <f ca="1">VLOOKUP('2026'!AQ5,'2026'!T21:U24,2,FALSE)</f>
        <v>2450001</v>
      </c>
    </row>
    <row r="46" spans="20:46" ht="15" customHeight="1" x14ac:dyDescent="0.4">
      <c r="T46" s="54"/>
      <c r="U46" s="93"/>
      <c r="V46" s="93"/>
      <c r="W46" s="93"/>
      <c r="X46" s="93"/>
      <c r="Y46" s="87"/>
      <c r="Z46" s="87"/>
      <c r="AA46" s="106"/>
      <c r="AB46" s="106"/>
      <c r="AC46" s="106"/>
      <c r="AD46" s="106"/>
      <c r="AE46" s="56"/>
      <c r="AF46" s="56"/>
      <c r="AG46" s="58"/>
      <c r="AH46" s="49"/>
      <c r="AI46" s="49"/>
      <c r="AJ46" s="49"/>
      <c r="AP46" t="s">
        <v>11</v>
      </c>
      <c r="AQ46" s="10">
        <v>600000</v>
      </c>
      <c r="AS46" t="s">
        <v>15</v>
      </c>
      <c r="AT46">
        <v>50000</v>
      </c>
    </row>
    <row r="47" spans="20:46" ht="15" customHeight="1" x14ac:dyDescent="0.4">
      <c r="T47" s="54"/>
      <c r="U47" s="93" t="s">
        <v>43</v>
      </c>
      <c r="V47" s="93"/>
      <c r="W47" s="93"/>
      <c r="X47" s="93"/>
      <c r="Y47" s="87">
        <f>'2026'!Q17</f>
        <v>0</v>
      </c>
      <c r="Z47" s="87"/>
      <c r="AA47" s="106">
        <f>'2026'!Q8+'2026'!Q12+'2026'!Q17</f>
        <v>0</v>
      </c>
      <c r="AB47" s="106"/>
      <c r="AC47" s="106">
        <f>'2026'!N58</f>
        <v>0</v>
      </c>
      <c r="AD47" s="106"/>
      <c r="AE47" s="56"/>
      <c r="AF47" s="56"/>
      <c r="AG47" s="58"/>
      <c r="AH47" s="49"/>
      <c r="AI47" s="49"/>
      <c r="AJ47" s="49"/>
      <c r="AP47" t="s">
        <v>12</v>
      </c>
      <c r="AQ47" s="10">
        <v>600000</v>
      </c>
      <c r="AS47" t="s">
        <v>16</v>
      </c>
      <c r="AT47" s="10">
        <f ca="1">(AQ48*2)-AT45</f>
        <v>5949999</v>
      </c>
    </row>
    <row r="48" spans="20:46" ht="15" customHeight="1" x14ac:dyDescent="0.4">
      <c r="T48" s="54"/>
      <c r="U48" s="93"/>
      <c r="V48" s="93"/>
      <c r="W48" s="93"/>
      <c r="X48" s="93"/>
      <c r="Y48" s="87"/>
      <c r="Z48" s="87"/>
      <c r="AA48" s="106"/>
      <c r="AB48" s="106"/>
      <c r="AC48" s="106"/>
      <c r="AD48" s="106"/>
      <c r="AE48" s="56"/>
      <c r="AF48" s="56"/>
      <c r="AG48" s="58"/>
      <c r="AH48" s="49"/>
      <c r="AI48" s="49"/>
      <c r="AJ48" s="49"/>
      <c r="AP48" t="s">
        <v>13</v>
      </c>
      <c r="AQ48" s="10">
        <v>4200000</v>
      </c>
    </row>
    <row r="49" spans="20:36" ht="15" customHeight="1" x14ac:dyDescent="0.4">
      <c r="T49" s="54"/>
      <c r="U49" s="93" t="s">
        <v>44</v>
      </c>
      <c r="V49" s="93"/>
      <c r="W49" s="93"/>
      <c r="X49" s="93"/>
      <c r="Y49" s="87">
        <v>0</v>
      </c>
      <c r="Z49" s="87"/>
      <c r="AA49" s="106">
        <v>0</v>
      </c>
      <c r="AB49" s="106"/>
      <c r="AC49" s="106">
        <f>'2026'!O58</f>
        <v>0</v>
      </c>
      <c r="AD49" s="106"/>
      <c r="AE49" s="56"/>
      <c r="AF49" s="56"/>
      <c r="AG49" s="58"/>
      <c r="AH49" s="49"/>
      <c r="AI49" s="49"/>
      <c r="AJ49" s="49"/>
    </row>
    <row r="50" spans="20:36" ht="15" customHeight="1" x14ac:dyDescent="0.4">
      <c r="T50" s="54"/>
      <c r="U50" s="93"/>
      <c r="V50" s="93"/>
      <c r="W50" s="93"/>
      <c r="X50" s="93"/>
      <c r="Y50" s="87"/>
      <c r="Z50" s="87"/>
      <c r="AA50" s="106"/>
      <c r="AB50" s="106"/>
      <c r="AC50" s="106"/>
      <c r="AD50" s="106"/>
      <c r="AE50" s="56"/>
      <c r="AF50" s="56"/>
      <c r="AG50" s="58"/>
      <c r="AH50" s="49"/>
      <c r="AI50" s="49"/>
      <c r="AJ50" s="49"/>
    </row>
    <row r="51" spans="20:36" ht="15" customHeight="1" x14ac:dyDescent="0.25">
      <c r="T51" s="22"/>
      <c r="U51" s="91"/>
      <c r="V51" s="91"/>
      <c r="W51" s="91"/>
      <c r="X51" s="91"/>
      <c r="Y51" s="91"/>
      <c r="Z51" s="91"/>
      <c r="AG51" s="58"/>
      <c r="AH51" s="49"/>
      <c r="AI51" s="49"/>
      <c r="AJ51" s="49"/>
    </row>
    <row r="52" spans="20:36" ht="15" customHeight="1" x14ac:dyDescent="0.25">
      <c r="T52" s="22"/>
      <c r="U52" s="91"/>
      <c r="V52" s="91"/>
      <c r="W52" s="91"/>
      <c r="X52" s="91"/>
      <c r="Y52" s="91"/>
      <c r="Z52" s="91"/>
      <c r="AG52" s="58"/>
      <c r="AH52" s="49"/>
      <c r="AI52" s="49"/>
      <c r="AJ52" s="49"/>
    </row>
    <row r="53" spans="20:36" ht="15" customHeight="1" x14ac:dyDescent="0.25">
      <c r="T53" s="23"/>
      <c r="U53" s="19"/>
      <c r="V53" s="19"/>
      <c r="W53" s="19"/>
      <c r="X53" s="19"/>
      <c r="Y53" s="19"/>
      <c r="Z53" s="17"/>
      <c r="AA53" s="17"/>
      <c r="AB53" s="17"/>
      <c r="AC53" s="17"/>
      <c r="AD53" s="17"/>
      <c r="AE53" s="17"/>
      <c r="AF53" s="17"/>
      <c r="AG53" s="59"/>
      <c r="AH53" s="49"/>
      <c r="AI53" s="49"/>
      <c r="AJ53" s="49"/>
    </row>
    <row r="54" spans="20:36" ht="15" customHeight="1" x14ac:dyDescent="0.25">
      <c r="T54" s="20"/>
      <c r="U54" s="18"/>
      <c r="V54" s="18"/>
      <c r="W54" s="18"/>
      <c r="X54" s="18"/>
      <c r="Y54" s="18"/>
      <c r="Z54" s="86"/>
    </row>
    <row r="55" spans="20:36" ht="15" customHeight="1" x14ac:dyDescent="0.25">
      <c r="T55" s="20"/>
      <c r="U55" s="18"/>
      <c r="V55" s="18"/>
      <c r="W55" s="18"/>
      <c r="X55" s="18"/>
      <c r="Y55" s="18"/>
      <c r="Z55" s="86"/>
    </row>
    <row r="56" spans="20:36" ht="15" customHeight="1" x14ac:dyDescent="0.25">
      <c r="T56" s="20"/>
      <c r="U56" s="18"/>
      <c r="V56" s="18"/>
      <c r="W56" s="18"/>
      <c r="X56" s="18"/>
      <c r="Y56" s="18"/>
      <c r="Z56" s="86"/>
    </row>
    <row r="57" spans="20:36" ht="14.25" customHeight="1" x14ac:dyDescent="0.25">
      <c r="T57" s="20"/>
      <c r="U57" s="18"/>
      <c r="V57" s="18"/>
      <c r="W57" s="18"/>
      <c r="X57" s="18"/>
      <c r="Y57" s="18"/>
      <c r="Z57" s="86"/>
    </row>
    <row r="58" spans="20:36" ht="15.75" customHeight="1" x14ac:dyDescent="0.25">
      <c r="T58" s="20"/>
      <c r="U58" s="18"/>
      <c r="V58" s="18"/>
      <c r="W58" s="18"/>
      <c r="X58" s="18"/>
      <c r="Y58" s="18"/>
      <c r="Z58" s="86"/>
    </row>
  </sheetData>
  <mergeCells count="35">
    <mergeCell ref="T1:Y1"/>
    <mergeCell ref="D1:R1"/>
    <mergeCell ref="T32:AG33"/>
    <mergeCell ref="U47:X48"/>
    <mergeCell ref="U49:X50"/>
    <mergeCell ref="AA43:AB44"/>
    <mergeCell ref="AC43:AD44"/>
    <mergeCell ref="AA45:AB46"/>
    <mergeCell ref="AA47:AB48"/>
    <mergeCell ref="AA49:AB50"/>
    <mergeCell ref="AC45:AD46"/>
    <mergeCell ref="AC47:AD48"/>
    <mergeCell ref="AC49:AD50"/>
    <mergeCell ref="Y47:Z48"/>
    <mergeCell ref="Y49:Z50"/>
    <mergeCell ref="AA37:AB38"/>
    <mergeCell ref="B3:R3"/>
    <mergeCell ref="Y35:Z36"/>
    <mergeCell ref="AA39:AB40"/>
    <mergeCell ref="AC37:AD38"/>
    <mergeCell ref="AC39:AD40"/>
    <mergeCell ref="Y37:Z38"/>
    <mergeCell ref="Y39:Z40"/>
    <mergeCell ref="Z54:Z58"/>
    <mergeCell ref="AA35:AB36"/>
    <mergeCell ref="AC35:AD36"/>
    <mergeCell ref="T3:AG3"/>
    <mergeCell ref="U51:Z52"/>
    <mergeCell ref="T35:X36"/>
    <mergeCell ref="T43:X44"/>
    <mergeCell ref="U37:X38"/>
    <mergeCell ref="U39:X40"/>
    <mergeCell ref="Y45:Z46"/>
    <mergeCell ref="U45:X46"/>
    <mergeCell ref="Y43:Z44"/>
  </mergeCells>
  <conditionalFormatting sqref="Y37">
    <cfRule type="cellIs" dxfId="3" priority="1" operator="greaterThan">
      <formula>$Y$39</formula>
    </cfRule>
  </conditionalFormatting>
  <conditionalFormatting sqref="AA37">
    <cfRule type="cellIs" dxfId="2" priority="8" operator="greaterThan">
      <formula>$AA$39</formula>
    </cfRule>
  </conditionalFormatting>
  <conditionalFormatting sqref="AC37">
    <cfRule type="cellIs" dxfId="1" priority="2" operator="greaterThan">
      <formula>$AC$39</formula>
    </cfRule>
  </conditionalFormatting>
  <pageMargins left="0.7" right="0.7" top="0.75" bottom="0.75" header="0.3" footer="0.3"/>
  <pageSetup paperSize="3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56"/>
  <sheetViews>
    <sheetView showGridLines="0" zoomScale="70" zoomScaleNormal="70" workbookViewId="0">
      <selection activeCell="H38" sqref="H38"/>
    </sheetView>
  </sheetViews>
  <sheetFormatPr defaultRowHeight="15" x14ac:dyDescent="0.25"/>
  <cols>
    <col min="1" max="1" width="2" customWidth="1"/>
    <col min="2" max="2" width="15.28515625" customWidth="1"/>
    <col min="3" max="3" width="19.5703125" bestFit="1" customWidth="1"/>
    <col min="4" max="4" width="5.7109375" customWidth="1"/>
    <col min="5" max="5" width="15.7109375" customWidth="1"/>
    <col min="6" max="6" width="21" customWidth="1"/>
    <col min="7" max="7" width="5.7109375" customWidth="1"/>
    <col min="8" max="8" width="14.140625" customWidth="1"/>
    <col min="9" max="9" width="20.140625" bestFit="1" customWidth="1"/>
    <col min="10" max="10" width="12.42578125" customWidth="1"/>
    <col min="11" max="11" width="6.5703125" customWidth="1"/>
    <col min="12" max="12" width="13.7109375" customWidth="1"/>
    <col min="13" max="13" width="37" customWidth="1"/>
    <col min="14" max="14" width="19.42578125" customWidth="1"/>
    <col min="15" max="15" width="12.140625" customWidth="1"/>
    <col min="16" max="16" width="17.5703125" bestFit="1" customWidth="1"/>
    <col min="17" max="17" width="10.5703125" customWidth="1"/>
    <col min="18" max="18" width="18.42578125" bestFit="1" customWidth="1"/>
    <col min="19" max="19" width="13.140625" customWidth="1"/>
    <col min="20" max="20" width="4.28515625" customWidth="1"/>
  </cols>
  <sheetData>
    <row r="1" spans="2:20" ht="28.5" customHeight="1" x14ac:dyDescent="0.25">
      <c r="B1" s="99" t="s">
        <v>49</v>
      </c>
      <c r="C1" s="99"/>
      <c r="D1" s="99"/>
      <c r="E1" s="99"/>
      <c r="F1" s="99"/>
      <c r="G1" s="99"/>
      <c r="H1" s="99"/>
      <c r="I1" s="99"/>
      <c r="J1" s="99"/>
      <c r="K1" s="31" t="s">
        <v>9</v>
      </c>
      <c r="L1" s="98">
        <f ca="1">TODAY()</f>
        <v>46078</v>
      </c>
      <c r="M1" s="113"/>
      <c r="N1" s="113"/>
      <c r="O1" s="113"/>
      <c r="P1" s="113"/>
      <c r="Q1" s="113"/>
      <c r="R1" s="113"/>
      <c r="S1" s="113"/>
      <c r="T1" s="35"/>
    </row>
    <row r="2" spans="2:20" ht="15.75" thickBot="1" x14ac:dyDescent="0.3"/>
    <row r="3" spans="2:20" ht="23.25" customHeight="1" x14ac:dyDescent="0.35">
      <c r="B3" s="88" t="s">
        <v>111</v>
      </c>
      <c r="C3" s="89"/>
      <c r="D3" s="89"/>
      <c r="E3" s="89"/>
      <c r="F3" s="89"/>
      <c r="G3" s="89"/>
      <c r="H3" s="89"/>
      <c r="I3" s="89"/>
      <c r="J3" s="90"/>
      <c r="L3" s="110" t="s">
        <v>81</v>
      </c>
      <c r="M3" s="111"/>
      <c r="N3" s="111"/>
      <c r="O3" s="111"/>
      <c r="P3" s="111"/>
      <c r="Q3" s="111"/>
      <c r="R3" s="111"/>
      <c r="S3" s="112"/>
    </row>
    <row r="4" spans="2:20" ht="21" x14ac:dyDescent="0.35">
      <c r="L4" s="77" t="s">
        <v>73</v>
      </c>
      <c r="M4" s="77" t="s">
        <v>74</v>
      </c>
      <c r="N4" s="77" t="s">
        <v>75</v>
      </c>
      <c r="O4" s="77" t="s">
        <v>76</v>
      </c>
      <c r="P4" s="77" t="s">
        <v>77</v>
      </c>
      <c r="Q4" s="77" t="s">
        <v>78</v>
      </c>
      <c r="R4" s="77" t="s">
        <v>79</v>
      </c>
      <c r="S4" s="78" t="s">
        <v>80</v>
      </c>
    </row>
    <row r="5" spans="2:20" ht="21" x14ac:dyDescent="0.35">
      <c r="L5" s="25" t="s">
        <v>92</v>
      </c>
      <c r="M5" s="25" t="s">
        <v>101</v>
      </c>
      <c r="N5" s="82">
        <v>452250</v>
      </c>
      <c r="O5" s="81">
        <v>1308</v>
      </c>
      <c r="P5" s="85" t="s">
        <v>91</v>
      </c>
      <c r="Q5" s="84">
        <v>0.9</v>
      </c>
      <c r="R5" s="71">
        <f t="shared" ref="R5" si="0">N5*Q5</f>
        <v>407025</v>
      </c>
      <c r="S5" s="72">
        <f t="shared" ref="S5" si="1">O5*Q5</f>
        <v>1177.2</v>
      </c>
    </row>
    <row r="6" spans="2:20" ht="21" x14ac:dyDescent="0.35">
      <c r="L6" s="25" t="s">
        <v>93</v>
      </c>
      <c r="M6" s="25" t="s">
        <v>102</v>
      </c>
      <c r="N6" s="82">
        <v>46500</v>
      </c>
      <c r="O6" s="81">
        <v>227</v>
      </c>
      <c r="P6" s="85" t="s">
        <v>91</v>
      </c>
      <c r="Q6" s="84">
        <v>0.9</v>
      </c>
      <c r="R6" s="71">
        <f t="shared" ref="R6:R10" si="2">N6*Q6</f>
        <v>41850</v>
      </c>
      <c r="S6" s="72">
        <f t="shared" ref="S6:S10" si="3">O6*Q6</f>
        <v>204.3</v>
      </c>
    </row>
    <row r="7" spans="2:20" ht="21" x14ac:dyDescent="0.35">
      <c r="L7" s="25" t="s">
        <v>100</v>
      </c>
      <c r="M7" s="25" t="s">
        <v>84</v>
      </c>
      <c r="N7" s="82">
        <v>264500</v>
      </c>
      <c r="O7" s="81">
        <v>958</v>
      </c>
      <c r="P7" s="85" t="s">
        <v>91</v>
      </c>
      <c r="Q7" s="84">
        <v>0.2</v>
      </c>
      <c r="R7" s="71">
        <f t="shared" si="2"/>
        <v>52900</v>
      </c>
      <c r="S7" s="72">
        <f t="shared" si="3"/>
        <v>191.60000000000002</v>
      </c>
    </row>
    <row r="8" spans="2:20" ht="21" x14ac:dyDescent="0.35">
      <c r="L8" s="25" t="s">
        <v>104</v>
      </c>
      <c r="M8" s="25" t="s">
        <v>83</v>
      </c>
      <c r="N8" s="82">
        <v>297000</v>
      </c>
      <c r="O8" s="81">
        <v>1350</v>
      </c>
      <c r="P8" s="85" t="s">
        <v>109</v>
      </c>
      <c r="Q8" s="84">
        <v>0.5</v>
      </c>
      <c r="R8" s="71">
        <f t="shared" si="2"/>
        <v>148500</v>
      </c>
      <c r="S8" s="72">
        <f t="shared" si="3"/>
        <v>675</v>
      </c>
    </row>
    <row r="9" spans="2:20" ht="21" x14ac:dyDescent="0.35">
      <c r="L9" s="25" t="s">
        <v>94</v>
      </c>
      <c r="M9" s="25" t="s">
        <v>85</v>
      </c>
      <c r="N9" s="82">
        <v>69500</v>
      </c>
      <c r="O9" s="81">
        <v>314</v>
      </c>
      <c r="P9" s="85" t="s">
        <v>91</v>
      </c>
      <c r="Q9" s="84">
        <v>0.5</v>
      </c>
      <c r="R9" s="71">
        <f t="shared" si="2"/>
        <v>34750</v>
      </c>
      <c r="S9" s="72">
        <f t="shared" si="3"/>
        <v>157</v>
      </c>
    </row>
    <row r="10" spans="2:20" ht="21" x14ac:dyDescent="0.35">
      <c r="L10" s="25" t="s">
        <v>95</v>
      </c>
      <c r="M10" s="25" t="s">
        <v>88</v>
      </c>
      <c r="N10" s="82">
        <v>910000</v>
      </c>
      <c r="O10" s="81">
        <v>823</v>
      </c>
      <c r="P10" s="85" t="s">
        <v>91</v>
      </c>
      <c r="Q10" s="84">
        <v>0.5</v>
      </c>
      <c r="R10" s="71">
        <f t="shared" si="2"/>
        <v>455000</v>
      </c>
      <c r="S10" s="72">
        <f t="shared" si="3"/>
        <v>411.5</v>
      </c>
    </row>
    <row r="11" spans="2:20" ht="21" x14ac:dyDescent="0.35">
      <c r="L11" s="25" t="s">
        <v>96</v>
      </c>
      <c r="M11" s="25" t="s">
        <v>86</v>
      </c>
      <c r="N11" s="82">
        <v>1034000</v>
      </c>
      <c r="O11" s="81">
        <v>2298</v>
      </c>
      <c r="P11" s="85" t="s">
        <v>91</v>
      </c>
      <c r="Q11" s="84">
        <v>0.5</v>
      </c>
      <c r="R11" s="71">
        <f t="shared" ref="R11" si="4">N11*Q11</f>
        <v>517000</v>
      </c>
      <c r="S11" s="72">
        <f t="shared" ref="S11:S12" si="5">O11*Q11</f>
        <v>1149</v>
      </c>
    </row>
    <row r="12" spans="2:20" ht="21" x14ac:dyDescent="0.35">
      <c r="L12" s="25" t="s">
        <v>97</v>
      </c>
      <c r="M12" s="25" t="s">
        <v>89</v>
      </c>
      <c r="N12" s="82">
        <v>1041000</v>
      </c>
      <c r="O12" s="81">
        <v>1</v>
      </c>
      <c r="P12" s="85" t="s">
        <v>91</v>
      </c>
      <c r="Q12" s="84">
        <v>0.2</v>
      </c>
      <c r="R12" s="71">
        <f>N12*Q12</f>
        <v>208200</v>
      </c>
      <c r="S12" s="72">
        <f t="shared" si="5"/>
        <v>0.2</v>
      </c>
    </row>
    <row r="13" spans="2:20" ht="21" x14ac:dyDescent="0.35">
      <c r="L13" s="25" t="s">
        <v>98</v>
      </c>
      <c r="M13" s="25" t="s">
        <v>87</v>
      </c>
      <c r="N13" s="82">
        <v>3620000</v>
      </c>
      <c r="O13" s="81">
        <v>7400</v>
      </c>
      <c r="P13" s="85" t="s">
        <v>91</v>
      </c>
      <c r="Q13" s="84">
        <v>0.5</v>
      </c>
      <c r="R13" s="71">
        <f t="shared" ref="R13:R17" si="6">N13*Q13</f>
        <v>1810000</v>
      </c>
      <c r="S13" s="72">
        <f t="shared" ref="S13:S17" si="7">O13*Q13</f>
        <v>3700</v>
      </c>
    </row>
    <row r="14" spans="2:20" ht="21" x14ac:dyDescent="0.35">
      <c r="L14" s="25" t="s">
        <v>99</v>
      </c>
      <c r="M14" s="25" t="s">
        <v>103</v>
      </c>
      <c r="N14" s="82">
        <v>32250</v>
      </c>
      <c r="O14" s="81">
        <v>104</v>
      </c>
      <c r="P14" s="85" t="s">
        <v>91</v>
      </c>
      <c r="Q14" s="84">
        <v>0.3</v>
      </c>
      <c r="R14" s="71">
        <f t="shared" si="6"/>
        <v>9675</v>
      </c>
      <c r="S14" s="72">
        <f t="shared" si="7"/>
        <v>31.2</v>
      </c>
    </row>
    <row r="15" spans="2:20" ht="21" x14ac:dyDescent="0.35">
      <c r="L15" s="25" t="s">
        <v>105</v>
      </c>
      <c r="M15" s="25" t="s">
        <v>108</v>
      </c>
      <c r="N15" s="82">
        <v>424000</v>
      </c>
      <c r="O15" s="81">
        <v>1169</v>
      </c>
      <c r="P15" s="85" t="s">
        <v>109</v>
      </c>
      <c r="Q15" s="84">
        <v>0.5</v>
      </c>
      <c r="R15" s="71">
        <f t="shared" si="6"/>
        <v>212000</v>
      </c>
      <c r="S15" s="72">
        <f t="shared" si="7"/>
        <v>584.5</v>
      </c>
    </row>
    <row r="16" spans="2:20" ht="21" x14ac:dyDescent="0.35">
      <c r="L16" s="25" t="s">
        <v>106</v>
      </c>
      <c r="M16" s="25" t="s">
        <v>90</v>
      </c>
      <c r="N16" s="82">
        <v>103750</v>
      </c>
      <c r="O16" s="81">
        <v>521</v>
      </c>
      <c r="P16" s="85" t="s">
        <v>109</v>
      </c>
      <c r="Q16" s="84">
        <v>0.4</v>
      </c>
      <c r="R16" s="71">
        <f t="shared" si="6"/>
        <v>41500</v>
      </c>
      <c r="S16" s="72">
        <f t="shared" si="7"/>
        <v>208.4</v>
      </c>
    </row>
    <row r="17" spans="2:19" ht="21" x14ac:dyDescent="0.35">
      <c r="L17" s="25" t="s">
        <v>107</v>
      </c>
      <c r="M17" s="25" t="s">
        <v>82</v>
      </c>
      <c r="N17" s="82">
        <v>95000</v>
      </c>
      <c r="O17" s="81">
        <v>382</v>
      </c>
      <c r="P17" s="85" t="s">
        <v>109</v>
      </c>
      <c r="Q17" s="84">
        <v>0.75</v>
      </c>
      <c r="R17" s="71">
        <f t="shared" si="6"/>
        <v>71250</v>
      </c>
      <c r="S17" s="72">
        <f t="shared" si="7"/>
        <v>286.5</v>
      </c>
    </row>
    <row r="18" spans="2:19" ht="21" x14ac:dyDescent="0.35">
      <c r="B18" s="36" t="s">
        <v>63</v>
      </c>
      <c r="C18" s="37">
        <f>'2026'!AC18</f>
        <v>49</v>
      </c>
      <c r="D18" s="38"/>
      <c r="E18" s="38" t="s">
        <v>56</v>
      </c>
      <c r="F18" s="37">
        <v>64</v>
      </c>
      <c r="G18" s="38"/>
      <c r="H18" s="38" t="s">
        <v>64</v>
      </c>
      <c r="I18" s="39">
        <f>C18-F18</f>
        <v>-15</v>
      </c>
      <c r="J18" s="40">
        <f>C18/F18-1</f>
        <v>-0.234375</v>
      </c>
      <c r="L18" s="81"/>
      <c r="M18" s="81"/>
      <c r="N18" s="82"/>
      <c r="O18" s="81"/>
      <c r="P18" s="83"/>
      <c r="Q18" s="84"/>
      <c r="R18" s="71"/>
      <c r="S18" s="72"/>
    </row>
    <row r="19" spans="2:19" ht="21.75" thickBot="1" x14ac:dyDescent="0.4">
      <c r="L19" s="73"/>
      <c r="M19" s="74"/>
      <c r="N19" s="75">
        <f>SUM(N5:N18)</f>
        <v>8389750</v>
      </c>
      <c r="O19" s="79">
        <f>SUM(O5:O18)</f>
        <v>16855</v>
      </c>
      <c r="P19" s="75"/>
      <c r="Q19" s="76"/>
      <c r="R19" s="75">
        <f>SUM(R5:R18)</f>
        <v>4009650</v>
      </c>
      <c r="S19" s="80">
        <f>SUM(S5:S18)</f>
        <v>8776.4</v>
      </c>
    </row>
    <row r="20" spans="2:19" ht="21" x14ac:dyDescent="0.35">
      <c r="B20" s="88" t="s">
        <v>111</v>
      </c>
      <c r="C20" s="89"/>
      <c r="D20" s="89"/>
      <c r="E20" s="89"/>
      <c r="F20" s="89"/>
      <c r="G20" s="89"/>
      <c r="H20" s="89"/>
      <c r="I20" s="89"/>
      <c r="J20" s="90"/>
      <c r="L20" s="107" t="s">
        <v>68</v>
      </c>
      <c r="M20" s="108"/>
      <c r="N20" s="108"/>
      <c r="O20" s="108"/>
      <c r="P20" s="108"/>
      <c r="Q20" s="108"/>
      <c r="R20" s="108"/>
      <c r="S20" s="109"/>
    </row>
    <row r="21" spans="2:19" ht="21" x14ac:dyDescent="0.35">
      <c r="L21" s="25"/>
      <c r="M21" s="25"/>
      <c r="N21" s="26"/>
      <c r="O21" s="27"/>
      <c r="P21" s="28"/>
      <c r="Q21" s="29"/>
      <c r="R21" s="26"/>
      <c r="S21" s="27"/>
    </row>
    <row r="22" spans="2:19" ht="21" customHeight="1" x14ac:dyDescent="0.35">
      <c r="L22" s="61"/>
      <c r="N22" s="43"/>
      <c r="O22" s="62"/>
      <c r="P22" s="43"/>
      <c r="Q22" s="63"/>
      <c r="R22" s="43"/>
      <c r="S22" s="62"/>
    </row>
    <row r="23" spans="2:19" ht="21" customHeight="1" x14ac:dyDescent="0.25"/>
    <row r="24" spans="2:19" ht="21" customHeight="1" x14ac:dyDescent="0.25"/>
    <row r="25" spans="2:19" ht="21" customHeight="1" x14ac:dyDescent="0.25"/>
    <row r="26" spans="2:19" ht="21" customHeight="1" x14ac:dyDescent="0.25"/>
    <row r="27" spans="2:19" ht="21" customHeight="1" x14ac:dyDescent="0.25"/>
    <row r="28" spans="2:19" ht="21" customHeight="1" x14ac:dyDescent="0.25"/>
    <row r="29" spans="2:19" ht="21" customHeight="1" x14ac:dyDescent="0.25"/>
    <row r="30" spans="2:19" ht="21" customHeight="1" x14ac:dyDescent="0.25"/>
    <row r="31" spans="2:19" ht="21" customHeight="1" x14ac:dyDescent="0.25"/>
    <row r="32" spans="2:19" ht="21" customHeight="1" x14ac:dyDescent="0.25"/>
    <row r="33" spans="2:16" ht="21" customHeight="1" x14ac:dyDescent="0.25"/>
    <row r="34" spans="2:16" ht="21" customHeight="1" x14ac:dyDescent="0.25"/>
    <row r="35" spans="2:16" ht="21" customHeight="1" x14ac:dyDescent="0.25"/>
    <row r="36" spans="2:16" ht="20.100000000000001" customHeight="1" x14ac:dyDescent="0.35">
      <c r="B36" s="36" t="s">
        <v>63</v>
      </c>
      <c r="C36" s="41">
        <f>'2026'!AG18</f>
        <v>11750000</v>
      </c>
      <c r="D36" s="38"/>
      <c r="E36" s="38" t="s">
        <v>56</v>
      </c>
      <c r="F36" s="41">
        <v>22000000</v>
      </c>
      <c r="G36" s="38"/>
      <c r="H36" s="38" t="s">
        <v>64</v>
      </c>
      <c r="I36" s="42">
        <f>C36-F36</f>
        <v>-10250000</v>
      </c>
      <c r="J36" s="40">
        <f>C36/F36-1</f>
        <v>-0.46590909090909094</v>
      </c>
    </row>
    <row r="43" spans="2:16" x14ac:dyDescent="0.25">
      <c r="L43" s="30" t="s">
        <v>3</v>
      </c>
    </row>
    <row r="44" spans="2:16" x14ac:dyDescent="0.25">
      <c r="L44" t="s">
        <v>10</v>
      </c>
      <c r="M44" s="10">
        <v>650000</v>
      </c>
      <c r="O44" t="s">
        <v>14</v>
      </c>
      <c r="P44" s="10">
        <f>'2026'!G58</f>
        <v>1094518</v>
      </c>
    </row>
    <row r="45" spans="2:16" x14ac:dyDescent="0.25">
      <c r="L45" t="s">
        <v>11</v>
      </c>
      <c r="M45" s="10">
        <v>150000</v>
      </c>
      <c r="O45" t="s">
        <v>15</v>
      </c>
      <c r="P45" s="10">
        <v>20000</v>
      </c>
    </row>
    <row r="46" spans="2:16" x14ac:dyDescent="0.25">
      <c r="L46" t="s">
        <v>12</v>
      </c>
      <c r="M46" s="10">
        <v>650000</v>
      </c>
      <c r="O46" t="s">
        <v>16</v>
      </c>
      <c r="P46" s="10">
        <f>(M47*2)-P44</f>
        <v>1905482</v>
      </c>
    </row>
    <row r="47" spans="2:16" x14ac:dyDescent="0.25">
      <c r="L47" t="s">
        <v>13</v>
      </c>
      <c r="M47" s="10">
        <v>1500000</v>
      </c>
    </row>
    <row r="51" spans="12:16" x14ac:dyDescent="0.25">
      <c r="L51" s="30" t="s">
        <v>62</v>
      </c>
    </row>
    <row r="52" spans="12:16" x14ac:dyDescent="0.25">
      <c r="L52" t="s">
        <v>10</v>
      </c>
      <c r="M52" s="10">
        <v>150</v>
      </c>
      <c r="O52" t="s">
        <v>14</v>
      </c>
      <c r="P52" s="10">
        <f>'2026'!H58</f>
        <v>205.67654160911763</v>
      </c>
    </row>
    <row r="53" spans="12:16" x14ac:dyDescent="0.25">
      <c r="L53" t="s">
        <v>12</v>
      </c>
      <c r="M53" s="10">
        <v>10</v>
      </c>
      <c r="O53" t="s">
        <v>15</v>
      </c>
      <c r="P53">
        <v>3</v>
      </c>
    </row>
    <row r="54" spans="12:16" x14ac:dyDescent="0.25">
      <c r="L54" t="s">
        <v>11</v>
      </c>
      <c r="M54" s="10">
        <v>65</v>
      </c>
      <c r="O54" t="s">
        <v>16</v>
      </c>
      <c r="P54" s="10">
        <f>(M56*2)-P52</f>
        <v>234.32345839088237</v>
      </c>
    </row>
    <row r="55" spans="12:16" x14ac:dyDescent="0.25">
      <c r="L55" t="s">
        <v>11</v>
      </c>
      <c r="M55" s="10"/>
      <c r="P55" s="10"/>
    </row>
    <row r="56" spans="12:16" x14ac:dyDescent="0.25">
      <c r="L56" t="s">
        <v>13</v>
      </c>
      <c r="M56" s="10">
        <v>220</v>
      </c>
    </row>
  </sheetData>
  <mergeCells count="6">
    <mergeCell ref="L20:S20"/>
    <mergeCell ref="L3:S3"/>
    <mergeCell ref="B20:J20"/>
    <mergeCell ref="B3:J3"/>
    <mergeCell ref="B1:J1"/>
    <mergeCell ref="L1:S1"/>
  </mergeCells>
  <phoneticPr fontId="15" type="noConversion"/>
  <conditionalFormatting sqref="L4:S19">
    <cfRule type="cellIs" dxfId="0" priority="1" operator="equal">
      <formula>0</formula>
    </cfRule>
  </conditionalFormatting>
  <pageMargins left="0.7" right="0.7" top="0.75" bottom="0.75" header="0.3" footer="0.3"/>
  <pageSetup paperSize="3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EA4A-2F1E-43DD-B3A5-B8F2D3EC090D}">
  <dimension ref="A2:AU62"/>
  <sheetViews>
    <sheetView topLeftCell="P1" zoomScaleNormal="100" workbookViewId="0">
      <selection activeCell="AC7" sqref="AC7"/>
    </sheetView>
  </sheetViews>
  <sheetFormatPr defaultRowHeight="15" x14ac:dyDescent="0.25"/>
  <cols>
    <col min="2" max="2" width="11.28515625" bestFit="1" customWidth="1"/>
    <col min="3" max="3" width="11.28515625" customWidth="1"/>
    <col min="5" max="5" width="12.28515625" bestFit="1" customWidth="1"/>
    <col min="7" max="7" width="11.5703125" bestFit="1" customWidth="1"/>
    <col min="8" max="8" width="12.5703125" customWidth="1"/>
    <col min="9" max="9" width="1.7109375" customWidth="1"/>
    <col min="19" max="19" width="1.85546875" customWidth="1"/>
    <col min="21" max="21" width="12.5703125" bestFit="1" customWidth="1"/>
    <col min="22" max="24" width="11.5703125" bestFit="1" customWidth="1"/>
    <col min="25" max="25" width="10.5703125" bestFit="1" customWidth="1"/>
    <col min="27" max="27" width="2.28515625" customWidth="1"/>
    <col min="33" max="34" width="13.7109375" bestFit="1" customWidth="1"/>
    <col min="35" max="35" width="13.42578125" bestFit="1" customWidth="1"/>
    <col min="36" max="36" width="12.5703125" bestFit="1" customWidth="1"/>
    <col min="42" max="42" width="12.5703125" bestFit="1" customWidth="1"/>
    <col min="46" max="46" width="9.7109375" bestFit="1" customWidth="1"/>
  </cols>
  <sheetData>
    <row r="2" spans="1:47" x14ac:dyDescent="0.25">
      <c r="P2" t="s">
        <v>3</v>
      </c>
      <c r="Q2" t="s">
        <v>3</v>
      </c>
      <c r="R2" t="s">
        <v>3</v>
      </c>
    </row>
    <row r="3" spans="1:47" ht="15.75" thickBot="1" x14ac:dyDescent="0.3">
      <c r="E3" s="114" t="s">
        <v>5</v>
      </c>
      <c r="F3" s="115"/>
      <c r="G3" s="11"/>
      <c r="H3" s="11"/>
      <c r="I3" s="11"/>
      <c r="J3" s="114" t="s">
        <v>36</v>
      </c>
      <c r="K3" s="116"/>
      <c r="L3" s="115"/>
      <c r="M3" s="11" t="s">
        <v>50</v>
      </c>
      <c r="N3" s="11" t="s">
        <v>37</v>
      </c>
      <c r="O3" s="11" t="s">
        <v>38</v>
      </c>
      <c r="P3" s="11" t="s">
        <v>50</v>
      </c>
      <c r="Q3" s="11" t="s">
        <v>37</v>
      </c>
      <c r="R3" s="11" t="s">
        <v>38</v>
      </c>
      <c r="S3" s="11"/>
      <c r="T3" s="114" t="s">
        <v>5</v>
      </c>
      <c r="U3" s="116"/>
      <c r="V3" s="115"/>
      <c r="W3" s="11"/>
      <c r="X3" s="11"/>
      <c r="AC3" s="114" t="s">
        <v>67</v>
      </c>
      <c r="AD3" s="116"/>
      <c r="AE3" s="116"/>
      <c r="AF3" s="115"/>
      <c r="AG3" s="114" t="s">
        <v>66</v>
      </c>
      <c r="AH3" s="116"/>
      <c r="AI3" s="116"/>
      <c r="AJ3" s="115"/>
      <c r="AO3" s="5" t="s">
        <v>0</v>
      </c>
      <c r="AP3" s="67">
        <f ca="1">TODAY()</f>
        <v>46078</v>
      </c>
      <c r="AS3" s="65"/>
    </row>
    <row r="4" spans="1:47" ht="18" x14ac:dyDescent="0.25">
      <c r="A4" s="11" t="s">
        <v>18</v>
      </c>
      <c r="B4" s="11" t="s">
        <v>21</v>
      </c>
      <c r="C4" s="11" t="s">
        <v>3</v>
      </c>
      <c r="D4" s="11" t="s">
        <v>17</v>
      </c>
      <c r="E4" s="11" t="s">
        <v>19</v>
      </c>
      <c r="F4" s="11" t="s">
        <v>20</v>
      </c>
      <c r="G4" s="11" t="s">
        <v>60</v>
      </c>
      <c r="H4" s="11" t="s">
        <v>61</v>
      </c>
      <c r="I4" s="11"/>
      <c r="J4" s="11" t="s">
        <v>6</v>
      </c>
      <c r="K4" s="11" t="s">
        <v>35</v>
      </c>
      <c r="L4" s="11" t="s">
        <v>10</v>
      </c>
      <c r="M4" s="11"/>
      <c r="N4" s="11"/>
      <c r="O4" s="11"/>
      <c r="P4" s="11"/>
      <c r="Q4" s="11"/>
      <c r="R4" s="11"/>
      <c r="S4" s="11"/>
      <c r="T4" s="11" t="s">
        <v>3</v>
      </c>
      <c r="U4" s="11" t="s">
        <v>34</v>
      </c>
      <c r="V4" s="11" t="s">
        <v>58</v>
      </c>
      <c r="W4" s="11" t="s">
        <v>55</v>
      </c>
      <c r="X4" s="11" t="s">
        <v>56</v>
      </c>
      <c r="Y4" s="11" t="s">
        <v>57</v>
      </c>
      <c r="AB4" s="11" t="s">
        <v>3</v>
      </c>
      <c r="AC4" s="11" t="s">
        <v>34</v>
      </c>
      <c r="AD4" s="11" t="s">
        <v>35</v>
      </c>
      <c r="AE4" s="11" t="s">
        <v>55</v>
      </c>
      <c r="AF4" s="11" t="s">
        <v>56</v>
      </c>
      <c r="AG4" s="11" t="s">
        <v>34</v>
      </c>
      <c r="AH4" s="11" t="s">
        <v>35</v>
      </c>
      <c r="AI4" s="11" t="s">
        <v>55</v>
      </c>
      <c r="AJ4" s="11" t="s">
        <v>56</v>
      </c>
      <c r="AO4" s="6"/>
      <c r="AP4" s="68"/>
    </row>
    <row r="5" spans="1:47" ht="30" x14ac:dyDescent="0.25">
      <c r="A5" s="11">
        <v>2026</v>
      </c>
      <c r="B5" s="14">
        <v>46028</v>
      </c>
      <c r="C5" s="14" t="s">
        <v>22</v>
      </c>
      <c r="D5" s="11">
        <v>1</v>
      </c>
      <c r="E5" s="12">
        <f>'[1]Data Collection'!$C2</f>
        <v>494500</v>
      </c>
      <c r="F5" s="70">
        <f>'[1]Data Collection'!$D2</f>
        <v>1380</v>
      </c>
      <c r="G5" s="12">
        <f>'[1]Data Collection'!$E2</f>
        <v>217469</v>
      </c>
      <c r="H5" s="13">
        <f t="shared" ref="H5" si="0">IFERROR(G5/F5,)</f>
        <v>157.58623188405798</v>
      </c>
      <c r="I5" s="13"/>
      <c r="J5" s="13">
        <v>22873</v>
      </c>
      <c r="K5" s="13">
        <v>18000</v>
      </c>
      <c r="L5" s="13">
        <v>12000</v>
      </c>
      <c r="M5" s="66">
        <f>IF(J5&gt;8000,1,0)</f>
        <v>1</v>
      </c>
      <c r="N5" s="66">
        <f t="shared" ref="N5" si="1">IF(J5&lt;K5,1,0)</f>
        <v>0</v>
      </c>
      <c r="O5" s="66">
        <f>IF(J5&lt;L5,1,0)</f>
        <v>0</v>
      </c>
      <c r="P5" s="66"/>
      <c r="Q5" s="66"/>
      <c r="R5" s="66"/>
      <c r="S5" s="13"/>
      <c r="T5" s="16">
        <v>1</v>
      </c>
      <c r="U5" s="32">
        <f>'[1]Data Collection'!$J2</f>
        <v>2241250</v>
      </c>
      <c r="V5" s="13">
        <v>1750000</v>
      </c>
      <c r="W5" s="13">
        <f>U5</f>
        <v>2241250</v>
      </c>
      <c r="X5" s="13">
        <f>V5</f>
        <v>1750000</v>
      </c>
      <c r="Y5" s="13"/>
      <c r="AA5" s="13"/>
      <c r="AB5" s="16" t="s">
        <v>22</v>
      </c>
      <c r="AC5" s="13">
        <v>27</v>
      </c>
      <c r="AD5" s="13">
        <v>32</v>
      </c>
      <c r="AE5" s="15">
        <f>AC5</f>
        <v>27</v>
      </c>
      <c r="AF5" s="15">
        <f>AD5</f>
        <v>32</v>
      </c>
      <c r="AG5" s="24">
        <v>10850000</v>
      </c>
      <c r="AH5" s="24">
        <v>11000000</v>
      </c>
      <c r="AI5" s="15">
        <f>AG5</f>
        <v>10850000</v>
      </c>
      <c r="AJ5" s="15">
        <f>AH5</f>
        <v>11000000</v>
      </c>
      <c r="AO5" s="7" t="s">
        <v>1</v>
      </c>
      <c r="AP5" s="69">
        <f ca="1">MONTH(AP3)</f>
        <v>2</v>
      </c>
      <c r="AQ5" s="1">
        <f ca="1">ROUNDUP(MONTH(AP3)/3,0)</f>
        <v>1</v>
      </c>
    </row>
    <row r="6" spans="1:47" x14ac:dyDescent="0.25">
      <c r="A6" s="11">
        <v>2026</v>
      </c>
      <c r="B6" s="14">
        <v>46035</v>
      </c>
      <c r="C6" s="14"/>
      <c r="D6" s="11">
        <v>2</v>
      </c>
      <c r="E6" s="12">
        <f>'[1]Data Collection'!$C3</f>
        <v>1744400</v>
      </c>
      <c r="F6" s="70">
        <f>'[1]Data Collection'!$D3</f>
        <v>3153</v>
      </c>
      <c r="G6" s="12">
        <f>'[1]Data Collection'!$E3</f>
        <v>749710</v>
      </c>
      <c r="H6" s="13">
        <f t="shared" ref="H6:H56" si="2">IFERROR(G6/F6,)</f>
        <v>237.7767205835712</v>
      </c>
      <c r="I6" s="13"/>
      <c r="J6" s="13">
        <f>J5-640+F6</f>
        <v>25386</v>
      </c>
      <c r="K6" s="13">
        <v>18000</v>
      </c>
      <c r="L6" s="13">
        <v>12000</v>
      </c>
      <c r="M6" s="66">
        <f>IF(J6&gt;8000,1,0)</f>
        <v>1</v>
      </c>
      <c r="N6" s="66">
        <f t="shared" ref="N6:N7" si="3">IF(J6&lt;K6,1,0)</f>
        <v>0</v>
      </c>
      <c r="O6" s="66">
        <f t="shared" ref="O6" si="4">IF(J6&lt;L6,1,0)</f>
        <v>0</v>
      </c>
      <c r="P6" s="66"/>
      <c r="Q6" s="66"/>
      <c r="R6" s="66"/>
      <c r="S6" s="13"/>
      <c r="T6" s="16">
        <v>2</v>
      </c>
      <c r="U6" s="32">
        <f>'[1]Data Collection'!$J3</f>
        <v>208751</v>
      </c>
      <c r="V6" s="13">
        <v>1500000</v>
      </c>
      <c r="W6" s="13">
        <f>W5+U6</f>
        <v>2450001</v>
      </c>
      <c r="X6" s="13">
        <f>X5+V6</f>
        <v>3250000</v>
      </c>
      <c r="Y6" s="13"/>
      <c r="AA6" s="13"/>
      <c r="AB6" s="16" t="s">
        <v>23</v>
      </c>
      <c r="AC6" s="13">
        <v>22</v>
      </c>
      <c r="AD6" s="13">
        <v>32</v>
      </c>
      <c r="AE6" s="15">
        <f>AE5+AC6</f>
        <v>49</v>
      </c>
      <c r="AF6" s="15">
        <f>AF5+AD6</f>
        <v>64</v>
      </c>
      <c r="AG6" s="24">
        <v>900000</v>
      </c>
      <c r="AH6" s="24">
        <v>11000000</v>
      </c>
      <c r="AI6" s="15">
        <f>AI5+AG6</f>
        <v>11750000</v>
      </c>
      <c r="AJ6" s="15">
        <f>AJ5+AH6</f>
        <v>22000000</v>
      </c>
      <c r="AL6" s="15"/>
      <c r="AM6" s="15"/>
      <c r="AO6" s="8"/>
      <c r="AP6" s="2" t="s">
        <v>3</v>
      </c>
      <c r="AQ6" s="2" t="s">
        <v>4</v>
      </c>
      <c r="AR6" t="s">
        <v>40</v>
      </c>
    </row>
    <row r="7" spans="1:47" x14ac:dyDescent="0.25">
      <c r="A7" s="11">
        <v>2026</v>
      </c>
      <c r="B7" s="14">
        <v>46042</v>
      </c>
      <c r="C7" s="14"/>
      <c r="D7" s="11">
        <v>3</v>
      </c>
      <c r="E7" s="12">
        <f>'[1]Data Collection'!$C4</f>
        <v>0</v>
      </c>
      <c r="F7" s="70">
        <f>'[1]Data Collection'!$D4</f>
        <v>0</v>
      </c>
      <c r="G7" s="12">
        <f>'[1]Data Collection'!$E4</f>
        <v>0</v>
      </c>
      <c r="H7" s="13">
        <f t="shared" si="2"/>
        <v>0</v>
      </c>
      <c r="I7" s="13"/>
      <c r="J7" s="13">
        <f t="shared" ref="J7:J12" si="5">J6-640+F7</f>
        <v>24746</v>
      </c>
      <c r="K7" s="13">
        <v>18000</v>
      </c>
      <c r="L7" s="13">
        <v>12000</v>
      </c>
      <c r="M7" s="66">
        <f>IF(J7&gt;8000,1,0)</f>
        <v>1</v>
      </c>
      <c r="N7" s="66">
        <f t="shared" si="3"/>
        <v>0</v>
      </c>
      <c r="O7" s="66">
        <f>IF(J7&lt;L7,1,0)</f>
        <v>0</v>
      </c>
      <c r="P7" s="66"/>
      <c r="Q7" s="66"/>
      <c r="R7" s="66"/>
      <c r="S7" s="13"/>
      <c r="T7" s="16">
        <v>3</v>
      </c>
      <c r="U7" s="32">
        <f>'[1]Data Collection'!$J4</f>
        <v>0</v>
      </c>
      <c r="V7" s="13">
        <v>1500000</v>
      </c>
      <c r="W7" s="13"/>
      <c r="X7" s="13">
        <f t="shared" ref="X7:X16" si="6">X6+V7</f>
        <v>4750000</v>
      </c>
      <c r="Y7" s="13"/>
      <c r="AA7" s="13"/>
      <c r="AB7" s="16" t="s">
        <v>24</v>
      </c>
      <c r="AC7" s="13"/>
      <c r="AD7" s="13">
        <v>30</v>
      </c>
      <c r="AE7" s="15">
        <f>AE6+AC7</f>
        <v>49</v>
      </c>
      <c r="AF7" s="15">
        <f t="shared" ref="AF7:AF16" si="7">AF6+AD7</f>
        <v>94</v>
      </c>
      <c r="AG7" s="24"/>
      <c r="AH7" s="24">
        <v>11000000</v>
      </c>
      <c r="AI7" s="15">
        <f>AI6+AG7</f>
        <v>11750000</v>
      </c>
      <c r="AJ7" s="15">
        <f t="shared" ref="AJ7:AJ16" si="8">AJ6+AH7</f>
        <v>33000000</v>
      </c>
      <c r="AL7" s="15"/>
      <c r="AM7" s="15"/>
      <c r="AN7" s="15"/>
      <c r="AO7" s="9" t="s">
        <v>8</v>
      </c>
      <c r="AP7" s="3">
        <f ca="1">NETWORKDAYS(VLOOKUP(AP5,AO13:AP24,2,FALSE),AP3, {"1/3/2024","5/30/2024","7/4/2024","9/5/2024","11/24/2024","11/25/2024","12/23/2024","12/26/2024"})</f>
        <v>18</v>
      </c>
      <c r="AQ7" s="3">
        <f ca="1">NETWORKDAYS(VLOOKUP(AQ5,AS13:AT16,2),AP3,{"1/3/2024","5/30/2024","7/4/2024","9/5/2024","11/24/2024","11/25/2024","12/23/2024","12/26/2024"})</f>
        <v>40</v>
      </c>
      <c r="AR7" s="3">
        <f ca="1">NETWORKDAYS(AP13,AP3,{"1/3/2024","5/30/2024","7/4/2024","9/5/2024","11/24/2024","11/25/2024","12/23/2024","12/26/2024"})</f>
        <v>40</v>
      </c>
    </row>
    <row r="8" spans="1:47" x14ac:dyDescent="0.25">
      <c r="A8" s="11">
        <v>2026</v>
      </c>
      <c r="B8" s="14">
        <v>46049</v>
      </c>
      <c r="C8" s="14"/>
      <c r="D8" s="11">
        <v>4</v>
      </c>
      <c r="E8" s="12">
        <f>'[1]Data Collection'!$C5</f>
        <v>2350</v>
      </c>
      <c r="F8" s="70">
        <f>'[1]Data Collection'!$D5</f>
        <v>12.55</v>
      </c>
      <c r="G8" s="12">
        <f>'[1]Data Collection'!$E5</f>
        <v>2017</v>
      </c>
      <c r="H8" s="13">
        <f t="shared" si="2"/>
        <v>160.71713147410358</v>
      </c>
      <c r="I8" s="13"/>
      <c r="J8" s="13">
        <f t="shared" si="5"/>
        <v>24118.55</v>
      </c>
      <c r="K8" s="13">
        <v>18000</v>
      </c>
      <c r="L8" s="13">
        <v>12000</v>
      </c>
      <c r="M8" s="66">
        <f>IF(J8&gt;8000,1,0)</f>
        <v>1</v>
      </c>
      <c r="N8" s="66">
        <f t="shared" ref="N8:N11" si="9">IF(J8&lt;K8,1,0)</f>
        <v>0</v>
      </c>
      <c r="O8" s="66">
        <f t="shared" ref="O8" si="10">IF(J8&lt;L8,1,0)</f>
        <v>0</v>
      </c>
      <c r="P8" s="66">
        <f>SUM(M4:M8)</f>
        <v>4</v>
      </c>
      <c r="Q8" s="66">
        <f t="shared" ref="Q8" si="11">SUM(N5:N8)</f>
        <v>0</v>
      </c>
      <c r="R8" s="66">
        <f t="shared" ref="R8" si="12">SUM(O5:O8)</f>
        <v>0</v>
      </c>
      <c r="S8" s="13"/>
      <c r="T8" s="16">
        <v>4</v>
      </c>
      <c r="U8" s="32">
        <f>'[1]Data Collection'!$J5</f>
        <v>0</v>
      </c>
      <c r="V8" s="13">
        <v>1750000</v>
      </c>
      <c r="W8" s="13"/>
      <c r="X8" s="13">
        <f t="shared" si="6"/>
        <v>6500000</v>
      </c>
      <c r="Y8" s="13"/>
      <c r="AA8" s="13"/>
      <c r="AB8" s="16" t="s">
        <v>25</v>
      </c>
      <c r="AC8" s="13"/>
      <c r="AD8" s="13">
        <v>30</v>
      </c>
      <c r="AE8" s="15">
        <f>AE7+AC8</f>
        <v>49</v>
      </c>
      <c r="AF8" s="15">
        <f t="shared" si="7"/>
        <v>124</v>
      </c>
      <c r="AG8" s="24"/>
      <c r="AH8" s="24">
        <v>11000000</v>
      </c>
      <c r="AI8" s="15">
        <f>AI7+AG8</f>
        <v>11750000</v>
      </c>
      <c r="AJ8" s="15">
        <f t="shared" si="8"/>
        <v>44000000</v>
      </c>
      <c r="AL8" s="15"/>
      <c r="AM8" s="15"/>
      <c r="AN8" s="15"/>
      <c r="AO8" s="9" t="s">
        <v>7</v>
      </c>
      <c r="AP8" s="2">
        <f ca="1">LOOKUP(AP5,AO13:AO24,AQ13:AQ24)</f>
        <v>20</v>
      </c>
      <c r="AQ8" s="2">
        <f ca="1">LOOKUP(AQ5,AS13:AS16,AU13:AU16)</f>
        <v>65</v>
      </c>
      <c r="AR8">
        <f>NETWORKDAYS("1/1/24","12/31/24")</f>
        <v>262</v>
      </c>
    </row>
    <row r="9" spans="1:47" x14ac:dyDescent="0.25">
      <c r="A9" s="11">
        <v>2026</v>
      </c>
      <c r="B9" s="14">
        <v>46056</v>
      </c>
      <c r="C9" s="14" t="s">
        <v>23</v>
      </c>
      <c r="D9" s="11">
        <v>5</v>
      </c>
      <c r="E9" s="12">
        <f>'[1]Data Collection'!$C6</f>
        <v>138750</v>
      </c>
      <c r="F9" s="70">
        <f>'[1]Data Collection'!$D6</f>
        <v>515</v>
      </c>
      <c r="G9" s="12">
        <f>'[1]Data Collection'!$E6</f>
        <v>84857</v>
      </c>
      <c r="H9" s="13">
        <f t="shared" si="2"/>
        <v>164.77087378640778</v>
      </c>
      <c r="I9" s="13"/>
      <c r="J9" s="13">
        <f t="shared" si="5"/>
        <v>23993.55</v>
      </c>
      <c r="K9" s="13">
        <v>18000</v>
      </c>
      <c r="L9" s="13">
        <v>12000</v>
      </c>
      <c r="M9" s="66">
        <f>IF(J9&gt;8000,1,0)</f>
        <v>1</v>
      </c>
      <c r="N9" s="66">
        <f t="shared" si="9"/>
        <v>0</v>
      </c>
      <c r="O9" s="66">
        <f>IF(J9&lt;L9,1,0)</f>
        <v>0</v>
      </c>
      <c r="P9" s="66"/>
      <c r="Q9" s="66"/>
      <c r="R9" s="66"/>
      <c r="S9" s="13"/>
      <c r="T9" s="16">
        <v>5</v>
      </c>
      <c r="U9" s="32">
        <f>'[1]Data Collection'!$J6</f>
        <v>0</v>
      </c>
      <c r="V9" s="13">
        <v>1750000</v>
      </c>
      <c r="W9" s="13"/>
      <c r="X9" s="13">
        <f t="shared" si="6"/>
        <v>8250000</v>
      </c>
      <c r="Y9" s="13"/>
      <c r="AA9" s="13"/>
      <c r="AB9" s="16" t="s">
        <v>26</v>
      </c>
      <c r="AC9" s="13"/>
      <c r="AD9" s="13">
        <v>32</v>
      </c>
      <c r="AE9" s="15">
        <f>AE8+AC9</f>
        <v>49</v>
      </c>
      <c r="AF9" s="15">
        <f t="shared" si="7"/>
        <v>156</v>
      </c>
      <c r="AG9" s="24"/>
      <c r="AH9" s="24">
        <v>11000000</v>
      </c>
      <c r="AI9" s="15">
        <f>AI8+AG9</f>
        <v>11750000</v>
      </c>
      <c r="AJ9" s="15">
        <f t="shared" si="8"/>
        <v>55000000</v>
      </c>
      <c r="AL9" s="15"/>
      <c r="AM9" s="15"/>
      <c r="AN9" s="15"/>
      <c r="AO9" s="9" t="s">
        <v>2</v>
      </c>
      <c r="AP9" s="4">
        <f t="shared" ref="AP9:AQ9" ca="1" si="13">AP7/AP8</f>
        <v>0.9</v>
      </c>
      <c r="AQ9" s="4">
        <f t="shared" ca="1" si="13"/>
        <v>0.61538461538461542</v>
      </c>
      <c r="AR9" s="4">
        <f ca="1">AR7/AR8</f>
        <v>0.15267175572519084</v>
      </c>
    </row>
    <row r="10" spans="1:47" x14ac:dyDescent="0.25">
      <c r="A10" s="11">
        <v>2026</v>
      </c>
      <c r="B10" s="14">
        <v>46063</v>
      </c>
      <c r="C10" s="14"/>
      <c r="D10" s="11">
        <v>6</v>
      </c>
      <c r="E10" s="12">
        <f>'[1]Data Collection'!$C7</f>
        <v>70000</v>
      </c>
      <c r="F10" s="70">
        <f>'[1]Data Collection'!$D7</f>
        <v>260</v>
      </c>
      <c r="G10" s="12">
        <f>'[1]Data Collection'!$E7</f>
        <v>40464</v>
      </c>
      <c r="H10" s="13">
        <f t="shared" si="2"/>
        <v>155.63076923076923</v>
      </c>
      <c r="I10" s="13"/>
      <c r="J10" s="13">
        <f t="shared" si="5"/>
        <v>23613.55</v>
      </c>
      <c r="K10" s="13">
        <v>18000</v>
      </c>
      <c r="L10" s="13">
        <v>12000</v>
      </c>
      <c r="M10" s="66">
        <f>IF(J10&gt;8000,1,0)</f>
        <v>1</v>
      </c>
      <c r="N10" s="66">
        <f t="shared" si="9"/>
        <v>0</v>
      </c>
      <c r="O10" s="66">
        <f t="shared" ref="O10" si="14">IF(J10&lt;L10,1,0)</f>
        <v>0</v>
      </c>
      <c r="P10" s="66"/>
      <c r="Q10" s="66"/>
      <c r="R10" s="66"/>
      <c r="S10" s="13"/>
      <c r="T10" s="16">
        <v>6</v>
      </c>
      <c r="U10" s="32">
        <f>'[1]Data Collection'!$J7</f>
        <v>0</v>
      </c>
      <c r="V10" s="13">
        <v>1750000</v>
      </c>
      <c r="W10" s="13"/>
      <c r="X10" s="13">
        <f t="shared" si="6"/>
        <v>10000000</v>
      </c>
      <c r="Y10" s="13"/>
      <c r="AA10" s="13"/>
      <c r="AB10" s="16" t="s">
        <v>27</v>
      </c>
      <c r="AC10" s="13"/>
      <c r="AD10" s="13">
        <v>32</v>
      </c>
      <c r="AE10" s="15">
        <f>AE9+AC10</f>
        <v>49</v>
      </c>
      <c r="AF10" s="15">
        <f t="shared" si="7"/>
        <v>188</v>
      </c>
      <c r="AG10" s="24"/>
      <c r="AH10" s="24">
        <v>11000000</v>
      </c>
      <c r="AI10" s="15">
        <f>AI9+AG10</f>
        <v>11750000</v>
      </c>
      <c r="AJ10" s="15">
        <f t="shared" si="8"/>
        <v>66000000</v>
      </c>
      <c r="AL10" s="15"/>
      <c r="AM10" s="15"/>
      <c r="AN10" s="15"/>
    </row>
    <row r="11" spans="1:47" x14ac:dyDescent="0.25">
      <c r="A11" s="11">
        <v>2026</v>
      </c>
      <c r="B11" s="14">
        <v>46070</v>
      </c>
      <c r="C11" s="14"/>
      <c r="D11" s="11">
        <v>7</v>
      </c>
      <c r="E11" s="12">
        <f>'[1]Data Collection'!$C8</f>
        <v>0</v>
      </c>
      <c r="F11" s="70">
        <f>'[1]Data Collection'!$D8</f>
        <v>0</v>
      </c>
      <c r="G11" s="12">
        <f>'[1]Data Collection'!$E8</f>
        <v>0</v>
      </c>
      <c r="H11" s="13">
        <f t="shared" si="2"/>
        <v>0</v>
      </c>
      <c r="I11" s="13"/>
      <c r="J11" s="13">
        <f t="shared" si="5"/>
        <v>22973.55</v>
      </c>
      <c r="K11" s="13">
        <v>18000</v>
      </c>
      <c r="L11" s="13">
        <v>12000</v>
      </c>
      <c r="M11" s="66">
        <f>IF(J11&gt;8000,1,0)</f>
        <v>1</v>
      </c>
      <c r="N11" s="66">
        <f t="shared" si="9"/>
        <v>0</v>
      </c>
      <c r="O11" s="66">
        <f>IF(J11&lt;L11,1,0)</f>
        <v>0</v>
      </c>
      <c r="P11" s="66"/>
      <c r="Q11" s="66"/>
      <c r="R11" s="66"/>
      <c r="S11" s="13"/>
      <c r="T11" s="16">
        <v>7</v>
      </c>
      <c r="U11" s="32">
        <f>'[1]Data Collection'!$J8</f>
        <v>0</v>
      </c>
      <c r="V11" s="13">
        <v>1750000</v>
      </c>
      <c r="W11" s="13"/>
      <c r="X11" s="13">
        <f t="shared" si="6"/>
        <v>11750000</v>
      </c>
      <c r="Y11" s="13"/>
      <c r="AA11" s="13"/>
      <c r="AB11" s="16" t="s">
        <v>28</v>
      </c>
      <c r="AC11" s="13"/>
      <c r="AD11" s="13">
        <v>32</v>
      </c>
      <c r="AE11" s="15">
        <f>AE10+AC11</f>
        <v>49</v>
      </c>
      <c r="AF11" s="15">
        <f t="shared" si="7"/>
        <v>220</v>
      </c>
      <c r="AG11" s="24"/>
      <c r="AH11" s="24">
        <v>11000000</v>
      </c>
      <c r="AI11" s="15">
        <f>AI10+AG11</f>
        <v>11750000</v>
      </c>
      <c r="AJ11" s="15">
        <f t="shared" si="8"/>
        <v>77000000</v>
      </c>
      <c r="AL11" s="15"/>
      <c r="AM11" s="15"/>
      <c r="AN11" s="15"/>
    </row>
    <row r="12" spans="1:47" x14ac:dyDescent="0.25">
      <c r="A12" s="11">
        <v>2026</v>
      </c>
      <c r="B12" s="14">
        <v>46077</v>
      </c>
      <c r="C12" s="14"/>
      <c r="D12" s="11">
        <v>8</v>
      </c>
      <c r="E12" s="12">
        <f>'[1]Data Collection'!$C9</f>
        <v>1</v>
      </c>
      <c r="F12" s="70">
        <f>'[1]Data Collection'!$D9</f>
        <v>1</v>
      </c>
      <c r="G12" s="12">
        <f>'[1]Data Collection'!$E9</f>
        <v>1</v>
      </c>
      <c r="H12" s="13">
        <f t="shared" si="2"/>
        <v>1</v>
      </c>
      <c r="I12" s="13"/>
      <c r="J12" s="13">
        <f t="shared" si="5"/>
        <v>22334.55</v>
      </c>
      <c r="K12" s="13">
        <v>18000</v>
      </c>
      <c r="L12" s="13">
        <v>12000</v>
      </c>
      <c r="M12" s="66">
        <f>IF(J12&gt;8000,1,0)</f>
        <v>1</v>
      </c>
      <c r="N12" s="66">
        <f t="shared" ref="N12" si="15">IF(J12&lt;K12,1,0)</f>
        <v>0</v>
      </c>
      <c r="O12" s="66">
        <f t="shared" ref="O12" si="16">IF(J12&lt;L12,1,0)</f>
        <v>0</v>
      </c>
      <c r="P12" s="66">
        <f>SUM(M9:M12)</f>
        <v>4</v>
      </c>
      <c r="Q12" s="66">
        <f t="shared" ref="Q12" si="17">SUM(N9:N12)</f>
        <v>0</v>
      </c>
      <c r="R12" s="66">
        <f t="shared" ref="R12" si="18">SUM(O9:O12)</f>
        <v>0</v>
      </c>
      <c r="S12" s="13"/>
      <c r="T12" s="16">
        <v>8</v>
      </c>
      <c r="U12" s="32">
        <f>'[1]Data Collection'!$J9</f>
        <v>0</v>
      </c>
      <c r="V12" s="13">
        <v>1750000</v>
      </c>
      <c r="W12" s="13"/>
      <c r="X12" s="13">
        <f t="shared" si="6"/>
        <v>13500000</v>
      </c>
      <c r="Y12" s="13"/>
      <c r="AA12" s="13"/>
      <c r="AB12" s="16" t="s">
        <v>29</v>
      </c>
      <c r="AC12" s="13"/>
      <c r="AD12" s="13">
        <v>32</v>
      </c>
      <c r="AE12" s="15">
        <f t="shared" ref="AE12:AE16" si="19">AE11+AC12</f>
        <v>49</v>
      </c>
      <c r="AF12" s="15">
        <f t="shared" si="7"/>
        <v>252</v>
      </c>
      <c r="AG12" s="24"/>
      <c r="AH12" s="24">
        <v>11000000</v>
      </c>
      <c r="AI12" s="15">
        <f t="shared" ref="AI12:AI16" si="20">AI11+AG12</f>
        <v>11750000</v>
      </c>
      <c r="AJ12" s="15">
        <f t="shared" si="8"/>
        <v>88000000</v>
      </c>
      <c r="AL12" s="15"/>
      <c r="AM12" s="15"/>
      <c r="AN12" s="15"/>
    </row>
    <row r="13" spans="1:47" x14ac:dyDescent="0.25">
      <c r="A13" s="11">
        <v>2026</v>
      </c>
      <c r="B13" s="14">
        <v>46084</v>
      </c>
      <c r="C13" s="14" t="s">
        <v>24</v>
      </c>
      <c r="D13" s="11">
        <v>9</v>
      </c>
      <c r="E13" s="12">
        <f>'[1]Data Collection'!$C10</f>
        <v>0</v>
      </c>
      <c r="F13" s="70">
        <f>'[1]Data Collection'!$D10</f>
        <v>0</v>
      </c>
      <c r="G13" s="12">
        <f>'[1]Data Collection'!$E10</f>
        <v>0</v>
      </c>
      <c r="H13" s="13">
        <f t="shared" si="2"/>
        <v>0</v>
      </c>
      <c r="I13" s="13"/>
      <c r="J13" s="13"/>
      <c r="K13" s="13">
        <v>18000</v>
      </c>
      <c r="L13" s="13">
        <v>12000</v>
      </c>
      <c r="M13" s="66"/>
      <c r="N13" s="66"/>
      <c r="O13" s="66"/>
      <c r="P13" s="66"/>
      <c r="Q13" s="66"/>
      <c r="R13" s="66"/>
      <c r="S13" s="13"/>
      <c r="T13" s="16">
        <v>9</v>
      </c>
      <c r="U13" s="32">
        <f>'[1]Data Collection'!$J10</f>
        <v>0</v>
      </c>
      <c r="V13" s="13">
        <v>1500000</v>
      </c>
      <c r="W13" s="13"/>
      <c r="X13" s="13">
        <f t="shared" si="6"/>
        <v>15000000</v>
      </c>
      <c r="Y13" s="13"/>
      <c r="Z13" s="13"/>
      <c r="AA13" s="13"/>
      <c r="AB13" s="16" t="s">
        <v>30</v>
      </c>
      <c r="AC13" s="13"/>
      <c r="AD13" s="13">
        <v>32</v>
      </c>
      <c r="AE13" s="15">
        <f t="shared" si="19"/>
        <v>49</v>
      </c>
      <c r="AF13" s="15">
        <f t="shared" si="7"/>
        <v>284</v>
      </c>
      <c r="AG13" s="24"/>
      <c r="AH13" s="24">
        <v>11000000</v>
      </c>
      <c r="AI13" s="15">
        <f t="shared" si="20"/>
        <v>11750000</v>
      </c>
      <c r="AJ13" s="15">
        <f t="shared" si="8"/>
        <v>99000000</v>
      </c>
      <c r="AL13" s="15"/>
      <c r="AM13" s="15"/>
      <c r="AN13" s="15"/>
      <c r="AO13">
        <v>1</v>
      </c>
      <c r="AP13" s="64">
        <v>46023</v>
      </c>
      <c r="AQ13">
        <f>NETWORKDAYS(AP13,AP14)</f>
        <v>22</v>
      </c>
      <c r="AR13" t="s">
        <v>69</v>
      </c>
      <c r="AS13">
        <v>1</v>
      </c>
      <c r="AT13" s="64">
        <v>46023</v>
      </c>
      <c r="AU13">
        <f>NETWORKDAYS(AP13,AP16)</f>
        <v>65</v>
      </c>
    </row>
    <row r="14" spans="1:47" x14ac:dyDescent="0.25">
      <c r="A14" s="11">
        <v>2026</v>
      </c>
      <c r="B14" s="14">
        <v>46091</v>
      </c>
      <c r="C14" s="14"/>
      <c r="D14" s="11">
        <v>10</v>
      </c>
      <c r="E14" s="12">
        <f>'[1]Data Collection'!$C11</f>
        <v>0</v>
      </c>
      <c r="F14" s="70">
        <f>'[1]Data Collection'!$D11</f>
        <v>0</v>
      </c>
      <c r="G14" s="12">
        <f>'[1]Data Collection'!$E11</f>
        <v>0</v>
      </c>
      <c r="H14" s="13">
        <f t="shared" si="2"/>
        <v>0</v>
      </c>
      <c r="I14" s="13"/>
      <c r="J14" s="13"/>
      <c r="K14" s="13">
        <v>18000</v>
      </c>
      <c r="L14" s="13">
        <v>12000</v>
      </c>
      <c r="M14" s="66"/>
      <c r="N14" s="66"/>
      <c r="O14" s="66"/>
      <c r="P14" s="66"/>
      <c r="Q14" s="66"/>
      <c r="R14" s="66"/>
      <c r="S14" s="13"/>
      <c r="T14" s="16">
        <v>10</v>
      </c>
      <c r="U14" s="32">
        <f>'[1]Data Collection'!$J11</f>
        <v>0</v>
      </c>
      <c r="V14" s="13">
        <v>1500000</v>
      </c>
      <c r="W14" s="13"/>
      <c r="X14" s="13">
        <f t="shared" si="6"/>
        <v>16500000</v>
      </c>
      <c r="Y14" s="13"/>
      <c r="Z14" s="13"/>
      <c r="AA14" s="13"/>
      <c r="AB14" s="16" t="s">
        <v>31</v>
      </c>
      <c r="AC14" s="13"/>
      <c r="AD14" s="13">
        <v>32</v>
      </c>
      <c r="AE14" s="15">
        <f t="shared" si="19"/>
        <v>49</v>
      </c>
      <c r="AF14" s="15">
        <f t="shared" si="7"/>
        <v>316</v>
      </c>
      <c r="AG14" s="24"/>
      <c r="AH14" s="24">
        <v>11000000</v>
      </c>
      <c r="AI14" s="15">
        <f t="shared" si="20"/>
        <v>11750000</v>
      </c>
      <c r="AJ14" s="15">
        <f t="shared" si="8"/>
        <v>110000000</v>
      </c>
      <c r="AK14" s="15"/>
      <c r="AL14" s="15"/>
      <c r="AM14" s="15"/>
      <c r="AN14" s="15"/>
      <c r="AO14">
        <v>2</v>
      </c>
      <c r="AP14" s="64">
        <v>46054</v>
      </c>
      <c r="AQ14">
        <f t="shared" ref="AQ14:AQ23" si="21">NETWORKDAYS(AP14,AP15)</f>
        <v>20</v>
      </c>
      <c r="AR14" t="s">
        <v>69</v>
      </c>
      <c r="AS14">
        <v>2</v>
      </c>
      <c r="AT14" s="64">
        <v>46113</v>
      </c>
      <c r="AU14">
        <f>NETWORKDAYS(AP16,AP19)</f>
        <v>66</v>
      </c>
    </row>
    <row r="15" spans="1:47" x14ac:dyDescent="0.25">
      <c r="A15" s="11">
        <v>2026</v>
      </c>
      <c r="B15" s="14">
        <v>46098</v>
      </c>
      <c r="C15" s="14"/>
      <c r="D15" s="11">
        <v>11</v>
      </c>
      <c r="E15" s="12">
        <f>'[1]Data Collection'!$C12</f>
        <v>0</v>
      </c>
      <c r="F15" s="70">
        <f>'[1]Data Collection'!$D12</f>
        <v>0</v>
      </c>
      <c r="G15" s="12">
        <f>'[1]Data Collection'!$E12</f>
        <v>0</v>
      </c>
      <c r="H15" s="13">
        <f t="shared" si="2"/>
        <v>0</v>
      </c>
      <c r="I15" s="13"/>
      <c r="J15" s="13"/>
      <c r="K15" s="13">
        <v>18000</v>
      </c>
      <c r="L15" s="13">
        <v>12000</v>
      </c>
      <c r="M15" s="66"/>
      <c r="N15" s="66"/>
      <c r="O15" s="66"/>
      <c r="P15" s="66"/>
      <c r="Q15" s="66"/>
      <c r="R15" s="66"/>
      <c r="S15" s="13"/>
      <c r="T15" s="16">
        <v>11</v>
      </c>
      <c r="U15" s="32">
        <f>'[1]Data Collection'!$J12</f>
        <v>0</v>
      </c>
      <c r="V15" s="13">
        <v>1500000</v>
      </c>
      <c r="W15" s="13"/>
      <c r="X15" s="13">
        <f t="shared" si="6"/>
        <v>18000000</v>
      </c>
      <c r="Y15" s="13"/>
      <c r="AB15" s="16" t="s">
        <v>32</v>
      </c>
      <c r="AC15" s="13"/>
      <c r="AD15" s="13">
        <v>32</v>
      </c>
      <c r="AE15" s="15">
        <f t="shared" si="19"/>
        <v>49</v>
      </c>
      <c r="AF15" s="15">
        <f t="shared" si="7"/>
        <v>348</v>
      </c>
      <c r="AG15" s="24"/>
      <c r="AH15" s="24">
        <v>11000000</v>
      </c>
      <c r="AI15" s="15">
        <f t="shared" si="20"/>
        <v>11750000</v>
      </c>
      <c r="AJ15" s="15">
        <f t="shared" si="8"/>
        <v>121000000</v>
      </c>
      <c r="AO15">
        <v>3</v>
      </c>
      <c r="AP15" s="64">
        <v>46082</v>
      </c>
      <c r="AQ15">
        <f t="shared" si="21"/>
        <v>23</v>
      </c>
      <c r="AR15" t="s">
        <v>69</v>
      </c>
      <c r="AS15">
        <v>3</v>
      </c>
      <c r="AT15" s="64">
        <v>46204</v>
      </c>
      <c r="AU15">
        <f>NETWORKDAYS(AP19,AP22)</f>
        <v>67</v>
      </c>
    </row>
    <row r="16" spans="1:47" x14ac:dyDescent="0.25">
      <c r="A16" s="11">
        <v>2026</v>
      </c>
      <c r="B16" s="14">
        <v>46105</v>
      </c>
      <c r="D16" s="11">
        <v>12</v>
      </c>
      <c r="E16" s="12">
        <f>'[1]Data Collection'!$C13</f>
        <v>0</v>
      </c>
      <c r="F16" s="70">
        <f>'[1]Data Collection'!$D13</f>
        <v>0</v>
      </c>
      <c r="G16" s="12">
        <f>'[1]Data Collection'!$E13</f>
        <v>0</v>
      </c>
      <c r="H16" s="13">
        <f t="shared" si="2"/>
        <v>0</v>
      </c>
      <c r="I16" s="13"/>
      <c r="J16" s="13"/>
      <c r="K16" s="13">
        <v>18000</v>
      </c>
      <c r="L16" s="13">
        <v>12000</v>
      </c>
      <c r="M16" s="66"/>
      <c r="N16" s="66"/>
      <c r="O16" s="66"/>
      <c r="P16" s="66"/>
      <c r="Q16" s="66"/>
      <c r="R16" s="66"/>
      <c r="S16" s="13"/>
      <c r="T16" s="16">
        <v>12</v>
      </c>
      <c r="U16" s="32">
        <f>'[1]Data Collection'!$J13</f>
        <v>0</v>
      </c>
      <c r="V16" s="13">
        <v>2000000</v>
      </c>
      <c r="W16" s="13"/>
      <c r="X16" s="13">
        <f t="shared" si="6"/>
        <v>20000000</v>
      </c>
      <c r="Y16" s="13"/>
      <c r="AB16" s="16" t="s">
        <v>33</v>
      </c>
      <c r="AC16" s="13"/>
      <c r="AD16" s="13">
        <v>32</v>
      </c>
      <c r="AE16" s="15">
        <f t="shared" si="19"/>
        <v>49</v>
      </c>
      <c r="AF16" s="15">
        <f t="shared" si="7"/>
        <v>380</v>
      </c>
      <c r="AG16" s="24"/>
      <c r="AH16" s="24">
        <v>11000000</v>
      </c>
      <c r="AI16" s="15">
        <f t="shared" si="20"/>
        <v>11750000</v>
      </c>
      <c r="AJ16" s="15">
        <f t="shared" si="8"/>
        <v>132000000</v>
      </c>
      <c r="AO16">
        <v>4</v>
      </c>
      <c r="AP16" s="64">
        <v>46113</v>
      </c>
      <c r="AQ16">
        <f t="shared" si="21"/>
        <v>23</v>
      </c>
      <c r="AR16" t="s">
        <v>70</v>
      </c>
      <c r="AS16">
        <v>4</v>
      </c>
      <c r="AT16" s="64">
        <v>46296</v>
      </c>
      <c r="AU16">
        <f>NETWORKDAYS(AP22,"12/31/25")</f>
        <v>-197</v>
      </c>
    </row>
    <row r="17" spans="1:44" x14ac:dyDescent="0.25">
      <c r="A17" s="11">
        <v>2026</v>
      </c>
      <c r="B17" s="14">
        <v>46112</v>
      </c>
      <c r="C17" s="14"/>
      <c r="D17" s="11">
        <v>13</v>
      </c>
      <c r="E17" s="12">
        <f>'[1]Data Collection'!$C14</f>
        <v>0</v>
      </c>
      <c r="F17" s="70">
        <f>'[1]Data Collection'!$D14</f>
        <v>0</v>
      </c>
      <c r="G17" s="12">
        <f>'[1]Data Collection'!$E14</f>
        <v>0</v>
      </c>
      <c r="H17" s="13">
        <f t="shared" si="2"/>
        <v>0</v>
      </c>
      <c r="I17" s="13"/>
      <c r="J17" s="13"/>
      <c r="K17" s="13">
        <v>18000</v>
      </c>
      <c r="L17" s="13">
        <v>12000</v>
      </c>
      <c r="M17" s="66"/>
      <c r="N17" s="66"/>
      <c r="O17" s="66"/>
      <c r="P17" s="66"/>
      <c r="Q17" s="66"/>
      <c r="R17" s="66"/>
      <c r="S17" s="13"/>
      <c r="T17" s="13"/>
      <c r="U17" s="32"/>
      <c r="V17" s="13"/>
      <c r="W17" s="13"/>
      <c r="X17" s="13"/>
      <c r="Y17" s="13"/>
      <c r="AB17" s="13"/>
      <c r="AH17" s="14"/>
      <c r="AO17">
        <v>5</v>
      </c>
      <c r="AP17" s="64">
        <v>46143</v>
      </c>
      <c r="AQ17">
        <f t="shared" si="21"/>
        <v>22</v>
      </c>
      <c r="AR17" t="s">
        <v>70</v>
      </c>
    </row>
    <row r="18" spans="1:44" x14ac:dyDescent="0.25">
      <c r="A18" s="11">
        <v>2026</v>
      </c>
      <c r="B18" s="14">
        <v>46119</v>
      </c>
      <c r="C18" s="14" t="s">
        <v>25</v>
      </c>
      <c r="D18" s="11">
        <v>14</v>
      </c>
      <c r="E18" s="12">
        <f>'[1]Data Collection'!$C15</f>
        <v>0</v>
      </c>
      <c r="F18" s="70">
        <f>'[1]Data Collection'!$D15</f>
        <v>0</v>
      </c>
      <c r="G18" s="12">
        <f>'[1]Data Collection'!$E15</f>
        <v>0</v>
      </c>
      <c r="H18" s="13">
        <f t="shared" si="2"/>
        <v>0</v>
      </c>
      <c r="I18" s="13"/>
      <c r="J18" s="13"/>
      <c r="K18" s="13">
        <v>18000</v>
      </c>
      <c r="L18" s="13">
        <v>12000</v>
      </c>
      <c r="M18" s="66"/>
      <c r="N18" s="66"/>
      <c r="O18" s="66"/>
      <c r="P18" s="66"/>
      <c r="Q18" s="66"/>
      <c r="R18" s="66"/>
      <c r="S18" s="13"/>
      <c r="T18" s="16" t="s">
        <v>40</v>
      </c>
      <c r="U18" s="32">
        <f>SUM(U5:U17)</f>
        <v>2450001</v>
      </c>
      <c r="V18" s="13">
        <f>SUM(V5:V17)</f>
        <v>20000000</v>
      </c>
      <c r="W18" s="13"/>
      <c r="X18" s="13">
        <v>1750000</v>
      </c>
      <c r="Y18" s="13"/>
      <c r="AB18" s="16" t="s">
        <v>40</v>
      </c>
      <c r="AC18" s="15">
        <f>SUM(AC5:AC17)</f>
        <v>49</v>
      </c>
      <c r="AD18" s="15">
        <f>SUM(AD5:AD17)</f>
        <v>380</v>
      </c>
      <c r="AE18" s="15"/>
      <c r="AF18" s="15"/>
      <c r="AG18" s="24">
        <f>SUM(AG5:AG17)</f>
        <v>11750000</v>
      </c>
      <c r="AH18" s="24">
        <f>SUM(AH5:AH17)</f>
        <v>132000000</v>
      </c>
      <c r="AI18" s="24"/>
      <c r="AJ18" s="24"/>
      <c r="AO18">
        <v>6</v>
      </c>
      <c r="AP18" s="64">
        <v>46174</v>
      </c>
      <c r="AQ18">
        <f t="shared" si="21"/>
        <v>23</v>
      </c>
      <c r="AR18" t="s">
        <v>70</v>
      </c>
    </row>
    <row r="19" spans="1:44" x14ac:dyDescent="0.25">
      <c r="A19" s="11">
        <v>2026</v>
      </c>
      <c r="B19" s="14">
        <v>46126</v>
      </c>
      <c r="C19" s="14"/>
      <c r="D19" s="11">
        <v>15</v>
      </c>
      <c r="E19" s="12">
        <f>'[1]Data Collection'!$C16</f>
        <v>0</v>
      </c>
      <c r="F19" s="70">
        <f>'[1]Data Collection'!$D16</f>
        <v>0</v>
      </c>
      <c r="G19" s="12">
        <f>'[1]Data Collection'!$E16</f>
        <v>0</v>
      </c>
      <c r="H19" s="13">
        <f t="shared" si="2"/>
        <v>0</v>
      </c>
      <c r="I19" s="13"/>
      <c r="J19" s="13"/>
      <c r="K19" s="13">
        <v>18000</v>
      </c>
      <c r="L19" s="13">
        <v>12000</v>
      </c>
      <c r="M19" s="66"/>
      <c r="N19" s="66"/>
      <c r="O19" s="66"/>
      <c r="P19" s="66"/>
      <c r="Q19" s="66"/>
      <c r="R19" s="66"/>
      <c r="S19" s="13"/>
      <c r="T19" s="13"/>
      <c r="U19" s="13"/>
      <c r="V19" s="13"/>
      <c r="W19" s="13"/>
      <c r="X19" s="13"/>
      <c r="AB19" s="16" t="s">
        <v>59</v>
      </c>
      <c r="AE19" s="15">
        <f>AE13-AF13</f>
        <v>-235</v>
      </c>
      <c r="AH19" s="14"/>
      <c r="AI19" s="15">
        <f>AG18-AJ16</f>
        <v>-120250000</v>
      </c>
      <c r="AO19">
        <v>7</v>
      </c>
      <c r="AP19" s="64">
        <v>46204</v>
      </c>
      <c r="AQ19">
        <f t="shared" si="21"/>
        <v>23</v>
      </c>
      <c r="AR19" t="s">
        <v>71</v>
      </c>
    </row>
    <row r="20" spans="1:44" x14ac:dyDescent="0.25">
      <c r="A20" s="11">
        <v>2026</v>
      </c>
      <c r="B20" s="14">
        <v>46133</v>
      </c>
      <c r="C20" s="14"/>
      <c r="D20" s="11">
        <v>16</v>
      </c>
      <c r="E20" s="12">
        <f>'[1]Data Collection'!$C17</f>
        <v>0</v>
      </c>
      <c r="F20" s="70">
        <f>'[1]Data Collection'!$D17</f>
        <v>0</v>
      </c>
      <c r="G20" s="12">
        <f>'[1]Data Collection'!$E17</f>
        <v>0</v>
      </c>
      <c r="H20" s="13">
        <f t="shared" si="2"/>
        <v>0</v>
      </c>
      <c r="I20" s="13"/>
      <c r="J20" s="13"/>
      <c r="K20" s="13">
        <v>18000</v>
      </c>
      <c r="L20" s="13">
        <v>12000</v>
      </c>
      <c r="M20" s="66"/>
      <c r="N20" s="66"/>
      <c r="O20" s="66"/>
      <c r="P20" s="66"/>
      <c r="Q20" s="66"/>
      <c r="R20" s="66"/>
      <c r="S20" s="13"/>
      <c r="T20" s="13"/>
      <c r="U20" s="13"/>
      <c r="V20" s="13"/>
      <c r="W20" s="13"/>
      <c r="X20" s="13"/>
      <c r="AH20" s="14"/>
      <c r="AO20">
        <v>8</v>
      </c>
      <c r="AP20" s="64">
        <v>46235</v>
      </c>
      <c r="AQ20">
        <f t="shared" si="21"/>
        <v>22</v>
      </c>
      <c r="AR20" t="s">
        <v>71</v>
      </c>
    </row>
    <row r="21" spans="1:44" x14ac:dyDescent="0.25">
      <c r="A21" s="11">
        <v>2026</v>
      </c>
      <c r="B21" s="14">
        <v>46140</v>
      </c>
      <c r="C21" s="14"/>
      <c r="D21" s="11">
        <v>17</v>
      </c>
      <c r="E21" s="12">
        <f>'[1]Data Collection'!$C18</f>
        <v>0</v>
      </c>
      <c r="F21" s="70">
        <f>'[1]Data Collection'!$D18</f>
        <v>0</v>
      </c>
      <c r="G21" s="12">
        <f>'[1]Data Collection'!$E18</f>
        <v>0</v>
      </c>
      <c r="H21" s="13">
        <f t="shared" si="2"/>
        <v>0</v>
      </c>
      <c r="I21" s="13"/>
      <c r="J21" s="13"/>
      <c r="K21" s="13">
        <v>18000</v>
      </c>
      <c r="L21" s="13">
        <v>12000</v>
      </c>
      <c r="M21" s="66"/>
      <c r="N21" s="66"/>
      <c r="O21" s="66"/>
      <c r="P21" s="66"/>
      <c r="Q21" s="66"/>
      <c r="R21" s="66"/>
      <c r="S21" s="13"/>
      <c r="T21" s="13">
        <v>1</v>
      </c>
      <c r="U21" s="13">
        <f>SUM(U5:U7)</f>
        <v>2450001</v>
      </c>
      <c r="V21" s="13">
        <f>SUM(V5:V7)</f>
        <v>4750000</v>
      </c>
      <c r="W21" s="13"/>
      <c r="X21" s="13"/>
      <c r="AH21" s="14"/>
      <c r="AO21">
        <v>9</v>
      </c>
      <c r="AP21" s="64">
        <v>46266</v>
      </c>
      <c r="AQ21">
        <f t="shared" si="21"/>
        <v>23</v>
      </c>
      <c r="AR21" t="s">
        <v>71</v>
      </c>
    </row>
    <row r="22" spans="1:44" x14ac:dyDescent="0.25">
      <c r="A22" s="11">
        <v>2026</v>
      </c>
      <c r="B22" s="14">
        <v>46147</v>
      </c>
      <c r="C22" s="14" t="s">
        <v>26</v>
      </c>
      <c r="D22" s="11">
        <v>18</v>
      </c>
      <c r="E22" s="12">
        <f>'[1]Data Collection'!$C19</f>
        <v>0</v>
      </c>
      <c r="F22" s="70">
        <f>'[1]Data Collection'!$D19</f>
        <v>0</v>
      </c>
      <c r="G22" s="12">
        <f>'[1]Data Collection'!$E19</f>
        <v>0</v>
      </c>
      <c r="H22" s="13">
        <f t="shared" si="2"/>
        <v>0</v>
      </c>
      <c r="I22" s="13"/>
      <c r="J22" s="13"/>
      <c r="K22" s="13">
        <v>18000</v>
      </c>
      <c r="L22" s="13">
        <v>12000</v>
      </c>
      <c r="M22" s="66"/>
      <c r="N22" s="66"/>
      <c r="O22" s="66"/>
      <c r="P22" s="66"/>
      <c r="Q22" s="66"/>
      <c r="R22" s="66"/>
      <c r="S22" s="13"/>
      <c r="T22" s="13">
        <v>2</v>
      </c>
      <c r="U22" s="13">
        <f>SUM(U8:U10)</f>
        <v>0</v>
      </c>
      <c r="V22" s="13">
        <f>SUM(V8:V10)</f>
        <v>5250000</v>
      </c>
      <c r="W22" s="13"/>
      <c r="X22" s="13"/>
      <c r="AH22" s="14"/>
      <c r="AO22">
        <v>10</v>
      </c>
      <c r="AP22" s="64">
        <v>46296</v>
      </c>
      <c r="AQ22">
        <f t="shared" si="21"/>
        <v>22</v>
      </c>
      <c r="AR22" t="s">
        <v>72</v>
      </c>
    </row>
    <row r="23" spans="1:44" x14ac:dyDescent="0.25">
      <c r="A23" s="11">
        <v>2026</v>
      </c>
      <c r="B23" s="14">
        <v>46154</v>
      </c>
      <c r="C23" s="14"/>
      <c r="D23" s="11">
        <v>19</v>
      </c>
      <c r="E23" s="12">
        <f>'[1]Data Collection'!$C20</f>
        <v>0</v>
      </c>
      <c r="F23" s="70">
        <f>'[1]Data Collection'!$D20</f>
        <v>0</v>
      </c>
      <c r="G23" s="12">
        <f>'[1]Data Collection'!$E20</f>
        <v>0</v>
      </c>
      <c r="H23" s="13">
        <f t="shared" si="2"/>
        <v>0</v>
      </c>
      <c r="I23" s="13"/>
      <c r="J23" s="13"/>
      <c r="K23" s="13">
        <v>18000</v>
      </c>
      <c r="L23" s="13">
        <v>12000</v>
      </c>
      <c r="M23" s="66"/>
      <c r="N23" s="66"/>
      <c r="O23" s="66"/>
      <c r="P23" s="66"/>
      <c r="Q23" s="66"/>
      <c r="R23" s="66"/>
      <c r="S23" s="13"/>
      <c r="T23" s="13">
        <v>3</v>
      </c>
      <c r="U23" s="13">
        <f>SUM(U11:U13)</f>
        <v>0</v>
      </c>
      <c r="V23" s="13">
        <f>SUM(V11:V13)</f>
        <v>5000000</v>
      </c>
      <c r="W23" s="13"/>
      <c r="X23" s="13"/>
      <c r="AH23" s="14"/>
      <c r="AO23">
        <v>11</v>
      </c>
      <c r="AP23" s="64">
        <v>46327</v>
      </c>
      <c r="AQ23">
        <f t="shared" si="21"/>
        <v>22</v>
      </c>
      <c r="AR23" t="s">
        <v>72</v>
      </c>
    </row>
    <row r="24" spans="1:44" x14ac:dyDescent="0.25">
      <c r="A24" s="11">
        <v>2026</v>
      </c>
      <c r="B24" s="14">
        <v>46161</v>
      </c>
      <c r="C24" s="14"/>
      <c r="D24" s="11">
        <v>20</v>
      </c>
      <c r="E24" s="12">
        <f>'[1]Data Collection'!$C21</f>
        <v>0</v>
      </c>
      <c r="F24" s="70">
        <f>'[1]Data Collection'!$D21</f>
        <v>0</v>
      </c>
      <c r="G24" s="12">
        <f>'[1]Data Collection'!$E21</f>
        <v>0</v>
      </c>
      <c r="H24" s="13">
        <f t="shared" si="2"/>
        <v>0</v>
      </c>
      <c r="I24" s="13"/>
      <c r="J24" s="13"/>
      <c r="K24" s="13">
        <v>18000</v>
      </c>
      <c r="L24" s="13">
        <v>12000</v>
      </c>
      <c r="M24" s="66"/>
      <c r="N24" s="66"/>
      <c r="O24" s="66"/>
      <c r="P24" s="66"/>
      <c r="Q24" s="66"/>
      <c r="R24" s="66"/>
      <c r="S24" s="13"/>
      <c r="T24" s="13">
        <v>4</v>
      </c>
      <c r="U24" s="13">
        <f>SUM(U14:U16)</f>
        <v>0</v>
      </c>
      <c r="V24" s="13">
        <f>SUM(V14:V16)</f>
        <v>5000000</v>
      </c>
      <c r="W24" s="13"/>
      <c r="X24" s="13"/>
      <c r="AH24" s="14"/>
      <c r="AO24">
        <v>12</v>
      </c>
      <c r="AP24" s="64">
        <v>46357</v>
      </c>
      <c r="AQ24">
        <f>NETWORKDAYS(AP24,"12/31/25")</f>
        <v>-240</v>
      </c>
      <c r="AR24" t="s">
        <v>72</v>
      </c>
    </row>
    <row r="25" spans="1:44" x14ac:dyDescent="0.25">
      <c r="A25" s="11">
        <v>2026</v>
      </c>
      <c r="B25" s="14">
        <v>46168</v>
      </c>
      <c r="C25" s="14"/>
      <c r="D25" s="11">
        <v>21</v>
      </c>
      <c r="E25" s="12">
        <f>'[1]Data Collection'!$C22</f>
        <v>0</v>
      </c>
      <c r="F25" s="70">
        <f>'[1]Data Collection'!$D22</f>
        <v>0</v>
      </c>
      <c r="G25" s="12">
        <f>'[1]Data Collection'!$E22</f>
        <v>0</v>
      </c>
      <c r="H25" s="13">
        <f t="shared" si="2"/>
        <v>0</v>
      </c>
      <c r="I25" s="13"/>
      <c r="J25" s="13"/>
      <c r="K25" s="13">
        <v>18000</v>
      </c>
      <c r="L25" s="13">
        <v>12000</v>
      </c>
      <c r="M25" s="66"/>
      <c r="N25" s="66"/>
      <c r="O25" s="66"/>
      <c r="P25" s="66"/>
      <c r="Q25" s="66"/>
      <c r="R25" s="66"/>
      <c r="S25" s="13"/>
      <c r="T25" s="13"/>
      <c r="U25" s="13"/>
      <c r="V25" s="13"/>
      <c r="W25" s="13"/>
      <c r="X25" s="13"/>
      <c r="AH25" s="14"/>
    </row>
    <row r="26" spans="1:44" x14ac:dyDescent="0.25">
      <c r="A26" s="11">
        <v>2026</v>
      </c>
      <c r="B26" s="14">
        <v>46175</v>
      </c>
      <c r="C26" s="14" t="s">
        <v>27</v>
      </c>
      <c r="D26" s="11">
        <v>22</v>
      </c>
      <c r="E26" s="12">
        <f>'[1]Data Collection'!$C23</f>
        <v>0</v>
      </c>
      <c r="F26" s="70">
        <f>'[1]Data Collection'!$D23</f>
        <v>0</v>
      </c>
      <c r="G26" s="12">
        <f>'[1]Data Collection'!$E23</f>
        <v>0</v>
      </c>
      <c r="H26" s="13">
        <f t="shared" si="2"/>
        <v>0</v>
      </c>
      <c r="I26" s="13"/>
      <c r="J26" s="13"/>
      <c r="K26" s="13">
        <v>18000</v>
      </c>
      <c r="L26" s="13">
        <v>12000</v>
      </c>
      <c r="M26" s="66"/>
      <c r="N26" s="66"/>
      <c r="O26" s="66"/>
      <c r="P26" s="66"/>
      <c r="Q26" s="66"/>
      <c r="R26" s="66"/>
      <c r="S26" s="13"/>
      <c r="T26" s="13"/>
      <c r="U26" s="13"/>
      <c r="V26" s="13"/>
      <c r="W26" s="13"/>
      <c r="X26" s="13"/>
      <c r="AH26" s="14"/>
    </row>
    <row r="27" spans="1:44" x14ac:dyDescent="0.25">
      <c r="A27" s="11">
        <v>2026</v>
      </c>
      <c r="B27" s="14">
        <v>46182</v>
      </c>
      <c r="C27" s="14"/>
      <c r="D27" s="11">
        <v>23</v>
      </c>
      <c r="E27" s="12">
        <f>'[1]Data Collection'!$C24</f>
        <v>0</v>
      </c>
      <c r="F27" s="70">
        <f>'[1]Data Collection'!$D24</f>
        <v>0</v>
      </c>
      <c r="G27" s="12">
        <f>'[1]Data Collection'!$E24</f>
        <v>0</v>
      </c>
      <c r="H27" s="13">
        <f t="shared" si="2"/>
        <v>0</v>
      </c>
      <c r="I27" s="13"/>
      <c r="J27" s="13"/>
      <c r="K27" s="13">
        <v>18000</v>
      </c>
      <c r="L27" s="13">
        <v>12000</v>
      </c>
      <c r="M27" s="66"/>
      <c r="N27" s="66"/>
      <c r="O27" s="66"/>
      <c r="P27" s="66"/>
      <c r="Q27" s="66"/>
      <c r="R27" s="66"/>
      <c r="S27" s="13"/>
      <c r="T27" s="13"/>
      <c r="U27" s="13"/>
      <c r="V27" s="13"/>
      <c r="W27" s="13"/>
      <c r="X27" s="13"/>
      <c r="AH27" s="14"/>
    </row>
    <row r="28" spans="1:44" x14ac:dyDescent="0.25">
      <c r="A28" s="11">
        <v>2026</v>
      </c>
      <c r="B28" s="14">
        <v>46189</v>
      </c>
      <c r="C28" s="14"/>
      <c r="D28" s="11">
        <v>24</v>
      </c>
      <c r="E28" s="12">
        <f>'[1]Data Collection'!$C25</f>
        <v>0</v>
      </c>
      <c r="F28" s="70">
        <f>'[1]Data Collection'!$D25</f>
        <v>0</v>
      </c>
      <c r="G28" s="12">
        <f>'[1]Data Collection'!$E25</f>
        <v>0</v>
      </c>
      <c r="H28" s="13">
        <f t="shared" si="2"/>
        <v>0</v>
      </c>
      <c r="I28" s="13"/>
      <c r="J28" s="13"/>
      <c r="K28" s="13">
        <v>18000</v>
      </c>
      <c r="L28" s="13">
        <v>12000</v>
      </c>
      <c r="M28" s="66"/>
      <c r="N28" s="66"/>
      <c r="O28" s="66"/>
      <c r="P28" s="66"/>
      <c r="Q28" s="66"/>
      <c r="R28" s="66"/>
      <c r="S28" s="13"/>
      <c r="T28" s="13"/>
      <c r="U28" s="13"/>
      <c r="V28" s="13"/>
      <c r="W28" s="13"/>
      <c r="X28" s="13"/>
      <c r="AH28" s="14"/>
    </row>
    <row r="29" spans="1:44" x14ac:dyDescent="0.25">
      <c r="A29" s="11">
        <v>2026</v>
      </c>
      <c r="B29" s="14">
        <v>46196</v>
      </c>
      <c r="D29" s="11">
        <v>25</v>
      </c>
      <c r="E29" s="12">
        <f>'[1]Data Collection'!$C26</f>
        <v>0</v>
      </c>
      <c r="F29" s="70">
        <f>'[1]Data Collection'!$D26</f>
        <v>0</v>
      </c>
      <c r="G29" s="12">
        <f>'[1]Data Collection'!$E26</f>
        <v>0</v>
      </c>
      <c r="H29" s="13">
        <f t="shared" si="2"/>
        <v>0</v>
      </c>
      <c r="I29" s="13"/>
      <c r="J29" s="13"/>
      <c r="K29" s="13">
        <v>18000</v>
      </c>
      <c r="L29" s="13">
        <v>12000</v>
      </c>
      <c r="M29" s="66"/>
      <c r="N29" s="66"/>
      <c r="O29" s="66"/>
      <c r="P29" s="66"/>
      <c r="Q29" s="66"/>
      <c r="R29" s="66"/>
      <c r="S29" s="13"/>
      <c r="T29" s="13"/>
      <c r="U29" s="13"/>
      <c r="V29" s="13"/>
      <c r="W29" s="13"/>
      <c r="X29" s="13"/>
      <c r="AH29" s="14"/>
    </row>
    <row r="30" spans="1:44" x14ac:dyDescent="0.25">
      <c r="A30" s="11">
        <v>2026</v>
      </c>
      <c r="B30" s="14">
        <v>46203</v>
      </c>
      <c r="C30" s="14"/>
      <c r="D30" s="11">
        <v>26</v>
      </c>
      <c r="E30" s="12">
        <f>'[1]Data Collection'!$C27</f>
        <v>0</v>
      </c>
      <c r="F30" s="70">
        <f>'[1]Data Collection'!$D27</f>
        <v>0</v>
      </c>
      <c r="G30" s="12">
        <f>'[1]Data Collection'!$E27</f>
        <v>0</v>
      </c>
      <c r="H30" s="13">
        <f t="shared" si="2"/>
        <v>0</v>
      </c>
      <c r="I30" s="13"/>
      <c r="J30" s="13"/>
      <c r="K30" s="13">
        <v>18000</v>
      </c>
      <c r="L30" s="13">
        <v>12000</v>
      </c>
      <c r="M30" s="66"/>
      <c r="N30" s="66"/>
      <c r="O30" s="66"/>
      <c r="P30" s="66"/>
      <c r="Q30" s="66"/>
      <c r="R30" s="66"/>
      <c r="S30" s="13"/>
      <c r="T30" s="13"/>
      <c r="U30" s="13"/>
      <c r="V30" s="13"/>
      <c r="W30" s="13"/>
      <c r="X30" s="13"/>
      <c r="AH30" s="14"/>
    </row>
    <row r="31" spans="1:44" x14ac:dyDescent="0.25">
      <c r="A31" s="11">
        <v>2026</v>
      </c>
      <c r="B31" s="14">
        <v>46210</v>
      </c>
      <c r="C31" s="14" t="s">
        <v>28</v>
      </c>
      <c r="D31" s="11">
        <v>27</v>
      </c>
      <c r="E31" s="12">
        <f>'[1]Data Collection'!$C28</f>
        <v>0</v>
      </c>
      <c r="F31" s="70">
        <f>'[1]Data Collection'!$D28</f>
        <v>0</v>
      </c>
      <c r="G31" s="12">
        <f>'[1]Data Collection'!$E28</f>
        <v>0</v>
      </c>
      <c r="H31" s="13">
        <f t="shared" si="2"/>
        <v>0</v>
      </c>
      <c r="I31" s="13"/>
      <c r="J31" s="13"/>
      <c r="K31" s="13">
        <v>18000</v>
      </c>
      <c r="L31" s="13">
        <v>12000</v>
      </c>
      <c r="M31" s="66"/>
      <c r="N31" s="66"/>
      <c r="O31" s="66"/>
      <c r="P31" s="66"/>
      <c r="Q31" s="66"/>
      <c r="R31" s="66"/>
      <c r="S31" s="13"/>
      <c r="T31" s="13"/>
      <c r="U31" s="13"/>
      <c r="V31" s="13"/>
      <c r="W31" s="13"/>
      <c r="X31" s="13"/>
      <c r="AH31" s="14"/>
    </row>
    <row r="32" spans="1:44" x14ac:dyDescent="0.25">
      <c r="A32" s="11">
        <v>2026</v>
      </c>
      <c r="B32" s="14">
        <v>46217</v>
      </c>
      <c r="C32" s="14"/>
      <c r="D32" s="11">
        <v>28</v>
      </c>
      <c r="E32" s="12">
        <f>'[1]Data Collection'!$C29</f>
        <v>0</v>
      </c>
      <c r="F32" s="70">
        <f>'[1]Data Collection'!$D29</f>
        <v>0</v>
      </c>
      <c r="G32" s="12">
        <f>'[1]Data Collection'!$E29</f>
        <v>0</v>
      </c>
      <c r="H32" s="13">
        <f t="shared" si="2"/>
        <v>0</v>
      </c>
      <c r="I32" s="13"/>
      <c r="J32" s="13"/>
      <c r="K32" s="13">
        <v>18000</v>
      </c>
      <c r="L32" s="13">
        <v>12000</v>
      </c>
      <c r="M32" s="66"/>
      <c r="N32" s="66"/>
      <c r="O32" s="66"/>
      <c r="P32" s="66"/>
      <c r="Q32" s="66"/>
      <c r="R32" s="66"/>
      <c r="S32" s="13"/>
      <c r="T32" s="13"/>
      <c r="U32" s="13"/>
      <c r="V32" s="13"/>
      <c r="W32" s="13"/>
      <c r="X32" s="13"/>
      <c r="AH32" s="14"/>
    </row>
    <row r="33" spans="1:34" x14ac:dyDescent="0.25">
      <c r="A33" s="11">
        <v>2026</v>
      </c>
      <c r="B33" s="14">
        <v>46224</v>
      </c>
      <c r="C33" s="14"/>
      <c r="D33" s="11">
        <v>29</v>
      </c>
      <c r="E33" s="12">
        <f>'[1]Data Collection'!$C30</f>
        <v>0</v>
      </c>
      <c r="F33" s="70">
        <f>'[1]Data Collection'!$D30</f>
        <v>0</v>
      </c>
      <c r="G33" s="12">
        <f>'[1]Data Collection'!$E30</f>
        <v>0</v>
      </c>
      <c r="H33" s="13">
        <f t="shared" si="2"/>
        <v>0</v>
      </c>
      <c r="I33" s="13"/>
      <c r="J33" s="13"/>
      <c r="K33" s="13">
        <v>18000</v>
      </c>
      <c r="L33" s="13">
        <v>12000</v>
      </c>
      <c r="M33" s="66"/>
      <c r="N33" s="66"/>
      <c r="O33" s="66"/>
      <c r="P33" s="66"/>
      <c r="Q33" s="66"/>
      <c r="R33" s="66"/>
      <c r="S33" s="13"/>
      <c r="T33" s="13"/>
      <c r="U33" s="13"/>
      <c r="V33" s="13"/>
      <c r="W33" s="13"/>
      <c r="X33" s="13"/>
      <c r="AH33" s="14"/>
    </row>
    <row r="34" spans="1:34" x14ac:dyDescent="0.25">
      <c r="A34" s="11">
        <v>2026</v>
      </c>
      <c r="B34" s="14">
        <v>46231</v>
      </c>
      <c r="C34" s="14"/>
      <c r="D34" s="11">
        <v>30</v>
      </c>
      <c r="E34" s="12">
        <f>'[1]Data Collection'!$C31</f>
        <v>0</v>
      </c>
      <c r="F34" s="70">
        <f>'[1]Data Collection'!$D31</f>
        <v>0</v>
      </c>
      <c r="G34" s="12">
        <f>'[1]Data Collection'!$E31</f>
        <v>0</v>
      </c>
      <c r="H34" s="13">
        <f t="shared" si="2"/>
        <v>0</v>
      </c>
      <c r="I34" s="13"/>
      <c r="J34" s="13"/>
      <c r="K34" s="13">
        <v>18000</v>
      </c>
      <c r="L34" s="13">
        <v>12000</v>
      </c>
      <c r="M34" s="66"/>
      <c r="N34" s="66"/>
      <c r="O34" s="66"/>
      <c r="P34" s="66"/>
      <c r="Q34" s="66"/>
      <c r="R34" s="66"/>
      <c r="S34" s="13"/>
      <c r="T34" s="13"/>
      <c r="U34" s="13"/>
      <c r="V34" s="13"/>
      <c r="W34" s="13"/>
      <c r="X34" s="13"/>
      <c r="AH34" s="14"/>
    </row>
    <row r="35" spans="1:34" x14ac:dyDescent="0.25">
      <c r="A35" s="11">
        <v>2026</v>
      </c>
      <c r="B35" s="14">
        <v>46238</v>
      </c>
      <c r="C35" s="14" t="s">
        <v>29</v>
      </c>
      <c r="D35" s="11">
        <v>31</v>
      </c>
      <c r="E35" s="12">
        <f>'[1]Data Collection'!$C32</f>
        <v>0</v>
      </c>
      <c r="F35" s="70">
        <f>'[1]Data Collection'!$D32</f>
        <v>0</v>
      </c>
      <c r="G35" s="12">
        <f>'[1]Data Collection'!$E32</f>
        <v>0</v>
      </c>
      <c r="H35" s="13">
        <f t="shared" si="2"/>
        <v>0</v>
      </c>
      <c r="I35" s="13"/>
      <c r="J35" s="13"/>
      <c r="K35" s="13">
        <v>18000</v>
      </c>
      <c r="L35" s="13">
        <v>12000</v>
      </c>
      <c r="M35" s="66"/>
      <c r="N35" s="66"/>
      <c r="O35" s="66"/>
      <c r="P35" s="66"/>
      <c r="Q35" s="66"/>
      <c r="R35" s="66"/>
      <c r="S35" s="13"/>
      <c r="T35" s="13"/>
      <c r="U35" s="13"/>
      <c r="V35" s="13"/>
      <c r="W35" s="13"/>
      <c r="X35" s="13"/>
      <c r="AH35" s="14"/>
    </row>
    <row r="36" spans="1:34" x14ac:dyDescent="0.25">
      <c r="A36" s="11">
        <v>2026</v>
      </c>
      <c r="B36" s="14">
        <v>46245</v>
      </c>
      <c r="C36" s="14"/>
      <c r="D36" s="11">
        <v>32</v>
      </c>
      <c r="E36" s="12">
        <f>'[1]Data Collection'!$C33</f>
        <v>0</v>
      </c>
      <c r="F36" s="70">
        <f>'[1]Data Collection'!$D33</f>
        <v>0</v>
      </c>
      <c r="G36" s="12">
        <f>'[1]Data Collection'!$E33</f>
        <v>0</v>
      </c>
      <c r="H36" s="13">
        <f t="shared" si="2"/>
        <v>0</v>
      </c>
      <c r="I36" s="13"/>
      <c r="J36" s="13"/>
      <c r="K36" s="13">
        <v>18000</v>
      </c>
      <c r="L36" s="13">
        <v>12000</v>
      </c>
      <c r="M36" s="66"/>
      <c r="N36" s="66"/>
      <c r="O36" s="66"/>
      <c r="P36" s="66"/>
      <c r="Q36" s="66"/>
      <c r="R36" s="66"/>
      <c r="S36" s="13"/>
      <c r="T36" s="13"/>
      <c r="U36" s="13"/>
      <c r="V36" s="13"/>
      <c r="W36" s="13"/>
      <c r="X36" s="13"/>
      <c r="AH36" s="14"/>
    </row>
    <row r="37" spans="1:34" x14ac:dyDescent="0.25">
      <c r="A37" s="11">
        <v>2026</v>
      </c>
      <c r="B37" s="14">
        <v>46252</v>
      </c>
      <c r="C37" s="14"/>
      <c r="D37" s="11">
        <v>33</v>
      </c>
      <c r="E37" s="12">
        <f>'[1]Data Collection'!$C34</f>
        <v>0</v>
      </c>
      <c r="F37" s="70">
        <f>'[1]Data Collection'!$D34</f>
        <v>0</v>
      </c>
      <c r="G37" s="12">
        <f>'[1]Data Collection'!$E34</f>
        <v>0</v>
      </c>
      <c r="H37" s="13">
        <f t="shared" si="2"/>
        <v>0</v>
      </c>
      <c r="I37" s="13"/>
      <c r="J37" s="13"/>
      <c r="K37" s="13">
        <v>18000</v>
      </c>
      <c r="L37" s="13">
        <v>12000</v>
      </c>
      <c r="M37" s="66"/>
      <c r="N37" s="66"/>
      <c r="O37" s="66"/>
      <c r="P37" s="66"/>
      <c r="Q37" s="66"/>
      <c r="R37" s="66"/>
      <c r="S37" s="13"/>
      <c r="T37" s="13"/>
      <c r="U37" s="13"/>
      <c r="V37" s="13"/>
      <c r="W37" s="13"/>
      <c r="X37" s="13"/>
      <c r="AH37" s="14"/>
    </row>
    <row r="38" spans="1:34" x14ac:dyDescent="0.25">
      <c r="A38" s="11">
        <v>2026</v>
      </c>
      <c r="B38" s="14">
        <v>46259</v>
      </c>
      <c r="C38" s="14"/>
      <c r="D38" s="11">
        <v>34</v>
      </c>
      <c r="E38" s="12">
        <f>'[1]Data Collection'!$C35</f>
        <v>0</v>
      </c>
      <c r="F38" s="70">
        <f>'[1]Data Collection'!$D35</f>
        <v>0</v>
      </c>
      <c r="G38" s="12">
        <f>'[1]Data Collection'!$E35</f>
        <v>0</v>
      </c>
      <c r="H38" s="13">
        <f t="shared" si="2"/>
        <v>0</v>
      </c>
      <c r="I38" s="13"/>
      <c r="J38" s="13"/>
      <c r="K38" s="13">
        <v>18000</v>
      </c>
      <c r="L38" s="13">
        <v>12000</v>
      </c>
      <c r="M38" s="66"/>
      <c r="N38" s="66"/>
      <c r="O38" s="66"/>
      <c r="P38" s="66"/>
      <c r="Q38" s="66"/>
      <c r="R38" s="66"/>
      <c r="S38" s="13"/>
      <c r="T38" s="13"/>
      <c r="U38" s="13"/>
      <c r="V38" s="13"/>
      <c r="W38" s="13"/>
      <c r="X38" s="13"/>
      <c r="AH38" s="14"/>
    </row>
    <row r="39" spans="1:34" x14ac:dyDescent="0.25">
      <c r="A39" s="11">
        <v>2026</v>
      </c>
      <c r="B39" s="14">
        <v>46266</v>
      </c>
      <c r="C39" s="14" t="s">
        <v>30</v>
      </c>
      <c r="D39" s="11">
        <v>35</v>
      </c>
      <c r="E39" s="12">
        <f>'[1]Data Collection'!$C36</f>
        <v>0</v>
      </c>
      <c r="F39" s="70">
        <f>'[1]Data Collection'!$D36</f>
        <v>0</v>
      </c>
      <c r="G39" s="12">
        <f>'[1]Data Collection'!$E36</f>
        <v>0</v>
      </c>
      <c r="H39" s="13">
        <f t="shared" si="2"/>
        <v>0</v>
      </c>
      <c r="I39" s="13"/>
      <c r="J39" s="13"/>
      <c r="K39" s="13">
        <v>18000</v>
      </c>
      <c r="L39" s="13">
        <v>12000</v>
      </c>
      <c r="M39" s="66"/>
      <c r="N39" s="66"/>
      <c r="O39" s="66"/>
      <c r="P39" s="66"/>
      <c r="Q39" s="66"/>
      <c r="R39" s="66"/>
      <c r="S39" s="13"/>
      <c r="T39" s="13"/>
      <c r="U39" s="13"/>
      <c r="V39" s="13"/>
      <c r="W39" s="13"/>
      <c r="X39" s="13"/>
      <c r="AH39" s="14"/>
    </row>
    <row r="40" spans="1:34" x14ac:dyDescent="0.25">
      <c r="A40" s="11">
        <v>2026</v>
      </c>
      <c r="B40" s="14">
        <v>46273</v>
      </c>
      <c r="C40" s="14"/>
      <c r="D40" s="11">
        <v>36</v>
      </c>
      <c r="E40" s="12">
        <f>'[1]Data Collection'!$C37</f>
        <v>0</v>
      </c>
      <c r="F40" s="70">
        <f>'[1]Data Collection'!$D37</f>
        <v>0</v>
      </c>
      <c r="G40" s="12">
        <f>'[1]Data Collection'!$E37</f>
        <v>0</v>
      </c>
      <c r="H40" s="13">
        <f t="shared" si="2"/>
        <v>0</v>
      </c>
      <c r="I40" s="13"/>
      <c r="J40" s="13"/>
      <c r="K40" s="13">
        <v>18000</v>
      </c>
      <c r="L40" s="13">
        <v>12000</v>
      </c>
      <c r="M40" s="66"/>
      <c r="N40" s="66"/>
      <c r="O40" s="66"/>
      <c r="P40" s="66"/>
      <c r="Q40" s="66"/>
      <c r="R40" s="66"/>
      <c r="S40" s="13"/>
      <c r="T40" s="13"/>
      <c r="U40" s="13"/>
      <c r="V40" s="13"/>
      <c r="W40" s="13"/>
      <c r="X40" s="13"/>
      <c r="AH40" s="14"/>
    </row>
    <row r="41" spans="1:34" x14ac:dyDescent="0.25">
      <c r="A41" s="11">
        <v>2026</v>
      </c>
      <c r="B41" s="14">
        <v>46280</v>
      </c>
      <c r="C41" s="14"/>
      <c r="D41" s="11">
        <v>37</v>
      </c>
      <c r="E41" s="12">
        <f>'[1]Data Collection'!$C38</f>
        <v>0</v>
      </c>
      <c r="F41" s="70">
        <f>'[1]Data Collection'!$D38</f>
        <v>0</v>
      </c>
      <c r="G41" s="12">
        <f>'[1]Data Collection'!$E38</f>
        <v>0</v>
      </c>
      <c r="H41" s="13">
        <f t="shared" si="2"/>
        <v>0</v>
      </c>
      <c r="I41" s="13"/>
      <c r="J41" s="13"/>
      <c r="K41" s="13">
        <v>18000</v>
      </c>
      <c r="L41" s="13">
        <v>12000</v>
      </c>
      <c r="M41" s="66"/>
      <c r="N41" s="66"/>
      <c r="O41" s="66"/>
      <c r="P41" s="66"/>
      <c r="Q41" s="66"/>
      <c r="R41" s="66"/>
      <c r="S41" s="13"/>
      <c r="T41" s="13"/>
      <c r="U41" s="13"/>
      <c r="V41" s="13"/>
      <c r="W41" s="13"/>
      <c r="X41" s="13"/>
      <c r="AH41" s="14"/>
    </row>
    <row r="42" spans="1:34" x14ac:dyDescent="0.25">
      <c r="A42" s="11">
        <v>2026</v>
      </c>
      <c r="B42" s="14">
        <v>46287</v>
      </c>
      <c r="D42" s="11">
        <v>38</v>
      </c>
      <c r="E42" s="12">
        <f>'[1]Data Collection'!$C39</f>
        <v>0</v>
      </c>
      <c r="F42" s="70">
        <f>'[1]Data Collection'!$D39</f>
        <v>0</v>
      </c>
      <c r="G42" s="12">
        <f>'[1]Data Collection'!$E39</f>
        <v>0</v>
      </c>
      <c r="H42" s="13">
        <f t="shared" si="2"/>
        <v>0</v>
      </c>
      <c r="I42" s="13"/>
      <c r="J42" s="13"/>
      <c r="K42" s="13">
        <v>18000</v>
      </c>
      <c r="L42" s="13">
        <v>12000</v>
      </c>
      <c r="M42" s="66"/>
      <c r="N42" s="66"/>
      <c r="O42" s="66"/>
      <c r="P42" s="66"/>
      <c r="Q42" s="66"/>
      <c r="R42" s="66"/>
      <c r="S42" s="13"/>
      <c r="T42" s="13"/>
      <c r="U42" s="13"/>
      <c r="V42" s="13"/>
      <c r="W42" s="13"/>
      <c r="X42" s="13"/>
      <c r="AH42" s="14"/>
    </row>
    <row r="43" spans="1:34" x14ac:dyDescent="0.25">
      <c r="A43" s="11">
        <v>2026</v>
      </c>
      <c r="B43" s="14">
        <v>46294</v>
      </c>
      <c r="C43" s="14"/>
      <c r="D43" s="11">
        <v>39</v>
      </c>
      <c r="E43" s="12">
        <f>'[1]Data Collection'!$C40</f>
        <v>0</v>
      </c>
      <c r="F43" s="70">
        <f>'[1]Data Collection'!$D40</f>
        <v>0</v>
      </c>
      <c r="G43" s="12">
        <f>'[1]Data Collection'!$E40</f>
        <v>0</v>
      </c>
      <c r="H43" s="13">
        <f t="shared" si="2"/>
        <v>0</v>
      </c>
      <c r="I43" s="13"/>
      <c r="J43" s="13"/>
      <c r="K43" s="13">
        <v>18000</v>
      </c>
      <c r="L43" s="13">
        <v>12000</v>
      </c>
      <c r="M43" s="66"/>
      <c r="N43" s="66"/>
      <c r="O43" s="66"/>
      <c r="P43" s="66"/>
      <c r="Q43" s="66"/>
      <c r="R43" s="66"/>
      <c r="S43" s="13"/>
      <c r="T43" s="13"/>
      <c r="U43" s="13"/>
      <c r="V43" s="13"/>
      <c r="W43" s="13"/>
      <c r="X43" s="13"/>
      <c r="AH43" s="14"/>
    </row>
    <row r="44" spans="1:34" x14ac:dyDescent="0.25">
      <c r="A44" s="11">
        <v>2026</v>
      </c>
      <c r="B44" s="14">
        <v>46301</v>
      </c>
      <c r="C44" s="14" t="s">
        <v>31</v>
      </c>
      <c r="D44" s="11">
        <v>40</v>
      </c>
      <c r="E44" s="12">
        <f>'[1]Data Collection'!$C41</f>
        <v>0</v>
      </c>
      <c r="F44" s="70">
        <f>'[1]Data Collection'!$D41</f>
        <v>0</v>
      </c>
      <c r="G44" s="12">
        <f>'[1]Data Collection'!$E41</f>
        <v>0</v>
      </c>
      <c r="H44" s="13">
        <f t="shared" si="2"/>
        <v>0</v>
      </c>
      <c r="I44" s="13"/>
      <c r="J44" s="13"/>
      <c r="K44" s="13">
        <v>18000</v>
      </c>
      <c r="L44" s="13">
        <v>12000</v>
      </c>
      <c r="M44" s="66"/>
      <c r="N44" s="66"/>
      <c r="O44" s="66"/>
      <c r="P44" s="66"/>
      <c r="Q44" s="66"/>
      <c r="R44" s="66"/>
      <c r="S44" s="13"/>
      <c r="T44" s="13"/>
      <c r="U44" s="13"/>
      <c r="V44" s="13"/>
      <c r="W44" s="13"/>
      <c r="X44" s="13"/>
      <c r="AH44" s="14"/>
    </row>
    <row r="45" spans="1:34" x14ac:dyDescent="0.25">
      <c r="A45" s="11">
        <v>2026</v>
      </c>
      <c r="B45" s="14">
        <v>46308</v>
      </c>
      <c r="C45" s="14"/>
      <c r="D45" s="11">
        <v>41</v>
      </c>
      <c r="E45" s="12">
        <f>'[1]Data Collection'!$C42</f>
        <v>0</v>
      </c>
      <c r="F45" s="70">
        <f>'[1]Data Collection'!$D42</f>
        <v>0</v>
      </c>
      <c r="G45" s="12">
        <f>'[1]Data Collection'!$E42</f>
        <v>0</v>
      </c>
      <c r="H45" s="13">
        <f t="shared" si="2"/>
        <v>0</v>
      </c>
      <c r="I45" s="13"/>
      <c r="J45" s="13"/>
      <c r="K45" s="13">
        <v>18000</v>
      </c>
      <c r="L45" s="13">
        <v>12000</v>
      </c>
      <c r="M45" s="66"/>
      <c r="N45" s="66"/>
      <c r="O45" s="66"/>
      <c r="P45" s="66"/>
      <c r="Q45" s="66"/>
      <c r="R45" s="66"/>
      <c r="S45" s="13"/>
      <c r="T45" s="13"/>
      <c r="U45" s="13"/>
      <c r="V45" s="13"/>
      <c r="W45" s="13"/>
      <c r="X45" s="13"/>
      <c r="AH45" s="14"/>
    </row>
    <row r="46" spans="1:34" x14ac:dyDescent="0.25">
      <c r="A46" s="11">
        <v>2026</v>
      </c>
      <c r="B46" s="14">
        <v>46315</v>
      </c>
      <c r="C46" s="14"/>
      <c r="D46" s="11">
        <v>42</v>
      </c>
      <c r="E46" s="12">
        <f>'[1]Data Collection'!$C43</f>
        <v>0</v>
      </c>
      <c r="F46" s="70">
        <f>'[1]Data Collection'!$D43</f>
        <v>0</v>
      </c>
      <c r="G46" s="12">
        <f>'[1]Data Collection'!$E43</f>
        <v>0</v>
      </c>
      <c r="H46" s="13">
        <f t="shared" si="2"/>
        <v>0</v>
      </c>
      <c r="I46" s="13"/>
      <c r="J46" s="13"/>
      <c r="K46" s="13">
        <v>18000</v>
      </c>
      <c r="L46" s="13">
        <v>12000</v>
      </c>
      <c r="M46" s="66"/>
      <c r="N46" s="66"/>
      <c r="O46" s="66"/>
      <c r="P46" s="66"/>
      <c r="Q46" s="66"/>
      <c r="R46" s="66"/>
      <c r="S46" s="13"/>
      <c r="T46" s="13"/>
      <c r="U46" s="13"/>
      <c r="V46" s="13"/>
      <c r="W46" s="13"/>
      <c r="X46" s="13"/>
      <c r="AH46" s="14"/>
    </row>
    <row r="47" spans="1:34" x14ac:dyDescent="0.25">
      <c r="A47" s="11">
        <v>2026</v>
      </c>
      <c r="B47" s="14">
        <v>46322</v>
      </c>
      <c r="C47" s="14"/>
      <c r="D47" s="11">
        <v>43</v>
      </c>
      <c r="E47" s="12">
        <f>'[1]Data Collection'!$C44</f>
        <v>0</v>
      </c>
      <c r="F47" s="70">
        <f>'[1]Data Collection'!$D44</f>
        <v>0</v>
      </c>
      <c r="G47" s="12">
        <f>'[1]Data Collection'!$E44</f>
        <v>0</v>
      </c>
      <c r="H47" s="13">
        <f t="shared" si="2"/>
        <v>0</v>
      </c>
      <c r="I47" s="13"/>
      <c r="J47" s="13"/>
      <c r="K47" s="13">
        <v>18000</v>
      </c>
      <c r="L47" s="13">
        <v>12000</v>
      </c>
      <c r="M47" s="66"/>
      <c r="N47" s="66"/>
      <c r="O47" s="66"/>
      <c r="P47" s="66"/>
      <c r="Q47" s="66"/>
      <c r="R47" s="66"/>
      <c r="S47" s="13"/>
      <c r="T47" s="13"/>
      <c r="U47" s="13"/>
      <c r="V47" s="13"/>
      <c r="W47" s="13"/>
      <c r="X47" s="13"/>
      <c r="AH47" s="14"/>
    </row>
    <row r="48" spans="1:34" x14ac:dyDescent="0.25">
      <c r="A48" s="11">
        <v>2026</v>
      </c>
      <c r="B48" s="14">
        <v>46329</v>
      </c>
      <c r="C48" s="14" t="s">
        <v>32</v>
      </c>
      <c r="D48" s="11">
        <v>44</v>
      </c>
      <c r="E48" s="12">
        <f>'[1]Data Collection'!$C45</f>
        <v>0</v>
      </c>
      <c r="F48" s="70">
        <f>'[1]Data Collection'!$D45</f>
        <v>0</v>
      </c>
      <c r="G48" s="12">
        <f>'[1]Data Collection'!$E45</f>
        <v>0</v>
      </c>
      <c r="H48" s="13">
        <f t="shared" si="2"/>
        <v>0</v>
      </c>
      <c r="I48" s="13"/>
      <c r="J48" s="13"/>
      <c r="K48" s="13">
        <v>18000</v>
      </c>
      <c r="L48" s="13">
        <v>12000</v>
      </c>
      <c r="M48" s="66"/>
      <c r="N48" s="66"/>
      <c r="O48" s="66"/>
      <c r="P48" s="66"/>
      <c r="Q48" s="66"/>
      <c r="R48" s="66"/>
      <c r="S48" s="13"/>
      <c r="T48" s="13"/>
      <c r="U48" s="13"/>
      <c r="V48" s="13"/>
      <c r="W48" s="13"/>
      <c r="X48" s="13"/>
      <c r="AH48" s="14"/>
    </row>
    <row r="49" spans="1:34" x14ac:dyDescent="0.25">
      <c r="A49" s="11">
        <v>2026</v>
      </c>
      <c r="B49" s="14">
        <v>46336</v>
      </c>
      <c r="C49" s="14"/>
      <c r="D49" s="11">
        <v>45</v>
      </c>
      <c r="E49" s="12">
        <f>'[1]Data Collection'!$C46</f>
        <v>0</v>
      </c>
      <c r="F49" s="70">
        <f>'[1]Data Collection'!$D46</f>
        <v>0</v>
      </c>
      <c r="G49" s="12">
        <f>'[1]Data Collection'!$E46</f>
        <v>0</v>
      </c>
      <c r="H49" s="13">
        <f t="shared" si="2"/>
        <v>0</v>
      </c>
      <c r="I49" s="13"/>
      <c r="J49" s="13"/>
      <c r="K49" s="13">
        <v>18000</v>
      </c>
      <c r="L49" s="13">
        <v>12000</v>
      </c>
      <c r="M49" s="66"/>
      <c r="N49" s="66"/>
      <c r="O49" s="66"/>
      <c r="P49" s="66"/>
      <c r="Q49" s="66"/>
      <c r="R49" s="66"/>
      <c r="S49" s="13"/>
      <c r="T49" s="13"/>
      <c r="U49" s="13"/>
      <c r="V49" s="13"/>
      <c r="W49" s="13"/>
      <c r="X49" s="13"/>
      <c r="AH49" s="14"/>
    </row>
    <row r="50" spans="1:34" x14ac:dyDescent="0.25">
      <c r="A50" s="11">
        <v>2026</v>
      </c>
      <c r="B50" s="14">
        <v>46343</v>
      </c>
      <c r="C50" s="14"/>
      <c r="D50" s="11">
        <v>46</v>
      </c>
      <c r="E50" s="12">
        <f>'[1]Data Collection'!$C47</f>
        <v>0</v>
      </c>
      <c r="F50" s="70">
        <f>'[1]Data Collection'!$D47</f>
        <v>0</v>
      </c>
      <c r="G50" s="12">
        <f>'[1]Data Collection'!$E47</f>
        <v>0</v>
      </c>
      <c r="H50" s="13">
        <f t="shared" si="2"/>
        <v>0</v>
      </c>
      <c r="I50" s="13"/>
      <c r="J50" s="13"/>
      <c r="K50" s="13">
        <v>18000</v>
      </c>
      <c r="L50" s="13">
        <v>12000</v>
      </c>
      <c r="M50" s="66"/>
      <c r="N50" s="66"/>
      <c r="O50" s="66"/>
      <c r="P50" s="66"/>
      <c r="Q50" s="66"/>
      <c r="R50" s="66"/>
      <c r="S50" s="13"/>
      <c r="T50" s="13"/>
      <c r="U50" s="13"/>
      <c r="V50" s="13"/>
      <c r="W50" s="13"/>
      <c r="X50" s="13"/>
      <c r="AH50" s="14"/>
    </row>
    <row r="51" spans="1:34" x14ac:dyDescent="0.25">
      <c r="A51" s="11">
        <v>2026</v>
      </c>
      <c r="B51" s="14">
        <v>46350</v>
      </c>
      <c r="D51" s="11">
        <v>47</v>
      </c>
      <c r="E51" s="12">
        <f>'[1]Data Collection'!$C48</f>
        <v>0</v>
      </c>
      <c r="F51" s="70">
        <f>'[1]Data Collection'!$D48</f>
        <v>0</v>
      </c>
      <c r="G51" s="12">
        <f>'[1]Data Collection'!$E48</f>
        <v>0</v>
      </c>
      <c r="H51" s="13">
        <f t="shared" si="2"/>
        <v>0</v>
      </c>
      <c r="I51" s="13"/>
      <c r="J51" s="13"/>
      <c r="K51" s="13">
        <v>18000</v>
      </c>
      <c r="L51" s="13">
        <v>12000</v>
      </c>
      <c r="M51" s="66"/>
      <c r="N51" s="66"/>
      <c r="O51" s="66"/>
      <c r="P51" s="66"/>
      <c r="Q51" s="66"/>
      <c r="R51" s="66"/>
      <c r="S51" s="13"/>
      <c r="T51" s="13"/>
      <c r="U51" s="13"/>
      <c r="V51" s="13"/>
      <c r="W51" s="13"/>
      <c r="X51" s="13"/>
      <c r="AH51" s="14"/>
    </row>
    <row r="52" spans="1:34" x14ac:dyDescent="0.25">
      <c r="A52" s="11">
        <v>2026</v>
      </c>
      <c r="B52" s="14">
        <v>46357</v>
      </c>
      <c r="C52" s="14" t="s">
        <v>33</v>
      </c>
      <c r="D52" s="11">
        <v>48</v>
      </c>
      <c r="E52" s="12">
        <f>'[1]Data Collection'!$C49</f>
        <v>0</v>
      </c>
      <c r="F52" s="70">
        <f>'[1]Data Collection'!$D49</f>
        <v>0</v>
      </c>
      <c r="G52" s="12">
        <f>'[1]Data Collection'!$E49</f>
        <v>0</v>
      </c>
      <c r="H52" s="13">
        <f t="shared" si="2"/>
        <v>0</v>
      </c>
      <c r="I52" s="13"/>
      <c r="J52" s="13"/>
      <c r="K52" s="13">
        <v>18000</v>
      </c>
      <c r="L52" s="13">
        <v>12000</v>
      </c>
      <c r="M52" s="66"/>
      <c r="N52" s="66"/>
      <c r="O52" s="66"/>
      <c r="P52" s="66"/>
      <c r="Q52" s="66"/>
      <c r="R52" s="66"/>
      <c r="S52" s="13"/>
      <c r="T52" s="13"/>
      <c r="U52" s="13"/>
      <c r="V52" s="13"/>
      <c r="W52" s="13"/>
      <c r="X52" s="13"/>
      <c r="AH52" s="14"/>
    </row>
    <row r="53" spans="1:34" x14ac:dyDescent="0.25">
      <c r="A53" s="11">
        <v>2026</v>
      </c>
      <c r="B53" s="14">
        <v>46364</v>
      </c>
      <c r="C53" s="14"/>
      <c r="D53" s="11">
        <v>49</v>
      </c>
      <c r="E53" s="12">
        <f>'[1]Data Collection'!$C50</f>
        <v>0</v>
      </c>
      <c r="F53" s="70">
        <f>'[1]Data Collection'!$D50</f>
        <v>0</v>
      </c>
      <c r="G53" s="12">
        <f>'[1]Data Collection'!$E50</f>
        <v>0</v>
      </c>
      <c r="H53" s="13">
        <f t="shared" si="2"/>
        <v>0</v>
      </c>
      <c r="I53" s="13"/>
      <c r="J53" s="13"/>
      <c r="K53" s="13">
        <v>18000</v>
      </c>
      <c r="L53" s="13">
        <v>12000</v>
      </c>
      <c r="M53" s="66"/>
      <c r="N53" s="66"/>
      <c r="O53" s="66"/>
      <c r="P53" s="66"/>
      <c r="Q53" s="66"/>
      <c r="R53" s="66"/>
      <c r="S53" s="13"/>
      <c r="T53" s="13"/>
      <c r="U53" s="13"/>
      <c r="V53" s="13"/>
      <c r="W53" s="13"/>
      <c r="X53" s="13"/>
      <c r="AH53" s="14"/>
    </row>
    <row r="54" spans="1:34" x14ac:dyDescent="0.25">
      <c r="A54" s="11">
        <v>2026</v>
      </c>
      <c r="B54" s="14">
        <v>46371</v>
      </c>
      <c r="C54" s="14"/>
      <c r="D54" s="11">
        <v>50</v>
      </c>
      <c r="E54" s="12">
        <f>'[1]Data Collection'!$C51</f>
        <v>0</v>
      </c>
      <c r="F54" s="70">
        <f>'[1]Data Collection'!$D51</f>
        <v>0</v>
      </c>
      <c r="G54" s="12">
        <f>'[1]Data Collection'!$E51</f>
        <v>0</v>
      </c>
      <c r="H54" s="13">
        <f t="shared" si="2"/>
        <v>0</v>
      </c>
      <c r="I54" s="13"/>
      <c r="J54" s="13"/>
      <c r="K54" s="13">
        <v>18000</v>
      </c>
      <c r="L54" s="13">
        <v>12000</v>
      </c>
      <c r="M54" s="66"/>
      <c r="N54" s="66"/>
      <c r="O54" s="66"/>
      <c r="P54" s="66"/>
      <c r="Q54" s="66"/>
      <c r="R54" s="66"/>
      <c r="S54" s="13"/>
      <c r="T54" s="13"/>
      <c r="U54" s="13"/>
      <c r="V54" s="13"/>
      <c r="W54" s="13"/>
      <c r="X54" s="13"/>
      <c r="AH54" s="14"/>
    </row>
    <row r="55" spans="1:34" x14ac:dyDescent="0.25">
      <c r="A55" s="11">
        <v>2026</v>
      </c>
      <c r="B55" s="14">
        <v>46378</v>
      </c>
      <c r="D55" s="11">
        <v>51</v>
      </c>
      <c r="E55" s="12">
        <f>'[1]Data Collection'!$C52</f>
        <v>0</v>
      </c>
      <c r="F55" s="70">
        <f>'[1]Data Collection'!$D52</f>
        <v>0</v>
      </c>
      <c r="G55" s="12">
        <f>'[1]Data Collection'!$E52</f>
        <v>0</v>
      </c>
      <c r="H55" s="13">
        <f t="shared" si="2"/>
        <v>0</v>
      </c>
      <c r="I55" s="13"/>
      <c r="J55" s="13"/>
      <c r="K55" s="13">
        <v>18000</v>
      </c>
      <c r="L55" s="13">
        <v>12000</v>
      </c>
      <c r="M55" s="66"/>
      <c r="N55" s="66"/>
      <c r="O55" s="66"/>
      <c r="P55" s="66"/>
      <c r="Q55" s="66"/>
      <c r="R55" s="66"/>
      <c r="S55" s="13"/>
      <c r="T55" s="13"/>
      <c r="U55" s="13"/>
      <c r="V55" s="13"/>
      <c r="W55" s="13"/>
      <c r="X55" s="13"/>
      <c r="AH55" s="14"/>
    </row>
    <row r="56" spans="1:34" x14ac:dyDescent="0.25">
      <c r="A56" s="11">
        <v>2026</v>
      </c>
      <c r="B56" s="14">
        <v>46385</v>
      </c>
      <c r="C56" s="14"/>
      <c r="D56" s="11">
        <v>52</v>
      </c>
      <c r="E56" s="12">
        <f>'[1]Data Collection'!$C53</f>
        <v>0</v>
      </c>
      <c r="F56" s="70">
        <f>'[1]Data Collection'!$D53</f>
        <v>0</v>
      </c>
      <c r="G56" s="12">
        <f>'[1]Data Collection'!$E53</f>
        <v>0</v>
      </c>
      <c r="H56" s="13">
        <f t="shared" si="2"/>
        <v>0</v>
      </c>
      <c r="I56" s="13"/>
      <c r="J56" s="13"/>
      <c r="K56" s="13">
        <v>18000</v>
      </c>
      <c r="L56" s="13">
        <v>12000</v>
      </c>
      <c r="M56" s="66"/>
      <c r="N56" s="66"/>
      <c r="O56" s="66"/>
      <c r="P56" s="66"/>
      <c r="Q56" s="66"/>
      <c r="R56" s="66"/>
      <c r="S56" s="13"/>
      <c r="T56" s="13"/>
      <c r="U56" s="13"/>
      <c r="V56" s="13"/>
      <c r="W56" s="13"/>
      <c r="X56" s="13"/>
      <c r="AH56" s="14"/>
    </row>
    <row r="57" spans="1:34" x14ac:dyDescent="0.25">
      <c r="A57" s="11"/>
      <c r="B57" s="14"/>
      <c r="D57" s="11"/>
      <c r="E57" s="12"/>
      <c r="F57" s="13"/>
      <c r="G57" s="13"/>
      <c r="H57" s="13"/>
      <c r="J57" s="13"/>
      <c r="K57" s="13"/>
      <c r="L57" s="13"/>
      <c r="P57" s="66"/>
      <c r="Q57" s="66"/>
      <c r="R57" s="66"/>
    </row>
    <row r="58" spans="1:34" x14ac:dyDescent="0.25">
      <c r="E58" s="15">
        <f t="shared" ref="E58:F58" si="22">SUM(E5:E56)</f>
        <v>2450001</v>
      </c>
      <c r="F58" s="15">
        <f t="shared" si="22"/>
        <v>5321.55</v>
      </c>
      <c r="G58" s="15">
        <f>SUM(G5:G56)</f>
        <v>1094518</v>
      </c>
      <c r="H58" s="33">
        <f>G58/F58</f>
        <v>205.67654160911763</v>
      </c>
      <c r="L58" t="s">
        <v>40</v>
      </c>
      <c r="M58" s="15">
        <f>SUM(M5:M56)</f>
        <v>8</v>
      </c>
      <c r="N58" s="15">
        <f t="shared" ref="N58:O58" si="23">SUM(N5:N56)</f>
        <v>0</v>
      </c>
      <c r="O58" s="15">
        <f t="shared" si="23"/>
        <v>0</v>
      </c>
      <c r="P58" s="15"/>
    </row>
    <row r="59" spans="1:34" x14ac:dyDescent="0.25">
      <c r="L59" t="s">
        <v>51</v>
      </c>
      <c r="M59">
        <f>COUNTIF(M5:M17, 1)</f>
        <v>8</v>
      </c>
      <c r="N59">
        <f t="shared" ref="N59:O59" si="24">COUNTIF(N5:N17, 1)</f>
        <v>0</v>
      </c>
      <c r="O59">
        <f t="shared" si="24"/>
        <v>0</v>
      </c>
      <c r="P59" s="15">
        <f>(P9+P13+P17)/4</f>
        <v>0</v>
      </c>
      <c r="Q59" s="15">
        <f>Q9+Q13+Q17</f>
        <v>0</v>
      </c>
      <c r="R59" s="15">
        <f>R9+R13+R17</f>
        <v>0</v>
      </c>
    </row>
    <row r="60" spans="1:34" x14ac:dyDescent="0.25">
      <c r="L60" t="s">
        <v>52</v>
      </c>
      <c r="M60">
        <f>COUNTIF(M18:M30,1)</f>
        <v>0</v>
      </c>
      <c r="N60">
        <f t="shared" ref="N60:O60" si="25">COUNTIF(N18:N30,1)</f>
        <v>0</v>
      </c>
      <c r="O60">
        <f t="shared" si="25"/>
        <v>0</v>
      </c>
    </row>
    <row r="61" spans="1:34" x14ac:dyDescent="0.25">
      <c r="L61" t="s">
        <v>53</v>
      </c>
      <c r="M61">
        <f>COUNTIF(M31:M43, 1)</f>
        <v>0</v>
      </c>
      <c r="N61">
        <f t="shared" ref="N61:O61" si="26">COUNTIF(N31:N43, 1)</f>
        <v>0</v>
      </c>
      <c r="O61">
        <f t="shared" si="26"/>
        <v>0</v>
      </c>
    </row>
    <row r="62" spans="1:34" x14ac:dyDescent="0.25">
      <c r="L62" t="s">
        <v>54</v>
      </c>
      <c r="M62">
        <f>COUNTIF(M44:M56,1)</f>
        <v>0</v>
      </c>
      <c r="N62">
        <f t="shared" ref="N62:O62" si="27">COUNTIF(N44:N56,1)</f>
        <v>0</v>
      </c>
      <c r="O62">
        <f t="shared" si="27"/>
        <v>0</v>
      </c>
    </row>
  </sheetData>
  <mergeCells count="5">
    <mergeCell ref="E3:F3"/>
    <mergeCell ref="J3:L3"/>
    <mergeCell ref="T3:V3"/>
    <mergeCell ref="AC3:AF3"/>
    <mergeCell ref="AG3:AJ3"/>
  </mergeCells>
  <phoneticPr fontId="1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Dashboard P1</vt:lpstr>
      <vt:lpstr>Dashboard P2</vt:lpstr>
      <vt:lpstr>2026</vt:lpstr>
      <vt:lpstr>'Dashboard P1'!Print_Area</vt:lpstr>
      <vt:lpstr>'Dashboard P2'!Print_Area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Taylor</dc:creator>
  <cp:lastModifiedBy>Chris Fletcher</cp:lastModifiedBy>
  <cp:lastPrinted>2026-02-25T16:44:34Z</cp:lastPrinted>
  <dcterms:created xsi:type="dcterms:W3CDTF">2018-01-09T21:19:37Z</dcterms:created>
  <dcterms:modified xsi:type="dcterms:W3CDTF">2026-02-25T17:04:36Z</dcterms:modified>
</cp:coreProperties>
</file>