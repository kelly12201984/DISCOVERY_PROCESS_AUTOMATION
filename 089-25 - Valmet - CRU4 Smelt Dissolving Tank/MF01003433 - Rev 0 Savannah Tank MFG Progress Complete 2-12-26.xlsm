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JOBS\2025\089-25 - Valmet - CRU4 Smelt Dissolving Tank\"/>
    </mc:Choice>
  </mc:AlternateContent>
  <xr:revisionPtr revIDLastSave="0" documentId="14_{A52FF239-8270-4569-98DB-7ECEB690F59D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 1" sheetId="1" r:id="rId1"/>
    <sheet name="Nozzles" sheetId="5" r:id="rId2"/>
    <sheet name="TransferValues" sheetId="4" state="hidden" r:id="rId3"/>
  </sheets>
  <definedNames>
    <definedName name="_xlnm._FilterDatabase" localSheetId="0" hidden="1">'Sheet 1'!$A$3:$M$63</definedName>
    <definedName name="APPROVED_BY">TransferValues!$B$9</definedName>
    <definedName name="CHECKED_BY">TransferValues!$B$8</definedName>
    <definedName name="Confidentiality">TransferValues!$B$10</definedName>
    <definedName name="CREATED_KVAERNERFORMAT">TransferValues!$B$5</definedName>
    <definedName name="DOC_ID">TransferValues!$B$3</definedName>
    <definedName name="EXT_DOC_ID">TransferValues!$B$12</definedName>
    <definedName name="ISSUE">TransferValues!$B$7</definedName>
    <definedName name="PREP_BY">TransferValues!$B$6</definedName>
    <definedName name="_xlnm.Print_Area" localSheetId="0">'Sheet 1'!$A$1:$AR$64</definedName>
    <definedName name="_xlnm.Print_Titles" localSheetId="0">'Sheet 1'!$1:$3</definedName>
    <definedName name="PROJ_NAME">TransferValues!$B$1</definedName>
    <definedName name="PROJECT">TransferValues!$B$13</definedName>
    <definedName name="REV_DATE">TransferValues!$B$11</definedName>
    <definedName name="REVISION">TransferValues!$B$4</definedName>
    <definedName name="SEARCH_KEY">TransferValues!$B$14</definedName>
    <definedName name="SubjectText">TransferValues!$E$1</definedName>
    <definedName name="TITLE">TransferValues!$B$2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8" i="1" l="1"/>
  <c r="L35" i="1"/>
  <c r="L36" i="1"/>
  <c r="L34" i="1"/>
  <c r="L33" i="1"/>
  <c r="L32" i="1"/>
  <c r="L31" i="1"/>
  <c r="L30" i="1"/>
  <c r="L47" i="1"/>
  <c r="L38" i="1"/>
  <c r="L37" i="1"/>
  <c r="L40" i="1"/>
  <c r="L41" i="1"/>
  <c r="L42" i="1"/>
  <c r="L43" i="1"/>
  <c r="L44" i="1"/>
  <c r="L45" i="1"/>
  <c r="L46" i="1"/>
  <c r="L39" i="1"/>
  <c r="L29" i="1"/>
  <c r="L21" i="1"/>
  <c r="L23" i="1"/>
  <c r="L24" i="1"/>
  <c r="L25" i="1"/>
  <c r="L26" i="1"/>
  <c r="L27" i="1"/>
  <c r="L22" i="1"/>
  <c r="B14" i="4"/>
  <c r="B10" i="4"/>
  <c r="B12" i="4"/>
  <c r="B7" i="4"/>
  <c r="B8" i="4"/>
  <c r="B9" i="4"/>
  <c r="D2" i="1"/>
  <c r="D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Tord Kallqvist</author>
  </authors>
  <commentList>
    <comment ref="A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Revision</t>
        </r>
      </text>
    </comment>
    <comment ref="B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From Master WBS - ONE POWER-POW0027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MANDATORY, Equipment Tag, Line No., etc. (Parent of the shipping unit)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 xml:space="preserve">Equipment no., mark no. or spool no. listed on the drawing.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Descriptive text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F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00000000-0006-0000-0000-000010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<sst xmlns="http://schemas.openxmlformats.org/spreadsheetml/2006/main" count="298" uniqueCount="134">
  <si>
    <t>Project</t>
  </si>
  <si>
    <t>Subject</t>
  </si>
  <si>
    <t>DocId</t>
  </si>
  <si>
    <t>Revision</t>
  </si>
  <si>
    <t>Date</t>
  </si>
  <si>
    <t>Status</t>
  </si>
  <si>
    <t>CheckedBy</t>
  </si>
  <si>
    <t>ApprovedBy</t>
  </si>
  <si>
    <t>Confidentiality</t>
  </si>
  <si>
    <t>PreparedBy</t>
  </si>
  <si>
    <t>RevisionDate</t>
  </si>
  <si>
    <t>ExternalDocID</t>
  </si>
  <si>
    <t>ProjectID</t>
  </si>
  <si>
    <t>SearchKey</t>
  </si>
  <si>
    <t>WBS</t>
  </si>
  <si>
    <t>Description</t>
  </si>
  <si>
    <t>Delivery Date</t>
  </si>
  <si>
    <t>Rec'd Date</t>
  </si>
  <si>
    <t>Comments / Remarks</t>
  </si>
  <si>
    <t>Parent ID</t>
  </si>
  <si>
    <t>Mark or Piece No.</t>
  </si>
  <si>
    <t>Rev.</t>
  </si>
  <si>
    <t>Scott Mathews</t>
  </si>
  <si>
    <t>TOTAL DELIVERED COMPONENT WEIGHT</t>
  </si>
  <si>
    <t>I.P. PRATTVILLE, AL</t>
  </si>
  <si>
    <t>Master Shipping List NO. 2 RECOVERY BOILER</t>
  </si>
  <si>
    <t>MF00032525</t>
  </si>
  <si>
    <t>TOTAL WEIGHT PRESSURE PARTS</t>
  </si>
  <si>
    <t>TOTAL WEIGHT DUCTING</t>
  </si>
  <si>
    <t>TOTAL WEIGHT SMELTS &amp; HOODS</t>
  </si>
  <si>
    <t>TOTAL WEIGHT AIR REGISTERS</t>
  </si>
  <si>
    <t>TOTAL WEIGHT BUCKSTAYS</t>
  </si>
  <si>
    <t>TOTAL WEIGHT SPARE PARTS</t>
  </si>
  <si>
    <t>GP Nehola, AL</t>
  </si>
  <si>
    <t>Master Shipping List - Recovery Boiler #4 New Dissolving tank (in-kind)</t>
  </si>
  <si>
    <t>TOTAL WEIGHT DISSOLVING TANK SYSTEM</t>
  </si>
  <si>
    <t>MF01000510-1</t>
  </si>
  <si>
    <t>REAR HALF DISSOLVING TANK</t>
  </si>
  <si>
    <t>MF01000510-2</t>
  </si>
  <si>
    <t>MF01000510-3</t>
  </si>
  <si>
    <t>SCRUBBER DUCT EXHAUST 1</t>
  </si>
  <si>
    <t>MF01000510-4</t>
  </si>
  <si>
    <t>SCRUBBER DUCT EXHAUST 2</t>
  </si>
  <si>
    <t>MF01000510-5</t>
  </si>
  <si>
    <t>MF01000510-6</t>
  </si>
  <si>
    <t>MF01000510-7</t>
  </si>
  <si>
    <t>MF01000510-8</t>
  </si>
  <si>
    <t>MF01000510-9</t>
  </si>
  <si>
    <t>MF01000510-10</t>
  </si>
  <si>
    <t>MF01000510-11</t>
  </si>
  <si>
    <t>OVERFLOW PIPE ASSEMBLY</t>
  </si>
  <si>
    <t>MF01000510-12</t>
  </si>
  <si>
    <t>OVERFLOW TROUGH ASSEMBLY</t>
  </si>
  <si>
    <t>MF01000510-13</t>
  </si>
  <si>
    <t>1/8" X 6" X 12' LG BACKING STRIP</t>
  </si>
  <si>
    <t>MF01000510-14</t>
  </si>
  <si>
    <t>AGITATOR /W MOTOR</t>
  </si>
  <si>
    <t>MF01000510-15</t>
  </si>
  <si>
    <t>MF01000510-16</t>
  </si>
  <si>
    <t>MF01000510-17</t>
  </si>
  <si>
    <t>(2) Deliveries: Shipping Sizes - (2) Halves ~44'-0" Long x ~10'-7" Wide and ~12'-0" Tall (Top steel stiffeners will be shipping loose)</t>
  </si>
  <si>
    <t>(4) Deliveries - (2) containers w/ (3) Agitator Crates and (1) Packeage of Motors and parts from Easley, SC. (1) Spare Agitator</t>
  </si>
  <si>
    <t>% Complete</t>
  </si>
  <si>
    <t>REAR HALF DISSOLVING TANK (with sulzer rings)</t>
  </si>
  <si>
    <t>None</t>
  </si>
  <si>
    <t>Pieces cut need to be constructed (in progress)</t>
  </si>
  <si>
    <t>LF Weld Complete</t>
  </si>
  <si>
    <t>Tested</t>
  </si>
  <si>
    <t xml:space="preserve">Sulzer Wall Rings </t>
  </si>
  <si>
    <t>QTY</t>
  </si>
  <si>
    <t>QTY Complete</t>
  </si>
  <si>
    <t>% Complete by QTY</t>
  </si>
  <si>
    <t>ROOF STIFFENER BEAM 1</t>
  </si>
  <si>
    <t>ROOF STIFFENER BEAM 2</t>
  </si>
  <si>
    <t>ROOF STIFFENER BEAM 3</t>
  </si>
  <si>
    <t>ROOF STIFFENER BEAM 4</t>
  </si>
  <si>
    <t>ROOF STIFFENER BEAM 5</t>
  </si>
  <si>
    <t>ROOF STIFFENER BEAM 6</t>
  </si>
  <si>
    <t>yes</t>
  </si>
  <si>
    <t>Bottom</t>
  </si>
  <si>
    <t>Shell</t>
  </si>
  <si>
    <t xml:space="preserve">Top </t>
  </si>
  <si>
    <t>Shell to Bottom</t>
  </si>
  <si>
    <t>In process</t>
  </si>
  <si>
    <t>Shell to Top</t>
  </si>
  <si>
    <t xml:space="preserve"> awaiting shell to bottom</t>
  </si>
  <si>
    <t>Shell Stiffeners</t>
  </si>
  <si>
    <t>fabricated; in staging to be installed</t>
  </si>
  <si>
    <t>in staging to be installed</t>
  </si>
  <si>
    <t>Nozzles</t>
  </si>
  <si>
    <t>long seams need to be welded</t>
  </si>
  <si>
    <t>no</t>
  </si>
  <si>
    <t>N/A</t>
  </si>
  <si>
    <t>Man Door</t>
  </si>
  <si>
    <t xml:space="preserve">LF Weld </t>
  </si>
  <si>
    <t>x</t>
  </si>
  <si>
    <t>Top to Shell</t>
  </si>
  <si>
    <t>Shell/Roof Stiffeners</t>
  </si>
  <si>
    <t>Top</t>
  </si>
  <si>
    <t>Dissassemble Clean ready for ship</t>
  </si>
  <si>
    <t>Ship</t>
  </si>
  <si>
    <t>Left to be done</t>
  </si>
  <si>
    <t>NOZZLE</t>
  </si>
  <si>
    <t>SIDE</t>
  </si>
  <si>
    <t>FABRICATED</t>
  </si>
  <si>
    <t>INSTALLED</t>
  </si>
  <si>
    <t>N1A</t>
  </si>
  <si>
    <t>N1B</t>
  </si>
  <si>
    <t>N1C</t>
  </si>
  <si>
    <t>N3</t>
  </si>
  <si>
    <t>N5A</t>
  </si>
  <si>
    <t>N5B</t>
  </si>
  <si>
    <t>N6A</t>
  </si>
  <si>
    <t>N6C</t>
  </si>
  <si>
    <t>N6D</t>
  </si>
  <si>
    <t>N7A</t>
  </si>
  <si>
    <t>N7B</t>
  </si>
  <si>
    <t>N11A</t>
  </si>
  <si>
    <t>N11B</t>
  </si>
  <si>
    <t>N11C</t>
  </si>
  <si>
    <t>N11D</t>
  </si>
  <si>
    <t>N11F</t>
  </si>
  <si>
    <t>N11E</t>
  </si>
  <si>
    <t>N11G</t>
  </si>
  <si>
    <t>N11H</t>
  </si>
  <si>
    <t>N11I</t>
  </si>
  <si>
    <t>N11J</t>
  </si>
  <si>
    <t>N12A</t>
  </si>
  <si>
    <t>N12B</t>
  </si>
  <si>
    <t>B</t>
  </si>
  <si>
    <t>N6B</t>
  </si>
  <si>
    <t>A</t>
  </si>
  <si>
    <t>COMPLETE</t>
  </si>
  <si>
    <t>NOT INSTALLED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</si>
</sst>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;@"/>
    <numFmt numFmtId="165" formatCode="[$-409]d\-mmm\-yyyy;@"/>
    <numFmt numFmtId="166" formatCode="[$-F800]dddd\,\ mmmm\ dd\,\ yyyy"/>
  </numFmts>
  <fonts count="11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2"/>
      <name val="Arial"/>
      <family val="2"/>
    </font>
    <font>
      <b/>
      <sz val="16"/>
      <name val="Arial"/>
      <family val="2"/>
    </font>
    <font>
      <sz val="1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1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vertical="top"/>
    </xf>
    <xf numFmtId="0" fontId="0" fillId="2" borderId="0" xfId="0" applyFill="1" applyAlignment="1">
      <alignment horizontal="left" indent="1"/>
    </xf>
    <xf numFmtId="0" fontId="0" fillId="2" borderId="0" xfId="0" applyFill="1" applyAlignment="1">
      <alignment horizontal="left" vertical="top" indent="1"/>
    </xf>
    <xf numFmtId="0" fontId="0" fillId="0" borderId="0" xfId="0" applyAlignment="1">
      <alignment horizontal="left" inden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14" fontId="4" fillId="0" borderId="0" xfId="0" applyNumberFormat="1" applyFont="1"/>
    <xf numFmtId="0" fontId="1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top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0" fillId="0" borderId="1" xfId="0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0" borderId="1" xfId="0" applyBorder="1" applyAlignment="1">
      <alignment horizontal="left" indent="1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4" fillId="0" borderId="9" xfId="0" applyFont="1" applyBorder="1" applyAlignment="1">
      <alignment horizontal="center" vertical="center"/>
    </xf>
    <xf numFmtId="0" fontId="4" fillId="0" borderId="9" xfId="0" applyFont="1" applyBorder="1"/>
    <xf numFmtId="165" fontId="0" fillId="0" borderId="9" xfId="0" applyNumberForma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vertical="center" wrapText="1"/>
    </xf>
    <xf numFmtId="164" fontId="5" fillId="4" borderId="5" xfId="0" applyNumberFormat="1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9" fontId="0" fillId="0" borderId="1" xfId="0" applyNumberFormat="1" applyBorder="1"/>
    <xf numFmtId="9" fontId="0" fillId="0" borderId="8" xfId="0" applyNumberFormat="1" applyBorder="1"/>
    <xf numFmtId="166" fontId="0" fillId="0" borderId="0" xfId="0" applyNumberFormat="1" applyAlignment="1">
      <alignment textRotation="90"/>
    </xf>
    <xf numFmtId="0" fontId="5" fillId="3" borderId="11" xfId="0" applyFont="1" applyFill="1" applyBorder="1" applyAlignment="1">
      <alignment horizontal="left" vertical="center" wrapText="1" indent="1"/>
    </xf>
    <xf numFmtId="0" fontId="0" fillId="0" borderId="12" xfId="0" applyBorder="1" applyAlignment="1">
      <alignment horizontal="left" indent="1"/>
    </xf>
    <xf numFmtId="0" fontId="0" fillId="0" borderId="12" xfId="0" applyBorder="1" applyAlignment="1">
      <alignment horizontal="left" wrapText="1" indent="1"/>
    </xf>
    <xf numFmtId="0" fontId="4" fillId="0" borderId="12" xfId="0" applyFont="1" applyBorder="1" applyAlignment="1">
      <alignment horizontal="left" indent="1"/>
    </xf>
    <xf numFmtId="0" fontId="0" fillId="0" borderId="12" xfId="0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164" fontId="5" fillId="4" borderId="11" xfId="0" applyNumberFormat="1" applyFont="1" applyFill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/>
    </xf>
    <xf numFmtId="0" fontId="4" fillId="0" borderId="12" xfId="0" applyFont="1" applyBorder="1"/>
    <xf numFmtId="0" fontId="0" fillId="0" borderId="12" xfId="0" applyBorder="1"/>
    <xf numFmtId="9" fontId="0" fillId="2" borderId="0" xfId="0" applyNumberFormat="1" applyFill="1"/>
    <xf numFmtId="9" fontId="0" fillId="2" borderId="0" xfId="0" applyNumberFormat="1" applyFill="1" applyAlignment="1">
      <alignment vertical="top"/>
    </xf>
    <xf numFmtId="9" fontId="5" fillId="4" borderId="11" xfId="0" applyNumberFormat="1" applyFont="1" applyFill="1" applyBorder="1" applyAlignment="1">
      <alignment horizontal="center" vertical="center" wrapText="1"/>
    </xf>
    <xf numFmtId="9" fontId="0" fillId="0" borderId="12" xfId="0" applyNumberFormat="1" applyBorder="1" applyAlignment="1">
      <alignment horizontal="center"/>
    </xf>
    <xf numFmtId="9" fontId="4" fillId="0" borderId="12" xfId="0" applyNumberFormat="1" applyFont="1" applyBorder="1"/>
    <xf numFmtId="9" fontId="0" fillId="0" borderId="12" xfId="0" applyNumberFormat="1" applyBorder="1"/>
    <xf numFmtId="9" fontId="0" fillId="0" borderId="9" xfId="0" applyNumberFormat="1" applyBorder="1"/>
    <xf numFmtId="9" fontId="0" fillId="0" borderId="1" xfId="0" applyNumberFormat="1" applyBorder="1" applyAlignment="1">
      <alignment horizontal="center"/>
    </xf>
    <xf numFmtId="9" fontId="0" fillId="0" borderId="0" xfId="0" applyNumberFormat="1"/>
    <xf numFmtId="49" fontId="5" fillId="3" borderId="11" xfId="0" applyNumberFormat="1" applyFont="1" applyFill="1" applyBorder="1" applyAlignment="1">
      <alignment horizontal="center" vertical="center" wrapText="1"/>
    </xf>
    <xf numFmtId="49" fontId="4" fillId="0" borderId="12" xfId="0" applyNumberFormat="1" applyFont="1" applyBorder="1" applyAlignment="1">
      <alignment vertical="center" wrapText="1"/>
    </xf>
    <xf numFmtId="0" fontId="4" fillId="0" borderId="12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/>
    <xf numFmtId="49" fontId="5" fillId="3" borderId="4" xfId="0" applyNumberFormat="1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14" xfId="0" applyBorder="1"/>
    <xf numFmtId="49" fontId="4" fillId="0" borderId="6" xfId="0" applyNumberFormat="1" applyFont="1" applyBorder="1" applyAlignment="1">
      <alignment horizontal="center" vertical="center" wrapText="1"/>
    </xf>
    <xf numFmtId="0" fontId="0" fillId="0" borderId="15" xfId="0" applyBorder="1"/>
    <xf numFmtId="0" fontId="1" fillId="0" borderId="6" xfId="0" applyFont="1" applyBorder="1" applyAlignment="1">
      <alignment horizontal="center" vertical="center"/>
    </xf>
    <xf numFmtId="0" fontId="4" fillId="0" borderId="15" xfId="0" applyFont="1" applyBorder="1"/>
    <xf numFmtId="0" fontId="0" fillId="0" borderId="6" xfId="0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0" xfId="0" applyBorder="1"/>
    <xf numFmtId="0" fontId="0" fillId="0" borderId="20" xfId="0" applyBorder="1"/>
    <xf numFmtId="0" fontId="0" fillId="6" borderId="1" xfId="0" applyFill="1" applyBorder="1"/>
    <xf numFmtId="0" fontId="0" fillId="7" borderId="1" xfId="0" applyFill="1" applyBorder="1"/>
    <xf numFmtId="0" fontId="0" fillId="7" borderId="5" xfId="0" applyFill="1" applyBorder="1"/>
    <xf numFmtId="0" fontId="0" fillId="7" borderId="8" xfId="0" applyFill="1" applyBorder="1"/>
    <xf numFmtId="0" fontId="4" fillId="7" borderId="1" xfId="0" applyFont="1" applyFill="1" applyBorder="1"/>
    <xf numFmtId="0" fontId="0" fillId="7" borderId="10" xfId="0" applyFill="1" applyBorder="1"/>
    <xf numFmtId="0" fontId="0" fillId="7" borderId="9" xfId="0" applyFill="1" applyBorder="1"/>
    <xf numFmtId="0" fontId="0" fillId="6" borderId="9" xfId="0" applyFill="1" applyBorder="1"/>
    <xf numFmtId="0" fontId="0" fillId="6" borderId="8" xfId="0" applyFill="1" applyBorder="1"/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1" fillId="0" borderId="10" xfId="0" applyFont="1" applyBorder="1" applyAlignment="1">
      <alignment vertical="center"/>
    </xf>
    <xf numFmtId="0" fontId="0" fillId="0" borderId="28" xfId="0" applyBorder="1"/>
    <xf numFmtId="9" fontId="0" fillId="0" borderId="28" xfId="0" applyNumberFormat="1" applyBorder="1"/>
    <xf numFmtId="0" fontId="0" fillId="0" borderId="28" xfId="0" applyBorder="1" applyAlignment="1">
      <alignment horizontal="center" vertical="center" wrapText="1"/>
    </xf>
    <xf numFmtId="166" fontId="0" fillId="8" borderId="0" xfId="0" applyNumberFormat="1" applyFill="1" applyAlignment="1">
      <alignment textRotation="90"/>
    </xf>
    <xf numFmtId="0" fontId="0" fillId="8" borderId="5" xfId="0" applyFill="1" applyBorder="1"/>
    <xf numFmtId="0" fontId="0" fillId="8" borderId="1" xfId="0" applyFill="1" applyBorder="1"/>
    <xf numFmtId="0" fontId="4" fillId="8" borderId="1" xfId="0" applyFont="1" applyFill="1" applyBorder="1"/>
    <xf numFmtId="0" fontId="0" fillId="8" borderId="10" xfId="0" applyFill="1" applyBorder="1"/>
    <xf numFmtId="0" fontId="0" fillId="8" borderId="8" xfId="0" applyFill="1" applyBorder="1"/>
    <xf numFmtId="0" fontId="0" fillId="8" borderId="9" xfId="0" applyFill="1" applyBorder="1"/>
    <xf numFmtId="0" fontId="10" fillId="0" borderId="5" xfId="0" applyFont="1" applyBorder="1"/>
    <xf numFmtId="9" fontId="10" fillId="0" borderId="5" xfId="0" applyNumberFormat="1" applyFont="1" applyBorder="1"/>
    <xf numFmtId="0" fontId="10" fillId="0" borderId="5" xfId="0" applyFont="1" applyBorder="1" applyAlignment="1">
      <alignment horizontal="center" vertical="center" wrapText="1"/>
    </xf>
    <xf numFmtId="165" fontId="10" fillId="0" borderId="1" xfId="0" applyNumberFormat="1" applyFont="1" applyBorder="1" applyAlignment="1">
      <alignment horizontal="center" vertical="center"/>
    </xf>
    <xf numFmtId="9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/>
    <xf numFmtId="9" fontId="10" fillId="0" borderId="1" xfId="0" applyNumberFormat="1" applyFont="1" applyBorder="1"/>
    <xf numFmtId="0" fontId="10" fillId="0" borderId="1" xfId="0" applyFont="1" applyBorder="1" applyAlignment="1">
      <alignment horizontal="center" vertical="center" wrapText="1"/>
    </xf>
    <xf numFmtId="165" fontId="10" fillId="0" borderId="8" xfId="0" applyNumberFormat="1" applyFont="1" applyBorder="1" applyAlignment="1">
      <alignment horizontal="center" vertical="center"/>
    </xf>
    <xf numFmtId="9" fontId="10" fillId="0" borderId="8" xfId="0" applyNumberFormat="1" applyFont="1" applyBorder="1" applyAlignment="1">
      <alignment horizontal="center" vertical="center"/>
    </xf>
    <xf numFmtId="0" fontId="10" fillId="0" borderId="8" xfId="0" applyFont="1" applyBorder="1"/>
    <xf numFmtId="9" fontId="10" fillId="0" borderId="8" xfId="0" applyNumberFormat="1" applyFont="1" applyBorder="1"/>
    <xf numFmtId="0" fontId="10" fillId="0" borderId="8" xfId="0" applyFont="1" applyBorder="1" applyAlignment="1">
      <alignment horizontal="center" vertical="center" wrapText="1"/>
    </xf>
    <xf numFmtId="0" fontId="10" fillId="0" borderId="5" xfId="0" applyFont="1" applyBorder="1" applyAlignment="1">
      <alignment wrapText="1"/>
    </xf>
    <xf numFmtId="9" fontId="10" fillId="0" borderId="5" xfId="0" applyNumberFormat="1" applyFont="1" applyBorder="1" applyAlignment="1">
      <alignment wrapText="1"/>
    </xf>
    <xf numFmtId="0" fontId="10" fillId="0" borderId="1" xfId="0" applyFont="1" applyBorder="1" applyAlignment="1">
      <alignment wrapText="1"/>
    </xf>
    <xf numFmtId="9" fontId="10" fillId="0" borderId="1" xfId="0" applyNumberFormat="1" applyFont="1" applyBorder="1" applyAlignment="1">
      <alignment wrapText="1"/>
    </xf>
    <xf numFmtId="0" fontId="10" fillId="0" borderId="8" xfId="0" applyFont="1" applyBorder="1" applyAlignment="1">
      <alignment wrapText="1"/>
    </xf>
    <xf numFmtId="9" fontId="10" fillId="0" borderId="8" xfId="0" applyNumberFormat="1" applyFont="1" applyBorder="1" applyAlignment="1">
      <alignment wrapText="1"/>
    </xf>
    <xf numFmtId="0" fontId="10" fillId="0" borderId="19" xfId="0" applyFont="1" applyBorder="1"/>
    <xf numFmtId="165" fontId="10" fillId="0" borderId="9" xfId="0" applyNumberFormat="1" applyFont="1" applyBorder="1" applyAlignment="1">
      <alignment horizontal="center" vertical="center"/>
    </xf>
    <xf numFmtId="0" fontId="10" fillId="0" borderId="9" xfId="0" applyFont="1" applyBorder="1"/>
    <xf numFmtId="9" fontId="10" fillId="0" borderId="9" xfId="0" applyNumberFormat="1" applyFont="1" applyBorder="1" applyAlignment="1">
      <alignment horizontal="center" vertical="center"/>
    </xf>
    <xf numFmtId="9" fontId="10" fillId="0" borderId="9" xfId="0" applyNumberFormat="1" applyFont="1" applyBorder="1"/>
    <xf numFmtId="0" fontId="10" fillId="0" borderId="9" xfId="0" applyFont="1" applyBorder="1" applyAlignment="1">
      <alignment horizontal="center" vertical="center" wrapText="1"/>
    </xf>
    <xf numFmtId="0" fontId="10" fillId="0" borderId="6" xfId="0" applyFont="1" applyBorder="1"/>
    <xf numFmtId="0" fontId="10" fillId="0" borderId="1" xfId="0" applyFont="1" applyBorder="1" applyAlignment="1">
      <alignment horizontal="left" indent="1"/>
    </xf>
    <xf numFmtId="0" fontId="10" fillId="0" borderId="7" xfId="0" applyFont="1" applyBorder="1"/>
    <xf numFmtId="0" fontId="10" fillId="0" borderId="8" xfId="0" applyFont="1" applyBorder="1" applyAlignment="1">
      <alignment horizontal="left" indent="1"/>
    </xf>
    <xf numFmtId="0" fontId="8" fillId="0" borderId="29" xfId="0" applyFont="1" applyBorder="1" applyAlignment="1">
      <alignment horizontal="center" vertical="center" textRotation="90"/>
    </xf>
    <xf numFmtId="0" fontId="8" fillId="0" borderId="30" xfId="0" applyFont="1" applyBorder="1" applyAlignment="1">
      <alignment horizontal="center" vertical="center" textRotation="90"/>
    </xf>
    <xf numFmtId="0" fontId="8" fillId="0" borderId="31" xfId="0" applyFont="1" applyBorder="1" applyAlignment="1">
      <alignment horizontal="center" vertical="center" textRotation="90"/>
    </xf>
    <xf numFmtId="0" fontId="8" fillId="0" borderId="32" xfId="0" applyFont="1" applyBorder="1" applyAlignment="1">
      <alignment horizontal="center" vertical="center" textRotation="90"/>
    </xf>
    <xf numFmtId="0" fontId="8" fillId="0" borderId="33" xfId="0" applyFont="1" applyBorder="1" applyAlignment="1">
      <alignment horizontal="center" vertical="center" textRotation="90"/>
    </xf>
    <xf numFmtId="0" fontId="8" fillId="0" borderId="34" xfId="0" applyFont="1" applyBorder="1" applyAlignment="1">
      <alignment horizontal="center" vertical="center" textRotation="90"/>
    </xf>
    <xf numFmtId="0" fontId="9" fillId="0" borderId="29" xfId="0" applyFont="1" applyBorder="1" applyAlignment="1">
      <alignment horizontal="center" vertical="center" textRotation="90"/>
    </xf>
    <xf numFmtId="0" fontId="9" fillId="0" borderId="35" xfId="0" applyFont="1" applyBorder="1" applyAlignment="1">
      <alignment horizontal="center" vertical="center" textRotation="90"/>
    </xf>
    <xf numFmtId="0" fontId="9" fillId="0" borderId="36" xfId="0" applyFont="1" applyBorder="1" applyAlignment="1">
      <alignment horizontal="center" vertical="center" textRotation="90"/>
    </xf>
    <xf numFmtId="0" fontId="9" fillId="0" borderId="31" xfId="0" applyFont="1" applyBorder="1" applyAlignment="1">
      <alignment horizontal="center" vertical="center" textRotation="90"/>
    </xf>
    <xf numFmtId="0" fontId="9" fillId="0" borderId="0" xfId="0" applyFont="1" applyAlignment="1">
      <alignment horizontal="center" vertical="center" textRotation="90"/>
    </xf>
    <xf numFmtId="0" fontId="9" fillId="0" borderId="37" xfId="0" applyFont="1" applyBorder="1" applyAlignment="1">
      <alignment horizontal="center" vertical="center" textRotation="90"/>
    </xf>
    <xf numFmtId="0" fontId="9" fillId="0" borderId="33" xfId="0" applyFont="1" applyBorder="1" applyAlignment="1">
      <alignment horizontal="center" vertical="center" textRotation="90"/>
    </xf>
    <xf numFmtId="0" fontId="9" fillId="0" borderId="18" xfId="0" applyFont="1" applyBorder="1" applyAlignment="1">
      <alignment horizontal="center" vertical="center" textRotation="90"/>
    </xf>
    <xf numFmtId="0" fontId="9" fillId="0" borderId="38" xfId="0" applyFont="1" applyBorder="1" applyAlignment="1">
      <alignment horizontal="center" vertical="center" textRotation="90"/>
    </xf>
    <xf numFmtId="0" fontId="10" fillId="0" borderId="5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9" fontId="10" fillId="0" borderId="5" xfId="0" applyNumberFormat="1" applyFont="1" applyBorder="1" applyAlignment="1">
      <alignment horizontal="center" vertical="center"/>
    </xf>
    <xf numFmtId="9" fontId="10" fillId="0" borderId="1" xfId="0" applyNumberFormat="1" applyFont="1" applyBorder="1" applyAlignment="1">
      <alignment horizontal="center" vertical="center"/>
    </xf>
    <xf numFmtId="9" fontId="10" fillId="0" borderId="8" xfId="0" applyNumberFormat="1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5" fontId="10" fillId="0" borderId="5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/>
    </xf>
    <xf numFmtId="165" fontId="10" fillId="0" borderId="8" xfId="0" applyNumberFormat="1" applyFont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0" fillId="0" borderId="4" xfId="0" applyBorder="1"/>
    <xf numFmtId="0" fontId="0" fillId="0" borderId="6" xfId="0" applyBorder="1"/>
    <xf numFmtId="0" fontId="0" fillId="0" borderId="7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AR63"/>
  <sheetViews>
    <sheetView tabSelected="1" topLeftCell="E1" zoomScale="85" zoomScaleNormal="85" zoomScalePageLayoutView="80" workbookViewId="0">
      <pane ySplit="3" topLeftCell="A21" activePane="bottomLeft" state="frozen"/>
      <selection pane="bottomLeft" activeCell="J29" sqref="J29"/>
    </sheetView>
  </sheetViews>
  <sheetFormatPr defaultColWidth="9" defaultRowHeight="12.75" x14ac:dyDescent="0.2"/>
  <cols>
    <col min="1" max="1" width="5.7109375" style="10" hidden="1" customWidth="1"/>
    <col min="2" max="2" width="8.7109375" style="10" hidden="1" customWidth="1"/>
    <col min="3" max="3" width="6.7109375" hidden="1" customWidth="1"/>
    <col min="4" max="4" width="18.7109375" style="10" hidden="1" customWidth="1"/>
    <col min="5" max="5" width="60.7109375" customWidth="1"/>
    <col min="6" max="6" width="12.7109375" style="5" customWidth="1"/>
    <col min="7" max="7" width="12.7109375" hidden="1" customWidth="1"/>
    <col min="8" max="8" width="12.7109375" customWidth="1"/>
    <col min="9" max="9" width="42.42578125" customWidth="1"/>
    <col min="10" max="10" width="9.7109375" bestFit="1" customWidth="1"/>
    <col min="11" max="11" width="12.140625" customWidth="1"/>
    <col min="12" max="12" width="11.42578125" style="71" customWidth="1"/>
    <col min="13" max="13" width="36.85546875" style="9" customWidth="1"/>
    <col min="17" max="17" width="3.28515625" bestFit="1" customWidth="1"/>
    <col min="18" max="44" width="4.140625" customWidth="1"/>
  </cols>
  <sheetData>
    <row r="1" spans="1:44" ht="23.25" customHeight="1" x14ac:dyDescent="0.2">
      <c r="A1" s="13"/>
      <c r="D1" s="13" t="str">
        <f>TransferValues!A1</f>
        <v>Project</v>
      </c>
      <c r="E1" s="14" t="s">
        <v>33</v>
      </c>
      <c r="F1" s="17"/>
      <c r="G1" s="4"/>
      <c r="H1" s="4"/>
      <c r="I1" s="4"/>
      <c r="J1" s="4"/>
      <c r="K1" s="4"/>
      <c r="L1" s="63"/>
      <c r="M1" s="7"/>
    </row>
    <row r="2" spans="1:44" ht="145.5" thickBot="1" x14ac:dyDescent="0.25">
      <c r="A2" s="13"/>
      <c r="D2" s="13" t="str">
        <f>TransferValues!A2</f>
        <v>Subject</v>
      </c>
      <c r="E2" s="12" t="s">
        <v>34</v>
      </c>
      <c r="F2" s="18"/>
      <c r="G2" s="6"/>
      <c r="H2" s="6"/>
      <c r="I2" s="6"/>
      <c r="J2" s="6"/>
      <c r="K2" s="6"/>
      <c r="L2" s="64"/>
      <c r="M2" s="8"/>
      <c r="Q2" s="52">
        <v>46065</v>
      </c>
      <c r="R2" s="52">
        <v>46066</v>
      </c>
      <c r="S2" s="52">
        <v>46067</v>
      </c>
      <c r="T2" s="105">
        <v>46068</v>
      </c>
      <c r="U2" s="52">
        <v>46069</v>
      </c>
      <c r="V2" s="52">
        <v>46070</v>
      </c>
      <c r="W2" s="52">
        <v>46071</v>
      </c>
      <c r="X2" s="52">
        <v>46072</v>
      </c>
      <c r="Y2" s="52">
        <v>46073</v>
      </c>
      <c r="Z2" s="52">
        <v>46074</v>
      </c>
      <c r="AA2" s="105">
        <v>46075</v>
      </c>
      <c r="AB2" s="52">
        <v>46076</v>
      </c>
      <c r="AC2" s="52">
        <v>46077</v>
      </c>
      <c r="AD2" s="52">
        <v>46078</v>
      </c>
      <c r="AE2" s="52">
        <v>46079</v>
      </c>
      <c r="AF2" s="52">
        <v>46080</v>
      </c>
      <c r="AG2" s="52">
        <v>46081</v>
      </c>
      <c r="AH2" s="105">
        <v>46082</v>
      </c>
      <c r="AI2" s="52">
        <v>46083</v>
      </c>
      <c r="AJ2" s="52">
        <v>46084</v>
      </c>
      <c r="AK2" s="52">
        <v>46085</v>
      </c>
      <c r="AL2" s="52">
        <v>46086</v>
      </c>
      <c r="AM2" s="52">
        <v>46087</v>
      </c>
      <c r="AN2" s="52">
        <v>46088</v>
      </c>
      <c r="AO2" s="105">
        <v>46089</v>
      </c>
      <c r="AP2" s="52">
        <v>46090</v>
      </c>
      <c r="AQ2" s="52">
        <v>46091</v>
      </c>
      <c r="AR2" s="52">
        <v>46092</v>
      </c>
    </row>
    <row r="3" spans="1:44" ht="26.25" thickBot="1" x14ac:dyDescent="0.25">
      <c r="A3" s="44" t="s">
        <v>21</v>
      </c>
      <c r="B3" s="45" t="s">
        <v>14</v>
      </c>
      <c r="C3" s="72" t="s">
        <v>19</v>
      </c>
      <c r="D3" s="77" t="s">
        <v>20</v>
      </c>
      <c r="E3" s="46" t="s">
        <v>15</v>
      </c>
      <c r="F3" s="47" t="s">
        <v>16</v>
      </c>
      <c r="G3" s="47" t="s">
        <v>17</v>
      </c>
      <c r="H3" s="47" t="s">
        <v>62</v>
      </c>
      <c r="I3" s="47" t="s">
        <v>101</v>
      </c>
      <c r="J3" s="59" t="s">
        <v>69</v>
      </c>
      <c r="K3" s="59" t="s">
        <v>70</v>
      </c>
      <c r="L3" s="65" t="s">
        <v>71</v>
      </c>
      <c r="M3" s="53" t="s">
        <v>18</v>
      </c>
      <c r="N3" s="47" t="s">
        <v>94</v>
      </c>
      <c r="O3" s="47" t="s">
        <v>66</v>
      </c>
      <c r="P3" s="47" t="s">
        <v>67</v>
      </c>
      <c r="Q3" s="78"/>
      <c r="R3" s="78"/>
      <c r="S3" s="78"/>
      <c r="T3" s="106"/>
      <c r="U3" s="78"/>
      <c r="V3" s="78"/>
      <c r="W3" s="78"/>
      <c r="X3" s="78"/>
      <c r="Y3" s="78"/>
      <c r="Z3" s="78"/>
      <c r="AA3" s="106"/>
      <c r="AB3" s="78"/>
      <c r="AC3" s="78"/>
      <c r="AD3" s="78"/>
      <c r="AE3" s="78"/>
      <c r="AF3" s="78"/>
      <c r="AG3" s="78"/>
      <c r="AH3" s="106"/>
      <c r="AI3" s="78"/>
      <c r="AJ3" s="78"/>
      <c r="AK3" s="78"/>
      <c r="AL3" s="91"/>
      <c r="AM3" s="78"/>
      <c r="AN3" s="78"/>
      <c r="AO3" s="106"/>
      <c r="AP3" s="78"/>
      <c r="AQ3" s="78"/>
      <c r="AR3" s="79"/>
    </row>
    <row r="4" spans="1:44" ht="12.75" hidden="1" customHeight="1" x14ac:dyDescent="0.2">
      <c r="A4" s="28"/>
      <c r="B4" s="20"/>
      <c r="C4" s="73"/>
      <c r="D4" s="80"/>
      <c r="E4" s="36"/>
      <c r="F4" s="26"/>
      <c r="G4" s="35"/>
      <c r="H4" s="35"/>
      <c r="I4" s="35"/>
      <c r="J4" s="60"/>
      <c r="K4" s="60"/>
      <c r="L4" s="66"/>
      <c r="M4" s="54"/>
      <c r="N4" s="21"/>
      <c r="O4" s="21"/>
      <c r="P4" s="21"/>
      <c r="Q4" s="21"/>
      <c r="R4" s="21"/>
      <c r="S4" s="21"/>
      <c r="T4" s="107"/>
      <c r="U4" s="21"/>
      <c r="V4" s="21"/>
      <c r="W4" s="21"/>
      <c r="X4" s="21"/>
      <c r="Y4" s="21"/>
      <c r="Z4" s="21"/>
      <c r="AA4" s="107"/>
      <c r="AB4" s="21"/>
      <c r="AC4" s="21"/>
      <c r="AD4" s="21"/>
      <c r="AE4" s="21"/>
      <c r="AF4" s="21"/>
      <c r="AG4" s="21"/>
      <c r="AH4" s="107"/>
      <c r="AI4" s="21"/>
      <c r="AJ4" s="21"/>
      <c r="AK4" s="21"/>
      <c r="AL4" s="90"/>
      <c r="AM4" s="21"/>
      <c r="AN4" s="21"/>
      <c r="AO4" s="107"/>
      <c r="AP4" s="21"/>
      <c r="AQ4" s="21"/>
      <c r="AR4" s="81"/>
    </row>
    <row r="5" spans="1:44" ht="12.75" hidden="1" customHeight="1" x14ac:dyDescent="0.2">
      <c r="A5" s="28"/>
      <c r="B5" s="20"/>
      <c r="C5" s="73"/>
      <c r="D5" s="80"/>
      <c r="E5" s="36"/>
      <c r="F5" s="26"/>
      <c r="G5" s="35"/>
      <c r="H5" s="35"/>
      <c r="I5" s="35"/>
      <c r="J5" s="60"/>
      <c r="K5" s="60"/>
      <c r="L5" s="66"/>
      <c r="M5" s="54"/>
      <c r="N5" s="21"/>
      <c r="O5" s="21"/>
      <c r="P5" s="21"/>
      <c r="Q5" s="21"/>
      <c r="R5" s="21"/>
      <c r="S5" s="21"/>
      <c r="T5" s="107"/>
      <c r="U5" s="21"/>
      <c r="V5" s="21"/>
      <c r="W5" s="21"/>
      <c r="X5" s="21"/>
      <c r="Y5" s="21"/>
      <c r="Z5" s="21"/>
      <c r="AA5" s="107"/>
      <c r="AB5" s="21"/>
      <c r="AC5" s="21"/>
      <c r="AD5" s="21"/>
      <c r="AE5" s="21"/>
      <c r="AF5" s="21"/>
      <c r="AG5" s="21"/>
      <c r="AH5" s="107"/>
      <c r="AI5" s="21"/>
      <c r="AJ5" s="21"/>
      <c r="AK5" s="21"/>
      <c r="AL5" s="90"/>
      <c r="AM5" s="21"/>
      <c r="AN5" s="21"/>
      <c r="AO5" s="107"/>
      <c r="AP5" s="21"/>
      <c r="AQ5" s="21"/>
      <c r="AR5" s="81"/>
    </row>
    <row r="6" spans="1:44" ht="12.75" hidden="1" customHeight="1" x14ac:dyDescent="0.2">
      <c r="A6" s="48"/>
      <c r="B6" s="20"/>
      <c r="C6" s="73"/>
      <c r="D6" s="165" t="s">
        <v>27</v>
      </c>
      <c r="E6" s="166"/>
      <c r="F6" s="26"/>
      <c r="G6" s="35"/>
      <c r="H6" s="35"/>
      <c r="I6" s="35"/>
      <c r="J6" s="60"/>
      <c r="K6" s="60"/>
      <c r="L6" s="66"/>
      <c r="M6" s="54"/>
      <c r="N6" s="21"/>
      <c r="O6" s="21"/>
      <c r="P6" s="21"/>
      <c r="Q6" s="21"/>
      <c r="R6" s="21"/>
      <c r="S6" s="21"/>
      <c r="T6" s="107"/>
      <c r="U6" s="21"/>
      <c r="V6" s="21"/>
      <c r="W6" s="21"/>
      <c r="X6" s="21"/>
      <c r="Y6" s="21"/>
      <c r="Z6" s="21"/>
      <c r="AA6" s="107"/>
      <c r="AB6" s="21"/>
      <c r="AC6" s="21"/>
      <c r="AD6" s="21"/>
      <c r="AE6" s="21"/>
      <c r="AF6" s="21"/>
      <c r="AG6" s="21"/>
      <c r="AH6" s="107"/>
      <c r="AI6" s="21"/>
      <c r="AJ6" s="21"/>
      <c r="AK6" s="21"/>
      <c r="AL6" s="90"/>
      <c r="AM6" s="21"/>
      <c r="AN6" s="21"/>
      <c r="AO6" s="107"/>
      <c r="AP6" s="21"/>
      <c r="AQ6" s="21"/>
      <c r="AR6" s="81"/>
    </row>
    <row r="7" spans="1:44" ht="12.75" hidden="1" customHeight="1" x14ac:dyDescent="0.2">
      <c r="A7" s="28"/>
      <c r="B7" s="20"/>
      <c r="C7" s="73"/>
      <c r="D7" s="82"/>
      <c r="E7" s="43"/>
      <c r="F7" s="26"/>
      <c r="G7" s="35"/>
      <c r="H7" s="35"/>
      <c r="I7" s="35"/>
      <c r="J7" s="60"/>
      <c r="K7" s="60"/>
      <c r="L7" s="66"/>
      <c r="M7" s="55"/>
      <c r="N7" s="21"/>
      <c r="O7" s="21"/>
      <c r="P7" s="21"/>
      <c r="Q7" s="21"/>
      <c r="R7" s="21"/>
      <c r="S7" s="21"/>
      <c r="T7" s="107"/>
      <c r="U7" s="21"/>
      <c r="V7" s="21"/>
      <c r="W7" s="21"/>
      <c r="X7" s="21"/>
      <c r="Y7" s="21"/>
      <c r="Z7" s="21"/>
      <c r="AA7" s="107"/>
      <c r="AB7" s="21"/>
      <c r="AC7" s="21"/>
      <c r="AD7" s="21"/>
      <c r="AE7" s="21"/>
      <c r="AF7" s="21"/>
      <c r="AG7" s="21"/>
      <c r="AH7" s="107"/>
      <c r="AI7" s="21"/>
      <c r="AJ7" s="21"/>
      <c r="AK7" s="21"/>
      <c r="AL7" s="90"/>
      <c r="AM7" s="21"/>
      <c r="AN7" s="21"/>
      <c r="AO7" s="107"/>
      <c r="AP7" s="21"/>
      <c r="AQ7" s="21"/>
      <c r="AR7" s="81"/>
    </row>
    <row r="8" spans="1:44" s="3" customFormat="1" ht="12.75" hidden="1" customHeight="1" x14ac:dyDescent="0.2">
      <c r="A8" s="49"/>
      <c r="B8" s="22"/>
      <c r="C8" s="74"/>
      <c r="D8" s="49"/>
      <c r="E8" s="33"/>
      <c r="F8" s="24"/>
      <c r="G8" s="23"/>
      <c r="H8" s="23"/>
      <c r="I8" s="23"/>
      <c r="J8" s="61"/>
      <c r="K8" s="61"/>
      <c r="L8" s="67"/>
      <c r="M8" s="56"/>
      <c r="N8" s="23"/>
      <c r="O8" s="23"/>
      <c r="P8" s="23"/>
      <c r="Q8" s="23"/>
      <c r="R8" s="23"/>
      <c r="S8" s="23"/>
      <c r="T8" s="108"/>
      <c r="U8" s="23"/>
      <c r="V8" s="23"/>
      <c r="W8" s="23"/>
      <c r="X8" s="23"/>
      <c r="Y8" s="23"/>
      <c r="Z8" s="23"/>
      <c r="AA8" s="108"/>
      <c r="AB8" s="23"/>
      <c r="AC8" s="23"/>
      <c r="AD8" s="23"/>
      <c r="AE8" s="23"/>
      <c r="AF8" s="23"/>
      <c r="AG8" s="23"/>
      <c r="AH8" s="108"/>
      <c r="AI8" s="23"/>
      <c r="AJ8" s="23"/>
      <c r="AK8" s="23"/>
      <c r="AL8" s="93"/>
      <c r="AM8" s="23"/>
      <c r="AN8" s="23"/>
      <c r="AO8" s="108"/>
      <c r="AP8" s="23"/>
      <c r="AQ8" s="23"/>
      <c r="AR8" s="83"/>
    </row>
    <row r="9" spans="1:44" ht="12.75" hidden="1" customHeight="1" x14ac:dyDescent="0.2">
      <c r="A9" s="28"/>
      <c r="B9" s="20"/>
      <c r="C9" s="75"/>
      <c r="D9" s="165" t="s">
        <v>31</v>
      </c>
      <c r="E9" s="166"/>
      <c r="F9" s="25"/>
      <c r="G9" s="21"/>
      <c r="H9" s="21"/>
      <c r="I9" s="21"/>
      <c r="J9" s="62"/>
      <c r="K9" s="62"/>
      <c r="L9" s="68"/>
      <c r="M9" s="54"/>
      <c r="N9" s="21"/>
      <c r="O9" s="21"/>
      <c r="P9" s="21"/>
      <c r="Q9" s="21"/>
      <c r="R9" s="21"/>
      <c r="S9" s="21"/>
      <c r="T9" s="107"/>
      <c r="U9" s="21"/>
      <c r="V9" s="21"/>
      <c r="W9" s="21"/>
      <c r="X9" s="21"/>
      <c r="Y9" s="21"/>
      <c r="Z9" s="21"/>
      <c r="AA9" s="107"/>
      <c r="AB9" s="21"/>
      <c r="AC9" s="21"/>
      <c r="AD9" s="21"/>
      <c r="AE9" s="21"/>
      <c r="AF9" s="21"/>
      <c r="AG9" s="21"/>
      <c r="AH9" s="107"/>
      <c r="AI9" s="21"/>
      <c r="AJ9" s="21"/>
      <c r="AK9" s="21"/>
      <c r="AL9" s="90"/>
      <c r="AM9" s="21"/>
      <c r="AN9" s="21"/>
      <c r="AO9" s="107"/>
      <c r="AP9" s="21"/>
      <c r="AQ9" s="21"/>
      <c r="AR9" s="81"/>
    </row>
    <row r="10" spans="1:44" ht="12.75" hidden="1" customHeight="1" x14ac:dyDescent="0.2">
      <c r="A10" s="28"/>
      <c r="B10" s="20"/>
      <c r="C10" s="73"/>
      <c r="D10" s="82"/>
      <c r="E10" s="43"/>
      <c r="F10" s="26"/>
      <c r="G10" s="35"/>
      <c r="H10" s="35"/>
      <c r="I10" s="35"/>
      <c r="J10" s="60"/>
      <c r="K10" s="60"/>
      <c r="L10" s="66"/>
      <c r="M10" s="55"/>
      <c r="N10" s="21"/>
      <c r="O10" s="21"/>
      <c r="P10" s="21"/>
      <c r="Q10" s="21"/>
      <c r="R10" s="21"/>
      <c r="S10" s="21"/>
      <c r="T10" s="107"/>
      <c r="U10" s="21"/>
      <c r="V10" s="21"/>
      <c r="W10" s="21"/>
      <c r="X10" s="21"/>
      <c r="Y10" s="21"/>
      <c r="Z10" s="21"/>
      <c r="AA10" s="107"/>
      <c r="AB10" s="21"/>
      <c r="AC10" s="21"/>
      <c r="AD10" s="21"/>
      <c r="AE10" s="21"/>
      <c r="AF10" s="21"/>
      <c r="AG10" s="21"/>
      <c r="AH10" s="107"/>
      <c r="AI10" s="21"/>
      <c r="AJ10" s="21"/>
      <c r="AK10" s="21"/>
      <c r="AL10" s="90"/>
      <c r="AM10" s="21"/>
      <c r="AN10" s="21"/>
      <c r="AO10" s="107"/>
      <c r="AP10" s="21"/>
      <c r="AQ10" s="21"/>
      <c r="AR10" s="81"/>
    </row>
    <row r="11" spans="1:44" ht="13.5" hidden="1" customHeight="1" x14ac:dyDescent="0.2">
      <c r="A11" s="28"/>
      <c r="B11" s="22"/>
      <c r="C11" s="75"/>
      <c r="D11" s="49"/>
      <c r="E11" s="33"/>
      <c r="F11" s="26"/>
      <c r="G11" s="35"/>
      <c r="H11" s="35"/>
      <c r="I11" s="35"/>
      <c r="J11" s="60"/>
      <c r="K11" s="60"/>
      <c r="L11" s="66"/>
      <c r="M11" s="57" t="s">
        <v>60</v>
      </c>
      <c r="N11" s="21"/>
      <c r="O11" s="21"/>
      <c r="P11" s="21"/>
      <c r="Q11" s="21"/>
      <c r="R11" s="21"/>
      <c r="S11" s="21"/>
      <c r="T11" s="107"/>
      <c r="U11" s="21"/>
      <c r="V11" s="21"/>
      <c r="W11" s="21"/>
      <c r="X11" s="21"/>
      <c r="Y11" s="21"/>
      <c r="Z11" s="21"/>
      <c r="AA11" s="107"/>
      <c r="AB11" s="21"/>
      <c r="AC11" s="21"/>
      <c r="AD11" s="21"/>
      <c r="AE11" s="21"/>
      <c r="AF11" s="21"/>
      <c r="AG11" s="21"/>
      <c r="AH11" s="107"/>
      <c r="AI11" s="21"/>
      <c r="AJ11" s="21"/>
      <c r="AK11" s="21"/>
      <c r="AL11" s="90"/>
      <c r="AM11" s="21"/>
      <c r="AN11" s="21"/>
      <c r="AO11" s="107"/>
      <c r="AP11" s="21"/>
      <c r="AQ11" s="21"/>
      <c r="AR11" s="81"/>
    </row>
    <row r="12" spans="1:44" ht="12.75" hidden="1" customHeight="1" x14ac:dyDescent="0.2">
      <c r="A12" s="28"/>
      <c r="B12" s="20"/>
      <c r="C12" s="75"/>
      <c r="D12" s="165" t="s">
        <v>28</v>
      </c>
      <c r="E12" s="166"/>
      <c r="F12" s="20"/>
      <c r="G12" s="21"/>
      <c r="H12" s="21"/>
      <c r="I12" s="21"/>
      <c r="J12" s="62"/>
      <c r="K12" s="62"/>
      <c r="L12" s="68"/>
      <c r="M12" s="57"/>
      <c r="N12" s="21"/>
      <c r="O12" s="21"/>
      <c r="P12" s="21"/>
      <c r="Q12" s="21"/>
      <c r="R12" s="21"/>
      <c r="S12" s="21"/>
      <c r="T12" s="107"/>
      <c r="U12" s="21"/>
      <c r="V12" s="21"/>
      <c r="W12" s="21"/>
      <c r="X12" s="21"/>
      <c r="Y12" s="21"/>
      <c r="Z12" s="21"/>
      <c r="AA12" s="107"/>
      <c r="AB12" s="21"/>
      <c r="AC12" s="21"/>
      <c r="AD12" s="21"/>
      <c r="AE12" s="21"/>
      <c r="AF12" s="21"/>
      <c r="AG12" s="21"/>
      <c r="AH12" s="107"/>
      <c r="AI12" s="21"/>
      <c r="AJ12" s="21"/>
      <c r="AK12" s="21"/>
      <c r="AL12" s="90"/>
      <c r="AM12" s="21"/>
      <c r="AN12" s="21"/>
      <c r="AO12" s="107"/>
      <c r="AP12" s="21"/>
      <c r="AQ12" s="21"/>
      <c r="AR12" s="81"/>
    </row>
    <row r="13" spans="1:44" ht="12.75" hidden="1" customHeight="1" x14ac:dyDescent="0.2">
      <c r="A13" s="28"/>
      <c r="B13" s="20"/>
      <c r="C13" s="75"/>
      <c r="D13" s="82"/>
      <c r="E13" s="43"/>
      <c r="F13" s="20"/>
      <c r="G13" s="21"/>
      <c r="H13" s="21"/>
      <c r="I13" s="21"/>
      <c r="J13" s="62"/>
      <c r="K13" s="62"/>
      <c r="L13" s="68"/>
      <c r="M13" s="57"/>
      <c r="N13" s="21"/>
      <c r="O13" s="21"/>
      <c r="P13" s="21"/>
      <c r="Q13" s="21"/>
      <c r="R13" s="21"/>
      <c r="S13" s="21"/>
      <c r="T13" s="107"/>
      <c r="U13" s="21"/>
      <c r="V13" s="21"/>
      <c r="W13" s="21"/>
      <c r="X13" s="21"/>
      <c r="Y13" s="21"/>
      <c r="Z13" s="21"/>
      <c r="AA13" s="107"/>
      <c r="AB13" s="21"/>
      <c r="AC13" s="21"/>
      <c r="AD13" s="21"/>
      <c r="AE13" s="21"/>
      <c r="AF13" s="21"/>
      <c r="AG13" s="21"/>
      <c r="AH13" s="107"/>
      <c r="AI13" s="21"/>
      <c r="AJ13" s="21"/>
      <c r="AK13" s="21"/>
      <c r="AL13" s="90"/>
      <c r="AM13" s="21"/>
      <c r="AN13" s="21"/>
      <c r="AO13" s="107"/>
      <c r="AP13" s="21"/>
      <c r="AQ13" s="21"/>
      <c r="AR13" s="81"/>
    </row>
    <row r="14" spans="1:44" ht="12.75" hidden="1" customHeight="1" x14ac:dyDescent="0.2">
      <c r="A14" s="28"/>
      <c r="B14" s="20"/>
      <c r="C14" s="75"/>
      <c r="D14" s="49"/>
      <c r="E14" s="33"/>
      <c r="F14" s="25"/>
      <c r="G14" s="21"/>
      <c r="H14" s="21"/>
      <c r="I14" s="21"/>
      <c r="J14" s="62"/>
      <c r="K14" s="62"/>
      <c r="L14" s="68"/>
      <c r="M14" s="57"/>
      <c r="N14" s="21"/>
      <c r="O14" s="21"/>
      <c r="P14" s="21"/>
      <c r="Q14" s="21"/>
      <c r="R14" s="21"/>
      <c r="S14" s="21"/>
      <c r="T14" s="107"/>
      <c r="U14" s="21"/>
      <c r="V14" s="21"/>
      <c r="W14" s="21"/>
      <c r="X14" s="21"/>
      <c r="Y14" s="21"/>
      <c r="Z14" s="21"/>
      <c r="AA14" s="107"/>
      <c r="AB14" s="21"/>
      <c r="AC14" s="21"/>
      <c r="AD14" s="21"/>
      <c r="AE14" s="21"/>
      <c r="AF14" s="21"/>
      <c r="AG14" s="21"/>
      <c r="AH14" s="107"/>
      <c r="AI14" s="21"/>
      <c r="AJ14" s="21"/>
      <c r="AK14" s="21"/>
      <c r="AL14" s="90"/>
      <c r="AM14" s="21"/>
      <c r="AN14" s="21"/>
      <c r="AO14" s="107"/>
      <c r="AP14" s="21"/>
      <c r="AQ14" s="21"/>
      <c r="AR14" s="81"/>
    </row>
    <row r="15" spans="1:44" ht="12.75" hidden="1" customHeight="1" x14ac:dyDescent="0.2">
      <c r="A15" s="28"/>
      <c r="B15" s="20"/>
      <c r="C15" s="75"/>
      <c r="D15" s="165" t="s">
        <v>30</v>
      </c>
      <c r="E15" s="166"/>
      <c r="F15" s="25"/>
      <c r="G15" s="21"/>
      <c r="H15" s="21"/>
      <c r="I15" s="21"/>
      <c r="J15" s="62"/>
      <c r="K15" s="62"/>
      <c r="L15" s="68"/>
      <c r="M15" s="57"/>
      <c r="N15" s="21"/>
      <c r="O15" s="21"/>
      <c r="P15" s="21"/>
      <c r="Q15" s="21"/>
      <c r="R15" s="21"/>
      <c r="S15" s="21"/>
      <c r="T15" s="107"/>
      <c r="U15" s="21"/>
      <c r="V15" s="21"/>
      <c r="W15" s="21"/>
      <c r="X15" s="21"/>
      <c r="Y15" s="21"/>
      <c r="Z15" s="21"/>
      <c r="AA15" s="107"/>
      <c r="AB15" s="21"/>
      <c r="AC15" s="21"/>
      <c r="AD15" s="21"/>
      <c r="AE15" s="21"/>
      <c r="AF15" s="21"/>
      <c r="AG15" s="21"/>
      <c r="AH15" s="107"/>
      <c r="AI15" s="21"/>
      <c r="AJ15" s="21"/>
      <c r="AK15" s="21"/>
      <c r="AL15" s="90"/>
      <c r="AM15" s="21"/>
      <c r="AN15" s="21"/>
      <c r="AO15" s="107"/>
      <c r="AP15" s="21"/>
      <c r="AQ15" s="21"/>
      <c r="AR15" s="81"/>
    </row>
    <row r="16" spans="1:44" ht="12.75" hidden="1" customHeight="1" x14ac:dyDescent="0.2">
      <c r="A16" s="28"/>
      <c r="B16" s="21"/>
      <c r="C16" s="62"/>
      <c r="D16" s="84"/>
      <c r="E16" s="21"/>
      <c r="F16" s="25"/>
      <c r="G16" s="21"/>
      <c r="H16" s="21"/>
      <c r="I16" s="21"/>
      <c r="J16" s="62"/>
      <c r="K16" s="62"/>
      <c r="L16" s="68"/>
      <c r="M16" s="57"/>
      <c r="N16" s="21"/>
      <c r="O16" s="21"/>
      <c r="P16" s="21"/>
      <c r="Q16" s="21"/>
      <c r="R16" s="21"/>
      <c r="S16" s="21"/>
      <c r="T16" s="107"/>
      <c r="U16" s="21"/>
      <c r="V16" s="21"/>
      <c r="W16" s="21"/>
      <c r="X16" s="21"/>
      <c r="Y16" s="21"/>
      <c r="Z16" s="21"/>
      <c r="AA16" s="107"/>
      <c r="AB16" s="21"/>
      <c r="AC16" s="21"/>
      <c r="AD16" s="21"/>
      <c r="AE16" s="21"/>
      <c r="AF16" s="21"/>
      <c r="AG16" s="21"/>
      <c r="AH16" s="107"/>
      <c r="AI16" s="21"/>
      <c r="AJ16" s="21"/>
      <c r="AK16" s="21"/>
      <c r="AL16" s="90"/>
      <c r="AM16" s="21"/>
      <c r="AN16" s="21"/>
      <c r="AO16" s="107"/>
      <c r="AP16" s="21"/>
      <c r="AQ16" s="21"/>
      <c r="AR16" s="81"/>
    </row>
    <row r="17" spans="1:44" ht="12.75" hidden="1" customHeight="1" x14ac:dyDescent="0.2">
      <c r="A17" s="28"/>
      <c r="B17" s="20"/>
      <c r="C17" s="75"/>
      <c r="D17" s="49"/>
      <c r="E17" s="33"/>
      <c r="F17" s="25"/>
      <c r="G17" s="21"/>
      <c r="H17" s="21"/>
      <c r="I17" s="21"/>
      <c r="J17" s="62"/>
      <c r="K17" s="62"/>
      <c r="L17" s="68"/>
      <c r="M17" s="57"/>
      <c r="N17" s="21"/>
      <c r="O17" s="21"/>
      <c r="P17" s="21"/>
      <c r="Q17" s="21"/>
      <c r="R17" s="21"/>
      <c r="S17" s="21"/>
      <c r="T17" s="107"/>
      <c r="U17" s="21"/>
      <c r="V17" s="21"/>
      <c r="W17" s="21"/>
      <c r="X17" s="21"/>
      <c r="Y17" s="21"/>
      <c r="Z17" s="21"/>
      <c r="AA17" s="107"/>
      <c r="AB17" s="21"/>
      <c r="AC17" s="21"/>
      <c r="AD17" s="21"/>
      <c r="AE17" s="21"/>
      <c r="AF17" s="21"/>
      <c r="AG17" s="21"/>
      <c r="AH17" s="107"/>
      <c r="AI17" s="21"/>
      <c r="AJ17" s="21"/>
      <c r="AK17" s="21"/>
      <c r="AL17" s="90"/>
      <c r="AM17" s="21"/>
      <c r="AN17" s="21"/>
      <c r="AO17" s="107"/>
      <c r="AP17" s="21"/>
      <c r="AQ17" s="21"/>
      <c r="AR17" s="81"/>
    </row>
    <row r="18" spans="1:44" ht="12.75" hidden="1" customHeight="1" x14ac:dyDescent="0.2">
      <c r="A18" s="28"/>
      <c r="B18" s="22"/>
      <c r="C18" s="75"/>
      <c r="D18" s="49"/>
      <c r="E18" s="33"/>
      <c r="F18" s="26"/>
      <c r="G18" s="35"/>
      <c r="H18" s="35"/>
      <c r="I18" s="35"/>
      <c r="J18" s="60"/>
      <c r="K18" s="60"/>
      <c r="L18" s="66"/>
      <c r="M18" s="57"/>
      <c r="N18" s="21"/>
      <c r="O18" s="21"/>
      <c r="P18" s="21"/>
      <c r="Q18" s="21"/>
      <c r="R18" s="21"/>
      <c r="S18" s="21"/>
      <c r="T18" s="107"/>
      <c r="U18" s="21"/>
      <c r="V18" s="21"/>
      <c r="W18" s="21"/>
      <c r="X18" s="21"/>
      <c r="Y18" s="21"/>
      <c r="Z18" s="21"/>
      <c r="AA18" s="107"/>
      <c r="AB18" s="21"/>
      <c r="AC18" s="21"/>
      <c r="AD18" s="21"/>
      <c r="AE18" s="21"/>
      <c r="AF18" s="21"/>
      <c r="AG18" s="21"/>
      <c r="AH18" s="107"/>
      <c r="AI18" s="21"/>
      <c r="AJ18" s="21"/>
      <c r="AK18" s="21"/>
      <c r="AL18" s="90"/>
      <c r="AM18" s="21"/>
      <c r="AN18" s="21"/>
      <c r="AO18" s="107"/>
      <c r="AP18" s="21"/>
      <c r="AQ18" s="21"/>
      <c r="AR18" s="81"/>
    </row>
    <row r="19" spans="1:44" ht="12.75" hidden="1" customHeight="1" x14ac:dyDescent="0.2">
      <c r="A19" s="28"/>
      <c r="B19" s="20"/>
      <c r="C19" s="75"/>
      <c r="D19" s="165" t="s">
        <v>29</v>
      </c>
      <c r="E19" s="166"/>
      <c r="F19" s="25"/>
      <c r="G19" s="21"/>
      <c r="H19" s="21"/>
      <c r="I19" s="21"/>
      <c r="J19" s="62"/>
      <c r="K19" s="62"/>
      <c r="L19" s="68"/>
      <c r="M19" s="57"/>
      <c r="N19" s="21"/>
      <c r="O19" s="21"/>
      <c r="P19" s="21"/>
      <c r="Q19" s="21"/>
      <c r="R19" s="21"/>
      <c r="S19" s="21"/>
      <c r="T19" s="107"/>
      <c r="U19" s="21"/>
      <c r="V19" s="21"/>
      <c r="W19" s="21"/>
      <c r="X19" s="21"/>
      <c r="Y19" s="21"/>
      <c r="Z19" s="21"/>
      <c r="AA19" s="107"/>
      <c r="AB19" s="21"/>
      <c r="AC19" s="21"/>
      <c r="AD19" s="21"/>
      <c r="AE19" s="21"/>
      <c r="AF19" s="21"/>
      <c r="AG19" s="21"/>
      <c r="AH19" s="107"/>
      <c r="AI19" s="21"/>
      <c r="AJ19" s="21"/>
      <c r="AK19" s="21"/>
      <c r="AL19" s="90"/>
      <c r="AM19" s="21"/>
      <c r="AN19" s="21"/>
      <c r="AO19" s="107"/>
      <c r="AP19" s="21"/>
      <c r="AQ19" s="21"/>
      <c r="AR19" s="81"/>
    </row>
    <row r="20" spans="1:44" ht="12.75" hidden="1" customHeight="1" x14ac:dyDescent="0.2">
      <c r="A20" s="28"/>
      <c r="B20" s="20"/>
      <c r="C20" s="75"/>
      <c r="D20" s="82"/>
      <c r="E20" s="101"/>
      <c r="F20" s="58"/>
      <c r="G20" s="87"/>
      <c r="H20" s="87"/>
      <c r="I20" s="87"/>
      <c r="J20" s="102"/>
      <c r="K20" s="102"/>
      <c r="L20" s="103"/>
      <c r="M20" s="104"/>
      <c r="N20" s="87"/>
      <c r="O20" s="87"/>
      <c r="P20" s="87"/>
      <c r="Q20" s="87"/>
      <c r="R20" s="87"/>
      <c r="S20" s="87"/>
      <c r="T20" s="109"/>
      <c r="U20" s="87"/>
      <c r="V20" s="87"/>
      <c r="W20" s="87"/>
      <c r="X20" s="87"/>
      <c r="Y20" s="87"/>
      <c r="Z20" s="87"/>
      <c r="AA20" s="109"/>
      <c r="AB20" s="87"/>
      <c r="AC20" s="87"/>
      <c r="AD20" s="87"/>
      <c r="AE20" s="87"/>
      <c r="AF20" s="87"/>
      <c r="AG20" s="87"/>
      <c r="AH20" s="109"/>
      <c r="AI20" s="87"/>
      <c r="AJ20" s="87"/>
      <c r="AK20" s="87"/>
      <c r="AL20" s="94"/>
      <c r="AM20" s="87"/>
      <c r="AN20" s="87"/>
      <c r="AO20" s="109"/>
      <c r="AP20" s="87"/>
      <c r="AQ20" s="87"/>
      <c r="AR20" s="88"/>
    </row>
    <row r="21" spans="1:44" ht="14.25" x14ac:dyDescent="0.2">
      <c r="A21" s="28"/>
      <c r="B21" s="20"/>
      <c r="C21" s="75"/>
      <c r="D21" s="177" t="s">
        <v>36</v>
      </c>
      <c r="E21" s="174" t="s">
        <v>63</v>
      </c>
      <c r="F21" s="169">
        <v>46091</v>
      </c>
      <c r="G21" s="156"/>
      <c r="H21" s="159">
        <v>0.4</v>
      </c>
      <c r="I21" s="112" t="s">
        <v>79</v>
      </c>
      <c r="J21" s="112">
        <v>1</v>
      </c>
      <c r="K21" s="112">
        <v>1</v>
      </c>
      <c r="L21" s="113">
        <f>K21/J21</f>
        <v>1</v>
      </c>
      <c r="M21" s="114"/>
      <c r="N21" s="112">
        <v>0</v>
      </c>
      <c r="O21" s="112"/>
      <c r="P21" s="112" t="s">
        <v>78</v>
      </c>
      <c r="Q21" s="78"/>
      <c r="R21" s="78"/>
      <c r="S21" s="78"/>
      <c r="T21" s="106"/>
      <c r="U21" s="78"/>
      <c r="V21" s="78"/>
      <c r="W21" s="78"/>
      <c r="X21" s="78"/>
      <c r="Y21" s="78"/>
      <c r="Z21" s="78"/>
      <c r="AA21" s="106"/>
      <c r="AB21" s="78"/>
      <c r="AC21" s="78"/>
      <c r="AD21" s="78"/>
      <c r="AE21" s="78"/>
      <c r="AF21" s="78"/>
      <c r="AG21" s="78"/>
      <c r="AH21" s="106"/>
      <c r="AI21" s="78"/>
      <c r="AJ21" s="78"/>
      <c r="AK21" s="78"/>
      <c r="AL21" s="91"/>
      <c r="AM21" s="141" t="s">
        <v>99</v>
      </c>
      <c r="AN21" s="142"/>
      <c r="AO21" s="106"/>
      <c r="AP21" s="147" t="s">
        <v>100</v>
      </c>
      <c r="AQ21" s="148"/>
      <c r="AR21" s="149"/>
    </row>
    <row r="22" spans="1:44" ht="14.25" x14ac:dyDescent="0.2">
      <c r="A22" s="28"/>
      <c r="B22" s="20"/>
      <c r="C22" s="75"/>
      <c r="D22" s="163"/>
      <c r="E22" s="175"/>
      <c r="F22" s="170"/>
      <c r="G22" s="157"/>
      <c r="H22" s="160"/>
      <c r="I22" s="117" t="s">
        <v>80</v>
      </c>
      <c r="J22" s="117">
        <v>1</v>
      </c>
      <c r="K22" s="117">
        <v>1</v>
      </c>
      <c r="L22" s="118">
        <f>K22/J22</f>
        <v>1</v>
      </c>
      <c r="M22" s="119"/>
      <c r="N22" s="117">
        <v>0</v>
      </c>
      <c r="O22" s="117"/>
      <c r="P22" s="117" t="s">
        <v>78</v>
      </c>
      <c r="Q22" s="21"/>
      <c r="R22" s="21"/>
      <c r="S22" s="21"/>
      <c r="T22" s="107"/>
      <c r="U22" s="21"/>
      <c r="V22" s="21"/>
      <c r="W22" s="21"/>
      <c r="X22" s="21"/>
      <c r="Y22" s="21"/>
      <c r="Z22" s="21"/>
      <c r="AA22" s="107"/>
      <c r="AB22" s="21"/>
      <c r="AC22" s="21"/>
      <c r="AD22" s="21"/>
      <c r="AE22" s="21"/>
      <c r="AF22" s="21"/>
      <c r="AG22" s="21"/>
      <c r="AH22" s="107"/>
      <c r="AI22" s="21"/>
      <c r="AJ22" s="21"/>
      <c r="AK22" s="21"/>
      <c r="AL22" s="90"/>
      <c r="AM22" s="143"/>
      <c r="AN22" s="144"/>
      <c r="AO22" s="107"/>
      <c r="AP22" s="150"/>
      <c r="AQ22" s="151"/>
      <c r="AR22" s="152"/>
    </row>
    <row r="23" spans="1:44" ht="14.25" x14ac:dyDescent="0.2">
      <c r="A23" s="28"/>
      <c r="B23" s="20"/>
      <c r="C23" s="75"/>
      <c r="D23" s="163"/>
      <c r="E23" s="175"/>
      <c r="F23" s="170"/>
      <c r="G23" s="157"/>
      <c r="H23" s="160"/>
      <c r="I23" s="117" t="s">
        <v>81</v>
      </c>
      <c r="J23" s="117">
        <v>1</v>
      </c>
      <c r="K23" s="117">
        <v>0</v>
      </c>
      <c r="L23" s="118">
        <f t="shared" ref="L23:L36" si="0">K23/J23</f>
        <v>0</v>
      </c>
      <c r="M23" s="119" t="s">
        <v>90</v>
      </c>
      <c r="N23" s="117">
        <v>68</v>
      </c>
      <c r="O23" s="117"/>
      <c r="P23" s="117" t="s">
        <v>91</v>
      </c>
      <c r="Q23" s="21"/>
      <c r="R23" s="21"/>
      <c r="S23" s="21"/>
      <c r="T23" s="107"/>
      <c r="U23" s="21"/>
      <c r="V23" s="21"/>
      <c r="W23" s="90" t="s">
        <v>95</v>
      </c>
      <c r="X23" s="21"/>
      <c r="Y23" s="21"/>
      <c r="Z23" s="21"/>
      <c r="AA23" s="107"/>
      <c r="AB23" s="21"/>
      <c r="AC23" s="21"/>
      <c r="AD23" s="21"/>
      <c r="AE23" s="21"/>
      <c r="AF23" s="21"/>
      <c r="AG23" s="21"/>
      <c r="AH23" s="107"/>
      <c r="AI23" s="21"/>
      <c r="AJ23" s="21"/>
      <c r="AK23" s="21"/>
      <c r="AL23" s="90"/>
      <c r="AM23" s="143"/>
      <c r="AN23" s="144"/>
      <c r="AO23" s="107"/>
      <c r="AP23" s="150"/>
      <c r="AQ23" s="151"/>
      <c r="AR23" s="152"/>
    </row>
    <row r="24" spans="1:44" ht="14.25" x14ac:dyDescent="0.2">
      <c r="A24" s="28"/>
      <c r="B24" s="20"/>
      <c r="C24" s="75"/>
      <c r="D24" s="163"/>
      <c r="E24" s="175"/>
      <c r="F24" s="170"/>
      <c r="G24" s="157"/>
      <c r="H24" s="160"/>
      <c r="I24" s="117" t="s">
        <v>82</v>
      </c>
      <c r="J24" s="117">
        <v>1</v>
      </c>
      <c r="K24" s="117">
        <v>0</v>
      </c>
      <c r="L24" s="118">
        <f t="shared" si="0"/>
        <v>0</v>
      </c>
      <c r="M24" s="119" t="s">
        <v>83</v>
      </c>
      <c r="N24" s="117">
        <v>214</v>
      </c>
      <c r="O24" s="117"/>
      <c r="P24" s="117" t="s">
        <v>92</v>
      </c>
      <c r="Q24" s="89" t="s">
        <v>95</v>
      </c>
      <c r="R24" s="89" t="s">
        <v>95</v>
      </c>
      <c r="S24" s="89" t="s">
        <v>95</v>
      </c>
      <c r="T24" s="107"/>
      <c r="U24" s="89" t="s">
        <v>95</v>
      </c>
      <c r="V24" s="90" t="s">
        <v>95</v>
      </c>
      <c r="W24" s="21"/>
      <c r="X24" s="21"/>
      <c r="Y24" s="21"/>
      <c r="Z24" s="21"/>
      <c r="AA24" s="107"/>
      <c r="AB24" s="21"/>
      <c r="AC24" s="21"/>
      <c r="AD24" s="21"/>
      <c r="AE24" s="21"/>
      <c r="AF24" s="21"/>
      <c r="AG24" s="21"/>
      <c r="AH24" s="107"/>
      <c r="AI24" s="21"/>
      <c r="AJ24" s="21"/>
      <c r="AK24" s="21"/>
      <c r="AL24" s="90"/>
      <c r="AM24" s="143"/>
      <c r="AN24" s="144"/>
      <c r="AO24" s="107"/>
      <c r="AP24" s="150"/>
      <c r="AQ24" s="151"/>
      <c r="AR24" s="152"/>
    </row>
    <row r="25" spans="1:44" ht="14.25" x14ac:dyDescent="0.2">
      <c r="A25" s="28"/>
      <c r="B25" s="20"/>
      <c r="C25" s="75"/>
      <c r="D25" s="163"/>
      <c r="E25" s="175"/>
      <c r="F25" s="170"/>
      <c r="G25" s="157"/>
      <c r="H25" s="160"/>
      <c r="I25" s="117" t="s">
        <v>96</v>
      </c>
      <c r="J25" s="117">
        <v>1</v>
      </c>
      <c r="K25" s="117">
        <v>0</v>
      </c>
      <c r="L25" s="118">
        <f t="shared" si="0"/>
        <v>0</v>
      </c>
      <c r="M25" s="119" t="s">
        <v>85</v>
      </c>
      <c r="N25" s="117">
        <v>107</v>
      </c>
      <c r="O25" s="117"/>
      <c r="P25" s="117" t="s">
        <v>92</v>
      </c>
      <c r="Q25" s="21"/>
      <c r="R25" s="21"/>
      <c r="S25" s="21"/>
      <c r="T25" s="107"/>
      <c r="U25" s="21"/>
      <c r="V25" s="21"/>
      <c r="W25" s="21"/>
      <c r="X25" s="89" t="s">
        <v>95</v>
      </c>
      <c r="Y25" s="89" t="s">
        <v>95</v>
      </c>
      <c r="Z25" s="90" t="s">
        <v>95</v>
      </c>
      <c r="AA25" s="107"/>
      <c r="AB25" s="21"/>
      <c r="AC25" s="21"/>
      <c r="AD25" s="21"/>
      <c r="AE25" s="21"/>
      <c r="AF25" s="21"/>
      <c r="AG25" s="21"/>
      <c r="AH25" s="107"/>
      <c r="AI25" s="21"/>
      <c r="AJ25" s="21"/>
      <c r="AK25" s="21"/>
      <c r="AL25" s="90"/>
      <c r="AM25" s="143"/>
      <c r="AN25" s="144"/>
      <c r="AO25" s="107"/>
      <c r="AP25" s="150"/>
      <c r="AQ25" s="151"/>
      <c r="AR25" s="152"/>
    </row>
    <row r="26" spans="1:44" ht="14.25" x14ac:dyDescent="0.2">
      <c r="A26" s="28"/>
      <c r="B26" s="20"/>
      <c r="C26" s="75"/>
      <c r="D26" s="163"/>
      <c r="E26" s="175"/>
      <c r="F26" s="170"/>
      <c r="G26" s="157"/>
      <c r="H26" s="160"/>
      <c r="I26" s="117" t="s">
        <v>68</v>
      </c>
      <c r="J26" s="117">
        <v>3</v>
      </c>
      <c r="K26" s="117">
        <v>0</v>
      </c>
      <c r="L26" s="118">
        <f t="shared" si="0"/>
        <v>0</v>
      </c>
      <c r="M26" s="119" t="s">
        <v>88</v>
      </c>
      <c r="N26" s="117">
        <v>225</v>
      </c>
      <c r="O26" s="117"/>
      <c r="P26" s="117" t="s">
        <v>91</v>
      </c>
      <c r="Q26" s="21"/>
      <c r="R26" s="21"/>
      <c r="S26" s="21"/>
      <c r="T26" s="107"/>
      <c r="U26" s="21"/>
      <c r="V26" s="21"/>
      <c r="W26" s="21"/>
      <c r="X26" s="21"/>
      <c r="Y26" s="21"/>
      <c r="Z26" s="21"/>
      <c r="AA26" s="107"/>
      <c r="AB26" s="89" t="s">
        <v>95</v>
      </c>
      <c r="AC26" s="89" t="s">
        <v>95</v>
      </c>
      <c r="AD26" s="89" t="s">
        <v>95</v>
      </c>
      <c r="AE26" s="90" t="s">
        <v>95</v>
      </c>
      <c r="AF26" s="21"/>
      <c r="AG26" s="21"/>
      <c r="AH26" s="107"/>
      <c r="AI26" s="21"/>
      <c r="AJ26" s="21"/>
      <c r="AK26" s="21"/>
      <c r="AL26" s="90"/>
      <c r="AM26" s="143"/>
      <c r="AN26" s="144"/>
      <c r="AO26" s="107"/>
      <c r="AP26" s="150"/>
      <c r="AQ26" s="151"/>
      <c r="AR26" s="152"/>
    </row>
    <row r="27" spans="1:44" ht="14.25" x14ac:dyDescent="0.2">
      <c r="A27" s="28"/>
      <c r="B27" s="20"/>
      <c r="C27" s="75"/>
      <c r="D27" s="163"/>
      <c r="E27" s="175"/>
      <c r="F27" s="170"/>
      <c r="G27" s="157"/>
      <c r="H27" s="160"/>
      <c r="I27" s="117" t="s">
        <v>86</v>
      </c>
      <c r="J27" s="117">
        <v>6</v>
      </c>
      <c r="K27" s="117">
        <v>0</v>
      </c>
      <c r="L27" s="118">
        <f t="shared" si="0"/>
        <v>0</v>
      </c>
      <c r="M27" s="119" t="s">
        <v>87</v>
      </c>
      <c r="N27" s="117">
        <v>144</v>
      </c>
      <c r="O27" s="117"/>
      <c r="P27" s="117" t="s">
        <v>92</v>
      </c>
      <c r="Q27" s="21"/>
      <c r="R27" s="21"/>
      <c r="S27" s="21"/>
      <c r="T27" s="107"/>
      <c r="U27" s="21"/>
      <c r="V27" s="21"/>
      <c r="W27" s="21"/>
      <c r="X27" s="21"/>
      <c r="Y27" s="21"/>
      <c r="Z27" s="21"/>
      <c r="AA27" s="107"/>
      <c r="AB27" s="21"/>
      <c r="AC27" s="21"/>
      <c r="AD27" s="21"/>
      <c r="AE27" s="21"/>
      <c r="AF27" s="21"/>
      <c r="AG27" s="21"/>
      <c r="AH27" s="107"/>
      <c r="AI27" s="21"/>
      <c r="AJ27" s="89" t="s">
        <v>95</v>
      </c>
      <c r="AK27" s="89" t="s">
        <v>95</v>
      </c>
      <c r="AL27" s="90" t="s">
        <v>95</v>
      </c>
      <c r="AM27" s="143"/>
      <c r="AN27" s="144"/>
      <c r="AO27" s="107"/>
      <c r="AP27" s="150"/>
      <c r="AQ27" s="151"/>
      <c r="AR27" s="152"/>
    </row>
    <row r="28" spans="1:44" ht="14.25" x14ac:dyDescent="0.2">
      <c r="A28" s="28"/>
      <c r="B28" s="20"/>
      <c r="C28" s="75"/>
      <c r="D28" s="163"/>
      <c r="E28" s="175"/>
      <c r="F28" s="170"/>
      <c r="G28" s="157"/>
      <c r="H28" s="160"/>
      <c r="I28" s="117" t="s">
        <v>89</v>
      </c>
      <c r="J28" s="117">
        <v>13</v>
      </c>
      <c r="K28" s="117">
        <v>0</v>
      </c>
      <c r="L28" s="118">
        <f t="shared" ref="L28" si="1">K28/J28</f>
        <v>0</v>
      </c>
      <c r="M28" s="119" t="s">
        <v>87</v>
      </c>
      <c r="N28" s="117">
        <v>20</v>
      </c>
      <c r="O28" s="117"/>
      <c r="P28" s="117" t="s">
        <v>91</v>
      </c>
      <c r="Q28" s="21"/>
      <c r="R28" s="21"/>
      <c r="S28" s="21"/>
      <c r="T28" s="107"/>
      <c r="U28" s="21"/>
      <c r="V28" s="21"/>
      <c r="W28" s="21"/>
      <c r="X28" s="21"/>
      <c r="Y28" s="21"/>
      <c r="Z28" s="21"/>
      <c r="AA28" s="107"/>
      <c r="AB28" s="21"/>
      <c r="AC28" s="21"/>
      <c r="AD28" s="21"/>
      <c r="AE28" s="21"/>
      <c r="AF28" s="89" t="s">
        <v>95</v>
      </c>
      <c r="AG28" s="89" t="s">
        <v>95</v>
      </c>
      <c r="AH28" s="107"/>
      <c r="AI28" s="89" t="s">
        <v>95</v>
      </c>
      <c r="AJ28" s="89" t="s">
        <v>95</v>
      </c>
      <c r="AK28" s="89" t="s">
        <v>95</v>
      </c>
      <c r="AL28" s="90"/>
      <c r="AM28" s="143"/>
      <c r="AN28" s="144"/>
      <c r="AO28" s="107"/>
      <c r="AP28" s="150"/>
      <c r="AQ28" s="151"/>
      <c r="AR28" s="152"/>
    </row>
    <row r="29" spans="1:44" ht="15" thickBot="1" x14ac:dyDescent="0.25">
      <c r="A29" s="28"/>
      <c r="B29" s="20"/>
      <c r="C29" s="75"/>
      <c r="D29" s="164"/>
      <c r="E29" s="176"/>
      <c r="F29" s="171"/>
      <c r="G29" s="158"/>
      <c r="H29" s="161"/>
      <c r="I29" s="122" t="s">
        <v>93</v>
      </c>
      <c r="J29" s="122">
        <v>1</v>
      </c>
      <c r="K29" s="122">
        <v>0</v>
      </c>
      <c r="L29" s="123">
        <f t="shared" si="0"/>
        <v>0</v>
      </c>
      <c r="M29" s="124" t="s">
        <v>87</v>
      </c>
      <c r="N29" s="122">
        <v>96</v>
      </c>
      <c r="O29" s="122"/>
      <c r="P29" s="122" t="s">
        <v>92</v>
      </c>
      <c r="Q29" s="31"/>
      <c r="R29" s="31"/>
      <c r="S29" s="31"/>
      <c r="T29" s="110"/>
      <c r="U29" s="31"/>
      <c r="V29" s="31"/>
      <c r="W29" s="31"/>
      <c r="X29" s="31"/>
      <c r="Y29" s="31"/>
      <c r="Z29" s="31"/>
      <c r="AA29" s="110"/>
      <c r="AB29" s="31"/>
      <c r="AC29" s="31"/>
      <c r="AD29" s="31"/>
      <c r="AE29" s="92" t="s">
        <v>95</v>
      </c>
      <c r="AF29" s="31"/>
      <c r="AG29" s="31"/>
      <c r="AH29" s="110"/>
      <c r="AI29" s="31"/>
      <c r="AJ29" s="31"/>
      <c r="AK29" s="31"/>
      <c r="AL29" s="92"/>
      <c r="AM29" s="143"/>
      <c r="AN29" s="144"/>
      <c r="AO29" s="110"/>
      <c r="AP29" s="150"/>
      <c r="AQ29" s="151"/>
      <c r="AR29" s="152"/>
    </row>
    <row r="30" spans="1:44" ht="18.75" customHeight="1" x14ac:dyDescent="0.2">
      <c r="A30" s="28"/>
      <c r="B30" s="20"/>
      <c r="C30" s="62"/>
      <c r="D30" s="162" t="s">
        <v>38</v>
      </c>
      <c r="E30" s="174" t="s">
        <v>37</v>
      </c>
      <c r="F30" s="169">
        <v>46092</v>
      </c>
      <c r="G30" s="156"/>
      <c r="H30" s="159">
        <v>0.4</v>
      </c>
      <c r="I30" s="112" t="s">
        <v>79</v>
      </c>
      <c r="J30" s="125">
        <v>1</v>
      </c>
      <c r="K30" s="125">
        <v>1</v>
      </c>
      <c r="L30" s="126">
        <f t="shared" si="0"/>
        <v>1</v>
      </c>
      <c r="M30" s="114"/>
      <c r="N30" s="112">
        <v>0</v>
      </c>
      <c r="O30" s="112"/>
      <c r="P30" s="112" t="s">
        <v>78</v>
      </c>
      <c r="Q30" s="78"/>
      <c r="R30" s="78"/>
      <c r="S30" s="78"/>
      <c r="T30" s="106"/>
      <c r="U30" s="78"/>
      <c r="V30" s="78"/>
      <c r="W30" s="78"/>
      <c r="X30" s="78"/>
      <c r="Y30" s="78"/>
      <c r="Z30" s="78"/>
      <c r="AA30" s="106"/>
      <c r="AB30" s="78"/>
      <c r="AC30" s="78"/>
      <c r="AD30" s="78"/>
      <c r="AE30" s="78"/>
      <c r="AF30" s="78"/>
      <c r="AG30" s="78"/>
      <c r="AH30" s="106"/>
      <c r="AI30" s="78"/>
      <c r="AJ30" s="91"/>
      <c r="AK30" s="78"/>
      <c r="AL30" s="78"/>
      <c r="AM30" s="143"/>
      <c r="AN30" s="144"/>
      <c r="AO30" s="106"/>
      <c r="AP30" s="150"/>
      <c r="AQ30" s="151"/>
      <c r="AR30" s="152"/>
    </row>
    <row r="31" spans="1:44" ht="18.75" customHeight="1" x14ac:dyDescent="0.2">
      <c r="A31" s="28"/>
      <c r="B31" s="20"/>
      <c r="C31" s="62"/>
      <c r="D31" s="163"/>
      <c r="E31" s="175"/>
      <c r="F31" s="170"/>
      <c r="G31" s="157"/>
      <c r="H31" s="160"/>
      <c r="I31" s="117" t="s">
        <v>80</v>
      </c>
      <c r="J31" s="127">
        <v>1</v>
      </c>
      <c r="K31" s="127">
        <v>1</v>
      </c>
      <c r="L31" s="128">
        <f t="shared" si="0"/>
        <v>1</v>
      </c>
      <c r="M31" s="119"/>
      <c r="N31" s="117">
        <v>0</v>
      </c>
      <c r="O31" s="117"/>
      <c r="P31" s="117" t="s">
        <v>78</v>
      </c>
      <c r="Q31" s="21"/>
      <c r="R31" s="21"/>
      <c r="S31" s="21"/>
      <c r="T31" s="107"/>
      <c r="U31" s="21"/>
      <c r="V31" s="21"/>
      <c r="W31" s="21"/>
      <c r="X31" s="21"/>
      <c r="Y31" s="21"/>
      <c r="Z31" s="21"/>
      <c r="AA31" s="107"/>
      <c r="AB31" s="21"/>
      <c r="AC31" s="21"/>
      <c r="AD31" s="21"/>
      <c r="AE31" s="21"/>
      <c r="AF31" s="21"/>
      <c r="AG31" s="21"/>
      <c r="AH31" s="107"/>
      <c r="AI31" s="21"/>
      <c r="AJ31" s="90"/>
      <c r="AK31" s="21"/>
      <c r="AL31" s="21"/>
      <c r="AM31" s="143"/>
      <c r="AN31" s="144"/>
      <c r="AO31" s="107"/>
      <c r="AP31" s="150"/>
      <c r="AQ31" s="151"/>
      <c r="AR31" s="152"/>
    </row>
    <row r="32" spans="1:44" ht="18.75" customHeight="1" x14ac:dyDescent="0.2">
      <c r="A32" s="28"/>
      <c r="B32" s="20"/>
      <c r="C32" s="62"/>
      <c r="D32" s="163"/>
      <c r="E32" s="175"/>
      <c r="F32" s="170"/>
      <c r="G32" s="157"/>
      <c r="H32" s="160"/>
      <c r="I32" s="117" t="s">
        <v>98</v>
      </c>
      <c r="J32" s="127">
        <v>1</v>
      </c>
      <c r="K32" s="127">
        <v>0</v>
      </c>
      <c r="L32" s="128">
        <f t="shared" si="0"/>
        <v>0</v>
      </c>
      <c r="M32" s="119" t="s">
        <v>90</v>
      </c>
      <c r="N32" s="117">
        <v>156</v>
      </c>
      <c r="O32" s="117"/>
      <c r="P32" s="117" t="s">
        <v>91</v>
      </c>
      <c r="Q32" s="21"/>
      <c r="R32" s="21"/>
      <c r="S32" s="21"/>
      <c r="T32" s="107"/>
      <c r="U32" s="21"/>
      <c r="V32" s="21"/>
      <c r="W32" s="21"/>
      <c r="X32" s="21"/>
      <c r="Y32" s="89" t="s">
        <v>95</v>
      </c>
      <c r="Z32" s="90" t="s">
        <v>95</v>
      </c>
      <c r="AA32" s="107"/>
      <c r="AB32" s="21"/>
      <c r="AC32" s="21"/>
      <c r="AD32" s="21"/>
      <c r="AE32" s="21"/>
      <c r="AF32" s="21"/>
      <c r="AG32" s="21"/>
      <c r="AH32" s="107"/>
      <c r="AI32" s="21"/>
      <c r="AJ32" s="90"/>
      <c r="AK32" s="21"/>
      <c r="AL32" s="21"/>
      <c r="AM32" s="143"/>
      <c r="AN32" s="144"/>
      <c r="AO32" s="107"/>
      <c r="AP32" s="150"/>
      <c r="AQ32" s="151"/>
      <c r="AR32" s="152"/>
    </row>
    <row r="33" spans="1:44" ht="18.75" customHeight="1" x14ac:dyDescent="0.2">
      <c r="A33" s="28"/>
      <c r="B33" s="20"/>
      <c r="C33" s="62"/>
      <c r="D33" s="163"/>
      <c r="E33" s="175"/>
      <c r="F33" s="170"/>
      <c r="G33" s="157"/>
      <c r="H33" s="160"/>
      <c r="I33" s="117" t="s">
        <v>82</v>
      </c>
      <c r="J33" s="127">
        <v>1</v>
      </c>
      <c r="K33" s="127">
        <v>0</v>
      </c>
      <c r="L33" s="128">
        <f t="shared" si="0"/>
        <v>0</v>
      </c>
      <c r="M33" s="119" t="s">
        <v>83</v>
      </c>
      <c r="N33" s="117">
        <v>214</v>
      </c>
      <c r="O33" s="117"/>
      <c r="P33" s="117" t="s">
        <v>92</v>
      </c>
      <c r="Q33" s="89" t="s">
        <v>95</v>
      </c>
      <c r="R33" s="89" t="s">
        <v>95</v>
      </c>
      <c r="S33" s="89" t="s">
        <v>95</v>
      </c>
      <c r="T33" s="107"/>
      <c r="U33" s="89" t="s">
        <v>95</v>
      </c>
      <c r="V33" s="90" t="s">
        <v>95</v>
      </c>
      <c r="W33" s="21"/>
      <c r="X33" s="21"/>
      <c r="Y33" s="21"/>
      <c r="Z33" s="21"/>
      <c r="AA33" s="107"/>
      <c r="AB33" s="21"/>
      <c r="AC33" s="21"/>
      <c r="AD33" s="21"/>
      <c r="AE33" s="21"/>
      <c r="AF33" s="21"/>
      <c r="AG33" s="21"/>
      <c r="AH33" s="107"/>
      <c r="AI33" s="21"/>
      <c r="AJ33" s="90"/>
      <c r="AK33" s="21"/>
      <c r="AL33" s="21"/>
      <c r="AM33" s="143"/>
      <c r="AN33" s="144"/>
      <c r="AO33" s="107"/>
      <c r="AP33" s="150"/>
      <c r="AQ33" s="151"/>
      <c r="AR33" s="152"/>
    </row>
    <row r="34" spans="1:44" ht="18.75" customHeight="1" x14ac:dyDescent="0.2">
      <c r="A34" s="28"/>
      <c r="B34" s="20"/>
      <c r="C34" s="62"/>
      <c r="D34" s="163"/>
      <c r="E34" s="175"/>
      <c r="F34" s="170"/>
      <c r="G34" s="157"/>
      <c r="H34" s="160"/>
      <c r="I34" s="117" t="s">
        <v>84</v>
      </c>
      <c r="J34" s="127">
        <v>1</v>
      </c>
      <c r="K34" s="127">
        <v>0</v>
      </c>
      <c r="L34" s="128">
        <f t="shared" si="0"/>
        <v>0</v>
      </c>
      <c r="M34" s="119" t="s">
        <v>85</v>
      </c>
      <c r="N34" s="117">
        <v>107</v>
      </c>
      <c r="O34" s="117"/>
      <c r="P34" s="117" t="s">
        <v>92</v>
      </c>
      <c r="Q34" s="21"/>
      <c r="R34" s="21"/>
      <c r="S34" s="21"/>
      <c r="T34" s="107"/>
      <c r="U34" s="21"/>
      <c r="V34" s="21"/>
      <c r="W34" s="89" t="s">
        <v>95</v>
      </c>
      <c r="X34" s="89" t="s">
        <v>95</v>
      </c>
      <c r="Y34" s="89" t="s">
        <v>95</v>
      </c>
      <c r="Z34" s="90" t="s">
        <v>95</v>
      </c>
      <c r="AA34" s="107"/>
      <c r="AB34" s="21"/>
      <c r="AC34" s="21"/>
      <c r="AD34" s="21"/>
      <c r="AE34" s="21"/>
      <c r="AF34" s="21"/>
      <c r="AG34" s="21"/>
      <c r="AH34" s="107"/>
      <c r="AI34" s="21"/>
      <c r="AJ34" s="90"/>
      <c r="AK34" s="21"/>
      <c r="AL34" s="21"/>
      <c r="AM34" s="143"/>
      <c r="AN34" s="144"/>
      <c r="AO34" s="107"/>
      <c r="AP34" s="150"/>
      <c r="AQ34" s="151"/>
      <c r="AR34" s="152"/>
    </row>
    <row r="35" spans="1:44" ht="18.75" customHeight="1" x14ac:dyDescent="0.2">
      <c r="A35" s="28"/>
      <c r="B35" s="20"/>
      <c r="C35" s="62"/>
      <c r="D35" s="163"/>
      <c r="E35" s="175"/>
      <c r="F35" s="170"/>
      <c r="G35" s="157"/>
      <c r="H35" s="160"/>
      <c r="I35" s="117" t="s">
        <v>97</v>
      </c>
      <c r="J35" s="127">
        <v>6</v>
      </c>
      <c r="K35" s="127">
        <v>0</v>
      </c>
      <c r="L35" s="128">
        <f t="shared" si="0"/>
        <v>0</v>
      </c>
      <c r="M35" s="119" t="s">
        <v>87</v>
      </c>
      <c r="N35" s="117">
        <v>172</v>
      </c>
      <c r="O35" s="117"/>
      <c r="P35" s="117" t="s">
        <v>92</v>
      </c>
      <c r="Q35" s="21"/>
      <c r="R35" s="21"/>
      <c r="S35" s="21"/>
      <c r="T35" s="107"/>
      <c r="U35" s="21"/>
      <c r="V35" s="21"/>
      <c r="W35" s="21"/>
      <c r="X35" s="21"/>
      <c r="Y35" s="21"/>
      <c r="Z35" s="21"/>
      <c r="AA35" s="107"/>
      <c r="AB35" s="21"/>
      <c r="AC35" s="21"/>
      <c r="AD35" s="21"/>
      <c r="AE35" s="21"/>
      <c r="AF35" s="89" t="s">
        <v>95</v>
      </c>
      <c r="AG35" s="89" t="s">
        <v>95</v>
      </c>
      <c r="AH35" s="107"/>
      <c r="AI35" s="89" t="s">
        <v>95</v>
      </c>
      <c r="AJ35" s="90" t="s">
        <v>95</v>
      </c>
      <c r="AK35" s="21"/>
      <c r="AL35" s="21"/>
      <c r="AM35" s="143"/>
      <c r="AN35" s="144"/>
      <c r="AO35" s="107"/>
      <c r="AP35" s="150"/>
      <c r="AQ35" s="151"/>
      <c r="AR35" s="152"/>
    </row>
    <row r="36" spans="1:44" ht="18.75" customHeight="1" thickBot="1" x14ac:dyDescent="0.25">
      <c r="A36" s="28"/>
      <c r="B36" s="20"/>
      <c r="C36" s="62"/>
      <c r="D36" s="164"/>
      <c r="E36" s="176"/>
      <c r="F36" s="171"/>
      <c r="G36" s="158"/>
      <c r="H36" s="161"/>
      <c r="I36" s="122" t="s">
        <v>89</v>
      </c>
      <c r="J36" s="129">
        <v>11</v>
      </c>
      <c r="K36" s="129">
        <v>0</v>
      </c>
      <c r="L36" s="130">
        <f t="shared" si="0"/>
        <v>0</v>
      </c>
      <c r="M36" s="124" t="s">
        <v>87</v>
      </c>
      <c r="N36" s="122">
        <v>20</v>
      </c>
      <c r="O36" s="122"/>
      <c r="P36" s="122" t="s">
        <v>91</v>
      </c>
      <c r="Q36" s="31"/>
      <c r="R36" s="31"/>
      <c r="S36" s="31"/>
      <c r="T36" s="110"/>
      <c r="U36" s="31"/>
      <c r="V36" s="31"/>
      <c r="W36" s="31"/>
      <c r="X36" s="31"/>
      <c r="Y36" s="31"/>
      <c r="Z36" s="31"/>
      <c r="AA36" s="110"/>
      <c r="AB36" s="97" t="s">
        <v>95</v>
      </c>
      <c r="AC36" s="97" t="s">
        <v>95</v>
      </c>
      <c r="AD36" s="97" t="s">
        <v>95</v>
      </c>
      <c r="AE36" s="97" t="s">
        <v>95</v>
      </c>
      <c r="AF36" s="92" t="s">
        <v>95</v>
      </c>
      <c r="AG36" s="31"/>
      <c r="AH36" s="110"/>
      <c r="AI36" s="31"/>
      <c r="AJ36" s="92"/>
      <c r="AK36" s="31"/>
      <c r="AL36" s="31"/>
      <c r="AM36" s="145"/>
      <c r="AN36" s="146"/>
      <c r="AO36" s="110"/>
      <c r="AP36" s="153"/>
      <c r="AQ36" s="154"/>
      <c r="AR36" s="155"/>
    </row>
    <row r="37" spans="1:44" ht="14.25" x14ac:dyDescent="0.2">
      <c r="A37" s="28"/>
      <c r="B37" s="20"/>
      <c r="C37" s="62"/>
      <c r="D37" s="98" t="s">
        <v>39</v>
      </c>
      <c r="E37" s="131" t="s">
        <v>40</v>
      </c>
      <c r="F37" s="132">
        <v>46090</v>
      </c>
      <c r="G37" s="133"/>
      <c r="H37" s="134">
        <v>0.6</v>
      </c>
      <c r="I37" s="133" t="s">
        <v>65</v>
      </c>
      <c r="J37" s="133">
        <v>1</v>
      </c>
      <c r="K37" s="133">
        <v>0</v>
      </c>
      <c r="L37" s="135">
        <f>K37/J37</f>
        <v>0</v>
      </c>
      <c r="M37" s="136"/>
      <c r="N37" s="133">
        <v>18</v>
      </c>
      <c r="O37" s="133"/>
      <c r="P37" s="133" t="s">
        <v>92</v>
      </c>
      <c r="Q37" s="96" t="s">
        <v>95</v>
      </c>
      <c r="R37" s="96" t="s">
        <v>95</v>
      </c>
      <c r="S37" s="39"/>
      <c r="T37" s="111"/>
      <c r="U37" s="39"/>
      <c r="V37" s="39"/>
      <c r="W37" s="39"/>
      <c r="X37" s="39"/>
      <c r="Y37" s="39"/>
      <c r="Z37" s="39"/>
      <c r="AA37" s="111"/>
      <c r="AB37" s="39"/>
      <c r="AC37" s="39"/>
      <c r="AD37" s="39"/>
      <c r="AE37" s="39"/>
      <c r="AF37" s="39"/>
      <c r="AG37" s="39"/>
      <c r="AH37" s="111"/>
      <c r="AI37" s="39"/>
      <c r="AJ37" s="95" t="s">
        <v>95</v>
      </c>
      <c r="AK37" s="39"/>
      <c r="AL37" s="39"/>
      <c r="AM37" s="39"/>
      <c r="AN37" s="39"/>
      <c r="AO37" s="111"/>
      <c r="AP37" s="39"/>
      <c r="AQ37" s="39"/>
      <c r="AR37" s="86"/>
    </row>
    <row r="38" spans="1:44" ht="14.25" x14ac:dyDescent="0.2">
      <c r="A38" s="28"/>
      <c r="B38" s="20"/>
      <c r="C38" s="62"/>
      <c r="D38" s="99" t="s">
        <v>41</v>
      </c>
      <c r="E38" s="137" t="s">
        <v>42</v>
      </c>
      <c r="F38" s="115">
        <v>46090</v>
      </c>
      <c r="G38" s="117"/>
      <c r="H38" s="116">
        <v>0.6</v>
      </c>
      <c r="I38" s="117" t="s">
        <v>65</v>
      </c>
      <c r="J38" s="117">
        <v>1</v>
      </c>
      <c r="K38" s="117">
        <v>0</v>
      </c>
      <c r="L38" s="118">
        <f>K38/J38</f>
        <v>0</v>
      </c>
      <c r="M38" s="138"/>
      <c r="N38" s="117">
        <v>18</v>
      </c>
      <c r="O38" s="117"/>
      <c r="P38" s="117" t="s">
        <v>92</v>
      </c>
      <c r="Q38" s="89" t="s">
        <v>95</v>
      </c>
      <c r="R38" s="89" t="s">
        <v>95</v>
      </c>
      <c r="S38" s="21"/>
      <c r="T38" s="107"/>
      <c r="U38" s="21"/>
      <c r="V38" s="21"/>
      <c r="W38" s="21"/>
      <c r="X38" s="21"/>
      <c r="Y38" s="21"/>
      <c r="Z38" s="21"/>
      <c r="AA38" s="107"/>
      <c r="AB38" s="21"/>
      <c r="AC38" s="21"/>
      <c r="AD38" s="21"/>
      <c r="AE38" s="21"/>
      <c r="AF38" s="21"/>
      <c r="AG38" s="21"/>
      <c r="AH38" s="107"/>
      <c r="AI38" s="21"/>
      <c r="AJ38" s="90" t="s">
        <v>95</v>
      </c>
      <c r="AK38" s="21"/>
      <c r="AL38" s="21"/>
      <c r="AM38" s="21"/>
      <c r="AN38" s="21"/>
      <c r="AO38" s="107"/>
      <c r="AP38" s="21"/>
      <c r="AQ38" s="21"/>
      <c r="AR38" s="81"/>
    </row>
    <row r="39" spans="1:44" ht="14.25" x14ac:dyDescent="0.2">
      <c r="A39" s="28"/>
      <c r="B39" s="20"/>
      <c r="C39" s="62"/>
      <c r="D39" s="99" t="s">
        <v>43</v>
      </c>
      <c r="E39" s="137" t="s">
        <v>72</v>
      </c>
      <c r="F39" s="115">
        <v>46090</v>
      </c>
      <c r="G39" s="118"/>
      <c r="H39" s="116">
        <v>1</v>
      </c>
      <c r="I39" s="117" t="s">
        <v>64</v>
      </c>
      <c r="J39" s="117">
        <v>1</v>
      </c>
      <c r="K39" s="117">
        <v>1</v>
      </c>
      <c r="L39" s="118">
        <f>K39/K39</f>
        <v>1</v>
      </c>
      <c r="M39" s="138"/>
      <c r="N39" s="117"/>
      <c r="O39" s="117"/>
      <c r="P39" s="117" t="s">
        <v>92</v>
      </c>
      <c r="Q39" s="21"/>
      <c r="R39" s="21"/>
      <c r="S39" s="21"/>
      <c r="T39" s="107"/>
      <c r="U39" s="21"/>
      <c r="V39" s="21"/>
      <c r="W39" s="21"/>
      <c r="X39" s="21"/>
      <c r="Y39" s="21"/>
      <c r="Z39" s="21"/>
      <c r="AA39" s="107"/>
      <c r="AB39" s="21"/>
      <c r="AC39" s="21"/>
      <c r="AD39" s="21"/>
      <c r="AE39" s="21"/>
      <c r="AF39" s="21"/>
      <c r="AG39" s="21"/>
      <c r="AH39" s="107"/>
      <c r="AI39" s="21"/>
      <c r="AJ39" s="21"/>
      <c r="AK39" s="21"/>
      <c r="AL39" s="21"/>
      <c r="AM39" s="21"/>
      <c r="AN39" s="21"/>
      <c r="AO39" s="107"/>
      <c r="AP39" s="21"/>
      <c r="AQ39" s="21"/>
      <c r="AR39" s="81"/>
    </row>
    <row r="40" spans="1:44" ht="14.25" x14ac:dyDescent="0.2">
      <c r="A40" s="28"/>
      <c r="B40" s="20"/>
      <c r="C40" s="62"/>
      <c r="D40" s="99" t="s">
        <v>44</v>
      </c>
      <c r="E40" s="137" t="s">
        <v>73</v>
      </c>
      <c r="F40" s="115">
        <v>46090</v>
      </c>
      <c r="G40" s="118"/>
      <c r="H40" s="116">
        <v>1</v>
      </c>
      <c r="I40" s="117" t="s">
        <v>64</v>
      </c>
      <c r="J40" s="117">
        <v>1</v>
      </c>
      <c r="K40" s="117">
        <v>1</v>
      </c>
      <c r="L40" s="118">
        <f t="shared" ref="L40:L47" si="2">K40/K40</f>
        <v>1</v>
      </c>
      <c r="M40" s="138"/>
      <c r="N40" s="117"/>
      <c r="O40" s="117"/>
      <c r="P40" s="117" t="s">
        <v>92</v>
      </c>
      <c r="Q40" s="21"/>
      <c r="R40" s="21"/>
      <c r="S40" s="21"/>
      <c r="T40" s="107"/>
      <c r="U40" s="21"/>
      <c r="V40" s="21"/>
      <c r="W40" s="21"/>
      <c r="X40" s="21"/>
      <c r="Y40" s="21"/>
      <c r="Z40" s="21"/>
      <c r="AA40" s="107"/>
      <c r="AB40" s="21"/>
      <c r="AC40" s="21"/>
      <c r="AD40" s="21"/>
      <c r="AE40" s="21"/>
      <c r="AF40" s="21"/>
      <c r="AG40" s="21"/>
      <c r="AH40" s="107"/>
      <c r="AI40" s="21"/>
      <c r="AJ40" s="21"/>
      <c r="AK40" s="21"/>
      <c r="AL40" s="21"/>
      <c r="AM40" s="21"/>
      <c r="AN40" s="21"/>
      <c r="AO40" s="107"/>
      <c r="AP40" s="21"/>
      <c r="AQ40" s="21"/>
      <c r="AR40" s="81"/>
    </row>
    <row r="41" spans="1:44" ht="14.25" x14ac:dyDescent="0.2">
      <c r="A41" s="28"/>
      <c r="B41" s="20"/>
      <c r="C41" s="62"/>
      <c r="D41" s="99" t="s">
        <v>45</v>
      </c>
      <c r="E41" s="137" t="s">
        <v>74</v>
      </c>
      <c r="F41" s="115">
        <v>46090</v>
      </c>
      <c r="G41" s="118"/>
      <c r="H41" s="116">
        <v>1</v>
      </c>
      <c r="I41" s="117" t="s">
        <v>64</v>
      </c>
      <c r="J41" s="117">
        <v>1</v>
      </c>
      <c r="K41" s="117">
        <v>1</v>
      </c>
      <c r="L41" s="118">
        <f t="shared" si="2"/>
        <v>1</v>
      </c>
      <c r="M41" s="138"/>
      <c r="N41" s="117"/>
      <c r="O41" s="117"/>
      <c r="P41" s="117" t="s">
        <v>92</v>
      </c>
      <c r="Q41" s="21"/>
      <c r="R41" s="21"/>
      <c r="S41" s="21"/>
      <c r="T41" s="107"/>
      <c r="U41" s="21"/>
      <c r="V41" s="21"/>
      <c r="W41" s="21"/>
      <c r="X41" s="21"/>
      <c r="Y41" s="21"/>
      <c r="Z41" s="21"/>
      <c r="AA41" s="107"/>
      <c r="AB41" s="21"/>
      <c r="AC41" s="21"/>
      <c r="AD41" s="21"/>
      <c r="AE41" s="21"/>
      <c r="AF41" s="21"/>
      <c r="AG41" s="21"/>
      <c r="AH41" s="107"/>
      <c r="AI41" s="21"/>
      <c r="AJ41" s="21"/>
      <c r="AK41" s="21"/>
      <c r="AL41" s="21"/>
      <c r="AM41" s="21"/>
      <c r="AN41" s="21"/>
      <c r="AO41" s="107"/>
      <c r="AP41" s="21"/>
      <c r="AQ41" s="21"/>
      <c r="AR41" s="81"/>
    </row>
    <row r="42" spans="1:44" ht="14.25" x14ac:dyDescent="0.2">
      <c r="A42" s="28"/>
      <c r="B42" s="20"/>
      <c r="C42" s="62"/>
      <c r="D42" s="99" t="s">
        <v>46</v>
      </c>
      <c r="E42" s="137" t="s">
        <v>75</v>
      </c>
      <c r="F42" s="115">
        <v>46090</v>
      </c>
      <c r="G42" s="118"/>
      <c r="H42" s="116">
        <v>1</v>
      </c>
      <c r="I42" s="117" t="s">
        <v>64</v>
      </c>
      <c r="J42" s="117">
        <v>1</v>
      </c>
      <c r="K42" s="117">
        <v>1</v>
      </c>
      <c r="L42" s="118">
        <f t="shared" si="2"/>
        <v>1</v>
      </c>
      <c r="M42" s="138"/>
      <c r="N42" s="117"/>
      <c r="O42" s="117"/>
      <c r="P42" s="117" t="s">
        <v>92</v>
      </c>
      <c r="Q42" s="21"/>
      <c r="R42" s="21"/>
      <c r="S42" s="21"/>
      <c r="T42" s="107"/>
      <c r="U42" s="21"/>
      <c r="V42" s="21"/>
      <c r="W42" s="21"/>
      <c r="X42" s="21"/>
      <c r="Y42" s="21"/>
      <c r="Z42" s="21"/>
      <c r="AA42" s="107"/>
      <c r="AB42" s="21"/>
      <c r="AC42" s="21"/>
      <c r="AD42" s="21"/>
      <c r="AE42" s="21"/>
      <c r="AF42" s="21"/>
      <c r="AG42" s="21"/>
      <c r="AH42" s="107"/>
      <c r="AI42" s="21"/>
      <c r="AJ42" s="21"/>
      <c r="AK42" s="21"/>
      <c r="AL42" s="21"/>
      <c r="AM42" s="21"/>
      <c r="AN42" s="21"/>
      <c r="AO42" s="107"/>
      <c r="AP42" s="21"/>
      <c r="AQ42" s="21"/>
      <c r="AR42" s="81"/>
    </row>
    <row r="43" spans="1:44" ht="14.25" x14ac:dyDescent="0.2">
      <c r="A43" s="28"/>
      <c r="B43" s="20"/>
      <c r="C43" s="62"/>
      <c r="D43" s="99" t="s">
        <v>47</v>
      </c>
      <c r="E43" s="137" t="s">
        <v>76</v>
      </c>
      <c r="F43" s="115">
        <v>46090</v>
      </c>
      <c r="G43" s="118"/>
      <c r="H43" s="116">
        <v>1</v>
      </c>
      <c r="I43" s="117" t="s">
        <v>64</v>
      </c>
      <c r="J43" s="117">
        <v>1</v>
      </c>
      <c r="K43" s="117">
        <v>1</v>
      </c>
      <c r="L43" s="118">
        <f t="shared" si="2"/>
        <v>1</v>
      </c>
      <c r="M43" s="138"/>
      <c r="N43" s="117"/>
      <c r="O43" s="117"/>
      <c r="P43" s="117" t="s">
        <v>92</v>
      </c>
      <c r="Q43" s="21"/>
      <c r="R43" s="21"/>
      <c r="S43" s="21"/>
      <c r="T43" s="107"/>
      <c r="U43" s="21"/>
      <c r="V43" s="21"/>
      <c r="W43" s="21"/>
      <c r="X43" s="21"/>
      <c r="Y43" s="21"/>
      <c r="Z43" s="21"/>
      <c r="AA43" s="107"/>
      <c r="AB43" s="21"/>
      <c r="AC43" s="21"/>
      <c r="AD43" s="21"/>
      <c r="AE43" s="21"/>
      <c r="AF43" s="21"/>
      <c r="AG43" s="21"/>
      <c r="AH43" s="107"/>
      <c r="AI43" s="21"/>
      <c r="AJ43" s="21"/>
      <c r="AK43" s="21"/>
      <c r="AL43" s="21"/>
      <c r="AM43" s="21"/>
      <c r="AN43" s="21"/>
      <c r="AO43" s="107"/>
      <c r="AP43" s="21"/>
      <c r="AQ43" s="21"/>
      <c r="AR43" s="81"/>
    </row>
    <row r="44" spans="1:44" ht="14.25" x14ac:dyDescent="0.2">
      <c r="A44" s="28"/>
      <c r="B44" s="20"/>
      <c r="C44" s="62"/>
      <c r="D44" s="99" t="s">
        <v>48</v>
      </c>
      <c r="E44" s="137" t="s">
        <v>77</v>
      </c>
      <c r="F44" s="115">
        <v>46090</v>
      </c>
      <c r="G44" s="118"/>
      <c r="H44" s="116">
        <v>1</v>
      </c>
      <c r="I44" s="117" t="s">
        <v>64</v>
      </c>
      <c r="J44" s="117">
        <v>1</v>
      </c>
      <c r="K44" s="117">
        <v>1</v>
      </c>
      <c r="L44" s="118">
        <f t="shared" si="2"/>
        <v>1</v>
      </c>
      <c r="M44" s="138"/>
      <c r="N44" s="117"/>
      <c r="O44" s="117"/>
      <c r="P44" s="117" t="s">
        <v>92</v>
      </c>
      <c r="Q44" s="21"/>
      <c r="R44" s="21"/>
      <c r="S44" s="21"/>
      <c r="T44" s="107"/>
      <c r="U44" s="21"/>
      <c r="V44" s="21"/>
      <c r="W44" s="21"/>
      <c r="X44" s="21"/>
      <c r="Y44" s="21"/>
      <c r="Z44" s="21"/>
      <c r="AA44" s="107"/>
      <c r="AB44" s="21"/>
      <c r="AC44" s="21"/>
      <c r="AD44" s="21"/>
      <c r="AE44" s="21"/>
      <c r="AF44" s="21"/>
      <c r="AG44" s="21"/>
      <c r="AH44" s="107"/>
      <c r="AI44" s="21"/>
      <c r="AJ44" s="21"/>
      <c r="AK44" s="21"/>
      <c r="AL44" s="21"/>
      <c r="AM44" s="21"/>
      <c r="AN44" s="21"/>
      <c r="AO44" s="107"/>
      <c r="AP44" s="21"/>
      <c r="AQ44" s="21"/>
      <c r="AR44" s="81"/>
    </row>
    <row r="45" spans="1:44" ht="14.25" x14ac:dyDescent="0.2">
      <c r="A45" s="28"/>
      <c r="B45" s="20"/>
      <c r="C45" s="62"/>
      <c r="D45" s="99" t="s">
        <v>49</v>
      </c>
      <c r="E45" s="137" t="s">
        <v>50</v>
      </c>
      <c r="F45" s="115">
        <v>46090</v>
      </c>
      <c r="G45" s="118"/>
      <c r="H45" s="116">
        <v>1</v>
      </c>
      <c r="I45" s="117" t="s">
        <v>64</v>
      </c>
      <c r="J45" s="117">
        <v>1</v>
      </c>
      <c r="K45" s="117">
        <v>1</v>
      </c>
      <c r="L45" s="118">
        <f t="shared" si="2"/>
        <v>1</v>
      </c>
      <c r="M45" s="138"/>
      <c r="N45" s="117"/>
      <c r="O45" s="117"/>
      <c r="P45" s="117" t="s">
        <v>92</v>
      </c>
      <c r="Q45" s="21"/>
      <c r="R45" s="21"/>
      <c r="S45" s="21"/>
      <c r="T45" s="107"/>
      <c r="U45" s="21"/>
      <c r="V45" s="21"/>
      <c r="W45" s="21"/>
      <c r="X45" s="21"/>
      <c r="Y45" s="21"/>
      <c r="Z45" s="21"/>
      <c r="AA45" s="107"/>
      <c r="AB45" s="21"/>
      <c r="AC45" s="21"/>
      <c r="AD45" s="21"/>
      <c r="AE45" s="21"/>
      <c r="AF45" s="21"/>
      <c r="AG45" s="21"/>
      <c r="AH45" s="107"/>
      <c r="AI45" s="21"/>
      <c r="AJ45" s="21"/>
      <c r="AK45" s="90" t="s">
        <v>95</v>
      </c>
      <c r="AL45" s="21"/>
      <c r="AM45" s="21"/>
      <c r="AN45" s="21"/>
      <c r="AO45" s="107"/>
      <c r="AP45" s="21"/>
      <c r="AQ45" s="21"/>
      <c r="AR45" s="81"/>
    </row>
    <row r="46" spans="1:44" ht="14.25" x14ac:dyDescent="0.2">
      <c r="A46" s="28"/>
      <c r="B46" s="20"/>
      <c r="C46" s="62"/>
      <c r="D46" s="99" t="s">
        <v>51</v>
      </c>
      <c r="E46" s="137" t="s">
        <v>52</v>
      </c>
      <c r="F46" s="115">
        <v>46090</v>
      </c>
      <c r="G46" s="118"/>
      <c r="H46" s="116">
        <v>1</v>
      </c>
      <c r="I46" s="117" t="s">
        <v>64</v>
      </c>
      <c r="J46" s="117">
        <v>1</v>
      </c>
      <c r="K46" s="117">
        <v>1</v>
      </c>
      <c r="L46" s="118">
        <f t="shared" si="2"/>
        <v>1</v>
      </c>
      <c r="M46" s="138"/>
      <c r="N46" s="117"/>
      <c r="O46" s="117"/>
      <c r="P46" s="117" t="s">
        <v>92</v>
      </c>
      <c r="Q46" s="21"/>
      <c r="R46" s="21"/>
      <c r="S46" s="21"/>
      <c r="T46" s="107"/>
      <c r="U46" s="21"/>
      <c r="V46" s="21"/>
      <c r="W46" s="21"/>
      <c r="X46" s="21"/>
      <c r="Y46" s="21"/>
      <c r="Z46" s="21"/>
      <c r="AA46" s="107"/>
      <c r="AB46" s="21"/>
      <c r="AC46" s="21"/>
      <c r="AD46" s="21"/>
      <c r="AE46" s="21"/>
      <c r="AF46" s="21"/>
      <c r="AG46" s="21"/>
      <c r="AH46" s="107"/>
      <c r="AI46" s="21"/>
      <c r="AJ46" s="21"/>
      <c r="AK46" s="90" t="s">
        <v>95</v>
      </c>
      <c r="AL46" s="21"/>
      <c r="AM46" s="21"/>
      <c r="AN46" s="21"/>
      <c r="AO46" s="107"/>
      <c r="AP46" s="21"/>
      <c r="AQ46" s="21"/>
      <c r="AR46" s="81"/>
    </row>
    <row r="47" spans="1:44" ht="15" thickBot="1" x14ac:dyDescent="0.25">
      <c r="A47" s="29"/>
      <c r="B47" s="30"/>
      <c r="C47" s="76"/>
      <c r="D47" s="100" t="s">
        <v>53</v>
      </c>
      <c r="E47" s="139" t="s">
        <v>54</v>
      </c>
      <c r="F47" s="120">
        <v>46090</v>
      </c>
      <c r="G47" s="123"/>
      <c r="H47" s="121">
        <v>1</v>
      </c>
      <c r="I47" s="122" t="s">
        <v>64</v>
      </c>
      <c r="J47" s="122">
        <v>8</v>
      </c>
      <c r="K47" s="122">
        <v>8</v>
      </c>
      <c r="L47" s="123">
        <f t="shared" si="2"/>
        <v>1</v>
      </c>
      <c r="M47" s="140"/>
      <c r="N47" s="122"/>
      <c r="O47" s="122"/>
      <c r="P47" s="122" t="s">
        <v>92</v>
      </c>
      <c r="Q47" s="31"/>
      <c r="R47" s="31"/>
      <c r="S47" s="31"/>
      <c r="T47" s="110"/>
      <c r="U47" s="31"/>
      <c r="V47" s="31"/>
      <c r="W47" s="31"/>
      <c r="X47" s="31"/>
      <c r="Y47" s="31"/>
      <c r="Z47" s="31"/>
      <c r="AA47" s="110"/>
      <c r="AB47" s="31"/>
      <c r="AC47" s="31"/>
      <c r="AD47" s="31"/>
      <c r="AE47" s="31"/>
      <c r="AF47" s="31"/>
      <c r="AG47" s="31"/>
      <c r="AH47" s="110"/>
      <c r="AI47" s="31"/>
      <c r="AJ47" s="31"/>
      <c r="AK47" s="31"/>
      <c r="AL47" s="31"/>
      <c r="AM47" s="31"/>
      <c r="AN47" s="31"/>
      <c r="AO47" s="110"/>
      <c r="AP47" s="31"/>
      <c r="AQ47" s="31"/>
      <c r="AR47" s="85"/>
    </row>
    <row r="48" spans="1:44" hidden="1" x14ac:dyDescent="0.2">
      <c r="A48" s="38"/>
      <c r="B48" s="38"/>
      <c r="C48" s="39"/>
      <c r="D48" s="40" t="s">
        <v>55</v>
      </c>
      <c r="E48" s="41" t="s">
        <v>56</v>
      </c>
      <c r="F48" s="42">
        <v>46078</v>
      </c>
      <c r="G48" s="39"/>
      <c r="H48" s="69">
        <v>1</v>
      </c>
      <c r="I48" s="39"/>
      <c r="J48" s="39"/>
      <c r="K48" s="39"/>
      <c r="L48" s="69"/>
      <c r="M48" s="167" t="s">
        <v>61</v>
      </c>
    </row>
    <row r="49" spans="1:13" hidden="1" x14ac:dyDescent="0.2">
      <c r="A49" s="20"/>
      <c r="B49" s="20"/>
      <c r="C49" s="21"/>
      <c r="D49" s="22" t="s">
        <v>57</v>
      </c>
      <c r="E49" s="23" t="s">
        <v>56</v>
      </c>
      <c r="F49" s="26">
        <v>46078</v>
      </c>
      <c r="G49" s="21"/>
      <c r="H49" s="50">
        <v>1</v>
      </c>
      <c r="I49" s="21"/>
      <c r="J49" s="21"/>
      <c r="K49" s="21"/>
      <c r="L49" s="50"/>
      <c r="M49" s="168"/>
    </row>
    <row r="50" spans="1:13" ht="13.5" hidden="1" thickBot="1" x14ac:dyDescent="0.25">
      <c r="A50" s="20"/>
      <c r="B50" s="20"/>
      <c r="C50" s="21"/>
      <c r="D50" s="22" t="s">
        <v>58</v>
      </c>
      <c r="E50" s="23" t="s">
        <v>56</v>
      </c>
      <c r="F50" s="26">
        <v>46078</v>
      </c>
      <c r="G50" s="21"/>
      <c r="H50" s="51">
        <v>1</v>
      </c>
      <c r="I50" s="21"/>
      <c r="J50" s="21"/>
      <c r="K50" s="21"/>
      <c r="L50" s="50"/>
      <c r="M50" s="168"/>
    </row>
    <row r="51" spans="1:13" ht="13.5" hidden="1" customHeight="1" x14ac:dyDescent="0.2">
      <c r="A51" s="20"/>
      <c r="B51" s="20"/>
      <c r="C51" s="21"/>
      <c r="D51" s="22"/>
      <c r="E51" s="23"/>
      <c r="F51" s="26"/>
      <c r="G51" s="21"/>
      <c r="H51" s="39"/>
      <c r="I51" s="21"/>
      <c r="J51" s="21"/>
      <c r="K51" s="21"/>
      <c r="L51" s="50"/>
      <c r="M51" s="168"/>
    </row>
    <row r="52" spans="1:13" ht="13.5" hidden="1" customHeight="1" x14ac:dyDescent="0.2">
      <c r="A52" s="20"/>
      <c r="B52" s="20"/>
      <c r="C52" s="21"/>
      <c r="D52" s="22"/>
      <c r="E52" s="23"/>
      <c r="F52" s="26"/>
      <c r="G52" s="21"/>
      <c r="H52" s="21"/>
      <c r="I52" s="21"/>
      <c r="J52" s="21"/>
      <c r="K52" s="21"/>
      <c r="L52" s="50"/>
      <c r="M52" s="168"/>
    </row>
    <row r="53" spans="1:13" ht="13.5" hidden="1" customHeight="1" x14ac:dyDescent="0.2">
      <c r="A53" s="20"/>
      <c r="B53" s="20"/>
      <c r="C53" s="32"/>
      <c r="D53" s="22"/>
      <c r="E53" s="33"/>
      <c r="F53" s="25"/>
      <c r="G53" s="21"/>
      <c r="H53" s="21"/>
      <c r="I53" s="21"/>
      <c r="J53" s="21"/>
      <c r="K53" s="21"/>
      <c r="L53" s="50"/>
      <c r="M53" s="168"/>
    </row>
    <row r="54" spans="1:13" hidden="1" x14ac:dyDescent="0.2">
      <c r="A54" s="20"/>
      <c r="B54" s="20"/>
      <c r="C54" s="32"/>
      <c r="D54" s="166" t="s">
        <v>35</v>
      </c>
      <c r="E54" s="166"/>
      <c r="F54" s="25"/>
      <c r="G54" s="21"/>
      <c r="H54" s="21"/>
      <c r="I54" s="21"/>
      <c r="J54" s="21"/>
      <c r="K54" s="21"/>
      <c r="L54" s="50"/>
      <c r="M54" s="168"/>
    </row>
    <row r="55" spans="1:13" ht="12.75" hidden="1" customHeight="1" x14ac:dyDescent="0.2">
      <c r="A55" s="20"/>
      <c r="B55" s="20"/>
      <c r="C55" s="21"/>
      <c r="D55" s="20"/>
      <c r="E55" s="21"/>
      <c r="F55" s="25"/>
      <c r="G55" s="21"/>
      <c r="H55" s="21"/>
      <c r="I55" s="21"/>
      <c r="J55" s="21"/>
      <c r="K55" s="21"/>
      <c r="L55" s="50"/>
      <c r="M55" s="168"/>
    </row>
    <row r="56" spans="1:13" hidden="1" x14ac:dyDescent="0.2">
      <c r="A56" s="27"/>
      <c r="B56" s="34"/>
      <c r="C56" s="34"/>
      <c r="D56" s="22" t="s">
        <v>59</v>
      </c>
      <c r="E56" s="23" t="s">
        <v>56</v>
      </c>
      <c r="F56" s="26">
        <v>46111</v>
      </c>
      <c r="G56" s="35"/>
      <c r="H56" s="21"/>
      <c r="I56" s="35"/>
      <c r="J56" s="35"/>
      <c r="K56" s="35"/>
      <c r="L56" s="70"/>
      <c r="M56" s="168"/>
    </row>
    <row r="57" spans="1:13" hidden="1" x14ac:dyDescent="0.2">
      <c r="A57" s="27"/>
      <c r="B57" s="34"/>
      <c r="C57" s="34"/>
      <c r="D57" s="34"/>
      <c r="E57" s="36"/>
      <c r="F57" s="26"/>
      <c r="G57" s="35"/>
      <c r="H57" s="21"/>
      <c r="I57" s="35"/>
      <c r="J57" s="35"/>
      <c r="K57" s="35"/>
      <c r="L57" s="70"/>
      <c r="M57" s="37"/>
    </row>
    <row r="58" spans="1:13" hidden="1" x14ac:dyDescent="0.2">
      <c r="A58" s="20"/>
      <c r="B58" s="20"/>
      <c r="C58" s="21"/>
      <c r="D58" s="20"/>
      <c r="E58" s="21"/>
      <c r="F58" s="25"/>
      <c r="G58" s="21"/>
      <c r="H58" s="21"/>
      <c r="I58" s="21"/>
      <c r="J58" s="21"/>
      <c r="K58" s="21"/>
      <c r="L58" s="50"/>
      <c r="M58" s="37"/>
    </row>
    <row r="59" spans="1:13" hidden="1" x14ac:dyDescent="0.2">
      <c r="A59" s="20"/>
      <c r="B59" s="20"/>
      <c r="C59" s="32"/>
      <c r="D59" s="166" t="s">
        <v>32</v>
      </c>
      <c r="E59" s="166"/>
      <c r="F59" s="25"/>
      <c r="G59" s="21"/>
      <c r="H59" s="35"/>
      <c r="I59" s="21"/>
      <c r="J59" s="21"/>
      <c r="K59" s="21"/>
      <c r="L59" s="50"/>
      <c r="M59" s="37"/>
    </row>
    <row r="60" spans="1:13" hidden="1" x14ac:dyDescent="0.2">
      <c r="C60" s="11"/>
      <c r="D60" s="16"/>
      <c r="E60" s="19"/>
      <c r="H60" s="35"/>
    </row>
    <row r="61" spans="1:13" hidden="1" x14ac:dyDescent="0.2">
      <c r="C61" s="11"/>
      <c r="H61" s="21"/>
    </row>
    <row r="62" spans="1:13" hidden="1" x14ac:dyDescent="0.2">
      <c r="H62" s="21"/>
    </row>
    <row r="63" spans="1:13" ht="13.5" hidden="1" thickBot="1" x14ac:dyDescent="0.25">
      <c r="D63" s="172" t="s">
        <v>23</v>
      </c>
      <c r="E63" s="173"/>
    </row>
  </sheetData>
  <autoFilter ref="A3:M63" xr:uid="{093B0862-BE0A-43B3-B0EF-9D0DED56F05C}"/>
  <mergeCells count="21">
    <mergeCell ref="D63:E63"/>
    <mergeCell ref="D12:E12"/>
    <mergeCell ref="D19:E19"/>
    <mergeCell ref="D15:E15"/>
    <mergeCell ref="D9:E9"/>
    <mergeCell ref="D54:E54"/>
    <mergeCell ref="D59:E59"/>
    <mergeCell ref="E21:E29"/>
    <mergeCell ref="D21:D29"/>
    <mergeCell ref="E30:E36"/>
    <mergeCell ref="D6:E6"/>
    <mergeCell ref="M48:M56"/>
    <mergeCell ref="H21:H29"/>
    <mergeCell ref="G21:G29"/>
    <mergeCell ref="F21:F29"/>
    <mergeCell ref="F30:F36"/>
    <mergeCell ref="AM21:AN36"/>
    <mergeCell ref="AP21:AR36"/>
    <mergeCell ref="G30:G36"/>
    <mergeCell ref="H30:H36"/>
    <mergeCell ref="D30:D36"/>
  </mergeCells>
  <phoneticPr fontId="2" type="noConversion"/>
  <printOptions gridLines="1"/>
  <pageMargins left="0.25" right="0.25" top="0.75" bottom="0.75" header="0.3" footer="0.3"/>
  <pageSetup paperSize="3" scale="63" fitToHeight="8" orientation="landscape" r:id="rId1"/>
  <headerFooter>
    <oddHeader>&amp;L&amp;G
&amp;6Revision&amp;10         0
&amp;6Doc. ID&amp;10         MF01003433
&amp;6Project ID&amp;10        P5115&amp;R&amp;32
&amp;10&amp;P/&amp;N
&amp;D</oddHeader>
    <oddFooter xml:space="preserve">&amp;L&amp;6Prepared by&amp;10
Pierre Borduas
&amp;6Reason for Issue&amp;10
Certified for Fabrication &amp; Construction
&amp;4
SEMasterGLB-00005 rev 2 / 17 Sep 2010&amp;R&amp;6Checked by&amp;10
Ron Reed
&amp;6Approved by&amp;10
Matt Waters
&amp;4
</oddFooter>
    <firstHeader xml:space="preserve">&amp;L&amp;G
&amp;6Revision&amp;10         0
&amp;6Doc. ID&amp;10          MF00260702
&amp;6Project ID&amp;10        170029       &amp;R&amp;32
&amp;10&amp;P/&amp;N
&amp;D
</firstHeader>
    <firstFooter xml:space="preserve">&amp;L&amp;6Prepared by&amp;10
Scott Mathews
&amp;6Reason for Issue&amp;10
Certified for Fabrication &amp; Construction
&amp;4
SEMasterGLB-00005 rev 2 / 17 Sep 2010&amp;R&amp;6Checked by&amp;10
&amp;8Matt Waters&amp;10
&amp;6Approved by&amp;10
&amp;8Matt Waters&amp;10
&amp;4
</firstFoot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82E9B-5A0E-4354-AD55-0FC7447F5D75}">
  <dimension ref="A1:D26"/>
  <sheetViews>
    <sheetView workbookViewId="0">
      <selection activeCell="C31" sqref="C31"/>
    </sheetView>
  </sheetViews>
  <sheetFormatPr defaultRowHeight="12.75" x14ac:dyDescent="0.2"/>
  <cols>
    <col min="3" max="3" width="12.5703125" bestFit="1" customWidth="1"/>
    <col min="4" max="4" width="16.140625" customWidth="1"/>
  </cols>
  <sheetData>
    <row r="1" spans="1:4" ht="13.5" thickBot="1" x14ac:dyDescent="0.25"/>
    <row r="2" spans="1:4" x14ac:dyDescent="0.2">
      <c r="A2" s="178" t="s">
        <v>102</v>
      </c>
      <c r="B2" s="78" t="s">
        <v>103</v>
      </c>
      <c r="C2" s="78" t="s">
        <v>104</v>
      </c>
      <c r="D2" s="79" t="s">
        <v>105</v>
      </c>
    </row>
    <row r="3" spans="1:4" x14ac:dyDescent="0.2">
      <c r="A3" s="179" t="s">
        <v>106</v>
      </c>
      <c r="B3" s="21" t="s">
        <v>129</v>
      </c>
      <c r="C3" s="21" t="s">
        <v>132</v>
      </c>
      <c r="D3" s="81" t="s">
        <v>133</v>
      </c>
    </row>
    <row r="4" spans="1:4" x14ac:dyDescent="0.2">
      <c r="A4" s="179" t="s">
        <v>107</v>
      </c>
      <c r="B4" s="21" t="s">
        <v>129</v>
      </c>
      <c r="C4" s="21" t="s">
        <v>132</v>
      </c>
      <c r="D4" s="81" t="s">
        <v>133</v>
      </c>
    </row>
    <row r="5" spans="1:4" x14ac:dyDescent="0.2">
      <c r="A5" s="179" t="s">
        <v>108</v>
      </c>
      <c r="B5" s="21" t="s">
        <v>129</v>
      </c>
      <c r="C5" s="21" t="s">
        <v>132</v>
      </c>
      <c r="D5" s="81" t="s">
        <v>133</v>
      </c>
    </row>
    <row r="6" spans="1:4" x14ac:dyDescent="0.2">
      <c r="A6" s="179" t="s">
        <v>109</v>
      </c>
      <c r="B6" s="21" t="s">
        <v>129</v>
      </c>
      <c r="C6" s="21" t="s">
        <v>132</v>
      </c>
      <c r="D6" s="81" t="s">
        <v>133</v>
      </c>
    </row>
    <row r="7" spans="1:4" x14ac:dyDescent="0.2">
      <c r="A7" s="179" t="s">
        <v>110</v>
      </c>
      <c r="B7" s="21" t="s">
        <v>129</v>
      </c>
      <c r="C7" s="21" t="s">
        <v>132</v>
      </c>
      <c r="D7" s="81" t="s">
        <v>133</v>
      </c>
    </row>
    <row r="8" spans="1:4" x14ac:dyDescent="0.2">
      <c r="A8" s="179" t="s">
        <v>111</v>
      </c>
      <c r="B8" s="21" t="s">
        <v>129</v>
      </c>
      <c r="C8" s="21" t="s">
        <v>132</v>
      </c>
      <c r="D8" s="81" t="s">
        <v>133</v>
      </c>
    </row>
    <row r="9" spans="1:4" x14ac:dyDescent="0.2">
      <c r="A9" s="179" t="s">
        <v>112</v>
      </c>
      <c r="B9" s="21" t="s">
        <v>131</v>
      </c>
      <c r="C9" s="21" t="s">
        <v>132</v>
      </c>
      <c r="D9" s="81" t="s">
        <v>133</v>
      </c>
    </row>
    <row r="10" spans="1:4" x14ac:dyDescent="0.2">
      <c r="A10" s="179" t="s">
        <v>130</v>
      </c>
      <c r="B10" s="21" t="s">
        <v>131</v>
      </c>
      <c r="C10" s="21" t="s">
        <v>132</v>
      </c>
      <c r="D10" s="81" t="s">
        <v>133</v>
      </c>
    </row>
    <row r="11" spans="1:4" x14ac:dyDescent="0.2">
      <c r="A11" s="179" t="s">
        <v>113</v>
      </c>
      <c r="B11" s="21" t="s">
        <v>131</v>
      </c>
      <c r="C11" s="21" t="s">
        <v>132</v>
      </c>
      <c r="D11" s="81" t="s">
        <v>133</v>
      </c>
    </row>
    <row r="12" spans="1:4" x14ac:dyDescent="0.2">
      <c r="A12" s="179" t="s">
        <v>114</v>
      </c>
      <c r="B12" s="21" t="s">
        <v>131</v>
      </c>
      <c r="C12" s="21" t="s">
        <v>132</v>
      </c>
      <c r="D12" s="81" t="s">
        <v>133</v>
      </c>
    </row>
    <row r="13" spans="1:4" x14ac:dyDescent="0.2">
      <c r="A13" s="179" t="s">
        <v>115</v>
      </c>
      <c r="B13" s="21" t="s">
        <v>131</v>
      </c>
      <c r="C13" s="21" t="s">
        <v>132</v>
      </c>
      <c r="D13" s="81" t="s">
        <v>133</v>
      </c>
    </row>
    <row r="14" spans="1:4" x14ac:dyDescent="0.2">
      <c r="A14" s="179" t="s">
        <v>116</v>
      </c>
      <c r="B14" s="21" t="s">
        <v>131</v>
      </c>
      <c r="C14" s="21" t="s">
        <v>132</v>
      </c>
      <c r="D14" s="81" t="s">
        <v>133</v>
      </c>
    </row>
    <row r="15" spans="1:4" x14ac:dyDescent="0.2">
      <c r="A15" s="179" t="s">
        <v>117</v>
      </c>
      <c r="B15" s="21" t="s">
        <v>129</v>
      </c>
      <c r="C15" s="21" t="s">
        <v>132</v>
      </c>
      <c r="D15" s="81" t="s">
        <v>133</v>
      </c>
    </row>
    <row r="16" spans="1:4" x14ac:dyDescent="0.2">
      <c r="A16" s="179" t="s">
        <v>118</v>
      </c>
      <c r="B16" s="21" t="s">
        <v>129</v>
      </c>
      <c r="C16" s="21" t="s">
        <v>132</v>
      </c>
      <c r="D16" s="81" t="s">
        <v>133</v>
      </c>
    </row>
    <row r="17" spans="1:4" x14ac:dyDescent="0.2">
      <c r="A17" s="179" t="s">
        <v>119</v>
      </c>
      <c r="B17" s="21" t="s">
        <v>129</v>
      </c>
      <c r="C17" s="21" t="s">
        <v>132</v>
      </c>
      <c r="D17" s="81" t="s">
        <v>133</v>
      </c>
    </row>
    <row r="18" spans="1:4" x14ac:dyDescent="0.2">
      <c r="A18" s="179" t="s">
        <v>120</v>
      </c>
      <c r="B18" s="21" t="s">
        <v>129</v>
      </c>
      <c r="C18" s="21" t="s">
        <v>132</v>
      </c>
      <c r="D18" s="81" t="s">
        <v>133</v>
      </c>
    </row>
    <row r="19" spans="1:4" x14ac:dyDescent="0.2">
      <c r="A19" s="179" t="s">
        <v>122</v>
      </c>
      <c r="B19" s="21" t="s">
        <v>129</v>
      </c>
      <c r="C19" s="21" t="s">
        <v>132</v>
      </c>
      <c r="D19" s="81" t="s">
        <v>133</v>
      </c>
    </row>
    <row r="20" spans="1:4" x14ac:dyDescent="0.2">
      <c r="A20" s="179" t="s">
        <v>121</v>
      </c>
      <c r="B20" s="21" t="s">
        <v>131</v>
      </c>
      <c r="C20" s="21" t="s">
        <v>132</v>
      </c>
      <c r="D20" s="81" t="s">
        <v>133</v>
      </c>
    </row>
    <row r="21" spans="1:4" x14ac:dyDescent="0.2">
      <c r="A21" s="179" t="s">
        <v>123</v>
      </c>
      <c r="B21" s="21" t="s">
        <v>131</v>
      </c>
      <c r="C21" s="21" t="s">
        <v>132</v>
      </c>
      <c r="D21" s="81" t="s">
        <v>133</v>
      </c>
    </row>
    <row r="22" spans="1:4" x14ac:dyDescent="0.2">
      <c r="A22" s="179" t="s">
        <v>124</v>
      </c>
      <c r="B22" s="21" t="s">
        <v>131</v>
      </c>
      <c r="C22" s="21" t="s">
        <v>132</v>
      </c>
      <c r="D22" s="81" t="s">
        <v>133</v>
      </c>
    </row>
    <row r="23" spans="1:4" x14ac:dyDescent="0.2">
      <c r="A23" s="179" t="s">
        <v>125</v>
      </c>
      <c r="B23" s="21" t="s">
        <v>131</v>
      </c>
      <c r="C23" s="21" t="s">
        <v>132</v>
      </c>
      <c r="D23" s="81" t="s">
        <v>133</v>
      </c>
    </row>
    <row r="24" spans="1:4" x14ac:dyDescent="0.2">
      <c r="A24" s="179" t="s">
        <v>126</v>
      </c>
      <c r="B24" s="21" t="s">
        <v>131</v>
      </c>
      <c r="C24" s="21" t="s">
        <v>132</v>
      </c>
      <c r="D24" s="81" t="s">
        <v>133</v>
      </c>
    </row>
    <row r="25" spans="1:4" x14ac:dyDescent="0.2">
      <c r="A25" s="179" t="s">
        <v>127</v>
      </c>
      <c r="B25" s="21" t="s">
        <v>129</v>
      </c>
      <c r="C25" s="21" t="s">
        <v>132</v>
      </c>
      <c r="D25" s="81" t="s">
        <v>133</v>
      </c>
    </row>
    <row r="26" spans="1:4" ht="13.5" thickBot="1" x14ac:dyDescent="0.25">
      <c r="A26" s="180" t="s">
        <v>128</v>
      </c>
      <c r="B26" s="31" t="s">
        <v>129</v>
      </c>
      <c r="C26" s="31" t="s">
        <v>132</v>
      </c>
      <c r="D26" s="81" t="s">
        <v>133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22"/>
  <sheetViews>
    <sheetView workbookViewId="0">
      <selection activeCell="B4" sqref="B4"/>
    </sheetView>
  </sheetViews>
  <sheetFormatPr defaultRowHeight="12.75" x14ac:dyDescent="0.2"/>
  <cols>
    <col min="1" max="1" width="21.42578125" bestFit="1" customWidth="1"/>
    <col min="2" max="2" width="10.140625" bestFit="1" customWidth="1"/>
  </cols>
  <sheetData>
    <row r="1" spans="1:2" x14ac:dyDescent="0.2">
      <c r="A1" s="1" t="s">
        <v>0</v>
      </c>
      <c r="B1" s="3" t="s">
        <v>24</v>
      </c>
    </row>
    <row r="2" spans="1:2" x14ac:dyDescent="0.2">
      <c r="A2" s="1" t="s">
        <v>1</v>
      </c>
      <c r="B2" s="3" t="s">
        <v>25</v>
      </c>
    </row>
    <row r="3" spans="1:2" x14ac:dyDescent="0.2">
      <c r="A3" s="1" t="s">
        <v>2</v>
      </c>
      <c r="B3" s="3" t="s">
        <v>26</v>
      </c>
    </row>
    <row r="4" spans="1:2" x14ac:dyDescent="0.2">
      <c r="A4" s="1" t="s">
        <v>3</v>
      </c>
      <c r="B4" s="3">
        <v>0</v>
      </c>
    </row>
    <row r="5" spans="1:2" x14ac:dyDescent="0.2">
      <c r="A5" s="1" t="s">
        <v>4</v>
      </c>
      <c r="B5" s="15">
        <v>43630</v>
      </c>
    </row>
    <row r="6" spans="1:2" x14ac:dyDescent="0.2">
      <c r="A6" s="1" t="s">
        <v>9</v>
      </c>
      <c r="B6" s="3" t="s">
        <v>22</v>
      </c>
    </row>
    <row r="7" spans="1:2" x14ac:dyDescent="0.2">
      <c r="A7" s="1" t="s">
        <v>5</v>
      </c>
      <c r="B7" s="3" t="str">
        <f>"Preliminary for Comments"</f>
        <v>Preliminary for Comments</v>
      </c>
    </row>
    <row r="8" spans="1:2" x14ac:dyDescent="0.2">
      <c r="A8" s="1" t="s">
        <v>6</v>
      </c>
      <c r="B8" s="3" t="str">
        <f>""</f>
        <v/>
      </c>
    </row>
    <row r="9" spans="1:2" x14ac:dyDescent="0.2">
      <c r="A9" s="1" t="s">
        <v>7</v>
      </c>
      <c r="B9" s="3" t="str">
        <f>"cltkallqto"</f>
        <v>cltkallqto</v>
      </c>
    </row>
    <row r="10" spans="1:2" x14ac:dyDescent="0.2">
      <c r="A10" s="1" t="s">
        <v>8</v>
      </c>
      <c r="B10" s="3" t="str">
        <f>"Internal"</f>
        <v>Internal</v>
      </c>
    </row>
    <row r="11" spans="1:2" x14ac:dyDescent="0.2">
      <c r="A11" s="1" t="s">
        <v>10</v>
      </c>
      <c r="B11" s="15">
        <v>43630</v>
      </c>
    </row>
    <row r="12" spans="1:2" x14ac:dyDescent="0.2">
      <c r="A12" s="1" t="s">
        <v>11</v>
      </c>
      <c r="B12" s="3" t="str">
        <f>""</f>
        <v/>
      </c>
    </row>
    <row r="13" spans="1:2" x14ac:dyDescent="0.2">
      <c r="A13" s="1" t="s">
        <v>12</v>
      </c>
      <c r="B13" s="3">
        <v>170025</v>
      </c>
    </row>
    <row r="14" spans="1:2" x14ac:dyDescent="0.2">
      <c r="A14" s="1" t="s">
        <v>13</v>
      </c>
      <c r="B14" s="3" t="str">
        <f>"          "</f>
        <v xml:space="preserve">          </v>
      </c>
    </row>
    <row r="22" spans="1:1" ht="15" x14ac:dyDescent="0.2">
      <c r="A22" s="2"/>
    </row>
  </sheetData>
  <phoneticPr fontId="0" type="noConversion"/>
  <pageMargins left="0.74803149606299213" right="0.74803149606299213" top="0.98425196850393704" bottom="0.98425196850393704" header="0.51181102362204722" footer="0.51181102362204722"/>
  <pageSetup paperSize="9" orientation="portrait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Sheet 1</vt:lpstr>
      <vt:lpstr>Nozzles</vt:lpstr>
      <vt:lpstr>TransferValues</vt:lpstr>
      <vt:lpstr>APPROVED_BY</vt:lpstr>
      <vt:lpstr>CHECKED_BY</vt:lpstr>
      <vt:lpstr>Confidentiality</vt:lpstr>
      <vt:lpstr>CREATED_KVAERNERFORMAT</vt:lpstr>
      <vt:lpstr>DOC_ID</vt:lpstr>
      <vt:lpstr>EXT_DOC_ID</vt:lpstr>
      <vt:lpstr>ISSUE</vt:lpstr>
      <vt:lpstr>PREP_BY</vt:lpstr>
      <vt:lpstr>'Sheet 1'!Print_Area</vt:lpstr>
      <vt:lpstr>'Sheet 1'!Print_Titles</vt:lpstr>
      <vt:lpstr>PROJ_NAME</vt:lpstr>
      <vt:lpstr>PROJECT</vt:lpstr>
      <vt:lpstr>REV_DATE</vt:lpstr>
      <vt:lpstr>REVISION</vt:lpstr>
      <vt:lpstr>SEARCH_KEY</vt:lpstr>
      <vt:lpstr>SubjectText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Tord Kallqvist</dc:creator>
  <cp:lastModifiedBy>Chris Fletcher</cp:lastModifiedBy>
  <cp:lastPrinted>2026-02-12T16:24:34Z</cp:lastPrinted>
  <dcterms:created xsi:type="dcterms:W3CDTF">2007-01-25T21:44:56Z</dcterms:created>
  <dcterms:modified xsi:type="dcterms:W3CDTF">2026-02-12T17:43:15Z</dcterms:modified>
</cp:coreProperties>
</file>