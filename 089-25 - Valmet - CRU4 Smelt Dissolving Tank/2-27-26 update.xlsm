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OBS\2025\089-25 - Valmet - CRU4 Smelt Dissolving Tank\"/>
    </mc:Choice>
  </mc:AlternateContent>
  <xr:revisionPtr revIDLastSave="0" documentId="13_ncr:1_{EB3685E5-BA38-452D-BC47-E9E86B6C33DD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With MockUp" sheetId="1" state="hidden" r:id="rId1"/>
    <sheet name="WO MockUp" sheetId="6" r:id="rId2"/>
    <sheet name="Nozzles" sheetId="5" r:id="rId3"/>
    <sheet name="TransferValues" sheetId="4" state="hidden" r:id="rId4"/>
  </sheets>
  <definedNames>
    <definedName name="_xlnm._FilterDatabase" localSheetId="0" hidden="1">'With MockUp'!$A$3:$M$63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'With MockUp'!$A$1:$AR$64</definedName>
    <definedName name="_xlnm.Print_Titles" localSheetId="0">'With MockUp'!$1:$3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7" i="6" l="1"/>
  <c r="L28" i="6" l="1"/>
  <c r="L26" i="6"/>
  <c r="H43" i="6"/>
  <c r="H42" i="6"/>
  <c r="H33" i="6"/>
  <c r="H21" i="6"/>
  <c r="L43" i="6"/>
  <c r="L42" i="6"/>
  <c r="O39" i="6"/>
  <c r="O69" i="6" l="1"/>
  <c r="N69" i="6"/>
  <c r="L37" i="6"/>
  <c r="L29" i="6"/>
  <c r="L52" i="6"/>
  <c r="L51" i="6"/>
  <c r="L50" i="6"/>
  <c r="L49" i="6"/>
  <c r="L48" i="6"/>
  <c r="L47" i="6"/>
  <c r="L46" i="6"/>
  <c r="L45" i="6"/>
  <c r="L44" i="6"/>
  <c r="L36" i="6"/>
  <c r="L35" i="6"/>
  <c r="L34" i="6"/>
  <c r="L33" i="6"/>
  <c r="L24" i="6"/>
  <c r="L22" i="6"/>
  <c r="L21" i="6"/>
  <c r="D2" i="6"/>
  <c r="D1" i="6"/>
  <c r="L28" i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  <c r="L69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EC18DFA-C6A9-43A2-8155-5A259FA1BE76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E4A87231-AC9F-4B9E-92A9-B536F119C2EA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FD937BB7-5DFC-450E-B8CB-B42FE30F9486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9BDABD8A-8F8C-4DDE-8C18-CEDA48E8F051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CDCFEA5E-981D-4E4E-BD75-F4FF4C4DF0C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A6FAD08-106E-4564-A61B-0E9A40AC8D45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3DD2CFD3-49D8-4643-9919-D69E95E44EBC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<sst xmlns="http://schemas.openxmlformats.org/spreadsheetml/2006/main" count="490" uniqueCount="151">
  <si>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</si>
  <si>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</si>
  <si>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</si>
  <si>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</si>
  <si>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</si>
  <si>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</si>
  <si>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</si>
  <si>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</si>
  <si>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</si>
  <si>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</si>
  <si>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</si>
  <si>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</si>
  <si>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</si>
  <si>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</si>
  <si>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</si>
  <si>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</si>
  <si>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</si>
  <si>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</si>
  <si>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</si>
  <si>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</si>
  <si>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</si>
  <si>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</si>
  <si>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</si>
  <si>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</si>
  <si>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</si>
  <si>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</si>
  <si>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</si>
  <si>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</si>
  <si>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</si>
  <si>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</si>
  <si>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</si>
  <si>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</si>
  <si>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</si>
  <si>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</si>
  <si>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</si>
  <si>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</si>
  <si>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</si>
  <si>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</si>
  <si>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</si>
  <si>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</si>
  <si>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</si>
  <si>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</si>
  <si>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</si>
  <si>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</si>
  <si>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</si>
  <si>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</si>
  <si>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</si>
  <si>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</si>
  <si>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</si>
  <si>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</si>
  <si>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</si>
  <si>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</si>
  <si>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</si>
  <si>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</si>
  <si>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</si>
  <si>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</si>
  <si>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</si>
  <si>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</si>
  <si>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</si>
  <si>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</si>
  <si>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</si>
  <si>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</si>
  <si>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</si>
  <si>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</si>
  <si>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</si>
  <si>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</si>
  <si>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</si>
  <si>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</si>
  <si>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</si>
  <si>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</si>
  <si>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</si>
  <si>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</si>
  <si>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</si>
  <si>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</si>
  <si>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</si>
  <si>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</si>
  <si>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</si>
  <si>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</si>
  <si>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</si>
  <si>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</si>
  <si>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</si>
  <si>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</si>
  <si>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</si>
  <si>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</si>
  <si>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</si>
  <si>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</si>
  <si>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</si>
  <si>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</si>
  <si>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</si>
  <si>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</si>
  <si>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</si>
  <si>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</si>
  <si>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</si>
  <si>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</si>
  <si>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</si>
  <si>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</si>
  <si>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</si>
  <si>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</si>
  <si>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</si>
  <si>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</si>
  <si>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</si>
  <si>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</si>
  <si>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</si>
  <si>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</si>
  <si>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</si>
  <si>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</si>
  <si>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</si>
  <si>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</si>
  <si>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</si>
  <si>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</si>
  <si>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</si>
  <si>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</si>
  <si>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</si>
  <si>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</si>
  <si>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</si>
  <si>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</si>
  <si>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</si>
  <si>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</si>
  <si>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</si>
  <si>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</si>
  <si>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</si>
  <si>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</si>
  <si>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</si>
  <si>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</si>
  <si>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</si>
  <si>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</si>
  <si>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</si>
  <si>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</si>
  <si>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</si>
  <si>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</si>
  <si>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</si>
  <si>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NOT INSTALLED</t>
  </si>
  <si>
    <t>MOCK UP</t>
  </si>
  <si>
    <t>ARRIVE LATE SATURDAY
UNLOAD FIRST THING MONDAY</t>
  </si>
  <si>
    <t>ARRIVE EARLY MONDAY</t>
  </si>
  <si>
    <t>SHIP</t>
  </si>
  <si>
    <t>CLEAN AND GET READY FOR SHIP</t>
  </si>
  <si>
    <t>Wear Plates</t>
  </si>
  <si>
    <t>Temp Roof Supports</t>
  </si>
  <si>
    <t>STEP DOWN HALF DISSOLVING TANK</t>
  </si>
  <si>
    <t>SULZER RING HALF DISSOLVING TANK (with sulzer rings)</t>
  </si>
  <si>
    <t>Totals</t>
  </si>
  <si>
    <t>Anchor Gussets</t>
  </si>
  <si>
    <t>N8</t>
  </si>
  <si>
    <t>see nozzle schedule</t>
  </si>
  <si>
    <t>Complete</t>
  </si>
  <si>
    <t>completely fit together welding started</t>
  </si>
  <si>
    <t>Holes Cut in Shell Fitting Up</t>
  </si>
  <si>
    <t>Fully Installed</t>
  </si>
  <si>
    <t>5 of 6 Fully Installed welding in process for final stiffener</t>
  </si>
  <si>
    <t>IN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</si>
</sst>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62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9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1" fillId="0" borderId="10" xfId="0" applyFont="1" applyBorder="1" applyAlignment="1">
      <alignment vertical="center"/>
    </xf>
    <xf numFmtId="0" fontId="0" fillId="0" borderId="22" xfId="0" applyBorder="1"/>
    <xf numFmtId="9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8" xfId="0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0" fontId="10" fillId="0" borderId="8" xfId="0" applyFont="1" applyBorder="1" applyAlignment="1">
      <alignment wrapText="1"/>
    </xf>
    <xf numFmtId="9" fontId="10" fillId="0" borderId="8" xfId="0" applyNumberFormat="1" applyFont="1" applyBorder="1" applyAlignment="1">
      <alignment wrapText="1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left" indent="1"/>
    </xf>
    <xf numFmtId="0" fontId="10" fillId="0" borderId="8" xfId="0" applyFont="1" applyBorder="1" applyAlignment="1">
      <alignment horizontal="left" inden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9" fontId="4" fillId="0" borderId="1" xfId="0" applyNumberFormat="1" applyFont="1" applyBorder="1"/>
    <xf numFmtId="0" fontId="4" fillId="0" borderId="1" xfId="0" applyFont="1" applyBorder="1" applyAlignment="1">
      <alignment horizontal="left" indent="1"/>
    </xf>
    <xf numFmtId="0" fontId="8" fillId="10" borderId="1" xfId="0" applyFont="1" applyFill="1" applyBorder="1" applyAlignment="1">
      <alignment vertical="center" textRotation="90"/>
    </xf>
    <xf numFmtId="0" fontId="9" fillId="0" borderId="1" xfId="0" applyFont="1" applyBorder="1" applyAlignment="1">
      <alignment vertical="center" textRotation="90"/>
    </xf>
    <xf numFmtId="0" fontId="0" fillId="9" borderId="1" xfId="0" applyFill="1" applyBorder="1"/>
    <xf numFmtId="0" fontId="8" fillId="0" borderId="1" xfId="0" applyFont="1" applyBorder="1" applyAlignment="1">
      <alignment vertical="center" textRotation="90"/>
    </xf>
    <xf numFmtId="9" fontId="5" fillId="4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left" vertical="center" wrapText="1" indent="1"/>
    </xf>
    <xf numFmtId="0" fontId="9" fillId="0" borderId="15" xfId="0" applyFont="1" applyBorder="1" applyAlignment="1">
      <alignment vertical="center" textRotation="90"/>
    </xf>
    <xf numFmtId="0" fontId="4" fillId="0" borderId="7" xfId="0" applyFont="1" applyBorder="1" applyAlignment="1">
      <alignment horizontal="center" vertical="center"/>
    </xf>
    <xf numFmtId="0" fontId="8" fillId="10" borderId="5" xfId="0" applyFont="1" applyFill="1" applyBorder="1" applyAlignment="1">
      <alignment vertical="center" textRotation="90"/>
    </xf>
    <xf numFmtId="0" fontId="9" fillId="0" borderId="5" xfId="0" applyFont="1" applyBorder="1" applyAlignment="1">
      <alignment vertical="center" textRotation="90"/>
    </xf>
    <xf numFmtId="0" fontId="0" fillId="9" borderId="8" xfId="0" applyFill="1" applyBorder="1"/>
    <xf numFmtId="0" fontId="8" fillId="10" borderId="8" xfId="0" applyFont="1" applyFill="1" applyBorder="1" applyAlignment="1">
      <alignment vertical="center" textRotation="90"/>
    </xf>
    <xf numFmtId="0" fontId="8" fillId="0" borderId="8" xfId="0" applyFont="1" applyBorder="1" applyAlignment="1">
      <alignment vertical="center" textRotation="90"/>
    </xf>
    <xf numFmtId="0" fontId="9" fillId="0" borderId="8" xfId="0" applyFont="1" applyBorder="1" applyAlignment="1">
      <alignment vertical="center" textRotation="90"/>
    </xf>
    <xf numFmtId="0" fontId="9" fillId="0" borderId="16" xfId="0" applyFont="1" applyBorder="1" applyAlignment="1">
      <alignment vertical="center" textRotation="90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9" fontId="0" fillId="0" borderId="10" xfId="0" applyNumberFormat="1" applyBorder="1"/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/>
    <xf numFmtId="0" fontId="0" fillId="9" borderId="9" xfId="0" applyFill="1" applyBorder="1"/>
    <xf numFmtId="0" fontId="8" fillId="10" borderId="9" xfId="0" applyFont="1" applyFill="1" applyBorder="1" applyAlignment="1">
      <alignment vertical="center" textRotation="90"/>
    </xf>
    <xf numFmtId="0" fontId="8" fillId="0" borderId="9" xfId="0" applyFont="1" applyBorder="1" applyAlignment="1">
      <alignment vertical="center" textRotation="90"/>
    </xf>
    <xf numFmtId="0" fontId="9" fillId="0" borderId="9" xfId="0" applyFont="1" applyBorder="1" applyAlignment="1">
      <alignment vertical="center" textRotation="90"/>
    </xf>
    <xf numFmtId="0" fontId="9" fillId="0" borderId="17" xfId="0" applyFont="1" applyBorder="1" applyAlignment="1">
      <alignment vertical="center" textRotation="90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9" fillId="0" borderId="14" xfId="0" applyFont="1" applyBorder="1" applyAlignment="1">
      <alignment vertical="center" textRotation="90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0" fillId="7" borderId="10" xfId="0" applyFill="1" applyBorder="1"/>
    <xf numFmtId="0" fontId="0" fillId="9" borderId="10" xfId="0" applyFill="1" applyBorder="1" applyAlignment="1">
      <alignment horizontal="center"/>
    </xf>
    <xf numFmtId="0" fontId="8" fillId="10" borderId="10" xfId="0" applyFont="1" applyFill="1" applyBorder="1" applyAlignment="1">
      <alignment vertical="center" textRotation="90"/>
    </xf>
    <xf numFmtId="0" fontId="9" fillId="0" borderId="10" xfId="0" applyFont="1" applyBorder="1" applyAlignment="1">
      <alignment vertical="center" textRotation="90"/>
    </xf>
    <xf numFmtId="0" fontId="9" fillId="0" borderId="19" xfId="0" applyFont="1" applyBorder="1" applyAlignment="1">
      <alignment vertical="center" textRotation="90"/>
    </xf>
    <xf numFmtId="9" fontId="10" fillId="13" borderId="5" xfId="0" applyNumberFormat="1" applyFont="1" applyFill="1" applyBorder="1"/>
    <xf numFmtId="9" fontId="10" fillId="13" borderId="1" xfId="0" applyNumberFormat="1" applyFont="1" applyFill="1" applyBorder="1"/>
    <xf numFmtId="9" fontId="10" fillId="13" borderId="1" xfId="0" applyNumberFormat="1" applyFont="1" applyFill="1" applyBorder="1" applyAlignment="1">
      <alignment wrapText="1"/>
    </xf>
    <xf numFmtId="0" fontId="10" fillId="13" borderId="5" xfId="0" applyFont="1" applyFill="1" applyBorder="1"/>
    <xf numFmtId="0" fontId="10" fillId="13" borderId="1" xfId="0" applyFont="1" applyFill="1" applyBorder="1"/>
    <xf numFmtId="0" fontId="10" fillId="13" borderId="10" xfId="0" applyFont="1" applyFill="1" applyBorder="1"/>
    <xf numFmtId="0" fontId="10" fillId="13" borderId="1" xfId="0" applyFont="1" applyFill="1" applyBorder="1" applyAlignment="1">
      <alignment horizontal="center" vertical="center" wrapText="1"/>
    </xf>
    <xf numFmtId="0" fontId="10" fillId="13" borderId="5" xfId="0" applyFont="1" applyFill="1" applyBorder="1" applyAlignment="1">
      <alignment horizontal="center" vertical="center" wrapText="1"/>
    </xf>
    <xf numFmtId="0" fontId="10" fillId="13" borderId="9" xfId="0" applyFont="1" applyFill="1" applyBorder="1"/>
    <xf numFmtId="0" fontId="10" fillId="13" borderId="9" xfId="0" applyFont="1" applyFill="1" applyBorder="1" applyAlignment="1">
      <alignment wrapText="1"/>
    </xf>
    <xf numFmtId="0" fontId="10" fillId="13" borderId="1" xfId="0" applyFont="1" applyFill="1" applyBorder="1" applyAlignment="1">
      <alignment wrapText="1"/>
    </xf>
    <xf numFmtId="0" fontId="10" fillId="13" borderId="10" xfId="0" applyFont="1" applyFill="1" applyBorder="1" applyAlignment="1">
      <alignment horizontal="center" vertical="center" wrapText="1"/>
    </xf>
    <xf numFmtId="0" fontId="10" fillId="13" borderId="32" xfId="0" applyFont="1" applyFill="1" applyBorder="1"/>
    <xf numFmtId="9" fontId="10" fillId="13" borderId="10" xfId="0" applyNumberFormat="1" applyFont="1" applyFill="1" applyBorder="1"/>
    <xf numFmtId="9" fontId="10" fillId="14" borderId="34" xfId="0" applyNumberFormat="1" applyFont="1" applyFill="1" applyBorder="1"/>
    <xf numFmtId="0" fontId="10" fillId="14" borderId="35" xfId="0" applyFont="1" applyFill="1" applyBorder="1" applyAlignment="1">
      <alignment horizontal="center" vertical="center" wrapText="1"/>
    </xf>
    <xf numFmtId="0" fontId="10" fillId="14" borderId="35" xfId="0" applyFont="1" applyFill="1" applyBorder="1"/>
    <xf numFmtId="0" fontId="10" fillId="14" borderId="36" xfId="0" applyFont="1" applyFill="1" applyBorder="1" applyAlignment="1">
      <alignment horizontal="right" wrapText="1"/>
    </xf>
    <xf numFmtId="0" fontId="4" fillId="14" borderId="33" xfId="0" applyFont="1" applyFill="1" applyBorder="1" applyAlignment="1">
      <alignment horizontal="center" vertical="center" wrapText="1"/>
    </xf>
    <xf numFmtId="2" fontId="0" fillId="0" borderId="1" xfId="0" applyNumberFormat="1" applyBorder="1"/>
    <xf numFmtId="0" fontId="1" fillId="5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9" fontId="10" fillId="0" borderId="5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9" fontId="10" fillId="0" borderId="10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9" fontId="10" fillId="0" borderId="9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12" borderId="9" xfId="0" applyFill="1" applyBorder="1" applyAlignment="1">
      <alignment horizontal="center" vertical="center" textRotation="90" wrapText="1"/>
    </xf>
    <xf numFmtId="0" fontId="0" fillId="12" borderId="9" xfId="0" applyFill="1" applyBorder="1" applyAlignment="1">
      <alignment horizontal="center" vertical="center" textRotation="90"/>
    </xf>
    <xf numFmtId="0" fontId="0" fillId="12" borderId="1" xfId="0" applyFill="1" applyBorder="1" applyAlignment="1">
      <alignment horizontal="center" vertical="center" textRotation="90"/>
    </xf>
    <xf numFmtId="0" fontId="0" fillId="12" borderId="8" xfId="0" applyFill="1" applyBorder="1" applyAlignment="1">
      <alignment horizontal="center" vertical="center" textRotation="90"/>
    </xf>
    <xf numFmtId="0" fontId="4" fillId="12" borderId="5" xfId="0" applyFont="1" applyFill="1" applyBorder="1" applyAlignment="1">
      <alignment horizontal="center" vertical="center" textRotation="90"/>
    </xf>
    <xf numFmtId="0" fontId="4" fillId="12" borderId="1" xfId="0" applyFont="1" applyFill="1" applyBorder="1" applyAlignment="1">
      <alignment horizontal="center" vertical="center" textRotation="90"/>
    </xf>
    <xf numFmtId="0" fontId="4" fillId="12" borderId="10" xfId="0" applyFont="1" applyFill="1" applyBorder="1" applyAlignment="1">
      <alignment horizontal="center" vertical="center" textRotation="90"/>
    </xf>
    <xf numFmtId="0" fontId="4" fillId="12" borderId="8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 textRotation="90"/>
    </xf>
    <xf numFmtId="0" fontId="8" fillId="10" borderId="28" xfId="0" applyFont="1" applyFill="1" applyBorder="1" applyAlignment="1">
      <alignment horizontal="center" vertical="center" textRotation="90"/>
    </xf>
    <xf numFmtId="0" fontId="8" fillId="10" borderId="9" xfId="0" applyFont="1" applyFill="1" applyBorder="1" applyAlignment="1">
      <alignment horizontal="center" vertical="center" textRotation="90"/>
    </xf>
    <xf numFmtId="0" fontId="9" fillId="12" borderId="10" xfId="0" applyFont="1" applyFill="1" applyBorder="1" applyAlignment="1">
      <alignment horizontal="center" vertical="center" textRotation="90"/>
    </xf>
    <xf numFmtId="0" fontId="9" fillId="12" borderId="28" xfId="0" applyFont="1" applyFill="1" applyBorder="1" applyAlignment="1">
      <alignment horizontal="center" vertical="center" textRotation="90"/>
    </xf>
    <xf numFmtId="0" fontId="9" fillId="12" borderId="9" xfId="0" applyFont="1" applyFill="1" applyBorder="1" applyAlignment="1">
      <alignment horizontal="center" vertical="center" textRotation="90"/>
    </xf>
    <xf numFmtId="0" fontId="9" fillId="12" borderId="23" xfId="0" applyFont="1" applyFill="1" applyBorder="1" applyAlignment="1">
      <alignment horizontal="center" vertical="center" textRotation="90"/>
    </xf>
    <xf numFmtId="0" fontId="9" fillId="12" borderId="25" xfId="0" applyFont="1" applyFill="1" applyBorder="1" applyAlignment="1">
      <alignment horizontal="center" vertical="center" textRotation="90"/>
    </xf>
    <xf numFmtId="0" fontId="9" fillId="12" borderId="24" xfId="0" applyFont="1" applyFill="1" applyBorder="1" applyAlignment="1">
      <alignment horizontal="center" vertical="center" textRotation="90"/>
    </xf>
    <xf numFmtId="0" fontId="9" fillId="12" borderId="26" xfId="0" applyFont="1" applyFill="1" applyBorder="1" applyAlignment="1">
      <alignment horizontal="center" vertical="center" textRotation="90"/>
    </xf>
    <xf numFmtId="0" fontId="9" fillId="12" borderId="30" xfId="0" applyFont="1" applyFill="1" applyBorder="1" applyAlignment="1">
      <alignment horizontal="center" vertical="center" textRotation="90"/>
    </xf>
    <xf numFmtId="0" fontId="9" fillId="12" borderId="3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0" fillId="11" borderId="5" xfId="0" applyFill="1" applyBorder="1" applyAlignment="1">
      <alignment horizontal="center" vertical="center" textRotation="90"/>
    </xf>
    <xf numFmtId="0" fontId="0" fillId="11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 wrapText="1"/>
    </xf>
    <xf numFmtId="0" fontId="0" fillId="9" borderId="28" xfId="0" applyFill="1" applyBorder="1" applyAlignment="1">
      <alignment horizontal="center" vertical="center" textRotation="90" wrapText="1"/>
    </xf>
    <xf numFmtId="0" fontId="0" fillId="9" borderId="9" xfId="0" applyFill="1" applyBorder="1" applyAlignment="1">
      <alignment horizontal="center" vertical="center" textRotation="90" wrapText="1"/>
    </xf>
    <xf numFmtId="0" fontId="8" fillId="10" borderId="10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46927</xdr:colOff>
      <xdr:row>0</xdr:row>
      <xdr:rowOff>0</xdr:rowOff>
    </xdr:from>
    <xdr:to>
      <xdr:col>32</xdr:col>
      <xdr:colOff>19613</xdr:colOff>
      <xdr:row>1</xdr:row>
      <xdr:rowOff>268941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22DC1D22-DB69-EFD6-9272-9ED56F5BA98B}"/>
            </a:ext>
          </a:extLst>
        </xdr:cNvPr>
        <xdr:cNvSpPr/>
      </xdr:nvSpPr>
      <xdr:spPr>
        <a:xfrm>
          <a:off x="19253809" y="0"/>
          <a:ext cx="252833" cy="560294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opLeftCell="E1" zoomScale="85" zoomScaleNormal="85" zoomScalePageLayoutView="80" workbookViewId="0">
      <pane ySplit="3" topLeftCell="A21" activePane="bottomLeft" state="frozen"/>
      <selection pane="bottomLeft" activeCell="V30" sqref="V30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98" t="s">
        <v>27</v>
      </c>
      <c r="E6" s="199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98" t="s">
        <v>31</v>
      </c>
      <c r="E9" s="199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98" t="s">
        <v>28</v>
      </c>
      <c r="E12" s="199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98" t="s">
        <v>30</v>
      </c>
      <c r="E15" s="199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98" t="s">
        <v>29</v>
      </c>
      <c r="E19" s="199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3"/>
      <c r="B20" s="154"/>
      <c r="C20" s="155"/>
      <c r="D20" s="156"/>
      <c r="E20" s="96"/>
      <c r="F20" s="58"/>
      <c r="G20" s="87"/>
      <c r="H20" s="87"/>
      <c r="I20" s="87"/>
      <c r="J20" s="97"/>
      <c r="K20" s="97"/>
      <c r="L20" s="98"/>
      <c r="M20" s="9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6"/>
      <c r="B21" s="167"/>
      <c r="C21" s="171"/>
      <c r="D21" s="240" t="s">
        <v>36</v>
      </c>
      <c r="E21" s="226" t="s">
        <v>63</v>
      </c>
      <c r="F21" s="202">
        <v>46091</v>
      </c>
      <c r="G21" s="206"/>
      <c r="H21" s="210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256" t="s">
        <v>132</v>
      </c>
      <c r="AL21" s="254" t="s">
        <v>136</v>
      </c>
      <c r="AM21" s="254"/>
      <c r="AN21" s="242" t="s">
        <v>135</v>
      </c>
      <c r="AO21" s="101"/>
      <c r="AP21" s="147"/>
      <c r="AQ21" s="248"/>
      <c r="AR21" s="249"/>
    </row>
    <row r="22" spans="1:44" ht="14.25" x14ac:dyDescent="0.2">
      <c r="A22" s="28"/>
      <c r="B22" s="20"/>
      <c r="C22" s="32"/>
      <c r="D22" s="241"/>
      <c r="E22" s="227"/>
      <c r="F22" s="203"/>
      <c r="G22" s="207"/>
      <c r="H22" s="211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257"/>
      <c r="AL22" s="255"/>
      <c r="AM22" s="255"/>
      <c r="AN22" s="243"/>
      <c r="AO22" s="102"/>
      <c r="AP22" s="139"/>
      <c r="AQ22" s="250"/>
      <c r="AR22" s="251"/>
    </row>
    <row r="23" spans="1:44" ht="14.25" x14ac:dyDescent="0.2">
      <c r="A23" s="28"/>
      <c r="B23" s="20"/>
      <c r="C23" s="32"/>
      <c r="D23" s="241"/>
      <c r="E23" s="227"/>
      <c r="F23" s="203"/>
      <c r="G23" s="207"/>
      <c r="H23" s="211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257"/>
      <c r="AL23" s="255"/>
      <c r="AM23" s="255"/>
      <c r="AN23" s="243"/>
      <c r="AO23" s="102"/>
      <c r="AP23" s="139"/>
      <c r="AQ23" s="250"/>
      <c r="AR23" s="251"/>
    </row>
    <row r="24" spans="1:44" ht="14.25" x14ac:dyDescent="0.2">
      <c r="A24" s="28"/>
      <c r="B24" s="20"/>
      <c r="C24" s="32"/>
      <c r="D24" s="241"/>
      <c r="E24" s="227"/>
      <c r="F24" s="203"/>
      <c r="G24" s="207"/>
      <c r="H24" s="211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257"/>
      <c r="AL24" s="255"/>
      <c r="AM24" s="255"/>
      <c r="AN24" s="243"/>
      <c r="AO24" s="102"/>
      <c r="AP24" s="139"/>
      <c r="AQ24" s="250"/>
      <c r="AR24" s="251"/>
    </row>
    <row r="25" spans="1:44" ht="14.25" x14ac:dyDescent="0.2">
      <c r="A25" s="28"/>
      <c r="B25" s="20"/>
      <c r="C25" s="32"/>
      <c r="D25" s="241"/>
      <c r="E25" s="227"/>
      <c r="F25" s="203"/>
      <c r="G25" s="207"/>
      <c r="H25" s="211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257"/>
      <c r="AL25" s="255"/>
      <c r="AM25" s="255"/>
      <c r="AN25" s="243"/>
      <c r="AO25" s="102"/>
      <c r="AP25" s="139"/>
      <c r="AQ25" s="250"/>
      <c r="AR25" s="251"/>
    </row>
    <row r="26" spans="1:44" ht="14.25" x14ac:dyDescent="0.2">
      <c r="A26" s="28"/>
      <c r="B26" s="20"/>
      <c r="C26" s="32"/>
      <c r="D26" s="241"/>
      <c r="E26" s="227"/>
      <c r="F26" s="203"/>
      <c r="G26" s="207"/>
      <c r="H26" s="211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257"/>
      <c r="AL26" s="255"/>
      <c r="AM26" s="255"/>
      <c r="AN26" s="243"/>
      <c r="AO26" s="102"/>
      <c r="AP26" s="139"/>
      <c r="AQ26" s="250"/>
      <c r="AR26" s="251"/>
    </row>
    <row r="27" spans="1:44" ht="14.25" x14ac:dyDescent="0.2">
      <c r="A27" s="28"/>
      <c r="B27" s="20"/>
      <c r="C27" s="32"/>
      <c r="D27" s="241"/>
      <c r="E27" s="227"/>
      <c r="F27" s="203"/>
      <c r="G27" s="207"/>
      <c r="H27" s="211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257"/>
      <c r="AL27" s="255"/>
      <c r="AM27" s="255"/>
      <c r="AN27" s="243"/>
      <c r="AO27" s="102"/>
      <c r="AP27" s="139"/>
      <c r="AQ27" s="250"/>
      <c r="AR27" s="251"/>
    </row>
    <row r="28" spans="1:44" ht="14.25" x14ac:dyDescent="0.2">
      <c r="A28" s="28"/>
      <c r="B28" s="20"/>
      <c r="C28" s="32"/>
      <c r="D28" s="241"/>
      <c r="E28" s="227"/>
      <c r="F28" s="203"/>
      <c r="G28" s="207"/>
      <c r="H28" s="211"/>
      <c r="I28" s="112" t="s">
        <v>89</v>
      </c>
      <c r="J28" s="112">
        <v>13</v>
      </c>
      <c r="K28" s="112">
        <v>0</v>
      </c>
      <c r="L28" s="113">
        <f t="shared" ref="L28" si="1">K28/J28</f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257"/>
      <c r="AL28" s="255"/>
      <c r="AM28" s="255"/>
      <c r="AN28" s="243"/>
      <c r="AO28" s="102"/>
      <c r="AP28" s="139"/>
      <c r="AQ28" s="250"/>
      <c r="AR28" s="251"/>
    </row>
    <row r="29" spans="1:44" ht="14.25" x14ac:dyDescent="0.2">
      <c r="A29" s="28"/>
      <c r="B29" s="20"/>
      <c r="C29" s="32"/>
      <c r="D29" s="241"/>
      <c r="E29" s="227"/>
      <c r="F29" s="203"/>
      <c r="G29" s="207"/>
      <c r="H29" s="211"/>
      <c r="I29" s="112" t="s">
        <v>93</v>
      </c>
      <c r="J29" s="112">
        <v>1</v>
      </c>
      <c r="K29" s="112">
        <v>0</v>
      </c>
      <c r="L29" s="113">
        <f t="shared" si="0"/>
        <v>0</v>
      </c>
      <c r="M29" s="114" t="s">
        <v>87</v>
      </c>
      <c r="N29" s="112">
        <v>96</v>
      </c>
      <c r="O29" s="112"/>
      <c r="P29" s="112" t="s">
        <v>92</v>
      </c>
      <c r="Q29" s="21"/>
      <c r="R29" s="21"/>
      <c r="S29" s="21"/>
      <c r="T29" s="102"/>
      <c r="U29" s="21"/>
      <c r="V29" s="21"/>
      <c r="W29" s="21"/>
      <c r="X29" s="21"/>
      <c r="Y29" s="21"/>
      <c r="Z29" s="21"/>
      <c r="AA29" s="102"/>
      <c r="AB29" s="21"/>
      <c r="AC29" s="21"/>
      <c r="AD29" s="21"/>
      <c r="AE29" s="90" t="s">
        <v>95</v>
      </c>
      <c r="AF29" s="21"/>
      <c r="AG29" s="21"/>
      <c r="AH29" s="102"/>
      <c r="AI29" s="21"/>
      <c r="AJ29" s="90"/>
      <c r="AK29" s="257"/>
      <c r="AL29" s="255"/>
      <c r="AM29" s="255"/>
      <c r="AN29" s="244"/>
      <c r="AO29" s="102"/>
      <c r="AP29" s="139"/>
      <c r="AQ29" s="252"/>
      <c r="AR29" s="253"/>
    </row>
    <row r="30" spans="1:44" ht="18.75" customHeight="1" x14ac:dyDescent="0.2">
      <c r="A30" s="28"/>
      <c r="B30" s="20"/>
      <c r="C30" s="21"/>
      <c r="D30" s="241" t="s">
        <v>38</v>
      </c>
      <c r="E30" s="227" t="s">
        <v>37</v>
      </c>
      <c r="F30" s="203">
        <v>46092</v>
      </c>
      <c r="G30" s="207"/>
      <c r="H30" s="211">
        <v>0.4</v>
      </c>
      <c r="I30" s="112" t="s">
        <v>79</v>
      </c>
      <c r="J30" s="120">
        <v>1</v>
      </c>
      <c r="K30" s="120">
        <v>1</v>
      </c>
      <c r="L30" s="121">
        <f t="shared" si="0"/>
        <v>1</v>
      </c>
      <c r="M30" s="114"/>
      <c r="N30" s="112">
        <v>0</v>
      </c>
      <c r="O30" s="112"/>
      <c r="P30" s="112" t="s">
        <v>78</v>
      </c>
      <c r="Q30" s="21"/>
      <c r="R30" s="21"/>
      <c r="S30" s="21"/>
      <c r="T30" s="102"/>
      <c r="U30" s="21"/>
      <c r="V30" s="21"/>
      <c r="W30" s="21"/>
      <c r="X30" s="21"/>
      <c r="Y30" s="21"/>
      <c r="Z30" s="21"/>
      <c r="AA30" s="102"/>
      <c r="AB30" s="21"/>
      <c r="AC30" s="21"/>
      <c r="AD30" s="21"/>
      <c r="AE30" s="21"/>
      <c r="AF30" s="21"/>
      <c r="AG30" s="21"/>
      <c r="AH30" s="102"/>
      <c r="AI30" s="21"/>
      <c r="AJ30" s="90"/>
      <c r="AK30" s="257"/>
      <c r="AL30" s="258" t="s">
        <v>136</v>
      </c>
      <c r="AM30" s="261" t="s">
        <v>135</v>
      </c>
      <c r="AN30" s="141"/>
      <c r="AO30" s="102"/>
      <c r="AP30" s="245"/>
      <c r="AQ30" s="139"/>
      <c r="AR30" s="144"/>
    </row>
    <row r="31" spans="1:44" ht="18.75" customHeight="1" x14ac:dyDescent="0.2">
      <c r="A31" s="28"/>
      <c r="B31" s="20"/>
      <c r="C31" s="21"/>
      <c r="D31" s="241"/>
      <c r="E31" s="227"/>
      <c r="F31" s="203"/>
      <c r="G31" s="207"/>
      <c r="H31" s="211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257"/>
      <c r="AL31" s="259"/>
      <c r="AM31" s="243"/>
      <c r="AN31" s="141"/>
      <c r="AO31" s="102"/>
      <c r="AP31" s="246"/>
      <c r="AQ31" s="139"/>
      <c r="AR31" s="144"/>
    </row>
    <row r="32" spans="1:44" ht="18.75" customHeight="1" x14ac:dyDescent="0.2">
      <c r="A32" s="28"/>
      <c r="B32" s="20"/>
      <c r="C32" s="21"/>
      <c r="D32" s="241"/>
      <c r="E32" s="227"/>
      <c r="F32" s="203"/>
      <c r="G32" s="207"/>
      <c r="H32" s="211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257"/>
      <c r="AL32" s="259"/>
      <c r="AM32" s="243"/>
      <c r="AN32" s="141"/>
      <c r="AO32" s="102"/>
      <c r="AP32" s="246"/>
      <c r="AQ32" s="139"/>
      <c r="AR32" s="144"/>
    </row>
    <row r="33" spans="1:44" ht="18.75" customHeight="1" x14ac:dyDescent="0.2">
      <c r="A33" s="28"/>
      <c r="B33" s="20"/>
      <c r="C33" s="21"/>
      <c r="D33" s="241"/>
      <c r="E33" s="227"/>
      <c r="F33" s="203"/>
      <c r="G33" s="207"/>
      <c r="H33" s="211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257"/>
      <c r="AL33" s="259"/>
      <c r="AM33" s="243"/>
      <c r="AN33" s="141"/>
      <c r="AO33" s="102"/>
      <c r="AP33" s="246"/>
      <c r="AQ33" s="139"/>
      <c r="AR33" s="144"/>
    </row>
    <row r="34" spans="1:44" ht="18.75" customHeight="1" x14ac:dyDescent="0.2">
      <c r="A34" s="28"/>
      <c r="B34" s="20"/>
      <c r="C34" s="21"/>
      <c r="D34" s="241"/>
      <c r="E34" s="227"/>
      <c r="F34" s="203"/>
      <c r="G34" s="207"/>
      <c r="H34" s="211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257"/>
      <c r="AL34" s="259"/>
      <c r="AM34" s="243"/>
      <c r="AN34" s="141"/>
      <c r="AO34" s="102"/>
      <c r="AP34" s="246"/>
      <c r="AQ34" s="139"/>
      <c r="AR34" s="144"/>
    </row>
    <row r="35" spans="1:44" ht="18.75" customHeight="1" x14ac:dyDescent="0.2">
      <c r="A35" s="28"/>
      <c r="B35" s="20"/>
      <c r="C35" s="21"/>
      <c r="D35" s="241"/>
      <c r="E35" s="227"/>
      <c r="F35" s="203"/>
      <c r="G35" s="207"/>
      <c r="H35" s="211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257"/>
      <c r="AL35" s="259"/>
      <c r="AM35" s="243"/>
      <c r="AN35" s="141"/>
      <c r="AO35" s="102"/>
      <c r="AP35" s="246"/>
      <c r="AQ35" s="139"/>
      <c r="AR35" s="144"/>
    </row>
    <row r="36" spans="1:44" ht="18.75" customHeight="1" x14ac:dyDescent="0.2">
      <c r="A36" s="28"/>
      <c r="B36" s="20"/>
      <c r="C36" s="21"/>
      <c r="D36" s="241"/>
      <c r="E36" s="227"/>
      <c r="F36" s="203"/>
      <c r="G36" s="207"/>
      <c r="H36" s="211"/>
      <c r="I36" s="112" t="s">
        <v>89</v>
      </c>
      <c r="J36" s="120">
        <v>11</v>
      </c>
      <c r="K36" s="120">
        <v>0</v>
      </c>
      <c r="L36" s="121">
        <f t="shared" si="0"/>
        <v>0</v>
      </c>
      <c r="M36" s="114" t="s">
        <v>87</v>
      </c>
      <c r="N36" s="112">
        <v>20</v>
      </c>
      <c r="O36" s="112"/>
      <c r="P36" s="112" t="s">
        <v>91</v>
      </c>
      <c r="Q36" s="21"/>
      <c r="R36" s="21"/>
      <c r="S36" s="21"/>
      <c r="T36" s="102"/>
      <c r="U36" s="21"/>
      <c r="V36" s="21"/>
      <c r="W36" s="21"/>
      <c r="X36" s="21"/>
      <c r="Y36" s="21"/>
      <c r="Z36" s="21"/>
      <c r="AA36" s="102"/>
      <c r="AB36" s="89" t="s">
        <v>95</v>
      </c>
      <c r="AC36" s="89" t="s">
        <v>95</v>
      </c>
      <c r="AD36" s="89" t="s">
        <v>95</v>
      </c>
      <c r="AE36" s="89" t="s">
        <v>95</v>
      </c>
      <c r="AF36" s="90" t="s">
        <v>95</v>
      </c>
      <c r="AG36" s="21"/>
      <c r="AH36" s="102"/>
      <c r="AI36" s="21"/>
      <c r="AJ36" s="90"/>
      <c r="AK36" s="257"/>
      <c r="AL36" s="260"/>
      <c r="AM36" s="244"/>
      <c r="AN36" s="141"/>
      <c r="AO36" s="102"/>
      <c r="AP36" s="247"/>
      <c r="AQ36" s="139"/>
      <c r="AR36" s="144"/>
    </row>
    <row r="37" spans="1:44" ht="14.25" x14ac:dyDescent="0.2">
      <c r="A37" s="28"/>
      <c r="B37" s="20"/>
      <c r="C37" s="21"/>
      <c r="D37" s="22" t="s">
        <v>39</v>
      </c>
      <c r="E37" s="112" t="s">
        <v>40</v>
      </c>
      <c r="F37" s="110">
        <v>46090</v>
      </c>
      <c r="G37" s="112"/>
      <c r="H37" s="111">
        <v>0.6</v>
      </c>
      <c r="I37" s="112" t="s">
        <v>65</v>
      </c>
      <c r="J37" s="112">
        <v>1</v>
      </c>
      <c r="K37" s="112">
        <v>0</v>
      </c>
      <c r="L37" s="113">
        <f>K37/J37</f>
        <v>0</v>
      </c>
      <c r="M37" s="114"/>
      <c r="N37" s="112">
        <v>18</v>
      </c>
      <c r="O37" s="112"/>
      <c r="P37" s="112" t="s">
        <v>92</v>
      </c>
      <c r="Q37" s="89" t="s">
        <v>95</v>
      </c>
      <c r="R37" s="89" t="s">
        <v>95</v>
      </c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 t="s">
        <v>95</v>
      </c>
      <c r="AK37" s="21"/>
      <c r="AL37" s="21"/>
      <c r="AM37" s="21"/>
      <c r="AN37" s="21"/>
      <c r="AO37" s="102"/>
      <c r="AP37" s="21"/>
      <c r="AQ37" s="21"/>
      <c r="AR37" s="81"/>
    </row>
    <row r="38" spans="1:44" ht="14.25" x14ac:dyDescent="0.2">
      <c r="A38" s="28"/>
      <c r="B38" s="20"/>
      <c r="C38" s="21"/>
      <c r="D38" s="22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7"/>
      <c r="N38" s="112">
        <v>18</v>
      </c>
      <c r="O38" s="112"/>
      <c r="P38" s="112" t="s">
        <v>92</v>
      </c>
      <c r="Q38" s="89" t="s">
        <v>95</v>
      </c>
      <c r="R38" s="89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 t="s">
        <v>95</v>
      </c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21"/>
      <c r="D39" s="22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7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21"/>
      <c r="D40" s="22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2">K40/K40</f>
        <v>1</v>
      </c>
      <c r="M40" s="127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21"/>
      <c r="D41" s="22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2"/>
        <v>1</v>
      </c>
      <c r="M41" s="127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21"/>
      <c r="D42" s="22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2"/>
        <v>1</v>
      </c>
      <c r="M42" s="127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21"/>
      <c r="D43" s="22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2"/>
        <v>1</v>
      </c>
      <c r="M43" s="127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21"/>
      <c r="D44" s="22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2"/>
        <v>1</v>
      </c>
      <c r="M44" s="127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21"/>
      <c r="D45" s="22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2"/>
        <v>1</v>
      </c>
      <c r="M45" s="127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90" t="s">
        <v>95</v>
      </c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21"/>
      <c r="D46" s="22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7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90" t="s">
        <v>95</v>
      </c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31"/>
      <c r="D47" s="172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2"/>
        <v>1</v>
      </c>
      <c r="M47" s="128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38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39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39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39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39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39"/>
    </row>
    <row r="54" spans="1:13" hidden="1" x14ac:dyDescent="0.2">
      <c r="A54" s="20"/>
      <c r="B54" s="20"/>
      <c r="C54" s="32"/>
      <c r="D54" s="199" t="s">
        <v>35</v>
      </c>
      <c r="E54" s="199"/>
      <c r="F54" s="25"/>
      <c r="G54" s="21"/>
      <c r="H54" s="21"/>
      <c r="I54" s="21"/>
      <c r="J54" s="21"/>
      <c r="K54" s="21"/>
      <c r="L54" s="50"/>
      <c r="M54" s="239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39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39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199" t="s">
        <v>32</v>
      </c>
      <c r="E59" s="199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200" t="s">
        <v>23</v>
      </c>
      <c r="E63" s="201"/>
    </row>
  </sheetData>
  <autoFilter ref="A3:M63" xr:uid="{093B0862-BE0A-43B3-B0EF-9D0DED56F05C}"/>
  <mergeCells count="26">
    <mergeCell ref="AN21:AN29"/>
    <mergeCell ref="AP30:AP36"/>
    <mergeCell ref="AQ21:AR29"/>
    <mergeCell ref="D6:E6"/>
    <mergeCell ref="M48:M56"/>
    <mergeCell ref="H21:H29"/>
    <mergeCell ref="G21:G29"/>
    <mergeCell ref="F21:F29"/>
    <mergeCell ref="F30:F36"/>
    <mergeCell ref="G30:G36"/>
    <mergeCell ref="H30:H36"/>
    <mergeCell ref="D30:D36"/>
    <mergeCell ref="AL21:AM29"/>
    <mergeCell ref="AK21:AK36"/>
    <mergeCell ref="AL30:AL36"/>
    <mergeCell ref="AM30:AM36"/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8A38-46C2-453C-B3FF-A1BFE6991F67}">
  <sheetPr>
    <pageSetUpPr fitToPage="1"/>
  </sheetPr>
  <dimension ref="A1:AR69"/>
  <sheetViews>
    <sheetView tabSelected="1" topLeftCell="F2" zoomScale="85" zoomScaleNormal="85" workbookViewId="0">
      <selection activeCell="M36" sqref="M36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18" width="4.140625" customWidth="1"/>
    <col min="19" max="19" width="4" customWidth="1"/>
    <col min="20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59.75" customHeight="1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47" t="s">
        <v>69</v>
      </c>
      <c r="K3" s="47" t="s">
        <v>70</v>
      </c>
      <c r="L3" s="142" t="s">
        <v>71</v>
      </c>
      <c r="M3" s="14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35"/>
      <c r="K4" s="35"/>
      <c r="L4" s="70"/>
      <c r="M4" s="37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35"/>
      <c r="K5" s="35"/>
      <c r="L5" s="70"/>
      <c r="M5" s="37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98" t="s">
        <v>27</v>
      </c>
      <c r="E6" s="199"/>
      <c r="F6" s="26"/>
      <c r="G6" s="35"/>
      <c r="H6" s="35"/>
      <c r="I6" s="35"/>
      <c r="J6" s="35"/>
      <c r="K6" s="35"/>
      <c r="L6" s="70"/>
      <c r="M6" s="37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35"/>
      <c r="K7" s="35"/>
      <c r="L7" s="70"/>
      <c r="M7" s="13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23"/>
      <c r="K8" s="23"/>
      <c r="L8" s="136"/>
      <c r="M8" s="137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98" t="s">
        <v>31</v>
      </c>
      <c r="E9" s="199"/>
      <c r="F9" s="25"/>
      <c r="G9" s="21"/>
      <c r="H9" s="21"/>
      <c r="I9" s="21"/>
      <c r="J9" s="21"/>
      <c r="K9" s="21"/>
      <c r="L9" s="50"/>
      <c r="M9" s="37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35"/>
      <c r="K10" s="35"/>
      <c r="L10" s="70"/>
      <c r="M10" s="13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35"/>
      <c r="K11" s="35"/>
      <c r="L11" s="70"/>
      <c r="M11" s="2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98" t="s">
        <v>28</v>
      </c>
      <c r="E12" s="199"/>
      <c r="F12" s="20"/>
      <c r="G12" s="21"/>
      <c r="H12" s="21"/>
      <c r="I12" s="21"/>
      <c r="J12" s="21"/>
      <c r="K12" s="21"/>
      <c r="L12" s="50"/>
      <c r="M12" s="2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21"/>
      <c r="K13" s="21"/>
      <c r="L13" s="50"/>
      <c r="M13" s="2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21"/>
      <c r="K14" s="21"/>
      <c r="L14" s="50"/>
      <c r="M14" s="2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98" t="s">
        <v>30</v>
      </c>
      <c r="E15" s="199"/>
      <c r="F15" s="25"/>
      <c r="G15" s="21"/>
      <c r="H15" s="21"/>
      <c r="I15" s="21"/>
      <c r="J15" s="21"/>
      <c r="K15" s="21"/>
      <c r="L15" s="50"/>
      <c r="M15" s="2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21"/>
      <c r="K16" s="21"/>
      <c r="L16" s="50"/>
      <c r="M16" s="2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21"/>
      <c r="K17" s="21"/>
      <c r="L17" s="50"/>
      <c r="M17" s="2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35"/>
      <c r="K18" s="35"/>
      <c r="L18" s="70"/>
      <c r="M18" s="2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98" t="s">
        <v>29</v>
      </c>
      <c r="E19" s="199"/>
      <c r="F19" s="25"/>
      <c r="G19" s="21"/>
      <c r="H19" s="21"/>
      <c r="I19" s="21"/>
      <c r="J19" s="21"/>
      <c r="K19" s="21"/>
      <c r="L19" s="50"/>
      <c r="M19" s="2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3"/>
      <c r="B20" s="154"/>
      <c r="C20" s="155"/>
      <c r="D20" s="156"/>
      <c r="E20" s="96"/>
      <c r="F20" s="58"/>
      <c r="G20" s="87"/>
      <c r="H20" s="87"/>
      <c r="I20" s="87"/>
      <c r="J20" s="87"/>
      <c r="K20" s="87"/>
      <c r="L20" s="157"/>
      <c r="M20" s="158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6"/>
      <c r="B21" s="167"/>
      <c r="C21" s="168"/>
      <c r="D21" s="222" t="s">
        <v>36</v>
      </c>
      <c r="E21" s="226" t="s">
        <v>140</v>
      </c>
      <c r="F21" s="202">
        <v>46090</v>
      </c>
      <c r="G21" s="206"/>
      <c r="H21" s="210">
        <f>(SUM(O21:O32)/SUM(N21:N32))</f>
        <v>0.96969696969696972</v>
      </c>
      <c r="I21" s="181" t="s">
        <v>79</v>
      </c>
      <c r="J21" s="181">
        <v>1</v>
      </c>
      <c r="K21" s="181">
        <v>1</v>
      </c>
      <c r="L21" s="178">
        <f>K21/J21</f>
        <v>1</v>
      </c>
      <c r="M21" s="185"/>
      <c r="N21" s="181">
        <v>0</v>
      </c>
      <c r="O21" s="181"/>
      <c r="P21" s="181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32"/>
      <c r="AL21" s="132"/>
      <c r="AM21" s="146"/>
      <c r="AN21" s="78"/>
      <c r="AO21" s="101"/>
      <c r="AP21" s="234" t="s">
        <v>134</v>
      </c>
      <c r="AQ21" s="147"/>
      <c r="AR21" s="169"/>
    </row>
    <row r="22" spans="1:44" ht="14.25" x14ac:dyDescent="0.2">
      <c r="A22" s="28"/>
      <c r="B22" s="20"/>
      <c r="C22" s="75"/>
      <c r="D22" s="223"/>
      <c r="E22" s="227"/>
      <c r="F22" s="203"/>
      <c r="G22" s="207"/>
      <c r="H22" s="211"/>
      <c r="I22" s="182" t="s">
        <v>80</v>
      </c>
      <c r="J22" s="182">
        <v>1</v>
      </c>
      <c r="K22" s="182">
        <v>1</v>
      </c>
      <c r="L22" s="179">
        <f>K22/J22</f>
        <v>1</v>
      </c>
      <c r="M22" s="184"/>
      <c r="N22" s="182">
        <v>0</v>
      </c>
      <c r="O22" s="182"/>
      <c r="P22" s="18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33"/>
      <c r="AL22" s="133"/>
      <c r="AM22" s="138"/>
      <c r="AN22" s="21"/>
      <c r="AO22" s="102"/>
      <c r="AP22" s="235"/>
      <c r="AQ22" s="139"/>
      <c r="AR22" s="144"/>
    </row>
    <row r="23" spans="1:44" ht="14.25" x14ac:dyDescent="0.2">
      <c r="A23" s="28"/>
      <c r="B23" s="20"/>
      <c r="C23" s="75"/>
      <c r="D23" s="223"/>
      <c r="E23" s="227"/>
      <c r="F23" s="203"/>
      <c r="G23" s="207"/>
      <c r="H23" s="211"/>
      <c r="I23" s="182" t="s">
        <v>81</v>
      </c>
      <c r="J23" s="182">
        <v>1</v>
      </c>
      <c r="K23" s="182">
        <v>1</v>
      </c>
      <c r="L23" s="179">
        <v>1</v>
      </c>
      <c r="M23" s="184"/>
      <c r="N23" s="182">
        <v>68</v>
      </c>
      <c r="O23" s="182">
        <v>68</v>
      </c>
      <c r="P23" s="182" t="s">
        <v>92</v>
      </c>
      <c r="Q23" s="21"/>
      <c r="R23" s="21"/>
      <c r="S23" s="21"/>
      <c r="T23" s="102"/>
      <c r="U23" s="90" t="s">
        <v>95</v>
      </c>
      <c r="V23" s="21"/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33"/>
      <c r="AL23" s="133"/>
      <c r="AM23" s="138"/>
      <c r="AN23" s="21"/>
      <c r="AO23" s="102"/>
      <c r="AP23" s="235"/>
      <c r="AQ23" s="139"/>
      <c r="AR23" s="144"/>
    </row>
    <row r="24" spans="1:44" ht="14.25" x14ac:dyDescent="0.2">
      <c r="A24" s="28"/>
      <c r="B24" s="20"/>
      <c r="C24" s="75"/>
      <c r="D24" s="223"/>
      <c r="E24" s="227"/>
      <c r="F24" s="203"/>
      <c r="G24" s="207"/>
      <c r="H24" s="211"/>
      <c r="I24" s="182" t="s">
        <v>82</v>
      </c>
      <c r="J24" s="182">
        <v>1</v>
      </c>
      <c r="K24" s="182">
        <v>1</v>
      </c>
      <c r="L24" s="191">
        <f t="shared" ref="L24:L37" si="0">K24/J24</f>
        <v>1</v>
      </c>
      <c r="M24" s="189"/>
      <c r="N24" s="183">
        <v>340</v>
      </c>
      <c r="O24" s="183">
        <v>340</v>
      </c>
      <c r="P24" s="18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33"/>
      <c r="AL24" s="133"/>
      <c r="AM24" s="138"/>
      <c r="AN24" s="21"/>
      <c r="AO24" s="102"/>
      <c r="AP24" s="235"/>
      <c r="AQ24" s="139"/>
      <c r="AR24" s="144"/>
    </row>
    <row r="25" spans="1:44" ht="15" thickBot="1" x14ac:dyDescent="0.25">
      <c r="A25" s="28"/>
      <c r="B25" s="20"/>
      <c r="C25" s="75"/>
      <c r="D25" s="223"/>
      <c r="E25" s="227"/>
      <c r="F25" s="203"/>
      <c r="G25" s="207"/>
      <c r="H25" s="211"/>
      <c r="I25" s="182" t="s">
        <v>96</v>
      </c>
      <c r="J25" s="182">
        <v>1</v>
      </c>
      <c r="K25" s="182">
        <v>1</v>
      </c>
      <c r="L25" s="191">
        <v>1</v>
      </c>
      <c r="M25" s="189"/>
      <c r="N25" s="183">
        <v>107</v>
      </c>
      <c r="O25" s="183">
        <v>107</v>
      </c>
      <c r="P25" s="190" t="s">
        <v>92</v>
      </c>
      <c r="Q25" s="21"/>
      <c r="R25" s="21"/>
      <c r="S25" s="21"/>
      <c r="T25" s="102"/>
      <c r="U25" s="21"/>
      <c r="V25" s="21"/>
      <c r="W25" s="89" t="s">
        <v>95</v>
      </c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33"/>
      <c r="AL25" s="133"/>
      <c r="AM25" s="138"/>
      <c r="AN25" s="21"/>
      <c r="AO25" s="102"/>
      <c r="AP25" s="235"/>
      <c r="AQ25" s="139"/>
      <c r="AR25" s="144"/>
    </row>
    <row r="26" spans="1:44" ht="15" thickBot="1" x14ac:dyDescent="0.25">
      <c r="A26" s="28"/>
      <c r="B26" s="20"/>
      <c r="C26" s="75"/>
      <c r="D26" s="223"/>
      <c r="E26" s="227"/>
      <c r="F26" s="203"/>
      <c r="G26" s="207"/>
      <c r="H26" s="211"/>
      <c r="I26" s="186" t="s">
        <v>68</v>
      </c>
      <c r="J26" s="187">
        <v>3</v>
      </c>
      <c r="K26" s="188">
        <v>3</v>
      </c>
      <c r="L26" s="180">
        <f>O26/N26</f>
        <v>1</v>
      </c>
      <c r="M26" s="193" t="s">
        <v>148</v>
      </c>
      <c r="N26" s="194">
        <v>225</v>
      </c>
      <c r="O26" s="195">
        <v>225</v>
      </c>
      <c r="P26" s="182" t="s">
        <v>78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33"/>
      <c r="AL26" s="133"/>
      <c r="AM26" s="138"/>
      <c r="AN26" s="21"/>
      <c r="AO26" s="102"/>
      <c r="AP26" s="235"/>
      <c r="AQ26" s="139"/>
      <c r="AR26" s="144"/>
    </row>
    <row r="27" spans="1:44" ht="29.25" thickBot="1" x14ac:dyDescent="0.25">
      <c r="A27" s="28"/>
      <c r="B27" s="20"/>
      <c r="C27" s="75"/>
      <c r="D27" s="223"/>
      <c r="E27" s="227"/>
      <c r="F27" s="203"/>
      <c r="G27" s="207"/>
      <c r="H27" s="211"/>
      <c r="I27" s="112" t="s">
        <v>86</v>
      </c>
      <c r="J27" s="112">
        <v>6</v>
      </c>
      <c r="K27" s="112">
        <v>5</v>
      </c>
      <c r="L27" s="192">
        <f>K27/J27</f>
        <v>0.83333333333333337</v>
      </c>
      <c r="M27" s="193" t="s">
        <v>149</v>
      </c>
      <c r="N27" s="194">
        <v>144</v>
      </c>
      <c r="O27" s="195">
        <v>121</v>
      </c>
      <c r="P27" s="18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89" t="s">
        <v>95</v>
      </c>
      <c r="AF27" s="89" t="s">
        <v>95</v>
      </c>
      <c r="AG27" s="90" t="s">
        <v>95</v>
      </c>
      <c r="AH27" s="102"/>
      <c r="AI27" s="21"/>
      <c r="AJ27" s="90"/>
      <c r="AK27" s="133"/>
      <c r="AL27" s="133"/>
      <c r="AM27" s="138"/>
      <c r="AN27" s="21"/>
      <c r="AO27" s="102"/>
      <c r="AP27" s="235"/>
      <c r="AQ27" s="139"/>
      <c r="AR27" s="144"/>
    </row>
    <row r="28" spans="1:44" ht="14.25" x14ac:dyDescent="0.2">
      <c r="A28" s="28"/>
      <c r="B28" s="20"/>
      <c r="C28" s="75"/>
      <c r="D28" s="223"/>
      <c r="E28" s="227"/>
      <c r="F28" s="203"/>
      <c r="G28" s="207"/>
      <c r="H28" s="211"/>
      <c r="I28" s="112" t="s">
        <v>89</v>
      </c>
      <c r="J28" s="112">
        <v>13</v>
      </c>
      <c r="K28" s="112">
        <v>6</v>
      </c>
      <c r="L28" s="113">
        <f>O28/N28</f>
        <v>0.5</v>
      </c>
      <c r="M28" s="114" t="s">
        <v>144</v>
      </c>
      <c r="N28" s="112">
        <v>20</v>
      </c>
      <c r="O28" s="112">
        <v>10</v>
      </c>
      <c r="P28" s="112" t="s">
        <v>150</v>
      </c>
      <c r="Q28" s="21"/>
      <c r="R28" s="21"/>
      <c r="S28" s="197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33"/>
      <c r="AL28" s="133"/>
      <c r="AM28" s="138"/>
      <c r="AN28" s="21"/>
      <c r="AO28" s="102"/>
      <c r="AP28" s="235"/>
      <c r="AQ28" s="139"/>
      <c r="AR28" s="144"/>
    </row>
    <row r="29" spans="1:44" ht="14.25" x14ac:dyDescent="0.2">
      <c r="A29" s="153"/>
      <c r="B29" s="154"/>
      <c r="C29" s="155"/>
      <c r="D29" s="224"/>
      <c r="E29" s="228"/>
      <c r="F29" s="204"/>
      <c r="G29" s="208"/>
      <c r="H29" s="212"/>
      <c r="I29" s="182" t="s">
        <v>142</v>
      </c>
      <c r="J29" s="182">
        <v>8</v>
      </c>
      <c r="K29" s="182">
        <v>8</v>
      </c>
      <c r="L29" s="191">
        <f t="shared" si="0"/>
        <v>1</v>
      </c>
      <c r="M29" s="189"/>
      <c r="N29" s="183">
        <v>21</v>
      </c>
      <c r="O29" s="183">
        <v>21</v>
      </c>
      <c r="P29" s="182" t="s">
        <v>92</v>
      </c>
      <c r="Q29" s="87"/>
      <c r="R29" s="87"/>
      <c r="S29" s="87"/>
      <c r="T29" s="104"/>
      <c r="U29" s="87"/>
      <c r="V29" s="87"/>
      <c r="W29" s="87"/>
      <c r="X29" s="87"/>
      <c r="Y29" s="87"/>
      <c r="Z29" s="87"/>
      <c r="AA29" s="104"/>
      <c r="AB29" s="87"/>
      <c r="AC29" s="87"/>
      <c r="AD29" s="87"/>
      <c r="AE29" s="87"/>
      <c r="AF29" s="87"/>
      <c r="AG29" s="87"/>
      <c r="AH29" s="104"/>
      <c r="AI29" s="87"/>
      <c r="AJ29" s="173"/>
      <c r="AK29" s="174"/>
      <c r="AL29" s="174"/>
      <c r="AM29" s="175"/>
      <c r="AN29" s="87"/>
      <c r="AO29" s="104"/>
      <c r="AP29" s="236"/>
      <c r="AQ29" s="176"/>
      <c r="AR29" s="177"/>
    </row>
    <row r="30" spans="1:44" ht="14.25" x14ac:dyDescent="0.2">
      <c r="A30" s="153"/>
      <c r="B30" s="154"/>
      <c r="C30" s="155"/>
      <c r="D30" s="224"/>
      <c r="E30" s="228"/>
      <c r="F30" s="204"/>
      <c r="G30" s="208"/>
      <c r="H30" s="212"/>
      <c r="I30" s="182" t="s">
        <v>138</v>
      </c>
      <c r="J30" s="182">
        <v>4</v>
      </c>
      <c r="K30" s="182">
        <v>4</v>
      </c>
      <c r="L30" s="179">
        <v>1</v>
      </c>
      <c r="M30" s="184"/>
      <c r="N30" s="182">
        <v>8</v>
      </c>
      <c r="O30" s="182">
        <v>8</v>
      </c>
      <c r="P30" s="182" t="s">
        <v>92</v>
      </c>
      <c r="Q30" s="87"/>
      <c r="R30" s="87"/>
      <c r="S30" s="87"/>
      <c r="T30" s="104"/>
      <c r="U30" s="87"/>
      <c r="V30" s="87"/>
      <c r="W30" s="87"/>
      <c r="X30" s="87"/>
      <c r="Y30" s="87"/>
      <c r="Z30" s="87"/>
      <c r="AA30" s="104"/>
      <c r="AB30" s="87"/>
      <c r="AC30" s="87"/>
      <c r="AD30" s="87"/>
      <c r="AE30" s="87"/>
      <c r="AF30" s="87"/>
      <c r="AG30" s="87"/>
      <c r="AH30" s="104"/>
      <c r="AI30" s="87"/>
      <c r="AJ30" s="173"/>
      <c r="AK30" s="174"/>
      <c r="AL30" s="174"/>
      <c r="AM30" s="175"/>
      <c r="AN30" s="87"/>
      <c r="AO30" s="104"/>
      <c r="AP30" s="236"/>
      <c r="AQ30" s="176"/>
      <c r="AR30" s="177"/>
    </row>
    <row r="31" spans="1:44" ht="15" thickBot="1" x14ac:dyDescent="0.25">
      <c r="A31" s="153"/>
      <c r="B31" s="154"/>
      <c r="C31" s="155"/>
      <c r="D31" s="224"/>
      <c r="E31" s="228"/>
      <c r="F31" s="204"/>
      <c r="G31" s="208"/>
      <c r="H31" s="212"/>
      <c r="I31" s="182" t="s">
        <v>137</v>
      </c>
      <c r="J31" s="182">
        <v>3</v>
      </c>
      <c r="K31" s="182">
        <v>3</v>
      </c>
      <c r="L31" s="179">
        <v>1</v>
      </c>
      <c r="M31" s="184"/>
      <c r="N31" s="182">
        <v>60</v>
      </c>
      <c r="O31" s="182">
        <v>60</v>
      </c>
      <c r="P31" s="182" t="s">
        <v>92</v>
      </c>
      <c r="Q31" s="87"/>
      <c r="R31" s="87"/>
      <c r="S31" s="87"/>
      <c r="T31" s="104"/>
      <c r="U31" s="87"/>
      <c r="V31" s="87"/>
      <c r="W31" s="87"/>
      <c r="X31" s="87"/>
      <c r="Y31" s="87"/>
      <c r="Z31" s="87"/>
      <c r="AA31" s="104"/>
      <c r="AB31" s="87"/>
      <c r="AC31" s="87"/>
      <c r="AD31" s="87"/>
      <c r="AE31" s="87"/>
      <c r="AF31" s="87"/>
      <c r="AG31" s="87"/>
      <c r="AH31" s="104"/>
      <c r="AI31" s="87"/>
      <c r="AJ31" s="173"/>
      <c r="AK31" s="174"/>
      <c r="AL31" s="174"/>
      <c r="AM31" s="175"/>
      <c r="AN31" s="87"/>
      <c r="AO31" s="104"/>
      <c r="AP31" s="236"/>
      <c r="AQ31" s="176"/>
      <c r="AR31" s="177"/>
    </row>
    <row r="32" spans="1:44" ht="15" thickBot="1" x14ac:dyDescent="0.25">
      <c r="A32" s="29"/>
      <c r="B32" s="30"/>
      <c r="C32" s="170"/>
      <c r="D32" s="225"/>
      <c r="E32" s="229"/>
      <c r="F32" s="205"/>
      <c r="G32" s="209"/>
      <c r="H32" s="213"/>
      <c r="I32" s="186" t="s">
        <v>93</v>
      </c>
      <c r="J32" s="187">
        <v>1</v>
      </c>
      <c r="K32" s="188">
        <v>1</v>
      </c>
      <c r="L32" s="180">
        <v>1</v>
      </c>
      <c r="M32" s="193" t="s">
        <v>148</v>
      </c>
      <c r="N32" s="194">
        <v>96</v>
      </c>
      <c r="O32" s="195">
        <v>96</v>
      </c>
      <c r="P32" s="182" t="s">
        <v>78</v>
      </c>
      <c r="Q32" s="31"/>
      <c r="R32" s="31"/>
      <c r="S32" s="31"/>
      <c r="T32" s="105"/>
      <c r="U32" s="31"/>
      <c r="V32" s="31"/>
      <c r="W32" s="31"/>
      <c r="X32" s="31"/>
      <c r="Y32" s="31"/>
      <c r="Z32" s="31"/>
      <c r="AA32" s="105"/>
      <c r="AB32" s="31"/>
      <c r="AC32" s="31"/>
      <c r="AD32" s="92" t="s">
        <v>95</v>
      </c>
      <c r="AE32" s="31"/>
      <c r="AF32" s="31"/>
      <c r="AG32" s="31"/>
      <c r="AH32" s="105"/>
      <c r="AI32" s="31"/>
      <c r="AJ32" s="92"/>
      <c r="AK32" s="134"/>
      <c r="AL32" s="134"/>
      <c r="AM32" s="149"/>
      <c r="AN32" s="31"/>
      <c r="AO32" s="105"/>
      <c r="AP32" s="237"/>
      <c r="AQ32" s="151"/>
      <c r="AR32" s="152"/>
    </row>
    <row r="33" spans="1:44" ht="18.75" customHeight="1" x14ac:dyDescent="0.2">
      <c r="A33" s="159"/>
      <c r="B33" s="38"/>
      <c r="C33" s="160"/>
      <c r="D33" s="214" t="s">
        <v>38</v>
      </c>
      <c r="E33" s="216" t="s">
        <v>139</v>
      </c>
      <c r="F33" s="219">
        <v>46090</v>
      </c>
      <c r="G33" s="220"/>
      <c r="H33" s="221">
        <f>(SUM(O33:O41)/SUM(N33:N41))</f>
        <v>0.990506329113924</v>
      </c>
      <c r="I33" s="186" t="s">
        <v>79</v>
      </c>
      <c r="J33" s="187">
        <v>1</v>
      </c>
      <c r="K33" s="188">
        <v>1</v>
      </c>
      <c r="L33" s="180">
        <f t="shared" si="0"/>
        <v>1</v>
      </c>
      <c r="M33" s="184"/>
      <c r="N33" s="182">
        <v>0</v>
      </c>
      <c r="O33" s="182"/>
      <c r="P33" s="182" t="s">
        <v>78</v>
      </c>
      <c r="Q33" s="39"/>
      <c r="R33" s="39"/>
      <c r="S33" s="39"/>
      <c r="T33" s="106"/>
      <c r="U33" s="39"/>
      <c r="V33" s="39"/>
      <c r="W33" s="39"/>
      <c r="X33" s="39"/>
      <c r="Y33" s="39"/>
      <c r="Z33" s="39"/>
      <c r="AA33" s="106"/>
      <c r="AB33" s="39"/>
      <c r="AC33" s="39"/>
      <c r="AD33" s="39"/>
      <c r="AE33" s="39"/>
      <c r="AF33" s="39"/>
      <c r="AG33" s="39"/>
      <c r="AH33" s="106"/>
      <c r="AI33" s="39"/>
      <c r="AJ33" s="93"/>
      <c r="AK33" s="161"/>
      <c r="AL33" s="162"/>
      <c r="AM33" s="163"/>
      <c r="AN33" s="230" t="s">
        <v>133</v>
      </c>
      <c r="AO33" s="231"/>
      <c r="AP33" s="231"/>
      <c r="AQ33" s="164"/>
      <c r="AR33" s="165"/>
    </row>
    <row r="34" spans="1:44" ht="18.75" customHeight="1" x14ac:dyDescent="0.2">
      <c r="A34" s="28"/>
      <c r="B34" s="20"/>
      <c r="C34" s="62"/>
      <c r="D34" s="215"/>
      <c r="E34" s="217"/>
      <c r="F34" s="203"/>
      <c r="G34" s="207"/>
      <c r="H34" s="211"/>
      <c r="I34" s="182" t="s">
        <v>80</v>
      </c>
      <c r="J34" s="188">
        <v>1</v>
      </c>
      <c r="K34" s="188">
        <v>1</v>
      </c>
      <c r="L34" s="180">
        <f t="shared" si="0"/>
        <v>1</v>
      </c>
      <c r="M34" s="184"/>
      <c r="N34" s="182">
        <v>0</v>
      </c>
      <c r="O34" s="182"/>
      <c r="P34" s="182" t="s">
        <v>78</v>
      </c>
      <c r="Q34" s="21"/>
      <c r="R34" s="21"/>
      <c r="S34" s="21"/>
      <c r="T34" s="102"/>
      <c r="U34" s="21"/>
      <c r="V34" s="21"/>
      <c r="W34" s="21"/>
      <c r="X34" s="21"/>
      <c r="Y34" s="21"/>
      <c r="Z34" s="21"/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40"/>
      <c r="AL34" s="138"/>
      <c r="AM34" s="141"/>
      <c r="AN34" s="232"/>
      <c r="AO34" s="232"/>
      <c r="AP34" s="232"/>
      <c r="AQ34" s="139"/>
      <c r="AR34" s="144"/>
    </row>
    <row r="35" spans="1:44" ht="18.75" customHeight="1" x14ac:dyDescent="0.2">
      <c r="A35" s="28"/>
      <c r="B35" s="20"/>
      <c r="C35" s="62"/>
      <c r="D35" s="215"/>
      <c r="E35" s="217"/>
      <c r="F35" s="203"/>
      <c r="G35" s="207"/>
      <c r="H35" s="211"/>
      <c r="I35" s="182" t="s">
        <v>98</v>
      </c>
      <c r="J35" s="188">
        <v>1</v>
      </c>
      <c r="K35" s="188">
        <v>1</v>
      </c>
      <c r="L35" s="180">
        <f t="shared" si="0"/>
        <v>1</v>
      </c>
      <c r="M35" s="184"/>
      <c r="N35" s="182">
        <v>280</v>
      </c>
      <c r="O35" s="182">
        <v>280</v>
      </c>
      <c r="P35" s="182" t="s">
        <v>92</v>
      </c>
      <c r="Q35" s="21"/>
      <c r="R35" s="89" t="s">
        <v>95</v>
      </c>
      <c r="S35" s="89" t="s">
        <v>95</v>
      </c>
      <c r="T35" s="102"/>
      <c r="U35" s="90" t="s">
        <v>95</v>
      </c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21"/>
      <c r="AG35" s="21"/>
      <c r="AH35" s="102"/>
      <c r="AI35" s="21"/>
      <c r="AJ35" s="90"/>
      <c r="AK35" s="140"/>
      <c r="AL35" s="138"/>
      <c r="AM35" s="141"/>
      <c r="AN35" s="232"/>
      <c r="AO35" s="232"/>
      <c r="AP35" s="232"/>
      <c r="AQ35" s="139"/>
      <c r="AR35" s="144"/>
    </row>
    <row r="36" spans="1:44" ht="18.75" customHeight="1" x14ac:dyDescent="0.2">
      <c r="A36" s="28"/>
      <c r="B36" s="20"/>
      <c r="C36" s="62"/>
      <c r="D36" s="215"/>
      <c r="E36" s="217"/>
      <c r="F36" s="203"/>
      <c r="G36" s="207"/>
      <c r="H36" s="211"/>
      <c r="I36" s="182" t="s">
        <v>82</v>
      </c>
      <c r="J36" s="188">
        <v>1</v>
      </c>
      <c r="K36" s="188">
        <v>1</v>
      </c>
      <c r="L36" s="180">
        <f t="shared" si="0"/>
        <v>1</v>
      </c>
      <c r="M36" s="184"/>
      <c r="N36" s="182">
        <v>340</v>
      </c>
      <c r="O36" s="182">
        <v>340</v>
      </c>
      <c r="P36" s="182" t="s">
        <v>92</v>
      </c>
      <c r="Q36" s="89" t="s">
        <v>95</v>
      </c>
      <c r="R36" s="89" t="s">
        <v>95</v>
      </c>
      <c r="S36" s="89" t="s">
        <v>95</v>
      </c>
      <c r="T36" s="102"/>
      <c r="U36" s="89" t="s">
        <v>95</v>
      </c>
      <c r="V36" s="90" t="s">
        <v>95</v>
      </c>
      <c r="W36" s="21"/>
      <c r="X36" s="21"/>
      <c r="Y36" s="21"/>
      <c r="Z36" s="21"/>
      <c r="AA36" s="102"/>
      <c r="AB36" s="21"/>
      <c r="AC36" s="21"/>
      <c r="AD36" s="21"/>
      <c r="AE36" s="21"/>
      <c r="AF36" s="21"/>
      <c r="AG36" s="21"/>
      <c r="AH36" s="102"/>
      <c r="AI36" s="21"/>
      <c r="AJ36" s="90"/>
      <c r="AK36" s="140"/>
      <c r="AL36" s="138"/>
      <c r="AM36" s="141"/>
      <c r="AN36" s="232"/>
      <c r="AO36" s="232"/>
      <c r="AP36" s="232"/>
      <c r="AQ36" s="139"/>
      <c r="AR36" s="144"/>
    </row>
    <row r="37" spans="1:44" ht="14.25" x14ac:dyDescent="0.2">
      <c r="A37" s="28"/>
      <c r="B37" s="20"/>
      <c r="C37" s="62"/>
      <c r="D37" s="215"/>
      <c r="E37" s="217"/>
      <c r="F37" s="203"/>
      <c r="G37" s="207"/>
      <c r="H37" s="211"/>
      <c r="I37" s="182" t="s">
        <v>142</v>
      </c>
      <c r="J37" s="182">
        <v>8</v>
      </c>
      <c r="K37" s="182">
        <v>8</v>
      </c>
      <c r="L37" s="191">
        <f t="shared" si="0"/>
        <v>1</v>
      </c>
      <c r="M37" s="189"/>
      <c r="N37" s="183">
        <v>21</v>
      </c>
      <c r="O37" s="183">
        <v>21</v>
      </c>
      <c r="P37" s="182" t="s">
        <v>92</v>
      </c>
      <c r="Q37" s="21"/>
      <c r="R37" s="21"/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/>
      <c r="AK37" s="140"/>
      <c r="AL37" s="138"/>
      <c r="AM37" s="141"/>
      <c r="AN37" s="232"/>
      <c r="AO37" s="232"/>
      <c r="AP37" s="232"/>
      <c r="AQ37" s="139"/>
      <c r="AR37" s="144"/>
    </row>
    <row r="38" spans="1:44" ht="18.75" customHeight="1" x14ac:dyDescent="0.2">
      <c r="A38" s="28"/>
      <c r="B38" s="20"/>
      <c r="C38" s="62"/>
      <c r="D38" s="215"/>
      <c r="E38" s="217"/>
      <c r="F38" s="203"/>
      <c r="G38" s="207"/>
      <c r="H38" s="211"/>
      <c r="I38" s="183" t="s">
        <v>138</v>
      </c>
      <c r="J38" s="188">
        <v>4</v>
      </c>
      <c r="K38" s="188">
        <v>4</v>
      </c>
      <c r="L38" s="180">
        <v>1</v>
      </c>
      <c r="M38" s="184"/>
      <c r="N38" s="182">
        <v>8</v>
      </c>
      <c r="O38" s="182">
        <v>8</v>
      </c>
      <c r="P38" s="182" t="s">
        <v>92</v>
      </c>
      <c r="Q38" s="21"/>
      <c r="R38" s="21"/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/>
      <c r="AK38" s="140"/>
      <c r="AL38" s="138"/>
      <c r="AM38" s="141"/>
      <c r="AN38" s="232"/>
      <c r="AO38" s="232"/>
      <c r="AP38" s="232"/>
      <c r="AQ38" s="139"/>
      <c r="AR38" s="144"/>
    </row>
    <row r="39" spans="1:44" ht="15" thickBot="1" x14ac:dyDescent="0.25">
      <c r="A39" s="28"/>
      <c r="B39" s="20"/>
      <c r="C39" s="62"/>
      <c r="D39" s="215"/>
      <c r="E39" s="217"/>
      <c r="F39" s="203"/>
      <c r="G39" s="207"/>
      <c r="H39" s="211"/>
      <c r="I39" s="182" t="s">
        <v>84</v>
      </c>
      <c r="J39" s="188">
        <v>1</v>
      </c>
      <c r="K39" s="188">
        <v>1</v>
      </c>
      <c r="L39" s="180">
        <v>1</v>
      </c>
      <c r="M39" s="184"/>
      <c r="N39" s="182">
        <v>107</v>
      </c>
      <c r="O39" s="182">
        <f>95+12</f>
        <v>107</v>
      </c>
      <c r="P39" s="182" t="s">
        <v>92</v>
      </c>
      <c r="Q39" s="21"/>
      <c r="R39" s="21"/>
      <c r="S39" s="21"/>
      <c r="T39" s="102"/>
      <c r="U39" s="21"/>
      <c r="V39" s="21"/>
      <c r="W39" s="89" t="s">
        <v>95</v>
      </c>
      <c r="X39" s="89" t="s">
        <v>95</v>
      </c>
      <c r="Y39" s="89" t="s">
        <v>95</v>
      </c>
      <c r="Z39" s="90" t="s">
        <v>95</v>
      </c>
      <c r="AA39" s="102"/>
      <c r="AB39" s="21"/>
      <c r="AC39" s="21"/>
      <c r="AD39" s="21"/>
      <c r="AE39" s="21"/>
      <c r="AF39" s="21"/>
      <c r="AG39" s="21"/>
      <c r="AH39" s="102"/>
      <c r="AI39" s="21"/>
      <c r="AJ39" s="90"/>
      <c r="AK39" s="140"/>
      <c r="AL39" s="138"/>
      <c r="AM39" s="141"/>
      <c r="AN39" s="232"/>
      <c r="AO39" s="232"/>
      <c r="AP39" s="232"/>
      <c r="AQ39" s="139"/>
      <c r="AR39" s="144"/>
    </row>
    <row r="40" spans="1:44" ht="24.75" customHeight="1" thickBot="1" x14ac:dyDescent="0.25">
      <c r="A40" s="28"/>
      <c r="B40" s="20"/>
      <c r="C40" s="62"/>
      <c r="D40" s="215"/>
      <c r="E40" s="217"/>
      <c r="F40" s="203"/>
      <c r="G40" s="207"/>
      <c r="H40" s="211"/>
      <c r="I40" s="182" t="s">
        <v>97</v>
      </c>
      <c r="J40" s="188">
        <v>6</v>
      </c>
      <c r="K40" s="188">
        <v>6</v>
      </c>
      <c r="L40" s="180">
        <v>1</v>
      </c>
      <c r="M40" s="193" t="s">
        <v>148</v>
      </c>
      <c r="N40" s="194">
        <v>172</v>
      </c>
      <c r="O40" s="195">
        <v>172</v>
      </c>
      <c r="P40" s="18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89" t="s">
        <v>95</v>
      </c>
      <c r="AD40" s="89" t="s">
        <v>95</v>
      </c>
      <c r="AE40" s="89" t="s">
        <v>95</v>
      </c>
      <c r="AF40" s="90" t="s">
        <v>95</v>
      </c>
      <c r="AH40" s="102"/>
      <c r="AJ40" s="90"/>
      <c r="AK40" s="140"/>
      <c r="AL40" s="138"/>
      <c r="AM40" s="141"/>
      <c r="AN40" s="232"/>
      <c r="AO40" s="232"/>
      <c r="AP40" s="232"/>
      <c r="AQ40" s="139"/>
      <c r="AR40" s="144"/>
    </row>
    <row r="41" spans="1:44" ht="18.75" customHeight="1" thickBot="1" x14ac:dyDescent="0.25">
      <c r="A41" s="28"/>
      <c r="B41" s="20"/>
      <c r="C41" s="62"/>
      <c r="D41" s="215"/>
      <c r="E41" s="218"/>
      <c r="F41" s="205"/>
      <c r="G41" s="209"/>
      <c r="H41" s="213"/>
      <c r="I41" s="117" t="s">
        <v>89</v>
      </c>
      <c r="J41" s="122">
        <v>11</v>
      </c>
      <c r="K41" s="122">
        <v>6</v>
      </c>
      <c r="L41" s="123">
        <v>0.55000000000000004</v>
      </c>
      <c r="M41" s="119" t="s">
        <v>144</v>
      </c>
      <c r="N41" s="117">
        <v>20</v>
      </c>
      <c r="O41" s="117">
        <v>11</v>
      </c>
      <c r="P41" s="112" t="s">
        <v>150</v>
      </c>
      <c r="Q41" s="31"/>
      <c r="R41" s="31"/>
      <c r="S41" s="31"/>
      <c r="T41" s="105"/>
      <c r="U41" s="31"/>
      <c r="V41" s="31"/>
      <c r="W41" s="31"/>
      <c r="X41" s="31"/>
      <c r="Y41" s="31"/>
      <c r="Z41" s="31"/>
      <c r="AA41" s="105"/>
      <c r="AB41" s="31"/>
      <c r="AC41" s="95" t="s">
        <v>95</v>
      </c>
      <c r="AD41" s="95" t="s">
        <v>95</v>
      </c>
      <c r="AE41" s="95" t="s">
        <v>95</v>
      </c>
      <c r="AF41" s="95" t="s">
        <v>95</v>
      </c>
      <c r="AG41" s="95" t="s">
        <v>95</v>
      </c>
      <c r="AH41" s="105"/>
      <c r="AI41" s="95" t="s">
        <v>95</v>
      </c>
      <c r="AJ41" s="92" t="s">
        <v>95</v>
      </c>
      <c r="AK41" s="148"/>
      <c r="AL41" s="149"/>
      <c r="AM41" s="150"/>
      <c r="AN41" s="233"/>
      <c r="AO41" s="233"/>
      <c r="AP41" s="233"/>
      <c r="AQ41" s="151"/>
      <c r="AR41" s="152"/>
    </row>
    <row r="42" spans="1:44" ht="17.25" customHeight="1" thickBot="1" x14ac:dyDescent="0.25">
      <c r="A42" s="28"/>
      <c r="B42" s="20"/>
      <c r="C42" s="62"/>
      <c r="D42" s="49" t="s">
        <v>39</v>
      </c>
      <c r="E42" s="125" t="s">
        <v>40</v>
      </c>
      <c r="F42" s="124">
        <v>46090</v>
      </c>
      <c r="G42" s="125"/>
      <c r="H42" s="126">
        <f>O42/N42</f>
        <v>0.5</v>
      </c>
      <c r="I42" s="125" t="s">
        <v>65</v>
      </c>
      <c r="J42" s="125">
        <v>1</v>
      </c>
      <c r="K42" s="125">
        <v>0</v>
      </c>
      <c r="L42" s="192">
        <f>O42/N42</f>
        <v>0.5</v>
      </c>
      <c r="M42" s="193" t="s">
        <v>146</v>
      </c>
      <c r="N42" s="194">
        <v>18</v>
      </c>
      <c r="O42" s="195">
        <v>9</v>
      </c>
      <c r="P42" s="125" t="s">
        <v>92</v>
      </c>
      <c r="Q42" s="39"/>
      <c r="R42" s="39"/>
      <c r="S42" s="39"/>
      <c r="T42" s="106"/>
      <c r="U42" s="39"/>
      <c r="V42" s="21"/>
      <c r="W42" s="21"/>
      <c r="X42" s="39"/>
      <c r="Y42" s="39"/>
      <c r="Z42" s="39"/>
      <c r="AA42" s="106"/>
      <c r="AB42" s="21"/>
      <c r="AD42" s="94" t="s">
        <v>95</v>
      </c>
      <c r="AE42" s="21"/>
      <c r="AF42" s="93" t="s">
        <v>95</v>
      </c>
      <c r="AG42" s="21"/>
      <c r="AH42" s="106"/>
      <c r="AI42" s="39"/>
      <c r="AJ42" s="39"/>
      <c r="AK42" s="39"/>
      <c r="AL42" s="39"/>
      <c r="AM42" s="138"/>
      <c r="AN42" s="39"/>
      <c r="AO42" s="106"/>
      <c r="AP42" s="39"/>
      <c r="AQ42" s="39"/>
      <c r="AR42" s="86"/>
    </row>
    <row r="43" spans="1:44" ht="17.25" customHeight="1" thickBot="1" x14ac:dyDescent="0.25">
      <c r="A43" s="28"/>
      <c r="B43" s="20"/>
      <c r="C43" s="62"/>
      <c r="D43" s="49" t="s">
        <v>41</v>
      </c>
      <c r="E43" s="112" t="s">
        <v>42</v>
      </c>
      <c r="F43" s="110">
        <v>46090</v>
      </c>
      <c r="G43" s="112"/>
      <c r="H43" s="111">
        <f>O43/N43</f>
        <v>0.27777777777777779</v>
      </c>
      <c r="I43" s="112" t="s">
        <v>65</v>
      </c>
      <c r="J43" s="112">
        <v>1</v>
      </c>
      <c r="K43" s="112">
        <v>0</v>
      </c>
      <c r="L43" s="192">
        <f>O43/N43</f>
        <v>0.27777777777777779</v>
      </c>
      <c r="M43" s="193" t="s">
        <v>146</v>
      </c>
      <c r="N43" s="194">
        <v>18</v>
      </c>
      <c r="O43" s="195">
        <v>5</v>
      </c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89" t="s">
        <v>95</v>
      </c>
      <c r="AE43" s="21"/>
      <c r="AG43" s="90" t="s">
        <v>95</v>
      </c>
      <c r="AH43" s="102"/>
      <c r="AI43" s="21"/>
      <c r="AJ43" s="21"/>
      <c r="AK43" s="21"/>
      <c r="AL43" s="21"/>
      <c r="AM43" s="149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62"/>
      <c r="D44" s="49" t="s">
        <v>43</v>
      </c>
      <c r="E44" s="112" t="s">
        <v>72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>K44/K44</f>
        <v>1</v>
      </c>
      <c r="M44" s="127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62"/>
      <c r="D45" s="49" t="s">
        <v>44</v>
      </c>
      <c r="E45" s="112" t="s">
        <v>73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ref="L45:L52" si="1">K45/K45</f>
        <v>1</v>
      </c>
      <c r="M45" s="127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21"/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62"/>
      <c r="D46" s="49" t="s">
        <v>45</v>
      </c>
      <c r="E46" s="112" t="s">
        <v>74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1"/>
        <v>1</v>
      </c>
      <c r="M46" s="127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21"/>
      <c r="AK46" s="21"/>
      <c r="AL46" s="21"/>
      <c r="AM46" s="21"/>
      <c r="AN46" s="21"/>
      <c r="AO46" s="102"/>
      <c r="AP46" s="21"/>
      <c r="AQ46" s="21"/>
      <c r="AR46" s="81"/>
    </row>
    <row r="47" spans="1:44" ht="14.25" x14ac:dyDescent="0.2">
      <c r="A47" s="28"/>
      <c r="B47" s="20"/>
      <c r="C47" s="62"/>
      <c r="D47" s="49" t="s">
        <v>46</v>
      </c>
      <c r="E47" s="112" t="s">
        <v>75</v>
      </c>
      <c r="F47" s="110">
        <v>46090</v>
      </c>
      <c r="G47" s="113"/>
      <c r="H47" s="111">
        <v>1</v>
      </c>
      <c r="I47" s="112" t="s">
        <v>64</v>
      </c>
      <c r="J47" s="112">
        <v>1</v>
      </c>
      <c r="K47" s="112">
        <v>1</v>
      </c>
      <c r="L47" s="113">
        <f t="shared" si="1"/>
        <v>1</v>
      </c>
      <c r="M47" s="127"/>
      <c r="N47" s="112"/>
      <c r="O47" s="112"/>
      <c r="P47" s="112" t="s">
        <v>92</v>
      </c>
      <c r="Q47" s="21"/>
      <c r="R47" s="21"/>
      <c r="S47" s="21"/>
      <c r="T47" s="102"/>
      <c r="U47" s="21"/>
      <c r="V47" s="21"/>
      <c r="W47" s="21"/>
      <c r="X47" s="21"/>
      <c r="Y47" s="21"/>
      <c r="Z47" s="21"/>
      <c r="AA47" s="102"/>
      <c r="AB47" s="21"/>
      <c r="AC47" s="21"/>
      <c r="AD47" s="21"/>
      <c r="AE47" s="21"/>
      <c r="AF47" s="21"/>
      <c r="AG47" s="21"/>
      <c r="AH47" s="102"/>
      <c r="AI47" s="21"/>
      <c r="AJ47" s="21"/>
      <c r="AK47" s="21"/>
      <c r="AL47" s="21"/>
      <c r="AM47" s="21"/>
      <c r="AN47" s="21"/>
      <c r="AO47" s="102"/>
      <c r="AP47" s="21"/>
      <c r="AQ47" s="21"/>
      <c r="AR47" s="81"/>
    </row>
    <row r="48" spans="1:44" ht="14.25" x14ac:dyDescent="0.2">
      <c r="A48" s="28"/>
      <c r="B48" s="20"/>
      <c r="C48" s="62"/>
      <c r="D48" s="49" t="s">
        <v>47</v>
      </c>
      <c r="E48" s="112" t="s">
        <v>76</v>
      </c>
      <c r="F48" s="110">
        <v>46090</v>
      </c>
      <c r="G48" s="113"/>
      <c r="H48" s="111">
        <v>1</v>
      </c>
      <c r="I48" s="112" t="s">
        <v>64</v>
      </c>
      <c r="J48" s="112">
        <v>1</v>
      </c>
      <c r="K48" s="112">
        <v>1</v>
      </c>
      <c r="L48" s="113">
        <f t="shared" si="1"/>
        <v>1</v>
      </c>
      <c r="M48" s="127"/>
      <c r="N48" s="112"/>
      <c r="O48" s="112"/>
      <c r="P48" s="112" t="s">
        <v>92</v>
      </c>
      <c r="Q48" s="21"/>
      <c r="R48" s="21"/>
      <c r="S48" s="21"/>
      <c r="T48" s="102"/>
      <c r="U48" s="21"/>
      <c r="V48" s="21"/>
      <c r="W48" s="21"/>
      <c r="X48" s="21"/>
      <c r="Y48" s="21"/>
      <c r="Z48" s="21"/>
      <c r="AA48" s="102"/>
      <c r="AB48" s="21"/>
      <c r="AC48" s="21"/>
      <c r="AD48" s="21"/>
      <c r="AE48" s="21"/>
      <c r="AF48" s="21"/>
      <c r="AG48" s="21"/>
      <c r="AH48" s="102"/>
      <c r="AI48" s="21"/>
      <c r="AJ48" s="21"/>
      <c r="AK48" s="21"/>
      <c r="AL48" s="21"/>
      <c r="AM48" s="21"/>
      <c r="AN48" s="21"/>
      <c r="AO48" s="102"/>
      <c r="AP48" s="21"/>
      <c r="AQ48" s="21"/>
      <c r="AR48" s="81"/>
    </row>
    <row r="49" spans="1:44" ht="14.25" x14ac:dyDescent="0.2">
      <c r="A49" s="28"/>
      <c r="B49" s="20"/>
      <c r="C49" s="62"/>
      <c r="D49" s="49" t="s">
        <v>48</v>
      </c>
      <c r="E49" s="112" t="s">
        <v>77</v>
      </c>
      <c r="F49" s="110">
        <v>46090</v>
      </c>
      <c r="G49" s="113"/>
      <c r="H49" s="111">
        <v>1</v>
      </c>
      <c r="I49" s="112" t="s">
        <v>64</v>
      </c>
      <c r="J49" s="112">
        <v>1</v>
      </c>
      <c r="K49" s="112">
        <v>1</v>
      </c>
      <c r="L49" s="113">
        <f t="shared" si="1"/>
        <v>1</v>
      </c>
      <c r="M49" s="127"/>
      <c r="N49" s="112"/>
      <c r="O49" s="112"/>
      <c r="P49" s="112" t="s">
        <v>92</v>
      </c>
      <c r="Q49" s="21"/>
      <c r="R49" s="21"/>
      <c r="S49" s="21"/>
      <c r="T49" s="102"/>
      <c r="U49" s="21"/>
      <c r="V49" s="21"/>
      <c r="W49" s="21"/>
      <c r="X49" s="21"/>
      <c r="Y49" s="21"/>
      <c r="Z49" s="21"/>
      <c r="AA49" s="102"/>
      <c r="AB49" s="21"/>
      <c r="AC49" s="21"/>
      <c r="AD49" s="21"/>
      <c r="AE49" s="21"/>
      <c r="AF49" s="21"/>
      <c r="AG49" s="21"/>
      <c r="AH49" s="102"/>
      <c r="AI49" s="21"/>
      <c r="AJ49" s="21"/>
      <c r="AK49" s="21"/>
      <c r="AL49" s="21"/>
      <c r="AM49" s="21"/>
      <c r="AN49" s="21"/>
      <c r="AO49" s="102"/>
      <c r="AP49" s="21"/>
      <c r="AQ49" s="21"/>
      <c r="AR49" s="81"/>
    </row>
    <row r="50" spans="1:44" ht="14.25" x14ac:dyDescent="0.2">
      <c r="A50" s="28"/>
      <c r="B50" s="20"/>
      <c r="C50" s="62"/>
      <c r="D50" s="49" t="s">
        <v>49</v>
      </c>
      <c r="E50" s="112" t="s">
        <v>50</v>
      </c>
      <c r="F50" s="110">
        <v>46090</v>
      </c>
      <c r="G50" s="113"/>
      <c r="H50" s="111">
        <v>1</v>
      </c>
      <c r="I50" s="112" t="s">
        <v>64</v>
      </c>
      <c r="J50" s="112">
        <v>1</v>
      </c>
      <c r="K50" s="112">
        <v>1</v>
      </c>
      <c r="L50" s="113">
        <f t="shared" si="1"/>
        <v>1</v>
      </c>
      <c r="M50" s="127"/>
      <c r="N50" s="112"/>
      <c r="O50" s="112"/>
      <c r="P50" s="112" t="s">
        <v>92</v>
      </c>
      <c r="Q50" s="21"/>
      <c r="R50" s="21"/>
      <c r="S50" s="21"/>
      <c r="T50" s="102"/>
      <c r="U50" s="21"/>
      <c r="V50" s="21"/>
      <c r="W50" s="21"/>
      <c r="X50" s="21"/>
      <c r="Y50" s="21"/>
      <c r="Z50" s="21"/>
      <c r="AA50" s="102"/>
      <c r="AB50" s="21"/>
      <c r="AC50" s="21"/>
      <c r="AD50" s="21"/>
      <c r="AE50" s="21"/>
      <c r="AF50" s="21"/>
      <c r="AG50" s="21"/>
      <c r="AH50" s="102"/>
      <c r="AI50" s="21"/>
      <c r="AJ50" s="21"/>
      <c r="AK50" s="21"/>
      <c r="AL50" s="21"/>
      <c r="AM50" s="21"/>
      <c r="AN50" s="21"/>
      <c r="AO50" s="102"/>
      <c r="AP50" s="21"/>
      <c r="AQ50" s="21"/>
      <c r="AR50" s="81"/>
    </row>
    <row r="51" spans="1:44" ht="14.25" x14ac:dyDescent="0.2">
      <c r="A51" s="28"/>
      <c r="B51" s="20"/>
      <c r="C51" s="62"/>
      <c r="D51" s="49" t="s">
        <v>51</v>
      </c>
      <c r="E51" s="112" t="s">
        <v>52</v>
      </c>
      <c r="F51" s="110">
        <v>46090</v>
      </c>
      <c r="G51" s="113"/>
      <c r="H51" s="111">
        <v>1</v>
      </c>
      <c r="I51" s="112" t="s">
        <v>64</v>
      </c>
      <c r="J51" s="112">
        <v>1</v>
      </c>
      <c r="K51" s="112">
        <v>1</v>
      </c>
      <c r="L51" s="113">
        <f t="shared" si="1"/>
        <v>1</v>
      </c>
      <c r="M51" s="127"/>
      <c r="N51" s="112"/>
      <c r="O51" s="112"/>
      <c r="P51" s="112" t="s">
        <v>92</v>
      </c>
      <c r="Q51" s="21"/>
      <c r="R51" s="21"/>
      <c r="S51" s="21"/>
      <c r="T51" s="102"/>
      <c r="U51" s="21"/>
      <c r="V51" s="21"/>
      <c r="W51" s="21"/>
      <c r="X51" s="21"/>
      <c r="Y51" s="21"/>
      <c r="Z51" s="21"/>
      <c r="AA51" s="102"/>
      <c r="AB51" s="21"/>
      <c r="AC51" s="21"/>
      <c r="AD51" s="21"/>
      <c r="AE51" s="21"/>
      <c r="AF51" s="21"/>
      <c r="AG51" s="21"/>
      <c r="AH51" s="102"/>
      <c r="AI51" s="21"/>
      <c r="AJ51" s="21"/>
      <c r="AK51" s="21"/>
      <c r="AL51" s="21"/>
      <c r="AM51" s="21"/>
      <c r="AN51" s="21"/>
      <c r="AO51" s="102"/>
      <c r="AP51" s="21"/>
      <c r="AQ51" s="21"/>
      <c r="AR51" s="81"/>
    </row>
    <row r="52" spans="1:44" ht="15" thickBot="1" x14ac:dyDescent="0.25">
      <c r="A52" s="29"/>
      <c r="B52" s="30"/>
      <c r="C52" s="76"/>
      <c r="D52" s="145" t="s">
        <v>53</v>
      </c>
      <c r="E52" s="117" t="s">
        <v>54</v>
      </c>
      <c r="F52" s="115">
        <v>46090</v>
      </c>
      <c r="G52" s="118"/>
      <c r="H52" s="116">
        <v>1</v>
      </c>
      <c r="I52" s="117" t="s">
        <v>64</v>
      </c>
      <c r="J52" s="117">
        <v>8</v>
      </c>
      <c r="K52" s="117">
        <v>8</v>
      </c>
      <c r="L52" s="118">
        <f t="shared" si="1"/>
        <v>1</v>
      </c>
      <c r="M52" s="128"/>
      <c r="N52" s="117"/>
      <c r="O52" s="117"/>
      <c r="P52" s="117" t="s">
        <v>92</v>
      </c>
      <c r="Q52" s="31"/>
      <c r="R52" s="31"/>
      <c r="S52" s="31"/>
      <c r="T52" s="105"/>
      <c r="U52" s="31"/>
      <c r="V52" s="31"/>
      <c r="W52" s="31"/>
      <c r="X52" s="31"/>
      <c r="Y52" s="31"/>
      <c r="Z52" s="31"/>
      <c r="AA52" s="105"/>
      <c r="AB52" s="31"/>
      <c r="AC52" s="31"/>
      <c r="AD52" s="31"/>
      <c r="AE52" s="31"/>
      <c r="AF52" s="31"/>
      <c r="AG52" s="31"/>
      <c r="AH52" s="105"/>
      <c r="AI52" s="31"/>
      <c r="AJ52" s="31"/>
      <c r="AK52" s="31"/>
      <c r="AL52" s="31"/>
      <c r="AM52" s="31"/>
      <c r="AN52" s="31"/>
      <c r="AO52" s="105"/>
      <c r="AP52" s="31"/>
      <c r="AQ52" s="31"/>
      <c r="AR52" s="85"/>
    </row>
    <row r="53" spans="1:44" hidden="1" x14ac:dyDescent="0.2">
      <c r="A53" s="38"/>
      <c r="B53" s="38"/>
      <c r="C53" s="39"/>
      <c r="D53" s="40" t="s">
        <v>55</v>
      </c>
      <c r="E53" s="41" t="s">
        <v>56</v>
      </c>
      <c r="F53" s="42">
        <v>46078</v>
      </c>
      <c r="G53" s="39"/>
      <c r="H53" s="69">
        <v>1</v>
      </c>
      <c r="I53" s="39"/>
      <c r="J53" s="39"/>
      <c r="K53" s="39"/>
      <c r="L53" s="69"/>
      <c r="M53" s="238" t="s">
        <v>61</v>
      </c>
    </row>
    <row r="54" spans="1:44" hidden="1" x14ac:dyDescent="0.2">
      <c r="A54" s="20"/>
      <c r="B54" s="20"/>
      <c r="C54" s="21"/>
      <c r="D54" s="22" t="s">
        <v>57</v>
      </c>
      <c r="E54" s="23" t="s">
        <v>56</v>
      </c>
      <c r="F54" s="26">
        <v>46078</v>
      </c>
      <c r="G54" s="21"/>
      <c r="H54" s="50">
        <v>1</v>
      </c>
      <c r="I54" s="21"/>
      <c r="J54" s="21"/>
      <c r="K54" s="21"/>
      <c r="L54" s="50"/>
      <c r="M54" s="239"/>
    </row>
    <row r="55" spans="1:44" ht="13.5" hidden="1" thickBot="1" x14ac:dyDescent="0.25">
      <c r="A55" s="20"/>
      <c r="B55" s="20"/>
      <c r="C55" s="21"/>
      <c r="D55" s="22" t="s">
        <v>58</v>
      </c>
      <c r="E55" s="23" t="s">
        <v>56</v>
      </c>
      <c r="F55" s="26">
        <v>46078</v>
      </c>
      <c r="G55" s="21"/>
      <c r="H55" s="51">
        <v>1</v>
      </c>
      <c r="I55" s="21"/>
      <c r="J55" s="21"/>
      <c r="K55" s="21"/>
      <c r="L55" s="50"/>
      <c r="M55" s="239"/>
    </row>
    <row r="56" spans="1:44" ht="13.5" hidden="1" customHeight="1" x14ac:dyDescent="0.2">
      <c r="A56" s="20"/>
      <c r="B56" s="20"/>
      <c r="C56" s="21"/>
      <c r="D56" s="22"/>
      <c r="E56" s="23"/>
      <c r="F56" s="26"/>
      <c r="G56" s="21"/>
      <c r="H56" s="39"/>
      <c r="I56" s="21"/>
      <c r="J56" s="21"/>
      <c r="K56" s="21"/>
      <c r="L56" s="50"/>
      <c r="M56" s="239"/>
    </row>
    <row r="57" spans="1:44" ht="13.5" hidden="1" customHeight="1" x14ac:dyDescent="0.2">
      <c r="A57" s="20"/>
      <c r="B57" s="20"/>
      <c r="C57" s="21"/>
      <c r="D57" s="22"/>
      <c r="E57" s="23"/>
      <c r="F57" s="26"/>
      <c r="G57" s="21"/>
      <c r="H57" s="21"/>
      <c r="I57" s="21"/>
      <c r="J57" s="21"/>
      <c r="K57" s="21"/>
      <c r="L57" s="50"/>
      <c r="M57" s="239"/>
    </row>
    <row r="58" spans="1:44" ht="13.5" hidden="1" customHeight="1" x14ac:dyDescent="0.2">
      <c r="A58" s="20"/>
      <c r="B58" s="20"/>
      <c r="C58" s="32"/>
      <c r="D58" s="22"/>
      <c r="E58" s="33"/>
      <c r="F58" s="25"/>
      <c r="G58" s="21"/>
      <c r="H58" s="21"/>
      <c r="I58" s="21"/>
      <c r="J58" s="21"/>
      <c r="K58" s="21"/>
      <c r="L58" s="50"/>
      <c r="M58" s="239"/>
    </row>
    <row r="59" spans="1:44" hidden="1" x14ac:dyDescent="0.2">
      <c r="A59" s="20"/>
      <c r="B59" s="20"/>
      <c r="C59" s="32"/>
      <c r="D59" s="199" t="s">
        <v>35</v>
      </c>
      <c r="E59" s="199"/>
      <c r="F59" s="25"/>
      <c r="G59" s="21"/>
      <c r="H59" s="21"/>
      <c r="I59" s="21"/>
      <c r="J59" s="21"/>
      <c r="K59" s="21"/>
      <c r="L59" s="50"/>
      <c r="M59" s="239"/>
    </row>
    <row r="60" spans="1:44" ht="12.75" hidden="1" customHeight="1" x14ac:dyDescent="0.2">
      <c r="A60" s="20"/>
      <c r="B60" s="20"/>
      <c r="C60" s="21"/>
      <c r="D60" s="20"/>
      <c r="E60" s="21"/>
      <c r="F60" s="25"/>
      <c r="G60" s="21"/>
      <c r="H60" s="21"/>
      <c r="I60" s="21"/>
      <c r="J60" s="21"/>
      <c r="K60" s="21"/>
      <c r="L60" s="50"/>
      <c r="M60" s="239"/>
    </row>
    <row r="61" spans="1:44" hidden="1" x14ac:dyDescent="0.2">
      <c r="A61" s="27"/>
      <c r="B61" s="34"/>
      <c r="C61" s="34"/>
      <c r="D61" s="22" t="s">
        <v>59</v>
      </c>
      <c r="E61" s="23" t="s">
        <v>56</v>
      </c>
      <c r="F61" s="26">
        <v>46111</v>
      </c>
      <c r="G61" s="35"/>
      <c r="H61" s="21"/>
      <c r="I61" s="35"/>
      <c r="J61" s="35"/>
      <c r="K61" s="35"/>
      <c r="L61" s="70"/>
      <c r="M61" s="239"/>
    </row>
    <row r="62" spans="1:44" hidden="1" x14ac:dyDescent="0.2">
      <c r="A62" s="27"/>
      <c r="B62" s="34"/>
      <c r="C62" s="34"/>
      <c r="D62" s="34"/>
      <c r="E62" s="36"/>
      <c r="F62" s="26"/>
      <c r="G62" s="35"/>
      <c r="H62" s="21"/>
      <c r="I62" s="35"/>
      <c r="J62" s="35"/>
      <c r="K62" s="35"/>
      <c r="L62" s="70"/>
      <c r="M62" s="37"/>
    </row>
    <row r="63" spans="1:44" hidden="1" x14ac:dyDescent="0.2">
      <c r="A63" s="20"/>
      <c r="B63" s="20"/>
      <c r="C63" s="21"/>
      <c r="D63" s="20"/>
      <c r="E63" s="21"/>
      <c r="F63" s="25"/>
      <c r="G63" s="21"/>
      <c r="H63" s="21"/>
      <c r="I63" s="21"/>
      <c r="J63" s="21"/>
      <c r="K63" s="21"/>
      <c r="L63" s="50"/>
      <c r="M63" s="37"/>
    </row>
    <row r="64" spans="1:44" hidden="1" x14ac:dyDescent="0.2">
      <c r="A64" s="20"/>
      <c r="B64" s="20"/>
      <c r="C64" s="32"/>
      <c r="D64" s="199" t="s">
        <v>32</v>
      </c>
      <c r="E64" s="199"/>
      <c r="F64" s="25"/>
      <c r="G64" s="21"/>
      <c r="H64" s="35"/>
      <c r="I64" s="21"/>
      <c r="J64" s="21"/>
      <c r="K64" s="21"/>
      <c r="L64" s="50"/>
      <c r="M64" s="37"/>
    </row>
    <row r="65" spans="3:16" hidden="1" x14ac:dyDescent="0.2">
      <c r="C65" s="11"/>
      <c r="D65" s="16"/>
      <c r="E65" s="19"/>
      <c r="H65" s="35"/>
    </row>
    <row r="66" spans="3:16" hidden="1" x14ac:dyDescent="0.2">
      <c r="C66" s="11"/>
      <c r="H66" s="21"/>
    </row>
    <row r="67" spans="3:16" hidden="1" x14ac:dyDescent="0.2">
      <c r="H67" s="21"/>
    </row>
    <row r="68" spans="3:16" ht="13.5" hidden="1" thickBot="1" x14ac:dyDescent="0.25">
      <c r="D68" s="200" t="s">
        <v>23</v>
      </c>
      <c r="E68" s="201"/>
    </row>
    <row r="69" spans="3:16" x14ac:dyDescent="0.2">
      <c r="I69" s="3" t="s">
        <v>141</v>
      </c>
      <c r="L69" s="71">
        <f>O69/N69</f>
        <v>0.96912686927158709</v>
      </c>
      <c r="N69">
        <f>SUM(N21:N52)</f>
        <v>2073</v>
      </c>
      <c r="O69">
        <f>SUM(O21:O52)</f>
        <v>2009</v>
      </c>
      <c r="P69" s="71"/>
    </row>
  </sheetData>
  <mergeCells count="21">
    <mergeCell ref="AN33:AP41"/>
    <mergeCell ref="AP21:AP32"/>
    <mergeCell ref="M53:M61"/>
    <mergeCell ref="D59:E59"/>
    <mergeCell ref="D64:E64"/>
    <mergeCell ref="D68:E68"/>
    <mergeCell ref="F21:F32"/>
    <mergeCell ref="G21:G32"/>
    <mergeCell ref="H21:H32"/>
    <mergeCell ref="D33:D41"/>
    <mergeCell ref="E33:E41"/>
    <mergeCell ref="F33:F41"/>
    <mergeCell ref="G33:G41"/>
    <mergeCell ref="H33:H41"/>
    <mergeCell ref="D21:D32"/>
    <mergeCell ref="E21:E32"/>
    <mergeCell ref="D6:E6"/>
    <mergeCell ref="D9:E9"/>
    <mergeCell ref="D12:E12"/>
    <mergeCell ref="D15:E15"/>
    <mergeCell ref="D19:E19"/>
  </mergeCells>
  <pageMargins left="0.25" right="0.25" top="0.75" bottom="0.75" header="0.3" footer="0.3"/>
  <pageSetup paperSize="3" scale="63" fitToHeight="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7"/>
  <sheetViews>
    <sheetView zoomScale="130" zoomScaleNormal="130" workbookViewId="0">
      <selection activeCell="D9" sqref="D9:D14"/>
    </sheetView>
  </sheetViews>
  <sheetFormatPr defaultRowHeight="12.75" x14ac:dyDescent="0.2"/>
  <cols>
    <col min="3" max="3" width="12.5703125" bestFit="1" customWidth="1"/>
    <col min="4" max="4" width="29.28515625" bestFit="1" customWidth="1"/>
  </cols>
  <sheetData>
    <row r="1" spans="1:4" ht="13.5" thickBot="1" x14ac:dyDescent="0.25"/>
    <row r="2" spans="1:4" ht="13.5" thickBot="1" x14ac:dyDescent="0.25">
      <c r="A2" s="129" t="s">
        <v>100</v>
      </c>
      <c r="B2" s="78" t="s">
        <v>101</v>
      </c>
      <c r="C2" s="78" t="s">
        <v>102</v>
      </c>
      <c r="D2" s="79" t="s">
        <v>103</v>
      </c>
    </row>
    <row r="3" spans="1:4" ht="13.5" thickBot="1" x14ac:dyDescent="0.25">
      <c r="A3" s="130" t="s">
        <v>104</v>
      </c>
      <c r="B3" s="21" t="s">
        <v>127</v>
      </c>
      <c r="C3" s="21" t="s">
        <v>130</v>
      </c>
      <c r="D3" s="196" t="s">
        <v>145</v>
      </c>
    </row>
    <row r="4" spans="1:4" ht="13.5" thickBot="1" x14ac:dyDescent="0.25">
      <c r="A4" s="130" t="s">
        <v>105</v>
      </c>
      <c r="B4" s="21" t="s">
        <v>127</v>
      </c>
      <c r="C4" s="21" t="s">
        <v>130</v>
      </c>
      <c r="D4" s="196" t="s">
        <v>145</v>
      </c>
    </row>
    <row r="5" spans="1:4" ht="13.5" thickBot="1" x14ac:dyDescent="0.25">
      <c r="A5" s="130" t="s">
        <v>106</v>
      </c>
      <c r="B5" s="21" t="s">
        <v>127</v>
      </c>
      <c r="C5" s="21" t="s">
        <v>130</v>
      </c>
      <c r="D5" s="196" t="s">
        <v>145</v>
      </c>
    </row>
    <row r="6" spans="1:4" ht="13.5" thickBot="1" x14ac:dyDescent="0.25">
      <c r="A6" s="130" t="s">
        <v>107</v>
      </c>
      <c r="B6" s="21" t="s">
        <v>127</v>
      </c>
      <c r="C6" s="21" t="s">
        <v>130</v>
      </c>
      <c r="D6" s="196" t="s">
        <v>145</v>
      </c>
    </row>
    <row r="7" spans="1:4" x14ac:dyDescent="0.2">
      <c r="A7" s="130" t="s">
        <v>108</v>
      </c>
      <c r="B7" s="21" t="s">
        <v>127</v>
      </c>
      <c r="C7" s="21" t="s">
        <v>130</v>
      </c>
      <c r="D7" s="81" t="s">
        <v>131</v>
      </c>
    </row>
    <row r="8" spans="1:4" ht="13.5" thickBot="1" x14ac:dyDescent="0.25">
      <c r="A8" s="130" t="s">
        <v>109</v>
      </c>
      <c r="B8" s="21" t="s">
        <v>127</v>
      </c>
      <c r="C8" s="21" t="s">
        <v>130</v>
      </c>
      <c r="D8" s="81" t="s">
        <v>131</v>
      </c>
    </row>
    <row r="9" spans="1:4" ht="13.5" thickBot="1" x14ac:dyDescent="0.25">
      <c r="A9" s="130" t="s">
        <v>110</v>
      </c>
      <c r="B9" s="21" t="s">
        <v>129</v>
      </c>
      <c r="C9" s="21" t="s">
        <v>130</v>
      </c>
      <c r="D9" s="196" t="s">
        <v>145</v>
      </c>
    </row>
    <row r="10" spans="1:4" ht="13.5" thickBot="1" x14ac:dyDescent="0.25">
      <c r="A10" s="130" t="s">
        <v>128</v>
      </c>
      <c r="B10" s="21" t="s">
        <v>129</v>
      </c>
      <c r="C10" s="21" t="s">
        <v>130</v>
      </c>
      <c r="D10" s="196" t="s">
        <v>145</v>
      </c>
    </row>
    <row r="11" spans="1:4" ht="13.5" thickBot="1" x14ac:dyDescent="0.25">
      <c r="A11" s="130" t="s">
        <v>111</v>
      </c>
      <c r="B11" s="21" t="s">
        <v>129</v>
      </c>
      <c r="C11" s="21" t="s">
        <v>130</v>
      </c>
      <c r="D11" s="196" t="s">
        <v>145</v>
      </c>
    </row>
    <row r="12" spans="1:4" ht="13.5" thickBot="1" x14ac:dyDescent="0.25">
      <c r="A12" s="130" t="s">
        <v>112</v>
      </c>
      <c r="B12" s="21" t="s">
        <v>129</v>
      </c>
      <c r="C12" s="21" t="s">
        <v>130</v>
      </c>
      <c r="D12" s="196" t="s">
        <v>145</v>
      </c>
    </row>
    <row r="13" spans="1:4" ht="13.5" thickBot="1" x14ac:dyDescent="0.25">
      <c r="A13" s="130" t="s">
        <v>113</v>
      </c>
      <c r="B13" s="21" t="s">
        <v>129</v>
      </c>
      <c r="C13" s="21" t="s">
        <v>130</v>
      </c>
      <c r="D13" s="196" t="s">
        <v>145</v>
      </c>
    </row>
    <row r="14" spans="1:4" ht="13.5" thickBot="1" x14ac:dyDescent="0.25">
      <c r="A14" s="130" t="s">
        <v>114</v>
      </c>
      <c r="B14" s="21" t="s">
        <v>129</v>
      </c>
      <c r="C14" s="21" t="s">
        <v>130</v>
      </c>
      <c r="D14" s="196" t="s">
        <v>145</v>
      </c>
    </row>
    <row r="15" spans="1:4" x14ac:dyDescent="0.2">
      <c r="A15" s="130" t="s">
        <v>115</v>
      </c>
      <c r="B15" s="21" t="s">
        <v>127</v>
      </c>
      <c r="C15" s="21" t="s">
        <v>130</v>
      </c>
      <c r="D15" s="81" t="s">
        <v>147</v>
      </c>
    </row>
    <row r="16" spans="1:4" x14ac:dyDescent="0.2">
      <c r="A16" s="130" t="s">
        <v>116</v>
      </c>
      <c r="B16" s="21" t="s">
        <v>127</v>
      </c>
      <c r="C16" s="21" t="s">
        <v>130</v>
      </c>
      <c r="D16" s="81" t="s">
        <v>147</v>
      </c>
    </row>
    <row r="17" spans="1:4" x14ac:dyDescent="0.2">
      <c r="A17" s="130" t="s">
        <v>117</v>
      </c>
      <c r="B17" s="21" t="s">
        <v>127</v>
      </c>
      <c r="C17" s="21" t="s">
        <v>130</v>
      </c>
      <c r="D17" s="81" t="s">
        <v>147</v>
      </c>
    </row>
    <row r="18" spans="1:4" x14ac:dyDescent="0.2">
      <c r="A18" s="130" t="s">
        <v>118</v>
      </c>
      <c r="B18" s="21" t="s">
        <v>127</v>
      </c>
      <c r="C18" s="21" t="s">
        <v>130</v>
      </c>
      <c r="D18" s="81" t="s">
        <v>147</v>
      </c>
    </row>
    <row r="19" spans="1:4" x14ac:dyDescent="0.2">
      <c r="A19" s="130" t="s">
        <v>120</v>
      </c>
      <c r="B19" s="21" t="s">
        <v>127</v>
      </c>
      <c r="C19" s="21" t="s">
        <v>130</v>
      </c>
      <c r="D19" s="81" t="s">
        <v>147</v>
      </c>
    </row>
    <row r="20" spans="1:4" x14ac:dyDescent="0.2">
      <c r="A20" s="130" t="s">
        <v>119</v>
      </c>
      <c r="B20" s="21" t="s">
        <v>129</v>
      </c>
      <c r="C20" s="21" t="s">
        <v>130</v>
      </c>
      <c r="D20" s="81" t="s">
        <v>147</v>
      </c>
    </row>
    <row r="21" spans="1:4" x14ac:dyDescent="0.2">
      <c r="A21" s="130" t="s">
        <v>121</v>
      </c>
      <c r="B21" s="21" t="s">
        <v>129</v>
      </c>
      <c r="C21" s="21" t="s">
        <v>130</v>
      </c>
      <c r="D21" s="81" t="s">
        <v>147</v>
      </c>
    </row>
    <row r="22" spans="1:4" x14ac:dyDescent="0.2">
      <c r="A22" s="130" t="s">
        <v>122</v>
      </c>
      <c r="B22" s="21" t="s">
        <v>129</v>
      </c>
      <c r="C22" s="21" t="s">
        <v>130</v>
      </c>
      <c r="D22" s="81" t="s">
        <v>147</v>
      </c>
    </row>
    <row r="23" spans="1:4" x14ac:dyDescent="0.2">
      <c r="A23" s="130" t="s">
        <v>123</v>
      </c>
      <c r="B23" s="21" t="s">
        <v>129</v>
      </c>
      <c r="C23" s="21" t="s">
        <v>130</v>
      </c>
      <c r="D23" s="81" t="s">
        <v>147</v>
      </c>
    </row>
    <row r="24" spans="1:4" ht="13.5" thickBot="1" x14ac:dyDescent="0.25">
      <c r="A24" s="130" t="s">
        <v>124</v>
      </c>
      <c r="B24" s="21" t="s">
        <v>129</v>
      </c>
      <c r="C24" s="21" t="s">
        <v>130</v>
      </c>
      <c r="D24" s="81" t="s">
        <v>147</v>
      </c>
    </row>
    <row r="25" spans="1:4" ht="13.5" thickBot="1" x14ac:dyDescent="0.25">
      <c r="A25" s="130" t="s">
        <v>125</v>
      </c>
      <c r="B25" s="21" t="s">
        <v>127</v>
      </c>
      <c r="C25" s="21" t="s">
        <v>130</v>
      </c>
      <c r="D25" s="196" t="s">
        <v>145</v>
      </c>
    </row>
    <row r="26" spans="1:4" ht="13.5" thickBot="1" x14ac:dyDescent="0.25">
      <c r="A26" s="130" t="s">
        <v>126</v>
      </c>
      <c r="B26" s="21" t="s">
        <v>127</v>
      </c>
      <c r="C26" s="21" t="s">
        <v>130</v>
      </c>
      <c r="D26" s="196" t="s">
        <v>145</v>
      </c>
    </row>
    <row r="27" spans="1:4" ht="13.5" thickBot="1" x14ac:dyDescent="0.25">
      <c r="A27" s="131" t="s">
        <v>143</v>
      </c>
      <c r="B27" s="31" t="s">
        <v>127</v>
      </c>
      <c r="C27" s="76" t="s">
        <v>130</v>
      </c>
      <c r="D27" s="196" t="s">
        <v>145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With MockUp</vt:lpstr>
      <vt:lpstr>WO MockUp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'With MockUp'!Print_Area</vt:lpstr>
      <vt:lpstr>'With MockUp'!Print_Titles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April Lewis</cp:lastModifiedBy>
  <cp:lastPrinted>2026-02-26T20:19:23Z</cp:lastPrinted>
  <dcterms:created xsi:type="dcterms:W3CDTF">2007-01-25T21:44:56Z</dcterms:created>
  <dcterms:modified xsi:type="dcterms:W3CDTF">2026-02-27T15:26:24Z</dcterms:modified>
</cp:coreProperties>
</file>