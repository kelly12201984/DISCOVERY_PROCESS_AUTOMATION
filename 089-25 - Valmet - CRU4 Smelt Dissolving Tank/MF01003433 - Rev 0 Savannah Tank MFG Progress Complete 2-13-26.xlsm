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OBS\2025\089-25 - Valmet - CRU4 Smelt Dissolving Tank\"/>
    </mc:Choice>
  </mc:AlternateContent>
  <xr:revisionPtr revIDLastSave="0" documentId="8_{D61D6736-17B8-42D6-BF73-33A0CCBFB39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With MockUp" sheetId="1" r:id="rId1"/>
    <sheet name="WO MockUp" sheetId="6" r:id="rId2"/>
    <sheet name="Nozzles" sheetId="5" r:id="rId3"/>
    <sheet name="TransferValues" sheetId="4" state="hidden" r:id="rId4"/>
  </sheets>
  <definedNames>
    <definedName name="_xlnm._FilterDatabase" localSheetId="0" hidden="1">'With MockUp'!$A$3:$M$63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'With MockUp'!$A$1:$AR$64</definedName>
    <definedName name="_xlnm.Print_Titles" localSheetId="0">'With MockUp'!$1:$3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7" i="6" l="1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D2" i="6"/>
  <c r="D1" i="6"/>
  <c r="L28" i="1"/>
  <c r="L35" i="1"/>
  <c r="L36" i="1"/>
  <c r="L34" i="1"/>
  <c r="L33" i="1"/>
  <c r="L32" i="1"/>
  <c r="L31" i="1"/>
  <c r="L30" i="1"/>
  <c r="L47" i="1"/>
  <c r="L38" i="1"/>
  <c r="L37" i="1"/>
  <c r="L40" i="1"/>
  <c r="L41" i="1"/>
  <c r="L42" i="1"/>
  <c r="L43" i="1"/>
  <c r="L44" i="1"/>
  <c r="L45" i="1"/>
  <c r="L46" i="1"/>
  <c r="L39" i="1"/>
  <c r="L29" i="1"/>
  <c r="L21" i="1"/>
  <c r="L23" i="1"/>
  <c r="L24" i="1"/>
  <c r="L25" i="1"/>
  <c r="L26" i="1"/>
  <c r="L27" i="1"/>
  <c r="L22" i="1"/>
  <c r="B14" i="4"/>
  <c r="B10" i="4"/>
  <c r="B12" i="4"/>
  <c r="B7" i="4"/>
  <c r="B8" i="4"/>
  <c r="B9" i="4"/>
  <c r="D2" i="1"/>
  <c r="D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EC18DFA-C6A9-43A2-8155-5A259FA1BE76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E4A87231-AC9F-4B9E-92A9-B536F119C2EA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FD937BB7-5DFC-450E-B8CB-B42FE30F9486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9BDABD8A-8F8C-4DDE-8C18-CEDA48E8F051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CDCFEA5E-981D-4E4E-BD75-F4FF4C4DF0C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A6FAD08-106E-4564-A61B-0E9A40AC8D45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3DD2CFD3-49D8-4643-9919-D69E95E44EBC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<sst xmlns="http://schemas.openxmlformats.org/spreadsheetml/2006/main" count="475" uniqueCount="137">
  <si>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</si>
  <si>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</si>
  <si>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</si>
  <si>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</si>
  <si>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</si>
  <si>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</si>
  <si>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</si>
  <si>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</si>
  <si>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</si>
  <si>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</si>
  <si>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</si>
  <si>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</si>
  <si>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</si>
  <si>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</si>
  <si>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</si>
  <si>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</si>
  <si>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</si>
  <si>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</si>
  <si>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</si>
  <si>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</si>
  <si>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</si>
  <si>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</si>
  <si>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</si>
  <si>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</si>
  <si>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</si>
  <si>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</si>
  <si>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</si>
  <si>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</si>
  <si>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</si>
  <si>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</si>
  <si>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</si>
  <si>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</si>
  <si>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</si>
  <si>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</si>
  <si>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</si>
  <si>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</si>
  <si>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</si>
  <si>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</si>
  <si>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</si>
  <si>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</si>
  <si>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</si>
  <si>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</si>
  <si>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</si>
  <si>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</si>
  <si>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</si>
  <si>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</si>
  <si>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</si>
  <si>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</si>
  <si>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</si>
  <si>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</si>
  <si>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</si>
  <si>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</si>
  <si>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</si>
  <si>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</si>
  <si>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</si>
  <si>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</si>
  <si>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</si>
  <si>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</si>
  <si>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</si>
  <si>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</si>
  <si>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</si>
  <si>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</si>
  <si>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</si>
  <si>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REAR HALF DISSOLVING TANK (with sulzer rings)</t>
  </si>
  <si>
    <t>None</t>
  </si>
  <si>
    <t>Pieces cut need to be constructed (in progress)</t>
  </si>
  <si>
    <t>LF Weld Complete</t>
  </si>
  <si>
    <t>Tested</t>
  </si>
  <si>
    <t xml:space="preserve">Sulzer Wall Rings </t>
  </si>
  <si>
    <t>QTY</t>
  </si>
  <si>
    <t>QTY Complete</t>
  </si>
  <si>
    <t>% Complete by QTY</t>
  </si>
  <si>
    <t>ROOF STIFFENER BEAM 1</t>
  </si>
  <si>
    <t>ROOF STIFFENER BEAM 2</t>
  </si>
  <si>
    <t>ROOF STIFFENER BEAM 3</t>
  </si>
  <si>
    <t>ROOF STIFFENER BEAM 4</t>
  </si>
  <si>
    <t>ROOF STIFFENER BEAM 5</t>
  </si>
  <si>
    <t>ROOF STIFFENER BEAM 6</t>
  </si>
  <si>
    <t>yes</t>
  </si>
  <si>
    <t>Bottom</t>
  </si>
  <si>
    <t>Shell</t>
  </si>
  <si>
    <t xml:space="preserve">Top </t>
  </si>
  <si>
    <t>Shell to Bottom</t>
  </si>
  <si>
    <t>In process</t>
  </si>
  <si>
    <t>Shell to Top</t>
  </si>
  <si>
    <t xml:space="preserve"> awaiting shell to bottom</t>
  </si>
  <si>
    <t>Shell Stiffeners</t>
  </si>
  <si>
    <t>fabricated; in staging to be installed</t>
  </si>
  <si>
    <t>in staging to be installed</t>
  </si>
  <si>
    <t>Nozzles</t>
  </si>
  <si>
    <t>long seams need to be welded</t>
  </si>
  <si>
    <t>no</t>
  </si>
  <si>
    <t>N/A</t>
  </si>
  <si>
    <t>Man Door</t>
  </si>
  <si>
    <t xml:space="preserve">LF Weld </t>
  </si>
  <si>
    <t>x</t>
  </si>
  <si>
    <t>Top to Shell</t>
  </si>
  <si>
    <t>Shell/Roof Stiffeners</t>
  </si>
  <si>
    <t>Top</t>
  </si>
  <si>
    <t>Left to be done</t>
  </si>
  <si>
    <t>NOZZLE</t>
  </si>
  <si>
    <t>SIDE</t>
  </si>
  <si>
    <t>FABRICATED</t>
  </si>
  <si>
    <t>INSTALLED</t>
  </si>
  <si>
    <t>N1A</t>
  </si>
  <si>
    <t>N1B</t>
  </si>
  <si>
    <t>N1C</t>
  </si>
  <si>
    <t>N3</t>
  </si>
  <si>
    <t>N5A</t>
  </si>
  <si>
    <t>N5B</t>
  </si>
  <si>
    <t>N6A</t>
  </si>
  <si>
    <t>N6C</t>
  </si>
  <si>
    <t>N6D</t>
  </si>
  <si>
    <t>N7A</t>
  </si>
  <si>
    <t>N7B</t>
  </si>
  <si>
    <t>N11A</t>
  </si>
  <si>
    <t>N11B</t>
  </si>
  <si>
    <t>N11C</t>
  </si>
  <si>
    <t>N11D</t>
  </si>
  <si>
    <t>N11F</t>
  </si>
  <si>
    <t>N11E</t>
  </si>
  <si>
    <t>N11G</t>
  </si>
  <si>
    <t>N11H</t>
  </si>
  <si>
    <t>N11I</t>
  </si>
  <si>
    <t>N11J</t>
  </si>
  <si>
    <t>N12A</t>
  </si>
  <si>
    <t>N12B</t>
  </si>
  <si>
    <t>B</t>
  </si>
  <si>
    <t>N6B</t>
  </si>
  <si>
    <t>A</t>
  </si>
  <si>
    <t>COMPLETE</t>
  </si>
  <si>
    <t>NOT INSTALLED</t>
  </si>
  <si>
    <t>MOCK UP</t>
  </si>
  <si>
    <t>ARRIVE LATE SATURDAY
UNLOAD FIRST THING MONDAY</t>
  </si>
  <si>
    <t>ARRIVE EARLY MONDAY</t>
  </si>
  <si>
    <t>SHIP</t>
  </si>
  <si>
    <t>CLEAN AND GET READY FOR SHIP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</si>
</sst>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\-mmm\-yyyy;@"/>
    <numFmt numFmtId="166" formatCode="[$-F800]dddd\,\ mmmm\ dd\,\ yyyy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5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165" fontId="0" fillId="0" borderId="9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9" fontId="0" fillId="0" borderId="1" xfId="0" applyNumberFormat="1" applyBorder="1"/>
    <xf numFmtId="9" fontId="0" fillId="0" borderId="8" xfId="0" applyNumberFormat="1" applyBorder="1"/>
    <xf numFmtId="166" fontId="0" fillId="0" borderId="0" xfId="0" applyNumberFormat="1" applyAlignment="1">
      <alignment textRotation="90"/>
    </xf>
    <xf numFmtId="0" fontId="5" fillId="3" borderId="11" xfId="0" applyFont="1" applyFill="1" applyBorder="1" applyAlignment="1">
      <alignment horizontal="left" vertical="center" wrapText="1" indent="1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wrapText="1" indent="1"/>
    </xf>
    <xf numFmtId="0" fontId="4" fillId="0" borderId="12" xfId="0" applyFont="1" applyBorder="1" applyAlignment="1">
      <alignment horizontal="left" inden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5" fillId="4" borderId="11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12" xfId="0" applyFont="1" applyBorder="1"/>
    <xf numFmtId="0" fontId="0" fillId="0" borderId="12" xfId="0" applyBorder="1"/>
    <xf numFmtId="9" fontId="0" fillId="2" borderId="0" xfId="0" applyNumberFormat="1" applyFill="1"/>
    <xf numFmtId="9" fontId="0" fillId="2" borderId="0" xfId="0" applyNumberFormat="1" applyFill="1" applyAlignment="1">
      <alignment vertical="top"/>
    </xf>
    <xf numFmtId="9" fontId="5" fillId="4" borderId="11" xfId="0" applyNumberFormat="1" applyFont="1" applyFill="1" applyBorder="1" applyAlignment="1">
      <alignment horizontal="center" vertical="center" wrapText="1"/>
    </xf>
    <xf numFmtId="9" fontId="0" fillId="0" borderId="12" xfId="0" applyNumberFormat="1" applyBorder="1" applyAlignment="1">
      <alignment horizontal="center"/>
    </xf>
    <xf numFmtId="9" fontId="4" fillId="0" borderId="12" xfId="0" applyNumberFormat="1" applyFont="1" applyBorder="1"/>
    <xf numFmtId="9" fontId="0" fillId="0" borderId="12" xfId="0" applyNumberFormat="1" applyBorder="1"/>
    <xf numFmtId="9" fontId="0" fillId="0" borderId="9" xfId="0" applyNumberFormat="1" applyBorder="1"/>
    <xf numFmtId="9" fontId="0" fillId="0" borderId="1" xfId="0" applyNumberFormat="1" applyBorder="1" applyAlignment="1">
      <alignment horizontal="center"/>
    </xf>
    <xf numFmtId="9" fontId="0" fillId="0" borderId="0" xfId="0" applyNumberFormat="1"/>
    <xf numFmtId="49" fontId="5" fillId="3" borderId="11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Border="1" applyAlignment="1">
      <alignment vertical="center" wrapText="1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/>
    <xf numFmtId="49" fontId="5" fillId="3" borderId="4" xfId="0" applyNumberFormat="1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4" xfId="0" applyBorder="1"/>
    <xf numFmtId="49" fontId="4" fillId="0" borderId="6" xfId="0" applyNumberFormat="1" applyFont="1" applyBorder="1" applyAlignment="1">
      <alignment horizontal="center" vertical="center" wrapText="1"/>
    </xf>
    <xf numFmtId="0" fontId="0" fillId="0" borderId="15" xfId="0" applyBorder="1"/>
    <xf numFmtId="0" fontId="1" fillId="0" borderId="6" xfId="0" applyFont="1" applyBorder="1" applyAlignment="1">
      <alignment horizontal="center" vertical="center"/>
    </xf>
    <xf numFmtId="0" fontId="4" fillId="0" borderId="15" xfId="0" applyFont="1" applyBorder="1"/>
    <xf numFmtId="0" fontId="0" fillId="0" borderId="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9" xfId="0" applyBorder="1"/>
    <xf numFmtId="0" fontId="0" fillId="6" borderId="1" xfId="0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9" xfId="0" applyFill="1" applyBorder="1"/>
    <xf numFmtId="0" fontId="0" fillId="6" borderId="9" xfId="0" applyFill="1" applyBorder="1"/>
    <xf numFmtId="0" fontId="0" fillId="6" borderId="8" xfId="0" applyFill="1" applyBorder="1"/>
    <xf numFmtId="0" fontId="1" fillId="0" borderId="10" xfId="0" applyFont="1" applyBorder="1" applyAlignment="1">
      <alignment vertical="center"/>
    </xf>
    <xf numFmtId="0" fontId="0" fillId="0" borderId="22" xfId="0" applyBorder="1"/>
    <xf numFmtId="9" fontId="0" fillId="0" borderId="22" xfId="0" applyNumberFormat="1" applyBorder="1"/>
    <xf numFmtId="0" fontId="0" fillId="0" borderId="22" xfId="0" applyBorder="1" applyAlignment="1">
      <alignment horizontal="center" vertical="center" wrapText="1"/>
    </xf>
    <xf numFmtId="166" fontId="0" fillId="8" borderId="0" xfId="0" applyNumberFormat="1" applyFill="1" applyAlignment="1">
      <alignment textRotation="90"/>
    </xf>
    <xf numFmtId="0" fontId="0" fillId="8" borderId="5" xfId="0" applyFill="1" applyBorder="1"/>
    <xf numFmtId="0" fontId="0" fillId="8" borderId="1" xfId="0" applyFill="1" applyBorder="1"/>
    <xf numFmtId="0" fontId="4" fillId="8" borderId="1" xfId="0" applyFont="1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9" xfId="0" applyFill="1" applyBorder="1"/>
    <xf numFmtId="0" fontId="10" fillId="0" borderId="5" xfId="0" applyFont="1" applyBorder="1"/>
    <xf numFmtId="9" fontId="10" fillId="0" borderId="5" xfId="0" applyNumberFormat="1" applyFont="1" applyBorder="1"/>
    <xf numFmtId="0" fontId="10" fillId="0" borderId="5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/>
    <xf numFmtId="9" fontId="10" fillId="0" borderId="1" xfId="0" applyNumberFormat="1" applyFont="1" applyBorder="1"/>
    <xf numFmtId="0" fontId="10" fillId="0" borderId="1" xfId="0" applyFont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/>
    <xf numFmtId="9" fontId="10" fillId="0" borderId="8" xfId="0" applyNumberFormat="1" applyFont="1" applyBorder="1"/>
    <xf numFmtId="0" fontId="10" fillId="0" borderId="8" xfId="0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9" fontId="10" fillId="0" borderId="1" xfId="0" applyNumberFormat="1" applyFont="1" applyBorder="1" applyAlignment="1">
      <alignment wrapText="1"/>
    </xf>
    <xf numFmtId="0" fontId="10" fillId="0" borderId="8" xfId="0" applyFont="1" applyBorder="1" applyAlignment="1">
      <alignment wrapText="1"/>
    </xf>
    <xf numFmtId="9" fontId="10" fillId="0" borderId="8" xfId="0" applyNumberFormat="1" applyFont="1" applyBorder="1" applyAlignment="1">
      <alignment wrapText="1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/>
    <xf numFmtId="9" fontId="10" fillId="0" borderId="9" xfId="0" applyNumberFormat="1" applyFont="1" applyBorder="1" applyAlignment="1">
      <alignment horizontal="center" vertical="center"/>
    </xf>
    <xf numFmtId="9" fontId="10" fillId="0" borderId="9" xfId="0" applyNumberFormat="1" applyFont="1" applyBorder="1"/>
    <xf numFmtId="0" fontId="10" fillId="0" borderId="9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 indent="1"/>
    </xf>
    <xf numFmtId="0" fontId="10" fillId="0" borderId="8" xfId="0" applyFont="1" applyBorder="1" applyAlignment="1">
      <alignment horizontal="left" inden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9" fontId="10" fillId="0" borderId="5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0" fontId="0" fillId="0" borderId="5" xfId="0" applyFill="1" applyBorder="1"/>
    <xf numFmtId="0" fontId="0" fillId="0" borderId="1" xfId="0" applyFill="1" applyBorder="1"/>
    <xf numFmtId="0" fontId="4" fillId="0" borderId="1" xfId="0" applyFont="1" applyFill="1" applyBorder="1"/>
    <xf numFmtId="0" fontId="0" fillId="0" borderId="10" xfId="0" applyFill="1" applyBorder="1"/>
    <xf numFmtId="0" fontId="0" fillId="9" borderId="5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9" fillId="12" borderId="23" xfId="0" applyFont="1" applyFill="1" applyBorder="1" applyAlignment="1">
      <alignment horizontal="center" vertical="center" textRotation="90"/>
    </xf>
    <xf numFmtId="0" fontId="9" fillId="12" borderId="24" xfId="0" applyFont="1" applyFill="1" applyBorder="1" applyAlignment="1">
      <alignment horizontal="center" vertical="center" textRotation="90"/>
    </xf>
    <xf numFmtId="0" fontId="0" fillId="0" borderId="1" xfId="0" applyBorder="1" applyAlignment="1">
      <alignment horizontal="left" wrapText="1" indent="1"/>
    </xf>
    <xf numFmtId="9" fontId="4" fillId="0" borderId="1" xfId="0" applyNumberFormat="1" applyFont="1" applyBorder="1"/>
    <xf numFmtId="0" fontId="4" fillId="0" borderId="1" xfId="0" applyFont="1" applyBorder="1" applyAlignment="1">
      <alignment horizontal="left" indent="1"/>
    </xf>
    <xf numFmtId="0" fontId="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8" fillId="10" borderId="1" xfId="0" applyFont="1" applyFill="1" applyBorder="1" applyAlignment="1">
      <alignment vertical="center" textRotation="90"/>
    </xf>
    <xf numFmtId="0" fontId="4" fillId="12" borderId="1" xfId="0" applyFont="1" applyFill="1" applyBorder="1" applyAlignment="1">
      <alignment horizontal="center" vertical="center" textRotation="90"/>
    </xf>
    <xf numFmtId="0" fontId="9" fillId="0" borderId="1" xfId="0" applyFont="1" applyFill="1" applyBorder="1" applyAlignment="1">
      <alignment vertical="center" textRotation="90"/>
    </xf>
    <xf numFmtId="0" fontId="0" fillId="9" borderId="1" xfId="0" applyFill="1" applyBorder="1" applyAlignment="1"/>
    <xf numFmtId="0" fontId="8" fillId="0" borderId="1" xfId="0" applyFont="1" applyBorder="1" applyAlignment="1">
      <alignment vertical="center" textRotation="90"/>
    </xf>
    <xf numFmtId="0" fontId="0" fillId="12" borderId="1" xfId="0" applyFill="1" applyBorder="1" applyAlignment="1">
      <alignment horizontal="center" vertical="center" textRotation="90"/>
    </xf>
    <xf numFmtId="0" fontId="9" fillId="0" borderId="1" xfId="0" applyFont="1" applyBorder="1" applyAlignment="1">
      <alignment vertical="center" textRotation="90"/>
    </xf>
    <xf numFmtId="9" fontId="5" fillId="4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left" vertical="center" wrapText="1" indent="1"/>
    </xf>
    <xf numFmtId="0" fontId="4" fillId="0" borderId="6" xfId="0" applyFont="1" applyBorder="1" applyAlignment="1">
      <alignment horizontal="center" vertical="center"/>
    </xf>
    <xf numFmtId="0" fontId="9" fillId="0" borderId="15" xfId="0" applyFont="1" applyFill="1" applyBorder="1" applyAlignment="1">
      <alignment vertical="center" textRotation="90"/>
    </xf>
    <xf numFmtId="0" fontId="9" fillId="0" borderId="15" xfId="0" applyFont="1" applyBorder="1" applyAlignment="1">
      <alignment vertical="center" textRotation="90"/>
    </xf>
    <xf numFmtId="0" fontId="4" fillId="0" borderId="7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8" fillId="10" borderId="5" xfId="0" applyFont="1" applyFill="1" applyBorder="1" applyAlignment="1">
      <alignment vertical="center" textRotation="90"/>
    </xf>
    <xf numFmtId="0" fontId="9" fillId="0" borderId="5" xfId="0" applyFont="1" applyBorder="1" applyAlignment="1">
      <alignment vertical="center" textRotation="90"/>
    </xf>
    <xf numFmtId="0" fontId="0" fillId="9" borderId="8" xfId="0" applyFill="1" applyBorder="1" applyAlignment="1"/>
    <xf numFmtId="0" fontId="8" fillId="10" borderId="8" xfId="0" applyFont="1" applyFill="1" applyBorder="1" applyAlignment="1">
      <alignment vertical="center" textRotation="90"/>
    </xf>
    <xf numFmtId="0" fontId="8" fillId="0" borderId="8" xfId="0" applyFont="1" applyBorder="1" applyAlignment="1">
      <alignment vertical="center" textRotation="90"/>
    </xf>
    <xf numFmtId="0" fontId="0" fillId="12" borderId="8" xfId="0" applyFill="1" applyBorder="1" applyAlignment="1">
      <alignment horizontal="center" vertical="center" textRotation="90"/>
    </xf>
    <xf numFmtId="0" fontId="9" fillId="0" borderId="8" xfId="0" applyFont="1" applyBorder="1" applyAlignment="1">
      <alignment vertical="center" textRotation="90"/>
    </xf>
    <xf numFmtId="0" fontId="9" fillId="0" borderId="16" xfId="0" applyFont="1" applyBorder="1" applyAlignment="1">
      <alignment vertical="center" textRotation="90"/>
    </xf>
    <xf numFmtId="0" fontId="0" fillId="0" borderId="2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9" fontId="0" fillId="0" borderId="10" xfId="0" applyNumberFormat="1" applyBorder="1"/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30" xfId="0" applyBorder="1"/>
    <xf numFmtId="0" fontId="4" fillId="0" borderId="20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9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wrapText="1"/>
    </xf>
    <xf numFmtId="9" fontId="10" fillId="0" borderId="9" xfId="0" applyNumberFormat="1" applyFont="1" applyBorder="1" applyAlignment="1">
      <alignment wrapText="1"/>
    </xf>
    <xf numFmtId="0" fontId="0" fillId="9" borderId="9" xfId="0" applyFill="1" applyBorder="1" applyAlignment="1"/>
    <xf numFmtId="0" fontId="8" fillId="10" borderId="9" xfId="0" applyFont="1" applyFill="1" applyBorder="1" applyAlignment="1">
      <alignment vertical="center" textRotation="90"/>
    </xf>
    <xf numFmtId="0" fontId="8" fillId="0" borderId="9" xfId="0" applyFont="1" applyBorder="1" applyAlignment="1">
      <alignment vertical="center" textRotation="90"/>
    </xf>
    <xf numFmtId="0" fontId="0" fillId="12" borderId="9" xfId="0" applyFill="1" applyBorder="1" applyAlignment="1">
      <alignment horizontal="center" vertical="center" textRotation="90" wrapText="1"/>
    </xf>
    <xf numFmtId="0" fontId="0" fillId="12" borderId="9" xfId="0" applyFill="1" applyBorder="1" applyAlignment="1">
      <alignment horizontal="center" vertical="center" textRotation="90"/>
    </xf>
    <xf numFmtId="0" fontId="9" fillId="0" borderId="9" xfId="0" applyFont="1" applyBorder="1" applyAlignment="1">
      <alignment vertical="center" textRotation="90"/>
    </xf>
    <xf numFmtId="0" fontId="9" fillId="0" borderId="17" xfId="0" applyFont="1" applyBorder="1" applyAlignment="1">
      <alignment vertical="center" textRotation="90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 textRotation="90"/>
    </xf>
    <xf numFmtId="0" fontId="9" fillId="0" borderId="5" xfId="0" applyFont="1" applyFill="1" applyBorder="1" applyAlignment="1">
      <alignment vertical="center" textRotation="90"/>
    </xf>
    <xf numFmtId="0" fontId="9" fillId="0" borderId="14" xfId="0" applyFont="1" applyFill="1" applyBorder="1" applyAlignment="1">
      <alignment vertical="center" textRotation="90"/>
    </xf>
    <xf numFmtId="0" fontId="0" fillId="0" borderId="13" xfId="0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 textRotation="90"/>
    </xf>
    <xf numFmtId="0" fontId="9" fillId="0" borderId="8" xfId="0" applyFont="1" applyFill="1" applyBorder="1" applyAlignment="1">
      <alignment vertical="center" textRotation="90"/>
    </xf>
    <xf numFmtId="0" fontId="9" fillId="0" borderId="16" xfId="0" applyFont="1" applyFill="1" applyBorder="1" applyAlignment="1">
      <alignment vertical="center" textRotation="90"/>
    </xf>
    <xf numFmtId="0" fontId="0" fillId="0" borderId="9" xfId="0" applyFill="1" applyBorder="1"/>
    <xf numFmtId="0" fontId="0" fillId="11" borderId="1" xfId="0" applyFill="1" applyBorder="1" applyAlignment="1">
      <alignment horizontal="center" vertical="center" textRotation="90"/>
    </xf>
    <xf numFmtId="0" fontId="0" fillId="0" borderId="5" xfId="0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0" fillId="11" borderId="5" xfId="0" applyFill="1" applyBorder="1" applyAlignment="1">
      <alignment horizontal="center" vertical="center" textRotation="90"/>
    </xf>
    <xf numFmtId="0" fontId="4" fillId="0" borderId="8" xfId="0" applyFont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 textRotation="90"/>
    </xf>
    <xf numFmtId="0" fontId="8" fillId="10" borderId="28" xfId="0" applyFont="1" applyFill="1" applyBorder="1" applyAlignment="1">
      <alignment horizontal="center" vertical="center" textRotation="90"/>
    </xf>
    <xf numFmtId="0" fontId="8" fillId="10" borderId="9" xfId="0" applyFont="1" applyFill="1" applyBorder="1" applyAlignment="1">
      <alignment horizontal="center" vertical="center" textRotation="90"/>
    </xf>
    <xf numFmtId="0" fontId="8" fillId="10" borderId="27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0" xfId="0" applyFill="1" applyBorder="1" applyAlignment="1">
      <alignment horizontal="center" vertical="center" textRotation="90" wrapText="1"/>
    </xf>
    <xf numFmtId="0" fontId="0" fillId="9" borderId="28" xfId="0" applyFill="1" applyBorder="1" applyAlignment="1">
      <alignment horizontal="center" vertical="center" textRotation="90" wrapText="1"/>
    </xf>
    <xf numFmtId="0" fontId="0" fillId="9" borderId="9" xfId="0" applyFill="1" applyBorder="1" applyAlignment="1">
      <alignment horizontal="center" vertical="center" textRotation="90" wrapText="1"/>
    </xf>
    <xf numFmtId="0" fontId="9" fillId="12" borderId="10" xfId="0" applyFont="1" applyFill="1" applyBorder="1" applyAlignment="1">
      <alignment horizontal="center" vertical="center" textRotation="90"/>
    </xf>
    <xf numFmtId="0" fontId="9" fillId="12" borderId="28" xfId="0" applyFont="1" applyFill="1" applyBorder="1" applyAlignment="1">
      <alignment horizontal="center" vertical="center" textRotation="90"/>
    </xf>
    <xf numFmtId="0" fontId="9" fillId="12" borderId="9" xfId="0" applyFont="1" applyFill="1" applyBorder="1" applyAlignment="1">
      <alignment horizontal="center" vertical="center" textRotation="90"/>
    </xf>
    <xf numFmtId="0" fontId="9" fillId="12" borderId="25" xfId="0" applyFont="1" applyFill="1" applyBorder="1" applyAlignment="1">
      <alignment horizontal="center" vertical="center" textRotation="90"/>
    </xf>
    <xf numFmtId="0" fontId="9" fillId="12" borderId="26" xfId="0" applyFont="1" applyFill="1" applyBorder="1" applyAlignment="1">
      <alignment horizontal="center" vertical="center" textRotation="90"/>
    </xf>
    <xf numFmtId="0" fontId="9" fillId="12" borderId="30" xfId="0" applyFont="1" applyFill="1" applyBorder="1" applyAlignment="1">
      <alignment horizontal="center" vertical="center" textRotation="90"/>
    </xf>
    <xf numFmtId="0" fontId="9" fillId="12" borderId="31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R63"/>
  <sheetViews>
    <sheetView tabSelected="1" topLeftCell="E1" zoomScale="85" zoomScaleNormal="85" zoomScalePageLayoutView="80" workbookViewId="0">
      <pane ySplit="3" topLeftCell="A21" activePane="bottomLeft" state="frozen"/>
      <selection pane="bottomLeft" activeCell="M33" sqref="M33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59" t="s">
        <v>69</v>
      </c>
      <c r="K3" s="59" t="s">
        <v>70</v>
      </c>
      <c r="L3" s="65" t="s">
        <v>71</v>
      </c>
      <c r="M3" s="5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151"/>
      <c r="AK3" s="151"/>
      <c r="AL3" s="151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60"/>
      <c r="K4" s="60"/>
      <c r="L4" s="66"/>
      <c r="M4" s="54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152"/>
      <c r="AK4" s="152"/>
      <c r="AL4" s="152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60"/>
      <c r="K5" s="60"/>
      <c r="L5" s="66"/>
      <c r="M5" s="54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152"/>
      <c r="AK5" s="152"/>
      <c r="AL5" s="152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136" t="s">
        <v>27</v>
      </c>
      <c r="E6" s="137"/>
      <c r="F6" s="26"/>
      <c r="G6" s="35"/>
      <c r="H6" s="35"/>
      <c r="I6" s="35"/>
      <c r="J6" s="60"/>
      <c r="K6" s="60"/>
      <c r="L6" s="66"/>
      <c r="M6" s="54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152"/>
      <c r="AK6" s="152"/>
      <c r="AL6" s="152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60"/>
      <c r="K7" s="60"/>
      <c r="L7" s="66"/>
      <c r="M7" s="5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152"/>
      <c r="AK7" s="152"/>
      <c r="AL7" s="152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61"/>
      <c r="K8" s="61"/>
      <c r="L8" s="67"/>
      <c r="M8" s="56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153"/>
      <c r="AK8" s="153"/>
      <c r="AL8" s="15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136" t="s">
        <v>31</v>
      </c>
      <c r="E9" s="137"/>
      <c r="F9" s="25"/>
      <c r="G9" s="21"/>
      <c r="H9" s="21"/>
      <c r="I9" s="21"/>
      <c r="J9" s="62"/>
      <c r="K9" s="62"/>
      <c r="L9" s="68"/>
      <c r="M9" s="54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152"/>
      <c r="AK9" s="152"/>
      <c r="AL9" s="152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60"/>
      <c r="K10" s="60"/>
      <c r="L10" s="66"/>
      <c r="M10" s="5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152"/>
      <c r="AK10" s="152"/>
      <c r="AL10" s="152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60"/>
      <c r="K11" s="60"/>
      <c r="L11" s="66"/>
      <c r="M11" s="5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152"/>
      <c r="AK11" s="152"/>
      <c r="AL11" s="152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36" t="s">
        <v>28</v>
      </c>
      <c r="E12" s="137"/>
      <c r="F12" s="20"/>
      <c r="G12" s="21"/>
      <c r="H12" s="21"/>
      <c r="I12" s="21"/>
      <c r="J12" s="62"/>
      <c r="K12" s="62"/>
      <c r="L12" s="68"/>
      <c r="M12" s="5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152"/>
      <c r="AK12" s="152"/>
      <c r="AL12" s="152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62"/>
      <c r="K13" s="62"/>
      <c r="L13" s="68"/>
      <c r="M13" s="5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152"/>
      <c r="AK13" s="152"/>
      <c r="AL13" s="152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62"/>
      <c r="K14" s="62"/>
      <c r="L14" s="68"/>
      <c r="M14" s="5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152"/>
      <c r="AK14" s="152"/>
      <c r="AL14" s="152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36" t="s">
        <v>30</v>
      </c>
      <c r="E15" s="137"/>
      <c r="F15" s="25"/>
      <c r="G15" s="21"/>
      <c r="H15" s="21"/>
      <c r="I15" s="21"/>
      <c r="J15" s="62"/>
      <c r="K15" s="62"/>
      <c r="L15" s="68"/>
      <c r="M15" s="5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152"/>
      <c r="AK15" s="152"/>
      <c r="AL15" s="152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62"/>
      <c r="K16" s="62"/>
      <c r="L16" s="68"/>
      <c r="M16" s="5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152"/>
      <c r="AK16" s="152"/>
      <c r="AL16" s="152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62"/>
      <c r="K17" s="62"/>
      <c r="L17" s="68"/>
      <c r="M17" s="5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152"/>
      <c r="AK17" s="152"/>
      <c r="AL17" s="152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60"/>
      <c r="K18" s="60"/>
      <c r="L18" s="66"/>
      <c r="M18" s="5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152"/>
      <c r="AK18" s="152"/>
      <c r="AL18" s="152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36" t="s">
        <v>29</v>
      </c>
      <c r="E19" s="137"/>
      <c r="F19" s="25"/>
      <c r="G19" s="21"/>
      <c r="H19" s="21"/>
      <c r="I19" s="21"/>
      <c r="J19" s="62"/>
      <c r="K19" s="62"/>
      <c r="L19" s="68"/>
      <c r="M19" s="5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152"/>
      <c r="AK19" s="152"/>
      <c r="AL19" s="152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87"/>
      <c r="B20" s="188"/>
      <c r="C20" s="189"/>
      <c r="D20" s="190"/>
      <c r="E20" s="96"/>
      <c r="F20" s="58"/>
      <c r="G20" s="87"/>
      <c r="H20" s="87"/>
      <c r="I20" s="87"/>
      <c r="J20" s="97"/>
      <c r="K20" s="97"/>
      <c r="L20" s="98"/>
      <c r="M20" s="9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154"/>
      <c r="AK20" s="154"/>
      <c r="AL20" s="154"/>
      <c r="AM20" s="87"/>
      <c r="AN20" s="87"/>
      <c r="AO20" s="104"/>
      <c r="AP20" s="87"/>
      <c r="AQ20" s="87"/>
      <c r="AR20" s="88"/>
    </row>
    <row r="21" spans="1:44" ht="14.25" x14ac:dyDescent="0.2">
      <c r="A21" s="209"/>
      <c r="B21" s="210"/>
      <c r="C21" s="225"/>
      <c r="D21" s="226" t="s">
        <v>36</v>
      </c>
      <c r="E21" s="213" t="s">
        <v>63</v>
      </c>
      <c r="F21" s="148">
        <v>46091</v>
      </c>
      <c r="G21" s="145"/>
      <c r="H21" s="142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227" t="s">
        <v>132</v>
      </c>
      <c r="AL21" s="233" t="s">
        <v>136</v>
      </c>
      <c r="AM21" s="233"/>
      <c r="AN21" s="232" t="s">
        <v>135</v>
      </c>
      <c r="AO21" s="101"/>
      <c r="AP21" s="180"/>
      <c r="AQ21" s="158"/>
      <c r="AR21" s="241"/>
    </row>
    <row r="22" spans="1:44" ht="14.25" x14ac:dyDescent="0.2">
      <c r="A22" s="28"/>
      <c r="B22" s="20"/>
      <c r="C22" s="32"/>
      <c r="D22" s="163"/>
      <c r="E22" s="164"/>
      <c r="F22" s="149"/>
      <c r="G22" s="146"/>
      <c r="H22" s="143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224"/>
      <c r="AL22" s="234"/>
      <c r="AM22" s="234"/>
      <c r="AN22" s="230"/>
      <c r="AO22" s="102"/>
      <c r="AP22" s="171"/>
      <c r="AQ22" s="159"/>
      <c r="AR22" s="242"/>
    </row>
    <row r="23" spans="1:44" ht="14.25" x14ac:dyDescent="0.2">
      <c r="A23" s="28"/>
      <c r="B23" s="20"/>
      <c r="C23" s="32"/>
      <c r="D23" s="163"/>
      <c r="E23" s="164"/>
      <c r="F23" s="149"/>
      <c r="G23" s="146"/>
      <c r="H23" s="143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90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21"/>
      <c r="V23" s="21"/>
      <c r="W23" s="90" t="s">
        <v>95</v>
      </c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224"/>
      <c r="AL23" s="234"/>
      <c r="AM23" s="234"/>
      <c r="AN23" s="230"/>
      <c r="AO23" s="102"/>
      <c r="AP23" s="171"/>
      <c r="AQ23" s="159"/>
      <c r="AR23" s="242"/>
    </row>
    <row r="24" spans="1:44" ht="14.25" x14ac:dyDescent="0.2">
      <c r="A24" s="28"/>
      <c r="B24" s="20"/>
      <c r="C24" s="32"/>
      <c r="D24" s="163"/>
      <c r="E24" s="164"/>
      <c r="F24" s="149"/>
      <c r="G24" s="146"/>
      <c r="H24" s="143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224"/>
      <c r="AL24" s="234"/>
      <c r="AM24" s="234"/>
      <c r="AN24" s="230"/>
      <c r="AO24" s="102"/>
      <c r="AP24" s="171"/>
      <c r="AQ24" s="159"/>
      <c r="AR24" s="242"/>
    </row>
    <row r="25" spans="1:44" ht="14.25" x14ac:dyDescent="0.2">
      <c r="A25" s="28"/>
      <c r="B25" s="20"/>
      <c r="C25" s="32"/>
      <c r="D25" s="163"/>
      <c r="E25" s="164"/>
      <c r="F25" s="149"/>
      <c r="G25" s="146"/>
      <c r="H25" s="143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224"/>
      <c r="AL25" s="234"/>
      <c r="AM25" s="234"/>
      <c r="AN25" s="230"/>
      <c r="AO25" s="102"/>
      <c r="AP25" s="171"/>
      <c r="AQ25" s="159"/>
      <c r="AR25" s="242"/>
    </row>
    <row r="26" spans="1:44" ht="14.25" x14ac:dyDescent="0.2">
      <c r="A26" s="28"/>
      <c r="B26" s="20"/>
      <c r="C26" s="32"/>
      <c r="D26" s="163"/>
      <c r="E26" s="164"/>
      <c r="F26" s="149"/>
      <c r="G26" s="146"/>
      <c r="H26" s="143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224"/>
      <c r="AL26" s="234"/>
      <c r="AM26" s="234"/>
      <c r="AN26" s="230"/>
      <c r="AO26" s="102"/>
      <c r="AP26" s="171"/>
      <c r="AQ26" s="159"/>
      <c r="AR26" s="242"/>
    </row>
    <row r="27" spans="1:44" ht="14.25" x14ac:dyDescent="0.2">
      <c r="A27" s="28"/>
      <c r="B27" s="20"/>
      <c r="C27" s="32"/>
      <c r="D27" s="163"/>
      <c r="E27" s="164"/>
      <c r="F27" s="149"/>
      <c r="G27" s="146"/>
      <c r="H27" s="143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21" t="s">
        <v>95</v>
      </c>
      <c r="AH27" s="102"/>
      <c r="AI27" s="21" t="s">
        <v>95</v>
      </c>
      <c r="AJ27" s="90" t="s">
        <v>95</v>
      </c>
      <c r="AK27" s="224"/>
      <c r="AL27" s="234"/>
      <c r="AM27" s="234"/>
      <c r="AN27" s="230"/>
      <c r="AO27" s="102"/>
      <c r="AP27" s="171"/>
      <c r="AQ27" s="159"/>
      <c r="AR27" s="242"/>
    </row>
    <row r="28" spans="1:44" ht="14.25" x14ac:dyDescent="0.2">
      <c r="A28" s="28"/>
      <c r="B28" s="20"/>
      <c r="C28" s="32"/>
      <c r="D28" s="163"/>
      <c r="E28" s="164"/>
      <c r="F28" s="149"/>
      <c r="G28" s="146"/>
      <c r="H28" s="143"/>
      <c r="I28" s="112" t="s">
        <v>89</v>
      </c>
      <c r="J28" s="112">
        <v>13</v>
      </c>
      <c r="K28" s="112">
        <v>0</v>
      </c>
      <c r="L28" s="113">
        <f t="shared" ref="L28" si="1">K28/J28</f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224"/>
      <c r="AL28" s="234"/>
      <c r="AM28" s="234"/>
      <c r="AN28" s="230"/>
      <c r="AO28" s="102"/>
      <c r="AP28" s="171"/>
      <c r="AQ28" s="159"/>
      <c r="AR28" s="242"/>
    </row>
    <row r="29" spans="1:44" ht="14.25" x14ac:dyDescent="0.2">
      <c r="A29" s="28"/>
      <c r="B29" s="20"/>
      <c r="C29" s="32"/>
      <c r="D29" s="163"/>
      <c r="E29" s="164"/>
      <c r="F29" s="149"/>
      <c r="G29" s="146"/>
      <c r="H29" s="143"/>
      <c r="I29" s="112" t="s">
        <v>93</v>
      </c>
      <c r="J29" s="112">
        <v>1</v>
      </c>
      <c r="K29" s="112">
        <v>0</v>
      </c>
      <c r="L29" s="113">
        <f t="shared" si="0"/>
        <v>0</v>
      </c>
      <c r="M29" s="114" t="s">
        <v>87</v>
      </c>
      <c r="N29" s="112">
        <v>96</v>
      </c>
      <c r="O29" s="112"/>
      <c r="P29" s="112" t="s">
        <v>92</v>
      </c>
      <c r="Q29" s="21"/>
      <c r="R29" s="21"/>
      <c r="S29" s="21"/>
      <c r="T29" s="102"/>
      <c r="U29" s="21"/>
      <c r="V29" s="21"/>
      <c r="W29" s="21"/>
      <c r="X29" s="21"/>
      <c r="Y29" s="21"/>
      <c r="Z29" s="21"/>
      <c r="AA29" s="102"/>
      <c r="AB29" s="21"/>
      <c r="AC29" s="21"/>
      <c r="AD29" s="21"/>
      <c r="AE29" s="90" t="s">
        <v>95</v>
      </c>
      <c r="AF29" s="21"/>
      <c r="AG29" s="21"/>
      <c r="AH29" s="102"/>
      <c r="AI29" s="21"/>
      <c r="AJ29" s="90"/>
      <c r="AK29" s="224"/>
      <c r="AL29" s="234"/>
      <c r="AM29" s="234"/>
      <c r="AN29" s="231"/>
      <c r="AO29" s="102"/>
      <c r="AP29" s="171"/>
      <c r="AQ29" s="243"/>
      <c r="AR29" s="244"/>
    </row>
    <row r="30" spans="1:44" ht="18.75" customHeight="1" x14ac:dyDescent="0.2">
      <c r="A30" s="28"/>
      <c r="B30" s="20"/>
      <c r="C30" s="21"/>
      <c r="D30" s="163" t="s">
        <v>38</v>
      </c>
      <c r="E30" s="164" t="s">
        <v>37</v>
      </c>
      <c r="F30" s="149">
        <v>46092</v>
      </c>
      <c r="G30" s="146"/>
      <c r="H30" s="143">
        <v>0.4</v>
      </c>
      <c r="I30" s="112" t="s">
        <v>79</v>
      </c>
      <c r="J30" s="120">
        <v>1</v>
      </c>
      <c r="K30" s="120">
        <v>1</v>
      </c>
      <c r="L30" s="121">
        <f t="shared" si="0"/>
        <v>1</v>
      </c>
      <c r="M30" s="114"/>
      <c r="N30" s="112">
        <v>0</v>
      </c>
      <c r="O30" s="112"/>
      <c r="P30" s="112" t="s">
        <v>78</v>
      </c>
      <c r="Q30" s="21"/>
      <c r="R30" s="21"/>
      <c r="S30" s="21"/>
      <c r="T30" s="102"/>
      <c r="U30" s="21"/>
      <c r="V30" s="21"/>
      <c r="W30" s="21"/>
      <c r="X30" s="21"/>
      <c r="Y30" s="21"/>
      <c r="Z30" s="21"/>
      <c r="AA30" s="102"/>
      <c r="AB30" s="21"/>
      <c r="AC30" s="21"/>
      <c r="AD30" s="21"/>
      <c r="AE30" s="21"/>
      <c r="AF30" s="21"/>
      <c r="AG30" s="21"/>
      <c r="AH30" s="102"/>
      <c r="AI30" s="21"/>
      <c r="AJ30" s="90"/>
      <c r="AK30" s="224"/>
      <c r="AL30" s="235" t="s">
        <v>136</v>
      </c>
      <c r="AM30" s="229" t="s">
        <v>135</v>
      </c>
      <c r="AN30" s="169"/>
      <c r="AO30" s="102"/>
      <c r="AP30" s="238"/>
      <c r="AQ30" s="171"/>
      <c r="AR30" s="176"/>
    </row>
    <row r="31" spans="1:44" ht="18.75" customHeight="1" x14ac:dyDescent="0.2">
      <c r="A31" s="28"/>
      <c r="B31" s="20"/>
      <c r="C31" s="21"/>
      <c r="D31" s="163"/>
      <c r="E31" s="164"/>
      <c r="F31" s="149"/>
      <c r="G31" s="146"/>
      <c r="H31" s="143"/>
      <c r="I31" s="112" t="s">
        <v>80</v>
      </c>
      <c r="J31" s="120">
        <v>1</v>
      </c>
      <c r="K31" s="120">
        <v>1</v>
      </c>
      <c r="L31" s="121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224"/>
      <c r="AL31" s="236"/>
      <c r="AM31" s="230"/>
      <c r="AN31" s="169"/>
      <c r="AO31" s="102"/>
      <c r="AP31" s="239"/>
      <c r="AQ31" s="171"/>
      <c r="AR31" s="176"/>
    </row>
    <row r="32" spans="1:44" ht="18.75" customHeight="1" x14ac:dyDescent="0.2">
      <c r="A32" s="28"/>
      <c r="B32" s="20"/>
      <c r="C32" s="21"/>
      <c r="D32" s="163"/>
      <c r="E32" s="164"/>
      <c r="F32" s="149"/>
      <c r="G32" s="146"/>
      <c r="H32" s="143"/>
      <c r="I32" s="112" t="s">
        <v>98</v>
      </c>
      <c r="J32" s="120">
        <v>1</v>
      </c>
      <c r="K32" s="120">
        <v>0</v>
      </c>
      <c r="L32" s="121">
        <f t="shared" si="0"/>
        <v>0</v>
      </c>
      <c r="M32" s="114" t="s">
        <v>90</v>
      </c>
      <c r="N32" s="112">
        <v>156</v>
      </c>
      <c r="O32" s="112"/>
      <c r="P32" s="112" t="s">
        <v>91</v>
      </c>
      <c r="Q32" s="21"/>
      <c r="R32" s="21"/>
      <c r="S32" s="21"/>
      <c r="T32" s="102"/>
      <c r="U32" s="21"/>
      <c r="V32" s="21"/>
      <c r="W32" s="21"/>
      <c r="X32" s="21"/>
      <c r="Y32" s="89" t="s">
        <v>95</v>
      </c>
      <c r="Z32" s="90" t="s">
        <v>95</v>
      </c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224"/>
      <c r="AL32" s="236"/>
      <c r="AM32" s="230"/>
      <c r="AN32" s="169"/>
      <c r="AO32" s="102"/>
      <c r="AP32" s="239"/>
      <c r="AQ32" s="171"/>
      <c r="AR32" s="176"/>
    </row>
    <row r="33" spans="1:44" ht="18.75" customHeight="1" x14ac:dyDescent="0.2">
      <c r="A33" s="28"/>
      <c r="B33" s="20"/>
      <c r="C33" s="21"/>
      <c r="D33" s="163"/>
      <c r="E33" s="164"/>
      <c r="F33" s="149"/>
      <c r="G33" s="146"/>
      <c r="H33" s="143"/>
      <c r="I33" s="112" t="s">
        <v>82</v>
      </c>
      <c r="J33" s="120">
        <v>1</v>
      </c>
      <c r="K33" s="120">
        <v>0</v>
      </c>
      <c r="L33" s="121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224"/>
      <c r="AL33" s="236"/>
      <c r="AM33" s="230"/>
      <c r="AN33" s="169"/>
      <c r="AO33" s="102"/>
      <c r="AP33" s="239"/>
      <c r="AQ33" s="171"/>
      <c r="AR33" s="176"/>
    </row>
    <row r="34" spans="1:44" ht="18.75" customHeight="1" x14ac:dyDescent="0.2">
      <c r="A34" s="28"/>
      <c r="B34" s="20"/>
      <c r="C34" s="21"/>
      <c r="D34" s="163"/>
      <c r="E34" s="164"/>
      <c r="F34" s="149"/>
      <c r="G34" s="146"/>
      <c r="H34" s="143"/>
      <c r="I34" s="112" t="s">
        <v>84</v>
      </c>
      <c r="J34" s="120">
        <v>1</v>
      </c>
      <c r="K34" s="120">
        <v>0</v>
      </c>
      <c r="L34" s="121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224"/>
      <c r="AL34" s="236"/>
      <c r="AM34" s="230"/>
      <c r="AN34" s="169"/>
      <c r="AO34" s="102"/>
      <c r="AP34" s="239"/>
      <c r="AQ34" s="171"/>
      <c r="AR34" s="176"/>
    </row>
    <row r="35" spans="1:44" ht="18.75" customHeight="1" x14ac:dyDescent="0.2">
      <c r="A35" s="28"/>
      <c r="B35" s="20"/>
      <c r="C35" s="21"/>
      <c r="D35" s="163"/>
      <c r="E35" s="164"/>
      <c r="F35" s="149"/>
      <c r="G35" s="146"/>
      <c r="H35" s="143"/>
      <c r="I35" s="112" t="s">
        <v>97</v>
      </c>
      <c r="J35" s="120">
        <v>6</v>
      </c>
      <c r="K35" s="120">
        <v>0</v>
      </c>
      <c r="L35" s="121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224"/>
      <c r="AL35" s="236"/>
      <c r="AM35" s="230"/>
      <c r="AN35" s="169"/>
      <c r="AO35" s="102"/>
      <c r="AP35" s="239"/>
      <c r="AQ35" s="171"/>
      <c r="AR35" s="176"/>
    </row>
    <row r="36" spans="1:44" ht="18.75" customHeight="1" x14ac:dyDescent="0.2">
      <c r="A36" s="28"/>
      <c r="B36" s="20"/>
      <c r="C36" s="21"/>
      <c r="D36" s="163"/>
      <c r="E36" s="164"/>
      <c r="F36" s="149"/>
      <c r="G36" s="146"/>
      <c r="H36" s="143"/>
      <c r="I36" s="112" t="s">
        <v>89</v>
      </c>
      <c r="J36" s="120">
        <v>11</v>
      </c>
      <c r="K36" s="120">
        <v>0</v>
      </c>
      <c r="L36" s="121">
        <f t="shared" si="0"/>
        <v>0</v>
      </c>
      <c r="M36" s="114" t="s">
        <v>87</v>
      </c>
      <c r="N36" s="112">
        <v>20</v>
      </c>
      <c r="O36" s="112"/>
      <c r="P36" s="112" t="s">
        <v>91</v>
      </c>
      <c r="Q36" s="21"/>
      <c r="R36" s="21"/>
      <c r="S36" s="21"/>
      <c r="T36" s="102"/>
      <c r="U36" s="21"/>
      <c r="V36" s="21"/>
      <c r="W36" s="21"/>
      <c r="X36" s="21"/>
      <c r="Y36" s="21"/>
      <c r="Z36" s="21"/>
      <c r="AA36" s="102"/>
      <c r="AB36" s="89" t="s">
        <v>95</v>
      </c>
      <c r="AC36" s="89" t="s">
        <v>95</v>
      </c>
      <c r="AD36" s="89" t="s">
        <v>95</v>
      </c>
      <c r="AE36" s="89" t="s">
        <v>95</v>
      </c>
      <c r="AF36" s="90" t="s">
        <v>95</v>
      </c>
      <c r="AG36" s="21"/>
      <c r="AH36" s="102"/>
      <c r="AI36" s="21"/>
      <c r="AJ36" s="90"/>
      <c r="AK36" s="224"/>
      <c r="AL36" s="237"/>
      <c r="AM36" s="231"/>
      <c r="AN36" s="169"/>
      <c r="AO36" s="102"/>
      <c r="AP36" s="240"/>
      <c r="AQ36" s="171"/>
      <c r="AR36" s="176"/>
    </row>
    <row r="37" spans="1:44" ht="14.25" x14ac:dyDescent="0.2">
      <c r="A37" s="28"/>
      <c r="B37" s="20"/>
      <c r="C37" s="21"/>
      <c r="D37" s="22" t="s">
        <v>39</v>
      </c>
      <c r="E37" s="112" t="s">
        <v>40</v>
      </c>
      <c r="F37" s="110">
        <v>46090</v>
      </c>
      <c r="G37" s="112"/>
      <c r="H37" s="111">
        <v>0.6</v>
      </c>
      <c r="I37" s="112" t="s">
        <v>65</v>
      </c>
      <c r="J37" s="112">
        <v>1</v>
      </c>
      <c r="K37" s="112">
        <v>0</v>
      </c>
      <c r="L37" s="113">
        <f>K37/J37</f>
        <v>0</v>
      </c>
      <c r="M37" s="114"/>
      <c r="N37" s="112">
        <v>18</v>
      </c>
      <c r="O37" s="112"/>
      <c r="P37" s="112" t="s">
        <v>92</v>
      </c>
      <c r="Q37" s="89" t="s">
        <v>95</v>
      </c>
      <c r="R37" s="89" t="s">
        <v>95</v>
      </c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 t="s">
        <v>95</v>
      </c>
      <c r="AK37" s="21"/>
      <c r="AL37" s="21"/>
      <c r="AM37" s="21"/>
      <c r="AN37" s="21"/>
      <c r="AO37" s="102"/>
      <c r="AP37" s="21"/>
      <c r="AQ37" s="21"/>
      <c r="AR37" s="81"/>
    </row>
    <row r="38" spans="1:44" ht="14.25" x14ac:dyDescent="0.2">
      <c r="A38" s="28"/>
      <c r="B38" s="20"/>
      <c r="C38" s="21"/>
      <c r="D38" s="22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9"/>
      <c r="N38" s="112">
        <v>18</v>
      </c>
      <c r="O38" s="112"/>
      <c r="P38" s="112" t="s">
        <v>92</v>
      </c>
      <c r="Q38" s="89" t="s">
        <v>95</v>
      </c>
      <c r="R38" s="89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 t="s">
        <v>95</v>
      </c>
      <c r="AK38" s="21"/>
      <c r="AL38" s="21"/>
      <c r="AM38" s="21"/>
      <c r="AN38" s="21"/>
      <c r="AO38" s="102"/>
      <c r="AP38" s="21"/>
      <c r="AQ38" s="21"/>
      <c r="AR38" s="81"/>
    </row>
    <row r="39" spans="1:44" ht="14.25" x14ac:dyDescent="0.2">
      <c r="A39" s="28"/>
      <c r="B39" s="20"/>
      <c r="C39" s="21"/>
      <c r="D39" s="22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9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4.25" x14ac:dyDescent="0.2">
      <c r="A40" s="28"/>
      <c r="B40" s="20"/>
      <c r="C40" s="21"/>
      <c r="D40" s="22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2">K40/K40</f>
        <v>1</v>
      </c>
      <c r="M40" s="129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4.25" x14ac:dyDescent="0.2">
      <c r="A41" s="28"/>
      <c r="B41" s="20"/>
      <c r="C41" s="21"/>
      <c r="D41" s="22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2"/>
        <v>1</v>
      </c>
      <c r="M41" s="129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4.25" x14ac:dyDescent="0.2">
      <c r="A42" s="28"/>
      <c r="B42" s="20"/>
      <c r="C42" s="21"/>
      <c r="D42" s="22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2"/>
        <v>1</v>
      </c>
      <c r="M42" s="129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4.25" x14ac:dyDescent="0.2">
      <c r="A43" s="28"/>
      <c r="B43" s="20"/>
      <c r="C43" s="21"/>
      <c r="D43" s="22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2"/>
        <v>1</v>
      </c>
      <c r="M43" s="129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21"/>
      <c r="D44" s="22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2"/>
        <v>1</v>
      </c>
      <c r="M44" s="129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21"/>
      <c r="D45" s="22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2"/>
        <v>1</v>
      </c>
      <c r="M45" s="129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90" t="s">
        <v>95</v>
      </c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21"/>
      <c r="D46" s="22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2"/>
        <v>1</v>
      </c>
      <c r="M46" s="129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90" t="s">
        <v>95</v>
      </c>
      <c r="AK46" s="21"/>
      <c r="AL46" s="21"/>
      <c r="AM46" s="21"/>
      <c r="AN46" s="21"/>
      <c r="AO46" s="102"/>
      <c r="AP46" s="21"/>
      <c r="AQ46" s="21"/>
      <c r="AR46" s="81"/>
    </row>
    <row r="47" spans="1:44" ht="15" thickBot="1" x14ac:dyDescent="0.25">
      <c r="A47" s="29"/>
      <c r="B47" s="30"/>
      <c r="C47" s="31"/>
      <c r="D47" s="228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2"/>
        <v>1</v>
      </c>
      <c r="M47" s="130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140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141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141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141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141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141"/>
    </row>
    <row r="54" spans="1:13" hidden="1" x14ac:dyDescent="0.2">
      <c r="A54" s="20"/>
      <c r="B54" s="20"/>
      <c r="C54" s="32"/>
      <c r="D54" s="137" t="s">
        <v>35</v>
      </c>
      <c r="E54" s="137"/>
      <c r="F54" s="25"/>
      <c r="G54" s="21"/>
      <c r="H54" s="21"/>
      <c r="I54" s="21"/>
      <c r="J54" s="21"/>
      <c r="K54" s="21"/>
      <c r="L54" s="50"/>
      <c r="M54" s="141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141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141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137" t="s">
        <v>32</v>
      </c>
      <c r="E59" s="137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134" t="s">
        <v>23</v>
      </c>
      <c r="E63" s="135"/>
    </row>
  </sheetData>
  <autoFilter ref="A3:M63" xr:uid="{093B0862-BE0A-43B3-B0EF-9D0DED56F05C}"/>
  <mergeCells count="26">
    <mergeCell ref="G30:G36"/>
    <mergeCell ref="H30:H36"/>
    <mergeCell ref="D30:D36"/>
    <mergeCell ref="AL21:AM29"/>
    <mergeCell ref="AK21:AK36"/>
    <mergeCell ref="AL30:AL36"/>
    <mergeCell ref="AM30:AM36"/>
    <mergeCell ref="AN21:AN29"/>
    <mergeCell ref="AP30:AP36"/>
    <mergeCell ref="AQ21:AR29"/>
    <mergeCell ref="D6:E6"/>
    <mergeCell ref="M48:M56"/>
    <mergeCell ref="H21:H29"/>
    <mergeCell ref="G21:G29"/>
    <mergeCell ref="F21:F29"/>
    <mergeCell ref="F30:F36"/>
    <mergeCell ref="D63:E63"/>
    <mergeCell ref="D12:E12"/>
    <mergeCell ref="D19:E19"/>
    <mergeCell ref="D15:E15"/>
    <mergeCell ref="D9:E9"/>
    <mergeCell ref="D54:E54"/>
    <mergeCell ref="D59:E59"/>
    <mergeCell ref="E21:E29"/>
    <mergeCell ref="D21:D29"/>
    <mergeCell ref="E30:E36"/>
  </mergeCells>
  <phoneticPr fontId="2" type="noConversion"/>
  <printOptions gridLines="1"/>
  <pageMargins left="0.25" right="0.25" top="0.75" bottom="0.75" header="0.3" footer="0.3"/>
  <pageSetup paperSize="3" scale="63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8A38-46C2-453C-B3FF-A1BFE6991F67}">
  <sheetPr>
    <pageSetUpPr fitToPage="1"/>
  </sheetPr>
  <dimension ref="A1:AR63"/>
  <sheetViews>
    <sheetView topLeftCell="I1" zoomScale="85" zoomScaleNormal="85" workbookViewId="0">
      <selection activeCell="AK27" sqref="AK27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47" t="s">
        <v>69</v>
      </c>
      <c r="K3" s="47" t="s">
        <v>70</v>
      </c>
      <c r="L3" s="172" t="s">
        <v>71</v>
      </c>
      <c r="M3" s="17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151"/>
      <c r="AK3" s="151"/>
      <c r="AL3" s="151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35"/>
      <c r="K4" s="35"/>
      <c r="L4" s="70"/>
      <c r="M4" s="37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152"/>
      <c r="AK4" s="152"/>
      <c r="AL4" s="152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35"/>
      <c r="K5" s="35"/>
      <c r="L5" s="70"/>
      <c r="M5" s="37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152"/>
      <c r="AK5" s="152"/>
      <c r="AL5" s="152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136" t="s">
        <v>27</v>
      </c>
      <c r="E6" s="137"/>
      <c r="F6" s="26"/>
      <c r="G6" s="35"/>
      <c r="H6" s="35"/>
      <c r="I6" s="35"/>
      <c r="J6" s="35"/>
      <c r="K6" s="35"/>
      <c r="L6" s="70"/>
      <c r="M6" s="37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152"/>
      <c r="AK6" s="152"/>
      <c r="AL6" s="152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35"/>
      <c r="K7" s="35"/>
      <c r="L7" s="70"/>
      <c r="M7" s="160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152"/>
      <c r="AK7" s="152"/>
      <c r="AL7" s="152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23"/>
      <c r="K8" s="23"/>
      <c r="L8" s="161"/>
      <c r="M8" s="162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153"/>
      <c r="AK8" s="153"/>
      <c r="AL8" s="15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136" t="s">
        <v>31</v>
      </c>
      <c r="E9" s="137"/>
      <c r="F9" s="25"/>
      <c r="G9" s="21"/>
      <c r="H9" s="21"/>
      <c r="I9" s="21"/>
      <c r="J9" s="21"/>
      <c r="K9" s="21"/>
      <c r="L9" s="50"/>
      <c r="M9" s="37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152"/>
      <c r="AK9" s="152"/>
      <c r="AL9" s="152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35"/>
      <c r="K10" s="35"/>
      <c r="L10" s="70"/>
      <c r="M10" s="160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152"/>
      <c r="AK10" s="152"/>
      <c r="AL10" s="152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35"/>
      <c r="K11" s="35"/>
      <c r="L11" s="70"/>
      <c r="M11" s="2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152"/>
      <c r="AK11" s="152"/>
      <c r="AL11" s="152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36" t="s">
        <v>28</v>
      </c>
      <c r="E12" s="137"/>
      <c r="F12" s="20"/>
      <c r="G12" s="21"/>
      <c r="H12" s="21"/>
      <c r="I12" s="21"/>
      <c r="J12" s="21"/>
      <c r="K12" s="21"/>
      <c r="L12" s="50"/>
      <c r="M12" s="2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152"/>
      <c r="AK12" s="152"/>
      <c r="AL12" s="152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21"/>
      <c r="K13" s="21"/>
      <c r="L13" s="50"/>
      <c r="M13" s="2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152"/>
      <c r="AK13" s="152"/>
      <c r="AL13" s="152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21"/>
      <c r="K14" s="21"/>
      <c r="L14" s="50"/>
      <c r="M14" s="2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152"/>
      <c r="AK14" s="152"/>
      <c r="AL14" s="152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36" t="s">
        <v>30</v>
      </c>
      <c r="E15" s="137"/>
      <c r="F15" s="25"/>
      <c r="G15" s="21"/>
      <c r="H15" s="21"/>
      <c r="I15" s="21"/>
      <c r="J15" s="21"/>
      <c r="K15" s="21"/>
      <c r="L15" s="50"/>
      <c r="M15" s="2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152"/>
      <c r="AK15" s="152"/>
      <c r="AL15" s="152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21"/>
      <c r="K16" s="21"/>
      <c r="L16" s="50"/>
      <c r="M16" s="2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152"/>
      <c r="AK16" s="152"/>
      <c r="AL16" s="152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21"/>
      <c r="K17" s="21"/>
      <c r="L17" s="50"/>
      <c r="M17" s="2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152"/>
      <c r="AK17" s="152"/>
      <c r="AL17" s="152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35"/>
      <c r="K18" s="35"/>
      <c r="L18" s="70"/>
      <c r="M18" s="2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152"/>
      <c r="AK18" s="152"/>
      <c r="AL18" s="152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36" t="s">
        <v>29</v>
      </c>
      <c r="E19" s="137"/>
      <c r="F19" s="25"/>
      <c r="G19" s="21"/>
      <c r="H19" s="21"/>
      <c r="I19" s="21"/>
      <c r="J19" s="21"/>
      <c r="K19" s="21"/>
      <c r="L19" s="50"/>
      <c r="M19" s="2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152"/>
      <c r="AK19" s="152"/>
      <c r="AL19" s="152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87"/>
      <c r="B20" s="188"/>
      <c r="C20" s="189"/>
      <c r="D20" s="190"/>
      <c r="E20" s="96"/>
      <c r="F20" s="58"/>
      <c r="G20" s="87"/>
      <c r="H20" s="87"/>
      <c r="I20" s="87"/>
      <c r="J20" s="87"/>
      <c r="K20" s="87"/>
      <c r="L20" s="191"/>
      <c r="M20" s="192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154"/>
      <c r="AK20" s="154"/>
      <c r="AL20" s="154"/>
      <c r="AM20" s="87"/>
      <c r="AN20" s="87"/>
      <c r="AO20" s="104"/>
      <c r="AP20" s="87"/>
      <c r="AQ20" s="87"/>
      <c r="AR20" s="88"/>
    </row>
    <row r="21" spans="1:44" ht="14.25" x14ac:dyDescent="0.2">
      <c r="A21" s="209"/>
      <c r="B21" s="210"/>
      <c r="C21" s="211"/>
      <c r="D21" s="212" t="s">
        <v>36</v>
      </c>
      <c r="E21" s="213" t="s">
        <v>63</v>
      </c>
      <c r="F21" s="148">
        <v>46091</v>
      </c>
      <c r="G21" s="145"/>
      <c r="H21" s="142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155"/>
      <c r="AL21" s="155"/>
      <c r="AM21" s="179"/>
      <c r="AN21" s="78"/>
      <c r="AO21" s="101"/>
      <c r="AP21" s="214" t="s">
        <v>134</v>
      </c>
      <c r="AQ21" s="215"/>
      <c r="AR21" s="216"/>
    </row>
    <row r="22" spans="1:44" ht="14.25" x14ac:dyDescent="0.2">
      <c r="A22" s="28"/>
      <c r="B22" s="20"/>
      <c r="C22" s="75"/>
      <c r="D22" s="174"/>
      <c r="E22" s="164"/>
      <c r="F22" s="149"/>
      <c r="G22" s="146"/>
      <c r="H22" s="143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156"/>
      <c r="AL22" s="156"/>
      <c r="AM22" s="165"/>
      <c r="AN22" s="21"/>
      <c r="AO22" s="102"/>
      <c r="AP22" s="166"/>
      <c r="AQ22" s="167"/>
      <c r="AR22" s="175"/>
    </row>
    <row r="23" spans="1:44" ht="14.25" x14ac:dyDescent="0.2">
      <c r="A23" s="28"/>
      <c r="B23" s="20"/>
      <c r="C23" s="75"/>
      <c r="D23" s="174"/>
      <c r="E23" s="164"/>
      <c r="F23" s="149"/>
      <c r="G23" s="146"/>
      <c r="H23" s="143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90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21"/>
      <c r="V23" s="21"/>
      <c r="W23" s="90" t="s">
        <v>95</v>
      </c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156"/>
      <c r="AL23" s="156"/>
      <c r="AM23" s="165"/>
      <c r="AN23" s="21"/>
      <c r="AO23" s="102"/>
      <c r="AP23" s="166"/>
      <c r="AQ23" s="167"/>
      <c r="AR23" s="175"/>
    </row>
    <row r="24" spans="1:44" ht="14.25" x14ac:dyDescent="0.2">
      <c r="A24" s="28"/>
      <c r="B24" s="20"/>
      <c r="C24" s="75"/>
      <c r="D24" s="174"/>
      <c r="E24" s="164"/>
      <c r="F24" s="149"/>
      <c r="G24" s="146"/>
      <c r="H24" s="143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156"/>
      <c r="AL24" s="156"/>
      <c r="AM24" s="165"/>
      <c r="AN24" s="21"/>
      <c r="AO24" s="102"/>
      <c r="AP24" s="166"/>
      <c r="AQ24" s="167"/>
      <c r="AR24" s="175"/>
    </row>
    <row r="25" spans="1:44" ht="14.25" x14ac:dyDescent="0.2">
      <c r="A25" s="28"/>
      <c r="B25" s="20"/>
      <c r="C25" s="75"/>
      <c r="D25" s="174"/>
      <c r="E25" s="164"/>
      <c r="F25" s="149"/>
      <c r="G25" s="146"/>
      <c r="H25" s="143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156"/>
      <c r="AL25" s="156"/>
      <c r="AM25" s="165"/>
      <c r="AN25" s="21"/>
      <c r="AO25" s="102"/>
      <c r="AP25" s="166"/>
      <c r="AQ25" s="167"/>
      <c r="AR25" s="175"/>
    </row>
    <row r="26" spans="1:44" ht="14.25" x14ac:dyDescent="0.2">
      <c r="A26" s="28"/>
      <c r="B26" s="20"/>
      <c r="C26" s="75"/>
      <c r="D26" s="174"/>
      <c r="E26" s="164"/>
      <c r="F26" s="149"/>
      <c r="G26" s="146"/>
      <c r="H26" s="143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156"/>
      <c r="AL26" s="156"/>
      <c r="AM26" s="165"/>
      <c r="AN26" s="21"/>
      <c r="AO26" s="102"/>
      <c r="AP26" s="166"/>
      <c r="AQ26" s="167"/>
      <c r="AR26" s="175"/>
    </row>
    <row r="27" spans="1:44" ht="14.25" x14ac:dyDescent="0.2">
      <c r="A27" s="28"/>
      <c r="B27" s="20"/>
      <c r="C27" s="75"/>
      <c r="D27" s="174"/>
      <c r="E27" s="164"/>
      <c r="F27" s="149"/>
      <c r="G27" s="146"/>
      <c r="H27" s="143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21" t="s">
        <v>95</v>
      </c>
      <c r="AH27" s="102"/>
      <c r="AI27" s="21" t="s">
        <v>95</v>
      </c>
      <c r="AJ27" s="90" t="s">
        <v>95</v>
      </c>
      <c r="AK27" s="156"/>
      <c r="AL27" s="156"/>
      <c r="AM27" s="165"/>
      <c r="AN27" s="21"/>
      <c r="AO27" s="102"/>
      <c r="AP27" s="166"/>
      <c r="AQ27" s="167"/>
      <c r="AR27" s="175"/>
    </row>
    <row r="28" spans="1:44" ht="14.25" x14ac:dyDescent="0.2">
      <c r="A28" s="28"/>
      <c r="B28" s="20"/>
      <c r="C28" s="75"/>
      <c r="D28" s="174"/>
      <c r="E28" s="164"/>
      <c r="F28" s="149"/>
      <c r="G28" s="146"/>
      <c r="H28" s="143"/>
      <c r="I28" s="112" t="s">
        <v>89</v>
      </c>
      <c r="J28" s="112">
        <v>13</v>
      </c>
      <c r="K28" s="112">
        <v>0</v>
      </c>
      <c r="L28" s="113">
        <f t="shared" si="0"/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156"/>
      <c r="AL28" s="156"/>
      <c r="AM28" s="165"/>
      <c r="AN28" s="21"/>
      <c r="AO28" s="102"/>
      <c r="AP28" s="166"/>
      <c r="AQ28" s="167"/>
      <c r="AR28" s="175"/>
    </row>
    <row r="29" spans="1:44" ht="15" thickBot="1" x14ac:dyDescent="0.25">
      <c r="A29" s="29"/>
      <c r="B29" s="30"/>
      <c r="C29" s="217"/>
      <c r="D29" s="218"/>
      <c r="E29" s="219"/>
      <c r="F29" s="150"/>
      <c r="G29" s="147"/>
      <c r="H29" s="144"/>
      <c r="I29" s="117" t="s">
        <v>93</v>
      </c>
      <c r="J29" s="117">
        <v>1</v>
      </c>
      <c r="K29" s="117">
        <v>0</v>
      </c>
      <c r="L29" s="118">
        <f t="shared" si="0"/>
        <v>0</v>
      </c>
      <c r="M29" s="119" t="s">
        <v>87</v>
      </c>
      <c r="N29" s="117">
        <v>96</v>
      </c>
      <c r="O29" s="117"/>
      <c r="P29" s="117" t="s">
        <v>92</v>
      </c>
      <c r="Q29" s="31"/>
      <c r="R29" s="31"/>
      <c r="S29" s="31"/>
      <c r="T29" s="105"/>
      <c r="U29" s="31"/>
      <c r="V29" s="31"/>
      <c r="W29" s="31"/>
      <c r="X29" s="31"/>
      <c r="Y29" s="31"/>
      <c r="Z29" s="31"/>
      <c r="AA29" s="105"/>
      <c r="AB29" s="31"/>
      <c r="AC29" s="31"/>
      <c r="AD29" s="31"/>
      <c r="AE29" s="92" t="s">
        <v>95</v>
      </c>
      <c r="AF29" s="31"/>
      <c r="AG29" s="31"/>
      <c r="AH29" s="105"/>
      <c r="AI29" s="31"/>
      <c r="AJ29" s="92"/>
      <c r="AK29" s="157"/>
      <c r="AL29" s="157"/>
      <c r="AM29" s="182"/>
      <c r="AN29" s="31"/>
      <c r="AO29" s="105"/>
      <c r="AP29" s="220"/>
      <c r="AQ29" s="221"/>
      <c r="AR29" s="222"/>
    </row>
    <row r="30" spans="1:44" ht="18.75" customHeight="1" x14ac:dyDescent="0.2">
      <c r="A30" s="193"/>
      <c r="B30" s="38"/>
      <c r="C30" s="194"/>
      <c r="D30" s="195" t="s">
        <v>38</v>
      </c>
      <c r="E30" s="196" t="s">
        <v>37</v>
      </c>
      <c r="F30" s="197">
        <v>46092</v>
      </c>
      <c r="G30" s="198"/>
      <c r="H30" s="199">
        <v>0.4</v>
      </c>
      <c r="I30" s="125" t="s">
        <v>79</v>
      </c>
      <c r="J30" s="200">
        <v>1</v>
      </c>
      <c r="K30" s="200">
        <v>1</v>
      </c>
      <c r="L30" s="201">
        <f t="shared" si="0"/>
        <v>1</v>
      </c>
      <c r="M30" s="128"/>
      <c r="N30" s="125">
        <v>0</v>
      </c>
      <c r="O30" s="125"/>
      <c r="P30" s="125" t="s">
        <v>78</v>
      </c>
      <c r="Q30" s="39"/>
      <c r="R30" s="39"/>
      <c r="S30" s="39"/>
      <c r="T30" s="106"/>
      <c r="U30" s="39"/>
      <c r="V30" s="39"/>
      <c r="W30" s="39"/>
      <c r="X30" s="39"/>
      <c r="Y30" s="39"/>
      <c r="Z30" s="39"/>
      <c r="AA30" s="106"/>
      <c r="AB30" s="39"/>
      <c r="AC30" s="39"/>
      <c r="AD30" s="39"/>
      <c r="AE30" s="39"/>
      <c r="AF30" s="39"/>
      <c r="AG30" s="39"/>
      <c r="AH30" s="106"/>
      <c r="AI30" s="39"/>
      <c r="AJ30" s="93"/>
      <c r="AK30" s="202"/>
      <c r="AL30" s="203"/>
      <c r="AM30" s="204"/>
      <c r="AN30" s="205" t="s">
        <v>133</v>
      </c>
      <c r="AO30" s="206"/>
      <c r="AP30" s="206"/>
      <c r="AQ30" s="207"/>
      <c r="AR30" s="208"/>
    </row>
    <row r="31" spans="1:44" ht="18.75" customHeight="1" x14ac:dyDescent="0.2">
      <c r="A31" s="28"/>
      <c r="B31" s="20"/>
      <c r="C31" s="62"/>
      <c r="D31" s="178"/>
      <c r="E31" s="138"/>
      <c r="F31" s="149"/>
      <c r="G31" s="146"/>
      <c r="H31" s="143"/>
      <c r="I31" s="112" t="s">
        <v>80</v>
      </c>
      <c r="J31" s="120">
        <v>1</v>
      </c>
      <c r="K31" s="120">
        <v>1</v>
      </c>
      <c r="L31" s="121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168"/>
      <c r="AL31" s="165"/>
      <c r="AM31" s="169"/>
      <c r="AN31" s="170"/>
      <c r="AO31" s="170"/>
      <c r="AP31" s="170"/>
      <c r="AQ31" s="171"/>
      <c r="AR31" s="176"/>
    </row>
    <row r="32" spans="1:44" ht="18.75" customHeight="1" x14ac:dyDescent="0.2">
      <c r="A32" s="28"/>
      <c r="B32" s="20"/>
      <c r="C32" s="62"/>
      <c r="D32" s="178"/>
      <c r="E32" s="138"/>
      <c r="F32" s="149"/>
      <c r="G32" s="146"/>
      <c r="H32" s="143"/>
      <c r="I32" s="112" t="s">
        <v>98</v>
      </c>
      <c r="J32" s="120">
        <v>1</v>
      </c>
      <c r="K32" s="120">
        <v>0</v>
      </c>
      <c r="L32" s="121">
        <f t="shared" si="0"/>
        <v>0</v>
      </c>
      <c r="M32" s="114" t="s">
        <v>90</v>
      </c>
      <c r="N32" s="112">
        <v>156</v>
      </c>
      <c r="O32" s="112"/>
      <c r="P32" s="112" t="s">
        <v>91</v>
      </c>
      <c r="Q32" s="21"/>
      <c r="R32" s="21"/>
      <c r="S32" s="21"/>
      <c r="T32" s="102"/>
      <c r="U32" s="21"/>
      <c r="V32" s="21"/>
      <c r="W32" s="21"/>
      <c r="X32" s="21"/>
      <c r="Y32" s="89" t="s">
        <v>95</v>
      </c>
      <c r="Z32" s="90" t="s">
        <v>95</v>
      </c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168"/>
      <c r="AL32" s="165"/>
      <c r="AM32" s="169"/>
      <c r="AN32" s="170"/>
      <c r="AO32" s="170"/>
      <c r="AP32" s="170"/>
      <c r="AQ32" s="171"/>
      <c r="AR32" s="176"/>
    </row>
    <row r="33" spans="1:44" ht="18.75" customHeight="1" x14ac:dyDescent="0.2">
      <c r="A33" s="28"/>
      <c r="B33" s="20"/>
      <c r="C33" s="62"/>
      <c r="D33" s="178"/>
      <c r="E33" s="138"/>
      <c r="F33" s="149"/>
      <c r="G33" s="146"/>
      <c r="H33" s="143"/>
      <c r="I33" s="112" t="s">
        <v>82</v>
      </c>
      <c r="J33" s="120">
        <v>1</v>
      </c>
      <c r="K33" s="120">
        <v>0</v>
      </c>
      <c r="L33" s="121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168"/>
      <c r="AL33" s="165"/>
      <c r="AM33" s="169"/>
      <c r="AN33" s="170"/>
      <c r="AO33" s="170"/>
      <c r="AP33" s="170"/>
      <c r="AQ33" s="171"/>
      <c r="AR33" s="176"/>
    </row>
    <row r="34" spans="1:44" ht="18.75" customHeight="1" x14ac:dyDescent="0.2">
      <c r="A34" s="28"/>
      <c r="B34" s="20"/>
      <c r="C34" s="62"/>
      <c r="D34" s="178"/>
      <c r="E34" s="138"/>
      <c r="F34" s="149"/>
      <c r="G34" s="146"/>
      <c r="H34" s="143"/>
      <c r="I34" s="112" t="s">
        <v>84</v>
      </c>
      <c r="J34" s="120">
        <v>1</v>
      </c>
      <c r="K34" s="120">
        <v>0</v>
      </c>
      <c r="L34" s="121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168"/>
      <c r="AL34" s="165"/>
      <c r="AM34" s="169"/>
      <c r="AN34" s="170"/>
      <c r="AO34" s="170"/>
      <c r="AP34" s="170"/>
      <c r="AQ34" s="171"/>
      <c r="AR34" s="176"/>
    </row>
    <row r="35" spans="1:44" ht="18.75" customHeight="1" x14ac:dyDescent="0.2">
      <c r="A35" s="28"/>
      <c r="B35" s="20"/>
      <c r="C35" s="62"/>
      <c r="D35" s="178"/>
      <c r="E35" s="138"/>
      <c r="F35" s="149"/>
      <c r="G35" s="146"/>
      <c r="H35" s="143"/>
      <c r="I35" s="112" t="s">
        <v>97</v>
      </c>
      <c r="J35" s="120">
        <v>6</v>
      </c>
      <c r="K35" s="120">
        <v>0</v>
      </c>
      <c r="L35" s="121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168"/>
      <c r="AL35" s="165"/>
      <c r="AM35" s="169"/>
      <c r="AN35" s="170"/>
      <c r="AO35" s="170"/>
      <c r="AP35" s="170"/>
      <c r="AQ35" s="171"/>
      <c r="AR35" s="176"/>
    </row>
    <row r="36" spans="1:44" ht="18.75" customHeight="1" thickBot="1" x14ac:dyDescent="0.25">
      <c r="A36" s="28"/>
      <c r="B36" s="20"/>
      <c r="C36" s="62"/>
      <c r="D36" s="178"/>
      <c r="E36" s="139"/>
      <c r="F36" s="150"/>
      <c r="G36" s="147"/>
      <c r="H36" s="144"/>
      <c r="I36" s="117" t="s">
        <v>89</v>
      </c>
      <c r="J36" s="122">
        <v>11</v>
      </c>
      <c r="K36" s="122">
        <v>0</v>
      </c>
      <c r="L36" s="123">
        <f t="shared" si="0"/>
        <v>0</v>
      </c>
      <c r="M36" s="119" t="s">
        <v>87</v>
      </c>
      <c r="N36" s="117">
        <v>20</v>
      </c>
      <c r="O36" s="117"/>
      <c r="P36" s="117" t="s">
        <v>91</v>
      </c>
      <c r="Q36" s="31"/>
      <c r="R36" s="31"/>
      <c r="S36" s="31"/>
      <c r="T36" s="105"/>
      <c r="U36" s="31"/>
      <c r="V36" s="31"/>
      <c r="W36" s="31"/>
      <c r="X36" s="31"/>
      <c r="Y36" s="31"/>
      <c r="Z36" s="31"/>
      <c r="AA36" s="105"/>
      <c r="AB36" s="95" t="s">
        <v>95</v>
      </c>
      <c r="AC36" s="95" t="s">
        <v>95</v>
      </c>
      <c r="AD36" s="95" t="s">
        <v>95</v>
      </c>
      <c r="AE36" s="95" t="s">
        <v>95</v>
      </c>
      <c r="AF36" s="92" t="s">
        <v>95</v>
      </c>
      <c r="AG36" s="31"/>
      <c r="AH36" s="105"/>
      <c r="AI36" s="31"/>
      <c r="AJ36" s="92"/>
      <c r="AK36" s="181"/>
      <c r="AL36" s="182"/>
      <c r="AM36" s="183"/>
      <c r="AN36" s="184"/>
      <c r="AO36" s="184"/>
      <c r="AP36" s="184"/>
      <c r="AQ36" s="185"/>
      <c r="AR36" s="186"/>
    </row>
    <row r="37" spans="1:44" ht="14.25" x14ac:dyDescent="0.2">
      <c r="A37" s="28"/>
      <c r="B37" s="20"/>
      <c r="C37" s="62"/>
      <c r="D37" s="49" t="s">
        <v>39</v>
      </c>
      <c r="E37" s="125" t="s">
        <v>40</v>
      </c>
      <c r="F37" s="124">
        <v>46090</v>
      </c>
      <c r="G37" s="125"/>
      <c r="H37" s="126">
        <v>0.6</v>
      </c>
      <c r="I37" s="125" t="s">
        <v>65</v>
      </c>
      <c r="J37" s="125">
        <v>1</v>
      </c>
      <c r="K37" s="125">
        <v>0</v>
      </c>
      <c r="L37" s="127">
        <f>K37/J37</f>
        <v>0</v>
      </c>
      <c r="M37" s="128"/>
      <c r="N37" s="125">
        <v>18</v>
      </c>
      <c r="O37" s="125"/>
      <c r="P37" s="125" t="s">
        <v>92</v>
      </c>
      <c r="Q37" s="94" t="s">
        <v>95</v>
      </c>
      <c r="R37" s="93" t="s">
        <v>95</v>
      </c>
      <c r="S37" s="39"/>
      <c r="T37" s="106"/>
      <c r="U37" s="39"/>
      <c r="V37" s="39"/>
      <c r="W37" s="39"/>
      <c r="X37" s="39"/>
      <c r="Y37" s="39"/>
      <c r="Z37" s="39"/>
      <c r="AA37" s="106"/>
      <c r="AB37" s="39"/>
      <c r="AC37" s="39"/>
      <c r="AD37" s="39"/>
      <c r="AE37" s="39"/>
      <c r="AF37" s="39"/>
      <c r="AG37" s="39"/>
      <c r="AH37" s="106"/>
      <c r="AI37" s="39"/>
      <c r="AJ37" s="223"/>
      <c r="AK37" s="39"/>
      <c r="AL37" s="39"/>
      <c r="AM37" s="39"/>
      <c r="AN37" s="39"/>
      <c r="AO37" s="106"/>
      <c r="AP37" s="39"/>
      <c r="AQ37" s="39"/>
      <c r="AR37" s="86"/>
    </row>
    <row r="38" spans="1:44" ht="14.25" x14ac:dyDescent="0.2">
      <c r="A38" s="28"/>
      <c r="B38" s="20"/>
      <c r="C38" s="62"/>
      <c r="D38" s="49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9"/>
      <c r="N38" s="112">
        <v>18</v>
      </c>
      <c r="O38" s="112"/>
      <c r="P38" s="112" t="s">
        <v>92</v>
      </c>
      <c r="Q38" s="89" t="s">
        <v>95</v>
      </c>
      <c r="R38" s="90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152"/>
      <c r="AK38" s="21"/>
      <c r="AL38" s="21"/>
      <c r="AM38" s="21"/>
      <c r="AN38" s="21"/>
      <c r="AO38" s="102"/>
      <c r="AP38" s="21"/>
      <c r="AQ38" s="21"/>
      <c r="AR38" s="81"/>
    </row>
    <row r="39" spans="1:44" ht="14.25" x14ac:dyDescent="0.2">
      <c r="A39" s="28"/>
      <c r="B39" s="20"/>
      <c r="C39" s="62"/>
      <c r="D39" s="49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9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4.25" x14ac:dyDescent="0.2">
      <c r="A40" s="28"/>
      <c r="B40" s="20"/>
      <c r="C40" s="62"/>
      <c r="D40" s="49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1">K40/K40</f>
        <v>1</v>
      </c>
      <c r="M40" s="129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4.25" x14ac:dyDescent="0.2">
      <c r="A41" s="28"/>
      <c r="B41" s="20"/>
      <c r="C41" s="62"/>
      <c r="D41" s="49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1"/>
        <v>1</v>
      </c>
      <c r="M41" s="129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4.25" x14ac:dyDescent="0.2">
      <c r="A42" s="28"/>
      <c r="B42" s="20"/>
      <c r="C42" s="62"/>
      <c r="D42" s="49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1"/>
        <v>1</v>
      </c>
      <c r="M42" s="129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4.25" x14ac:dyDescent="0.2">
      <c r="A43" s="28"/>
      <c r="B43" s="20"/>
      <c r="C43" s="62"/>
      <c r="D43" s="49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1"/>
        <v>1</v>
      </c>
      <c r="M43" s="129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62"/>
      <c r="D44" s="49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1"/>
        <v>1</v>
      </c>
      <c r="M44" s="129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62"/>
      <c r="D45" s="49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1"/>
        <v>1</v>
      </c>
      <c r="M45" s="129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152"/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62"/>
      <c r="D46" s="49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1"/>
        <v>1</v>
      </c>
      <c r="M46" s="129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152"/>
      <c r="AK46" s="21"/>
      <c r="AL46" s="21"/>
      <c r="AM46" s="21"/>
      <c r="AN46" s="21"/>
      <c r="AO46" s="102"/>
      <c r="AP46" s="21"/>
      <c r="AQ46" s="21"/>
      <c r="AR46" s="81"/>
    </row>
    <row r="47" spans="1:44" ht="15" thickBot="1" x14ac:dyDescent="0.25">
      <c r="A47" s="29"/>
      <c r="B47" s="30"/>
      <c r="C47" s="76"/>
      <c r="D47" s="177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1"/>
        <v>1</v>
      </c>
      <c r="M47" s="130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140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141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141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141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141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141"/>
    </row>
    <row r="54" spans="1:13" hidden="1" x14ac:dyDescent="0.2">
      <c r="A54" s="20"/>
      <c r="B54" s="20"/>
      <c r="C54" s="32"/>
      <c r="D54" s="137" t="s">
        <v>35</v>
      </c>
      <c r="E54" s="137"/>
      <c r="F54" s="25"/>
      <c r="G54" s="21"/>
      <c r="H54" s="21"/>
      <c r="I54" s="21"/>
      <c r="J54" s="21"/>
      <c r="K54" s="21"/>
      <c r="L54" s="50"/>
      <c r="M54" s="141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141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141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137" t="s">
        <v>32</v>
      </c>
      <c r="E59" s="137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134" t="s">
        <v>23</v>
      </c>
      <c r="E63" s="135"/>
    </row>
  </sheetData>
  <mergeCells count="21">
    <mergeCell ref="AN30:AP36"/>
    <mergeCell ref="AP21:AP29"/>
    <mergeCell ref="M48:M56"/>
    <mergeCell ref="D54:E54"/>
    <mergeCell ref="D59:E59"/>
    <mergeCell ref="D63:E63"/>
    <mergeCell ref="F21:F29"/>
    <mergeCell ref="G21:G29"/>
    <mergeCell ref="H21:H29"/>
    <mergeCell ref="D30:D36"/>
    <mergeCell ref="E30:E36"/>
    <mergeCell ref="F30:F36"/>
    <mergeCell ref="G30:G36"/>
    <mergeCell ref="H30:H36"/>
    <mergeCell ref="D6:E6"/>
    <mergeCell ref="D9:E9"/>
    <mergeCell ref="D12:E12"/>
    <mergeCell ref="D15:E15"/>
    <mergeCell ref="D19:E19"/>
    <mergeCell ref="D21:D29"/>
    <mergeCell ref="E21:E29"/>
  </mergeCells>
  <pageMargins left="0.25" right="0.25" top="0.75" bottom="0.75" header="0.3" footer="0.3"/>
  <pageSetup paperSize="3" scale="63" fitToHeight="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2E9B-5A0E-4354-AD55-0FC7447F5D75}">
  <dimension ref="A1:D26"/>
  <sheetViews>
    <sheetView workbookViewId="0">
      <selection activeCell="C31" sqref="C31"/>
    </sheetView>
  </sheetViews>
  <sheetFormatPr defaultRowHeight="12.75" x14ac:dyDescent="0.2"/>
  <cols>
    <col min="3" max="3" width="12.5703125" bestFit="1" customWidth="1"/>
    <col min="4" max="4" width="16.140625" customWidth="1"/>
  </cols>
  <sheetData>
    <row r="1" spans="1:4" ht="13.5" thickBot="1" x14ac:dyDescent="0.25"/>
    <row r="2" spans="1:4" x14ac:dyDescent="0.2">
      <c r="A2" s="131" t="s">
        <v>100</v>
      </c>
      <c r="B2" s="78" t="s">
        <v>101</v>
      </c>
      <c r="C2" s="78" t="s">
        <v>102</v>
      </c>
      <c r="D2" s="79" t="s">
        <v>103</v>
      </c>
    </row>
    <row r="3" spans="1:4" x14ac:dyDescent="0.2">
      <c r="A3" s="132" t="s">
        <v>104</v>
      </c>
      <c r="B3" s="21" t="s">
        <v>127</v>
      </c>
      <c r="C3" s="21" t="s">
        <v>130</v>
      </c>
      <c r="D3" s="81" t="s">
        <v>131</v>
      </c>
    </row>
    <row r="4" spans="1:4" x14ac:dyDescent="0.2">
      <c r="A4" s="132" t="s">
        <v>105</v>
      </c>
      <c r="B4" s="21" t="s">
        <v>127</v>
      </c>
      <c r="C4" s="21" t="s">
        <v>130</v>
      </c>
      <c r="D4" s="81" t="s">
        <v>131</v>
      </c>
    </row>
    <row r="5" spans="1:4" x14ac:dyDescent="0.2">
      <c r="A5" s="132" t="s">
        <v>106</v>
      </c>
      <c r="B5" s="21" t="s">
        <v>127</v>
      </c>
      <c r="C5" s="21" t="s">
        <v>130</v>
      </c>
      <c r="D5" s="81" t="s">
        <v>131</v>
      </c>
    </row>
    <row r="6" spans="1:4" x14ac:dyDescent="0.2">
      <c r="A6" s="132" t="s">
        <v>107</v>
      </c>
      <c r="B6" s="21" t="s">
        <v>127</v>
      </c>
      <c r="C6" s="21" t="s">
        <v>130</v>
      </c>
      <c r="D6" s="81" t="s">
        <v>131</v>
      </c>
    </row>
    <row r="7" spans="1:4" x14ac:dyDescent="0.2">
      <c r="A7" s="132" t="s">
        <v>108</v>
      </c>
      <c r="B7" s="21" t="s">
        <v>127</v>
      </c>
      <c r="C7" s="21" t="s">
        <v>130</v>
      </c>
      <c r="D7" s="81" t="s">
        <v>131</v>
      </c>
    </row>
    <row r="8" spans="1:4" x14ac:dyDescent="0.2">
      <c r="A8" s="132" t="s">
        <v>109</v>
      </c>
      <c r="B8" s="21" t="s">
        <v>127</v>
      </c>
      <c r="C8" s="21" t="s">
        <v>130</v>
      </c>
      <c r="D8" s="81" t="s">
        <v>131</v>
      </c>
    </row>
    <row r="9" spans="1:4" x14ac:dyDescent="0.2">
      <c r="A9" s="132" t="s">
        <v>110</v>
      </c>
      <c r="B9" s="21" t="s">
        <v>129</v>
      </c>
      <c r="C9" s="21" t="s">
        <v>130</v>
      </c>
      <c r="D9" s="81" t="s">
        <v>131</v>
      </c>
    </row>
    <row r="10" spans="1:4" x14ac:dyDescent="0.2">
      <c r="A10" s="132" t="s">
        <v>128</v>
      </c>
      <c r="B10" s="21" t="s">
        <v>129</v>
      </c>
      <c r="C10" s="21" t="s">
        <v>130</v>
      </c>
      <c r="D10" s="81" t="s">
        <v>131</v>
      </c>
    </row>
    <row r="11" spans="1:4" x14ac:dyDescent="0.2">
      <c r="A11" s="132" t="s">
        <v>111</v>
      </c>
      <c r="B11" s="21" t="s">
        <v>129</v>
      </c>
      <c r="C11" s="21" t="s">
        <v>130</v>
      </c>
      <c r="D11" s="81" t="s">
        <v>131</v>
      </c>
    </row>
    <row r="12" spans="1:4" x14ac:dyDescent="0.2">
      <c r="A12" s="132" t="s">
        <v>112</v>
      </c>
      <c r="B12" s="21" t="s">
        <v>129</v>
      </c>
      <c r="C12" s="21" t="s">
        <v>130</v>
      </c>
      <c r="D12" s="81" t="s">
        <v>131</v>
      </c>
    </row>
    <row r="13" spans="1:4" x14ac:dyDescent="0.2">
      <c r="A13" s="132" t="s">
        <v>113</v>
      </c>
      <c r="B13" s="21" t="s">
        <v>129</v>
      </c>
      <c r="C13" s="21" t="s">
        <v>130</v>
      </c>
      <c r="D13" s="81" t="s">
        <v>131</v>
      </c>
    </row>
    <row r="14" spans="1:4" x14ac:dyDescent="0.2">
      <c r="A14" s="132" t="s">
        <v>114</v>
      </c>
      <c r="B14" s="21" t="s">
        <v>129</v>
      </c>
      <c r="C14" s="21" t="s">
        <v>130</v>
      </c>
      <c r="D14" s="81" t="s">
        <v>131</v>
      </c>
    </row>
    <row r="15" spans="1:4" x14ac:dyDescent="0.2">
      <c r="A15" s="132" t="s">
        <v>115</v>
      </c>
      <c r="B15" s="21" t="s">
        <v>127</v>
      </c>
      <c r="C15" s="21" t="s">
        <v>130</v>
      </c>
      <c r="D15" s="81" t="s">
        <v>131</v>
      </c>
    </row>
    <row r="16" spans="1:4" x14ac:dyDescent="0.2">
      <c r="A16" s="132" t="s">
        <v>116</v>
      </c>
      <c r="B16" s="21" t="s">
        <v>127</v>
      </c>
      <c r="C16" s="21" t="s">
        <v>130</v>
      </c>
      <c r="D16" s="81" t="s">
        <v>131</v>
      </c>
    </row>
    <row r="17" spans="1:4" x14ac:dyDescent="0.2">
      <c r="A17" s="132" t="s">
        <v>117</v>
      </c>
      <c r="B17" s="21" t="s">
        <v>127</v>
      </c>
      <c r="C17" s="21" t="s">
        <v>130</v>
      </c>
      <c r="D17" s="81" t="s">
        <v>131</v>
      </c>
    </row>
    <row r="18" spans="1:4" x14ac:dyDescent="0.2">
      <c r="A18" s="132" t="s">
        <v>118</v>
      </c>
      <c r="B18" s="21" t="s">
        <v>127</v>
      </c>
      <c r="C18" s="21" t="s">
        <v>130</v>
      </c>
      <c r="D18" s="81" t="s">
        <v>131</v>
      </c>
    </row>
    <row r="19" spans="1:4" x14ac:dyDescent="0.2">
      <c r="A19" s="132" t="s">
        <v>120</v>
      </c>
      <c r="B19" s="21" t="s">
        <v>127</v>
      </c>
      <c r="C19" s="21" t="s">
        <v>130</v>
      </c>
      <c r="D19" s="81" t="s">
        <v>131</v>
      </c>
    </row>
    <row r="20" spans="1:4" x14ac:dyDescent="0.2">
      <c r="A20" s="132" t="s">
        <v>119</v>
      </c>
      <c r="B20" s="21" t="s">
        <v>129</v>
      </c>
      <c r="C20" s="21" t="s">
        <v>130</v>
      </c>
      <c r="D20" s="81" t="s">
        <v>131</v>
      </c>
    </row>
    <row r="21" spans="1:4" x14ac:dyDescent="0.2">
      <c r="A21" s="132" t="s">
        <v>121</v>
      </c>
      <c r="B21" s="21" t="s">
        <v>129</v>
      </c>
      <c r="C21" s="21" t="s">
        <v>130</v>
      </c>
      <c r="D21" s="81" t="s">
        <v>131</v>
      </c>
    </row>
    <row r="22" spans="1:4" x14ac:dyDescent="0.2">
      <c r="A22" s="132" t="s">
        <v>122</v>
      </c>
      <c r="B22" s="21" t="s">
        <v>129</v>
      </c>
      <c r="C22" s="21" t="s">
        <v>130</v>
      </c>
      <c r="D22" s="81" t="s">
        <v>131</v>
      </c>
    </row>
    <row r="23" spans="1:4" x14ac:dyDescent="0.2">
      <c r="A23" s="132" t="s">
        <v>123</v>
      </c>
      <c r="B23" s="21" t="s">
        <v>129</v>
      </c>
      <c r="C23" s="21" t="s">
        <v>130</v>
      </c>
      <c r="D23" s="81" t="s">
        <v>131</v>
      </c>
    </row>
    <row r="24" spans="1:4" x14ac:dyDescent="0.2">
      <c r="A24" s="132" t="s">
        <v>124</v>
      </c>
      <c r="B24" s="21" t="s">
        <v>129</v>
      </c>
      <c r="C24" s="21" t="s">
        <v>130</v>
      </c>
      <c r="D24" s="81" t="s">
        <v>131</v>
      </c>
    </row>
    <row r="25" spans="1:4" x14ac:dyDescent="0.2">
      <c r="A25" s="132" t="s">
        <v>125</v>
      </c>
      <c r="B25" s="21" t="s">
        <v>127</v>
      </c>
      <c r="C25" s="21" t="s">
        <v>130</v>
      </c>
      <c r="D25" s="81" t="s">
        <v>131</v>
      </c>
    </row>
    <row r="26" spans="1:4" ht="13.5" thickBot="1" x14ac:dyDescent="0.25">
      <c r="A26" s="133" t="s">
        <v>126</v>
      </c>
      <c r="B26" s="31" t="s">
        <v>127</v>
      </c>
      <c r="C26" s="31" t="s">
        <v>130</v>
      </c>
      <c r="D26" s="81" t="s">
        <v>131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2.75" x14ac:dyDescent="0.2"/>
  <cols>
    <col min="1" max="1" width="21.42578125" bestFit="1" customWidth="1"/>
    <col min="2" max="2" width="10.140625" bestFit="1" customWidth="1"/>
  </cols>
  <sheetData>
    <row r="1" spans="1:2" x14ac:dyDescent="0.2">
      <c r="A1" s="1" t="s">
        <v>0</v>
      </c>
      <c r="B1" s="3" t="s">
        <v>24</v>
      </c>
    </row>
    <row r="2" spans="1:2" x14ac:dyDescent="0.2">
      <c r="A2" s="1" t="s">
        <v>1</v>
      </c>
      <c r="B2" s="3" t="s">
        <v>25</v>
      </c>
    </row>
    <row r="3" spans="1:2" x14ac:dyDescent="0.2">
      <c r="A3" s="1" t="s">
        <v>2</v>
      </c>
      <c r="B3" s="3" t="s">
        <v>26</v>
      </c>
    </row>
    <row r="4" spans="1:2" x14ac:dyDescent="0.2">
      <c r="A4" s="1" t="s">
        <v>3</v>
      </c>
      <c r="B4" s="3">
        <v>0</v>
      </c>
    </row>
    <row r="5" spans="1:2" x14ac:dyDescent="0.2">
      <c r="A5" s="1" t="s">
        <v>4</v>
      </c>
      <c r="B5" s="15">
        <v>43630</v>
      </c>
    </row>
    <row r="6" spans="1:2" x14ac:dyDescent="0.2">
      <c r="A6" s="1" t="s">
        <v>9</v>
      </c>
      <c r="B6" s="3" t="s">
        <v>22</v>
      </c>
    </row>
    <row r="7" spans="1:2" x14ac:dyDescent="0.2">
      <c r="A7" s="1" t="s">
        <v>5</v>
      </c>
      <c r="B7" s="3" t="str">
        <f>"Preliminary for Comments"</f>
        <v>Preliminary for Comments</v>
      </c>
    </row>
    <row r="8" spans="1:2" x14ac:dyDescent="0.2">
      <c r="A8" s="1" t="s">
        <v>6</v>
      </c>
      <c r="B8" s="3" t="str">
        <f>""</f>
        <v/>
      </c>
    </row>
    <row r="9" spans="1:2" x14ac:dyDescent="0.2">
      <c r="A9" s="1" t="s">
        <v>7</v>
      </c>
      <c r="B9" s="3" t="str">
        <f>"cltkallqto"</f>
        <v>cltkallqto</v>
      </c>
    </row>
    <row r="10" spans="1:2" x14ac:dyDescent="0.2">
      <c r="A10" s="1" t="s">
        <v>8</v>
      </c>
      <c r="B10" s="3" t="str">
        <f>"Internal"</f>
        <v>Internal</v>
      </c>
    </row>
    <row r="11" spans="1:2" x14ac:dyDescent="0.2">
      <c r="A11" s="1" t="s">
        <v>10</v>
      </c>
      <c r="B11" s="15">
        <v>43630</v>
      </c>
    </row>
    <row r="12" spans="1:2" x14ac:dyDescent="0.2">
      <c r="A12" s="1" t="s">
        <v>11</v>
      </c>
      <c r="B12" s="3" t="str">
        <f>""</f>
        <v/>
      </c>
    </row>
    <row r="13" spans="1:2" x14ac:dyDescent="0.2">
      <c r="A13" s="1" t="s">
        <v>12</v>
      </c>
      <c r="B13" s="3">
        <v>170025</v>
      </c>
    </row>
    <row r="14" spans="1:2" x14ac:dyDescent="0.2">
      <c r="A14" s="1" t="s">
        <v>13</v>
      </c>
      <c r="B14" s="3" t="str">
        <f>"          "</f>
        <v xml:space="preserve">          </v>
      </c>
    </row>
    <row r="22" spans="1:1" ht="15" x14ac:dyDescent="0.2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With MockUp</vt:lpstr>
      <vt:lpstr>WO MockUp</vt:lpstr>
      <vt:lpstr>Nozzles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'With MockUp'!Print_Area</vt:lpstr>
      <vt:lpstr>'With MockUp'!Print_Titles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Chris Fletcher</cp:lastModifiedBy>
  <cp:lastPrinted>2026-02-13T14:21:16Z</cp:lastPrinted>
  <dcterms:created xsi:type="dcterms:W3CDTF">2007-01-25T21:44:56Z</dcterms:created>
  <dcterms:modified xsi:type="dcterms:W3CDTF">2026-02-13T14:21:28Z</dcterms:modified>
</cp:coreProperties>
</file>