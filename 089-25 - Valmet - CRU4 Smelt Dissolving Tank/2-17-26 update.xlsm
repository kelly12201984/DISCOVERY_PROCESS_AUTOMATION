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55D0328B-757A-4574-AED5-82D8B42B3A90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9" i="6" l="1"/>
  <c r="L69" i="6" s="1"/>
  <c r="N69" i="6"/>
  <c r="L37" i="6"/>
  <c r="L29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6" i="6"/>
  <c r="L35" i="6"/>
  <c r="L34" i="6"/>
  <c r="L33" i="6"/>
  <c r="L32" i="6"/>
  <c r="L28" i="6"/>
  <c r="L27" i="6"/>
  <c r="L26" i="6"/>
  <c r="L25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<sst xmlns="http://schemas.openxmlformats.org/spreadsheetml/2006/main" count="494" uniqueCount="153">
  <si>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</si>
  <si>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</si>
  <si>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</si>
  <si>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</si>
  <si>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</si>
  <si>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</si>
  <si>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</si>
  <si>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</si>
  <si>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</si>
  <si>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</si>
  <si>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</si>
  <si>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</si>
  <si>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</si>
  <si>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</si>
  <si>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</si>
  <si>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</si>
  <si>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</si>
  <si>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</si>
  <si>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</si>
  <si>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</si>
  <si>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</si>
  <si>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</si>
  <si>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</si>
  <si>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</si>
  <si>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</si>
  <si>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</si>
  <si>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</si>
  <si>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</si>
  <si>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</si>
  <si>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</si>
  <si>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</si>
  <si>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</si>
  <si>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</si>
  <si>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</si>
  <si>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</si>
  <si>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</si>
  <si>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</si>
  <si>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</si>
  <si>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</si>
  <si>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</si>
  <si>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</si>
  <si>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</si>
  <si>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</si>
  <si>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</si>
  <si>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</si>
  <si>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</si>
  <si>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</si>
  <si>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</si>
  <si>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</si>
  <si>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</si>
  <si>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</si>
  <si>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</si>
  <si>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</si>
  <si>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</si>
  <si>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</si>
  <si>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</si>
  <si>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</si>
  <si>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</si>
  <si>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</si>
  <si>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</si>
  <si>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</si>
  <si>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</si>
  <si>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</si>
  <si>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</si>
  <si>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</si>
  <si>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</si>
  <si>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</si>
  <si>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</si>
  <si>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</si>
  <si>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</si>
  <si>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</si>
  <si>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</si>
  <si>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</si>
  <si>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</si>
  <si>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</si>
  <si>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</si>
  <si>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</si>
  <si>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</si>
  <si>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</si>
  <si>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</si>
  <si>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</si>
  <si>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</si>
  <si>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</si>
  <si>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</si>
  <si>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</si>
  <si>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</si>
  <si>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</si>
  <si>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</si>
  <si>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</si>
  <si>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</si>
  <si>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</si>
  <si>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</si>
  <si>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</si>
  <si>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</si>
  <si>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</si>
  <si>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</si>
  <si>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</si>
  <si>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</si>
  <si>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</si>
  <si>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</si>
  <si>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</si>
  <si>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</si>
  <si>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</si>
  <si>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</si>
  <si>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</si>
  <si>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</si>
  <si>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</si>
  <si>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</si>
  <si>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</si>
  <si>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</si>
  <si>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</si>
  <si>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</si>
  <si>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</si>
  <si>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</si>
  <si>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</si>
  <si>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</si>
  <si>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</si>
  <si>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</si>
  <si>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</si>
  <si>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</si>
  <si>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</si>
  <si>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</si>
  <si>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</si>
  <si>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</si>
  <si>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</si>
  <si>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</si>
  <si>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</si>
  <si>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</si>
  <si>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</si>
  <si>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</si>
  <si>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</si>
  <si>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NOT INSTALLED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</si>
  <si>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</si>
  <si>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</si>
  <si>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</si>
  <si>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</si>
  <si>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</si>
  <si>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</si>
  <si>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</si>
  <si>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 xml:space="preserve">awaiting top </t>
  </si>
  <si>
    <t>STEP DOWN HALF DISSOLVING TANK</t>
  </si>
  <si>
    <t>SULZER RING HALF DISSOLVING TANK (with sulzer rings)</t>
  </si>
  <si>
    <t>Totals</t>
  </si>
  <si>
    <t>Anchor Gussets</t>
  </si>
  <si>
    <t>awaiting confirmation of hole placement</t>
  </si>
  <si>
    <t>tacked in place</t>
  </si>
  <si>
    <t>awaiting tack and fit</t>
  </si>
  <si>
    <t>Yes root pass only inside and out</t>
  </si>
  <si>
    <t>N8</t>
  </si>
  <si>
    <t>Yes Root pass only just outside</t>
  </si>
  <si>
    <t>complete</t>
  </si>
  <si>
    <t>root pass outside only</t>
  </si>
  <si>
    <t>see nozzle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</si>
</sst>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8" xfId="0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9" fontId="10" fillId="0" borderId="8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9" fontId="10" fillId="0" borderId="9" xfId="0" applyNumberFormat="1" applyFont="1" applyBorder="1"/>
    <xf numFmtId="0" fontId="10" fillId="0" borderId="9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10" fillId="0" borderId="10" xfId="0" applyFont="1" applyBorder="1"/>
    <xf numFmtId="9" fontId="10" fillId="0" borderId="10" xfId="0" applyNumberFormat="1" applyFont="1" applyBorder="1"/>
    <xf numFmtId="0" fontId="10" fillId="0" borderId="10" xfId="0" applyFont="1" applyBorder="1" applyAlignment="1">
      <alignment horizontal="center" vertical="center" wrapText="1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9" xfId="0" applyNumberFormat="1" applyFont="1" applyFill="1" applyBorder="1" applyAlignment="1">
      <alignment wrapText="1"/>
    </xf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9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wrapText="1"/>
    </xf>
    <xf numFmtId="0" fontId="10" fillId="12" borderId="1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22412</xdr:colOff>
      <xdr:row>0</xdr:row>
      <xdr:rowOff>0</xdr:rowOff>
    </xdr:from>
    <xdr:to>
      <xdr:col>22</xdr:col>
      <xdr:colOff>268942</xdr:colOff>
      <xdr:row>1</xdr:row>
      <xdr:rowOff>268941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6707971" y="0"/>
          <a:ext cx="246530" cy="560294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7" t="s">
        <v>27</v>
      </c>
      <c r="E6" s="198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7" t="s">
        <v>31</v>
      </c>
      <c r="E9" s="198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7" t="s">
        <v>28</v>
      </c>
      <c r="E12" s="198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7" t="s">
        <v>30</v>
      </c>
      <c r="E15" s="198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7" t="s">
        <v>29</v>
      </c>
      <c r="E19" s="198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8"/>
      <c r="B21" s="169"/>
      <c r="C21" s="173"/>
      <c r="D21" s="239" t="s">
        <v>36</v>
      </c>
      <c r="E21" s="225" t="s">
        <v>63</v>
      </c>
      <c r="F21" s="201">
        <v>46091</v>
      </c>
      <c r="G21" s="205"/>
      <c r="H21" s="209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5" t="s">
        <v>132</v>
      </c>
      <c r="AL21" s="253" t="s">
        <v>136</v>
      </c>
      <c r="AM21" s="253"/>
      <c r="AN21" s="241" t="s">
        <v>135</v>
      </c>
      <c r="AO21" s="101"/>
      <c r="AP21" s="149"/>
      <c r="AQ21" s="247"/>
      <c r="AR21" s="248"/>
    </row>
    <row r="22" spans="1:44" ht="14.25" x14ac:dyDescent="0.2">
      <c r="A22" s="28"/>
      <c r="B22" s="20"/>
      <c r="C22" s="32"/>
      <c r="D22" s="240"/>
      <c r="E22" s="226"/>
      <c r="F22" s="202"/>
      <c r="G22" s="206"/>
      <c r="H22" s="210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6"/>
      <c r="AL22" s="254"/>
      <c r="AM22" s="254"/>
      <c r="AN22" s="242"/>
      <c r="AO22" s="102"/>
      <c r="AP22" s="141"/>
      <c r="AQ22" s="249"/>
      <c r="AR22" s="250"/>
    </row>
    <row r="23" spans="1:44" ht="14.25" x14ac:dyDescent="0.2">
      <c r="A23" s="28"/>
      <c r="B23" s="20"/>
      <c r="C23" s="32"/>
      <c r="D23" s="240"/>
      <c r="E23" s="226"/>
      <c r="F23" s="202"/>
      <c r="G23" s="206"/>
      <c r="H23" s="210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6"/>
      <c r="AL23" s="254"/>
      <c r="AM23" s="254"/>
      <c r="AN23" s="242"/>
      <c r="AO23" s="102"/>
      <c r="AP23" s="141"/>
      <c r="AQ23" s="249"/>
      <c r="AR23" s="250"/>
    </row>
    <row r="24" spans="1:44" ht="14.25" x14ac:dyDescent="0.2">
      <c r="A24" s="28"/>
      <c r="B24" s="20"/>
      <c r="C24" s="32"/>
      <c r="D24" s="240"/>
      <c r="E24" s="226"/>
      <c r="F24" s="202"/>
      <c r="G24" s="206"/>
      <c r="H24" s="210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6"/>
      <c r="AL24" s="254"/>
      <c r="AM24" s="254"/>
      <c r="AN24" s="242"/>
      <c r="AO24" s="102"/>
      <c r="AP24" s="141"/>
      <c r="AQ24" s="249"/>
      <c r="AR24" s="250"/>
    </row>
    <row r="25" spans="1:44" ht="14.25" x14ac:dyDescent="0.2">
      <c r="A25" s="28"/>
      <c r="B25" s="20"/>
      <c r="C25" s="32"/>
      <c r="D25" s="240"/>
      <c r="E25" s="226"/>
      <c r="F25" s="202"/>
      <c r="G25" s="206"/>
      <c r="H25" s="210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6"/>
      <c r="AL25" s="254"/>
      <c r="AM25" s="254"/>
      <c r="AN25" s="242"/>
      <c r="AO25" s="102"/>
      <c r="AP25" s="141"/>
      <c r="AQ25" s="249"/>
      <c r="AR25" s="250"/>
    </row>
    <row r="26" spans="1:44" ht="14.25" x14ac:dyDescent="0.2">
      <c r="A26" s="28"/>
      <c r="B26" s="20"/>
      <c r="C26" s="32"/>
      <c r="D26" s="240"/>
      <c r="E26" s="226"/>
      <c r="F26" s="202"/>
      <c r="G26" s="206"/>
      <c r="H26" s="210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6"/>
      <c r="AL26" s="254"/>
      <c r="AM26" s="254"/>
      <c r="AN26" s="242"/>
      <c r="AO26" s="102"/>
      <c r="AP26" s="141"/>
      <c r="AQ26" s="249"/>
      <c r="AR26" s="250"/>
    </row>
    <row r="27" spans="1:44" ht="14.25" x14ac:dyDescent="0.2">
      <c r="A27" s="28"/>
      <c r="B27" s="20"/>
      <c r="C27" s="32"/>
      <c r="D27" s="240"/>
      <c r="E27" s="226"/>
      <c r="F27" s="202"/>
      <c r="G27" s="206"/>
      <c r="H27" s="210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6"/>
      <c r="AL27" s="254"/>
      <c r="AM27" s="254"/>
      <c r="AN27" s="242"/>
      <c r="AO27" s="102"/>
      <c r="AP27" s="141"/>
      <c r="AQ27" s="249"/>
      <c r="AR27" s="250"/>
    </row>
    <row r="28" spans="1:44" ht="14.25" x14ac:dyDescent="0.2">
      <c r="A28" s="28"/>
      <c r="B28" s="20"/>
      <c r="C28" s="32"/>
      <c r="D28" s="240"/>
      <c r="E28" s="226"/>
      <c r="F28" s="202"/>
      <c r="G28" s="206"/>
      <c r="H28" s="210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6"/>
      <c r="AL28" s="254"/>
      <c r="AM28" s="254"/>
      <c r="AN28" s="242"/>
      <c r="AO28" s="102"/>
      <c r="AP28" s="141"/>
      <c r="AQ28" s="249"/>
      <c r="AR28" s="250"/>
    </row>
    <row r="29" spans="1:44" ht="14.25" x14ac:dyDescent="0.2">
      <c r="A29" s="28"/>
      <c r="B29" s="20"/>
      <c r="C29" s="32"/>
      <c r="D29" s="240"/>
      <c r="E29" s="226"/>
      <c r="F29" s="202"/>
      <c r="G29" s="206"/>
      <c r="H29" s="210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6"/>
      <c r="AL29" s="254"/>
      <c r="AM29" s="254"/>
      <c r="AN29" s="243"/>
      <c r="AO29" s="102"/>
      <c r="AP29" s="141"/>
      <c r="AQ29" s="251"/>
      <c r="AR29" s="252"/>
    </row>
    <row r="30" spans="1:44" ht="18.75" customHeight="1" x14ac:dyDescent="0.2">
      <c r="A30" s="28"/>
      <c r="B30" s="20"/>
      <c r="C30" s="21"/>
      <c r="D30" s="240" t="s">
        <v>38</v>
      </c>
      <c r="E30" s="226" t="s">
        <v>37</v>
      </c>
      <c r="F30" s="202">
        <v>46092</v>
      </c>
      <c r="G30" s="206"/>
      <c r="H30" s="210">
        <v>0.4</v>
      </c>
      <c r="I30" s="112" t="s">
        <v>79</v>
      </c>
      <c r="J30" s="120">
        <v>1</v>
      </c>
      <c r="K30" s="120">
        <v>1</v>
      </c>
      <c r="L30" s="121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6"/>
      <c r="AL30" s="257" t="s">
        <v>136</v>
      </c>
      <c r="AM30" s="260" t="s">
        <v>135</v>
      </c>
      <c r="AN30" s="143"/>
      <c r="AO30" s="102"/>
      <c r="AP30" s="244"/>
      <c r="AQ30" s="141"/>
      <c r="AR30" s="146"/>
    </row>
    <row r="31" spans="1:44" ht="18.75" customHeight="1" x14ac:dyDescent="0.2">
      <c r="A31" s="28"/>
      <c r="B31" s="20"/>
      <c r="C31" s="21"/>
      <c r="D31" s="240"/>
      <c r="E31" s="226"/>
      <c r="F31" s="202"/>
      <c r="G31" s="206"/>
      <c r="H31" s="210"/>
      <c r="I31" s="112" t="s">
        <v>80</v>
      </c>
      <c r="J31" s="120">
        <v>1</v>
      </c>
      <c r="K31" s="120">
        <v>1</v>
      </c>
      <c r="L31" s="121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6"/>
      <c r="AL31" s="258"/>
      <c r="AM31" s="242"/>
      <c r="AN31" s="143"/>
      <c r="AO31" s="102"/>
      <c r="AP31" s="245"/>
      <c r="AQ31" s="141"/>
      <c r="AR31" s="146"/>
    </row>
    <row r="32" spans="1:44" ht="18.75" customHeight="1" x14ac:dyDescent="0.2">
      <c r="A32" s="28"/>
      <c r="B32" s="20"/>
      <c r="C32" s="21"/>
      <c r="D32" s="240"/>
      <c r="E32" s="226"/>
      <c r="F32" s="202"/>
      <c r="G32" s="206"/>
      <c r="H32" s="210"/>
      <c r="I32" s="112" t="s">
        <v>98</v>
      </c>
      <c r="J32" s="120">
        <v>1</v>
      </c>
      <c r="K32" s="120">
        <v>0</v>
      </c>
      <c r="L32" s="121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6"/>
      <c r="AL32" s="258"/>
      <c r="AM32" s="242"/>
      <c r="AN32" s="143"/>
      <c r="AO32" s="102"/>
      <c r="AP32" s="245"/>
      <c r="AQ32" s="141"/>
      <c r="AR32" s="146"/>
    </row>
    <row r="33" spans="1:44" ht="18.75" customHeight="1" x14ac:dyDescent="0.2">
      <c r="A33" s="28"/>
      <c r="B33" s="20"/>
      <c r="C33" s="21"/>
      <c r="D33" s="240"/>
      <c r="E33" s="226"/>
      <c r="F33" s="202"/>
      <c r="G33" s="206"/>
      <c r="H33" s="210"/>
      <c r="I33" s="112" t="s">
        <v>82</v>
      </c>
      <c r="J33" s="120">
        <v>1</v>
      </c>
      <c r="K33" s="120">
        <v>0</v>
      </c>
      <c r="L33" s="121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6"/>
      <c r="AL33" s="258"/>
      <c r="AM33" s="242"/>
      <c r="AN33" s="143"/>
      <c r="AO33" s="102"/>
      <c r="AP33" s="245"/>
      <c r="AQ33" s="141"/>
      <c r="AR33" s="146"/>
    </row>
    <row r="34" spans="1:44" ht="18.75" customHeight="1" x14ac:dyDescent="0.2">
      <c r="A34" s="28"/>
      <c r="B34" s="20"/>
      <c r="C34" s="21"/>
      <c r="D34" s="240"/>
      <c r="E34" s="226"/>
      <c r="F34" s="202"/>
      <c r="G34" s="206"/>
      <c r="H34" s="210"/>
      <c r="I34" s="112" t="s">
        <v>84</v>
      </c>
      <c r="J34" s="120">
        <v>1</v>
      </c>
      <c r="K34" s="120">
        <v>0</v>
      </c>
      <c r="L34" s="121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6"/>
      <c r="AL34" s="258"/>
      <c r="AM34" s="242"/>
      <c r="AN34" s="143"/>
      <c r="AO34" s="102"/>
      <c r="AP34" s="245"/>
      <c r="AQ34" s="141"/>
      <c r="AR34" s="146"/>
    </row>
    <row r="35" spans="1:44" ht="18.75" customHeight="1" x14ac:dyDescent="0.2">
      <c r="A35" s="28"/>
      <c r="B35" s="20"/>
      <c r="C35" s="21"/>
      <c r="D35" s="240"/>
      <c r="E35" s="226"/>
      <c r="F35" s="202"/>
      <c r="G35" s="206"/>
      <c r="H35" s="210"/>
      <c r="I35" s="112" t="s">
        <v>97</v>
      </c>
      <c r="J35" s="120">
        <v>6</v>
      </c>
      <c r="K35" s="120">
        <v>0</v>
      </c>
      <c r="L35" s="121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6"/>
      <c r="AL35" s="258"/>
      <c r="AM35" s="242"/>
      <c r="AN35" s="143"/>
      <c r="AO35" s="102"/>
      <c r="AP35" s="245"/>
      <c r="AQ35" s="141"/>
      <c r="AR35" s="146"/>
    </row>
    <row r="36" spans="1:44" ht="18.75" customHeight="1" x14ac:dyDescent="0.2">
      <c r="A36" s="28"/>
      <c r="B36" s="20"/>
      <c r="C36" s="21"/>
      <c r="D36" s="240"/>
      <c r="E36" s="226"/>
      <c r="F36" s="202"/>
      <c r="G36" s="206"/>
      <c r="H36" s="210"/>
      <c r="I36" s="112" t="s">
        <v>89</v>
      </c>
      <c r="J36" s="120">
        <v>11</v>
      </c>
      <c r="K36" s="120">
        <v>0</v>
      </c>
      <c r="L36" s="121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6"/>
      <c r="AL36" s="259"/>
      <c r="AM36" s="243"/>
      <c r="AN36" s="143"/>
      <c r="AO36" s="102"/>
      <c r="AP36" s="246"/>
      <c r="AQ36" s="141"/>
      <c r="AR36" s="146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9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9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9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9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9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9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4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30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7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38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38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38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38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38"/>
    </row>
    <row r="54" spans="1:13" hidden="1" x14ac:dyDescent="0.2">
      <c r="A54" s="20"/>
      <c r="B54" s="20"/>
      <c r="C54" s="32"/>
      <c r="D54" s="198" t="s">
        <v>35</v>
      </c>
      <c r="E54" s="198"/>
      <c r="F54" s="25"/>
      <c r="G54" s="21"/>
      <c r="H54" s="21"/>
      <c r="I54" s="21"/>
      <c r="J54" s="21"/>
      <c r="K54" s="21"/>
      <c r="L54" s="50"/>
      <c r="M54" s="238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38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38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98" t="s">
        <v>32</v>
      </c>
      <c r="E59" s="198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99" t="s">
        <v>23</v>
      </c>
      <c r="E63" s="200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E2" zoomScale="85" zoomScaleNormal="85" workbookViewId="0">
      <selection activeCell="M46" sqref="M46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4" t="s">
        <v>71</v>
      </c>
      <c r="M3" s="145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7" t="s">
        <v>27</v>
      </c>
      <c r="E6" s="198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7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8"/>
      <c r="M8" s="139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7" t="s">
        <v>31</v>
      </c>
      <c r="E9" s="198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7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7" t="s">
        <v>28</v>
      </c>
      <c r="E12" s="198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7" t="s">
        <v>30</v>
      </c>
      <c r="E15" s="198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7" t="s">
        <v>29</v>
      </c>
      <c r="E19" s="198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5"/>
      <c r="B20" s="156"/>
      <c r="C20" s="157"/>
      <c r="D20" s="158"/>
      <c r="E20" s="96"/>
      <c r="F20" s="58"/>
      <c r="G20" s="87"/>
      <c r="H20" s="87"/>
      <c r="I20" s="87"/>
      <c r="J20" s="87"/>
      <c r="K20" s="87"/>
      <c r="L20" s="159"/>
      <c r="M20" s="160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8"/>
      <c r="B21" s="169"/>
      <c r="C21" s="170"/>
      <c r="D21" s="221" t="s">
        <v>36</v>
      </c>
      <c r="E21" s="225" t="s">
        <v>141</v>
      </c>
      <c r="F21" s="201">
        <v>46090</v>
      </c>
      <c r="G21" s="205"/>
      <c r="H21" s="209">
        <v>0.5</v>
      </c>
      <c r="I21" s="187" t="s">
        <v>79</v>
      </c>
      <c r="J21" s="187">
        <v>1</v>
      </c>
      <c r="K21" s="187">
        <v>1</v>
      </c>
      <c r="L21" s="183">
        <f>K21/J21</f>
        <v>1</v>
      </c>
      <c r="M21" s="191"/>
      <c r="N21" s="187">
        <v>0</v>
      </c>
      <c r="O21" s="187"/>
      <c r="P21" s="18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4"/>
      <c r="AL21" s="134"/>
      <c r="AM21" s="148"/>
      <c r="AN21" s="78"/>
      <c r="AO21" s="101"/>
      <c r="AP21" s="233" t="s">
        <v>134</v>
      </c>
      <c r="AQ21" s="149"/>
      <c r="AR21" s="171"/>
    </row>
    <row r="22" spans="1:44" ht="14.25" x14ac:dyDescent="0.2">
      <c r="A22" s="28"/>
      <c r="B22" s="20"/>
      <c r="C22" s="75"/>
      <c r="D22" s="222"/>
      <c r="E22" s="226"/>
      <c r="F22" s="202"/>
      <c r="G22" s="206"/>
      <c r="H22" s="210"/>
      <c r="I22" s="188" t="s">
        <v>80</v>
      </c>
      <c r="J22" s="188">
        <v>1</v>
      </c>
      <c r="K22" s="188">
        <v>1</v>
      </c>
      <c r="L22" s="184">
        <f>K22/J22</f>
        <v>1</v>
      </c>
      <c r="M22" s="190"/>
      <c r="N22" s="188">
        <v>0</v>
      </c>
      <c r="O22" s="188"/>
      <c r="P22" s="188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5"/>
      <c r="AL22" s="135"/>
      <c r="AM22" s="140"/>
      <c r="AN22" s="21"/>
      <c r="AO22" s="102"/>
      <c r="AP22" s="234"/>
      <c r="AQ22" s="141"/>
      <c r="AR22" s="146"/>
    </row>
    <row r="23" spans="1:44" ht="14.25" x14ac:dyDescent="0.2">
      <c r="A23" s="28"/>
      <c r="B23" s="20"/>
      <c r="C23" s="75"/>
      <c r="D23" s="222"/>
      <c r="E23" s="226"/>
      <c r="F23" s="202"/>
      <c r="G23" s="206"/>
      <c r="H23" s="210"/>
      <c r="I23" s="112" t="s">
        <v>81</v>
      </c>
      <c r="J23" s="112">
        <v>1</v>
      </c>
      <c r="K23" s="112">
        <v>1</v>
      </c>
      <c r="L23" s="113">
        <v>1</v>
      </c>
      <c r="M23" s="114" t="s">
        <v>150</v>
      </c>
      <c r="N23" s="112">
        <v>68</v>
      </c>
      <c r="O23" s="112">
        <v>68</v>
      </c>
      <c r="P23" s="188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5"/>
      <c r="AL23" s="135"/>
      <c r="AM23" s="140"/>
      <c r="AN23" s="21"/>
      <c r="AO23" s="102"/>
      <c r="AP23" s="234"/>
      <c r="AQ23" s="141"/>
      <c r="AR23" s="146"/>
    </row>
    <row r="24" spans="1:44" ht="14.25" x14ac:dyDescent="0.2">
      <c r="A24" s="28"/>
      <c r="B24" s="20"/>
      <c r="C24" s="75"/>
      <c r="D24" s="222"/>
      <c r="E24" s="226"/>
      <c r="F24" s="202"/>
      <c r="G24" s="206"/>
      <c r="H24" s="210"/>
      <c r="I24" s="188" t="s">
        <v>82</v>
      </c>
      <c r="J24" s="188">
        <v>1</v>
      </c>
      <c r="K24" s="188">
        <v>1</v>
      </c>
      <c r="L24" s="184">
        <f t="shared" ref="L24:L41" si="0">K24/J24</f>
        <v>1</v>
      </c>
      <c r="M24" s="190"/>
      <c r="N24" s="188">
        <v>340</v>
      </c>
      <c r="O24" s="188">
        <v>340</v>
      </c>
      <c r="P24" s="188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5"/>
      <c r="AL24" s="135"/>
      <c r="AM24" s="140"/>
      <c r="AN24" s="21"/>
      <c r="AO24" s="102"/>
      <c r="AP24" s="234"/>
      <c r="AQ24" s="141"/>
      <c r="AR24" s="146"/>
    </row>
    <row r="25" spans="1:44" ht="14.25" x14ac:dyDescent="0.2">
      <c r="A25" s="28"/>
      <c r="B25" s="20"/>
      <c r="C25" s="75"/>
      <c r="D25" s="222"/>
      <c r="E25" s="226"/>
      <c r="F25" s="202"/>
      <c r="G25" s="206"/>
      <c r="H25" s="210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146</v>
      </c>
      <c r="N25" s="112">
        <v>107</v>
      </c>
      <c r="O25" s="112"/>
      <c r="P25" s="188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5"/>
      <c r="AL25" s="135"/>
      <c r="AM25" s="140"/>
      <c r="AN25" s="21"/>
      <c r="AO25" s="102"/>
      <c r="AP25" s="234"/>
      <c r="AQ25" s="141"/>
      <c r="AR25" s="146"/>
    </row>
    <row r="26" spans="1:44" ht="14.25" x14ac:dyDescent="0.2">
      <c r="A26" s="28"/>
      <c r="B26" s="20"/>
      <c r="C26" s="75"/>
      <c r="D26" s="222"/>
      <c r="E26" s="226"/>
      <c r="F26" s="202"/>
      <c r="G26" s="206"/>
      <c r="H26" s="210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5"/>
      <c r="AL26" s="135"/>
      <c r="AM26" s="140"/>
      <c r="AN26" s="21"/>
      <c r="AO26" s="102"/>
      <c r="AP26" s="234"/>
      <c r="AQ26" s="141"/>
      <c r="AR26" s="146"/>
    </row>
    <row r="27" spans="1:44" ht="14.25" x14ac:dyDescent="0.2">
      <c r="A27" s="28"/>
      <c r="B27" s="20"/>
      <c r="C27" s="75"/>
      <c r="D27" s="222"/>
      <c r="E27" s="226"/>
      <c r="F27" s="202"/>
      <c r="G27" s="206"/>
      <c r="H27" s="210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88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89" t="s">
        <v>95</v>
      </c>
      <c r="AH27" s="102"/>
      <c r="AI27" s="89" t="s">
        <v>95</v>
      </c>
      <c r="AJ27" s="90" t="s">
        <v>95</v>
      </c>
      <c r="AK27" s="135"/>
      <c r="AL27" s="135"/>
      <c r="AM27" s="140"/>
      <c r="AN27" s="21"/>
      <c r="AO27" s="102"/>
      <c r="AP27" s="234"/>
      <c r="AQ27" s="141"/>
      <c r="AR27" s="146"/>
    </row>
    <row r="28" spans="1:44" ht="14.25" x14ac:dyDescent="0.2">
      <c r="A28" s="28"/>
      <c r="B28" s="20"/>
      <c r="C28" s="75"/>
      <c r="D28" s="222"/>
      <c r="E28" s="226"/>
      <c r="F28" s="202"/>
      <c r="G28" s="206"/>
      <c r="H28" s="210"/>
      <c r="I28" s="112" t="s">
        <v>89</v>
      </c>
      <c r="J28" s="112">
        <v>13</v>
      </c>
      <c r="K28" s="112">
        <v>0</v>
      </c>
      <c r="L28" s="113">
        <f t="shared" si="0"/>
        <v>0</v>
      </c>
      <c r="M28" s="114" t="s">
        <v>83</v>
      </c>
      <c r="N28" s="112">
        <v>20</v>
      </c>
      <c r="O28" s="112">
        <v>7</v>
      </c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5"/>
      <c r="AL28" s="135"/>
      <c r="AM28" s="140"/>
      <c r="AN28" s="21"/>
      <c r="AO28" s="102"/>
      <c r="AP28" s="234"/>
      <c r="AQ28" s="141"/>
      <c r="AR28" s="146"/>
    </row>
    <row r="29" spans="1:44" ht="28.5" x14ac:dyDescent="0.2">
      <c r="A29" s="155"/>
      <c r="B29" s="156"/>
      <c r="C29" s="157"/>
      <c r="D29" s="223"/>
      <c r="E29" s="227"/>
      <c r="F29" s="203"/>
      <c r="G29" s="207"/>
      <c r="H29" s="211"/>
      <c r="I29" s="175" t="s">
        <v>143</v>
      </c>
      <c r="J29" s="175">
        <v>8</v>
      </c>
      <c r="K29" s="175">
        <v>6</v>
      </c>
      <c r="L29" s="176">
        <f t="shared" si="0"/>
        <v>0.75</v>
      </c>
      <c r="M29" s="196" t="s">
        <v>144</v>
      </c>
      <c r="N29" s="175">
        <v>21</v>
      </c>
      <c r="O29" s="175">
        <v>18</v>
      </c>
      <c r="P29" s="189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8"/>
      <c r="AK29" s="179"/>
      <c r="AL29" s="179"/>
      <c r="AM29" s="180"/>
      <c r="AN29" s="87"/>
      <c r="AO29" s="104"/>
      <c r="AP29" s="235"/>
      <c r="AQ29" s="181"/>
      <c r="AR29" s="182"/>
    </row>
    <row r="30" spans="1:44" ht="14.25" x14ac:dyDescent="0.2">
      <c r="A30" s="155"/>
      <c r="B30" s="156"/>
      <c r="C30" s="157"/>
      <c r="D30" s="223"/>
      <c r="E30" s="227"/>
      <c r="F30" s="203"/>
      <c r="G30" s="207"/>
      <c r="H30" s="211"/>
      <c r="I30" s="175" t="s">
        <v>138</v>
      </c>
      <c r="J30" s="175">
        <v>4</v>
      </c>
      <c r="K30" s="175">
        <v>4</v>
      </c>
      <c r="L30" s="176">
        <v>1</v>
      </c>
      <c r="M30" s="114" t="s">
        <v>150</v>
      </c>
      <c r="N30" s="175">
        <v>8</v>
      </c>
      <c r="O30" s="175">
        <v>8</v>
      </c>
      <c r="P30" s="189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8"/>
      <c r="AK30" s="179"/>
      <c r="AL30" s="179"/>
      <c r="AM30" s="180"/>
      <c r="AN30" s="87"/>
      <c r="AO30" s="104"/>
      <c r="AP30" s="235"/>
      <c r="AQ30" s="181"/>
      <c r="AR30" s="182"/>
    </row>
    <row r="31" spans="1:44" ht="14.25" x14ac:dyDescent="0.2">
      <c r="A31" s="155"/>
      <c r="B31" s="156"/>
      <c r="C31" s="157"/>
      <c r="D31" s="223"/>
      <c r="E31" s="227"/>
      <c r="F31" s="203"/>
      <c r="G31" s="207"/>
      <c r="H31" s="211"/>
      <c r="I31" s="175" t="s">
        <v>137</v>
      </c>
      <c r="J31" s="175">
        <v>3</v>
      </c>
      <c r="K31" s="175">
        <v>3</v>
      </c>
      <c r="L31" s="176">
        <v>1</v>
      </c>
      <c r="M31" s="177" t="s">
        <v>150</v>
      </c>
      <c r="N31" s="175">
        <v>60</v>
      </c>
      <c r="O31" s="175">
        <v>60</v>
      </c>
      <c r="P31" s="189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8"/>
      <c r="AK31" s="179"/>
      <c r="AL31" s="179"/>
      <c r="AM31" s="180"/>
      <c r="AN31" s="87"/>
      <c r="AO31" s="104"/>
      <c r="AP31" s="235"/>
      <c r="AQ31" s="181"/>
      <c r="AR31" s="182"/>
    </row>
    <row r="32" spans="1:44" ht="15" thickBot="1" x14ac:dyDescent="0.25">
      <c r="A32" s="29"/>
      <c r="B32" s="30"/>
      <c r="C32" s="172"/>
      <c r="D32" s="224"/>
      <c r="E32" s="228"/>
      <c r="F32" s="204"/>
      <c r="G32" s="208"/>
      <c r="H32" s="212"/>
      <c r="I32" s="117" t="s">
        <v>93</v>
      </c>
      <c r="J32" s="117">
        <v>1</v>
      </c>
      <c r="K32" s="117">
        <v>0</v>
      </c>
      <c r="L32" s="118">
        <f t="shared" si="0"/>
        <v>0</v>
      </c>
      <c r="M32" s="119" t="s">
        <v>151</v>
      </c>
      <c r="N32" s="117">
        <v>96</v>
      </c>
      <c r="O32" s="117">
        <v>20</v>
      </c>
      <c r="P32" s="117" t="s">
        <v>91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31"/>
      <c r="AE32" s="92" t="s">
        <v>95</v>
      </c>
      <c r="AF32" s="31"/>
      <c r="AG32" s="31"/>
      <c r="AH32" s="105"/>
      <c r="AI32" s="31"/>
      <c r="AJ32" s="92"/>
      <c r="AK32" s="136"/>
      <c r="AL32" s="136"/>
      <c r="AM32" s="151"/>
      <c r="AN32" s="31"/>
      <c r="AO32" s="105"/>
      <c r="AP32" s="236"/>
      <c r="AQ32" s="153"/>
      <c r="AR32" s="154"/>
    </row>
    <row r="33" spans="1:44" ht="18.75" customHeight="1" x14ac:dyDescent="0.2">
      <c r="A33" s="161"/>
      <c r="B33" s="38"/>
      <c r="C33" s="162"/>
      <c r="D33" s="213" t="s">
        <v>38</v>
      </c>
      <c r="E33" s="215" t="s">
        <v>140</v>
      </c>
      <c r="F33" s="218">
        <v>46090</v>
      </c>
      <c r="G33" s="219"/>
      <c r="H33" s="220">
        <v>0.5</v>
      </c>
      <c r="I33" s="192" t="s">
        <v>79</v>
      </c>
      <c r="J33" s="193">
        <v>1</v>
      </c>
      <c r="K33" s="193">
        <v>1</v>
      </c>
      <c r="L33" s="185">
        <f t="shared" si="0"/>
        <v>1</v>
      </c>
      <c r="M33" s="194"/>
      <c r="N33" s="192">
        <v>0</v>
      </c>
      <c r="O33" s="192"/>
      <c r="P33" s="192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63"/>
      <c r="AL33" s="164"/>
      <c r="AM33" s="165"/>
      <c r="AN33" s="229" t="s">
        <v>133</v>
      </c>
      <c r="AO33" s="230"/>
      <c r="AP33" s="230"/>
      <c r="AQ33" s="166"/>
      <c r="AR33" s="167"/>
    </row>
    <row r="34" spans="1:44" ht="18.75" customHeight="1" x14ac:dyDescent="0.2">
      <c r="A34" s="28"/>
      <c r="B34" s="20"/>
      <c r="C34" s="62"/>
      <c r="D34" s="214"/>
      <c r="E34" s="216"/>
      <c r="F34" s="202"/>
      <c r="G34" s="206"/>
      <c r="H34" s="210"/>
      <c r="I34" s="188" t="s">
        <v>80</v>
      </c>
      <c r="J34" s="195">
        <v>1</v>
      </c>
      <c r="K34" s="195">
        <v>1</v>
      </c>
      <c r="L34" s="186">
        <f t="shared" si="0"/>
        <v>1</v>
      </c>
      <c r="M34" s="190"/>
      <c r="N34" s="188">
        <v>0</v>
      </c>
      <c r="O34" s="188"/>
      <c r="P34" s="188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42"/>
      <c r="AL34" s="140"/>
      <c r="AM34" s="143"/>
      <c r="AN34" s="231"/>
      <c r="AO34" s="231"/>
      <c r="AP34" s="231"/>
      <c r="AQ34" s="141"/>
      <c r="AR34" s="146"/>
    </row>
    <row r="35" spans="1:44" ht="18.75" customHeight="1" x14ac:dyDescent="0.2">
      <c r="A35" s="28"/>
      <c r="B35" s="20"/>
      <c r="C35" s="62"/>
      <c r="D35" s="214"/>
      <c r="E35" s="216"/>
      <c r="F35" s="202"/>
      <c r="G35" s="206"/>
      <c r="H35" s="210"/>
      <c r="I35" s="188" t="s">
        <v>98</v>
      </c>
      <c r="J35" s="195">
        <v>1</v>
      </c>
      <c r="K35" s="195">
        <v>1</v>
      </c>
      <c r="L35" s="186">
        <f t="shared" si="0"/>
        <v>1</v>
      </c>
      <c r="M35" s="190"/>
      <c r="N35" s="188">
        <v>280</v>
      </c>
      <c r="O35" s="188">
        <v>280</v>
      </c>
      <c r="P35" s="188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42"/>
      <c r="AL35" s="140"/>
      <c r="AM35" s="143"/>
      <c r="AN35" s="231"/>
      <c r="AO35" s="231"/>
      <c r="AP35" s="231"/>
      <c r="AQ35" s="141"/>
      <c r="AR35" s="146"/>
    </row>
    <row r="36" spans="1:44" ht="18.75" customHeight="1" x14ac:dyDescent="0.2">
      <c r="A36" s="28"/>
      <c r="B36" s="20"/>
      <c r="C36" s="62"/>
      <c r="D36" s="214"/>
      <c r="E36" s="216"/>
      <c r="F36" s="202"/>
      <c r="G36" s="206"/>
      <c r="H36" s="210"/>
      <c r="I36" s="188" t="s">
        <v>82</v>
      </c>
      <c r="J36" s="195">
        <v>1</v>
      </c>
      <c r="K36" s="195">
        <v>1</v>
      </c>
      <c r="L36" s="186">
        <f t="shared" si="0"/>
        <v>1</v>
      </c>
      <c r="M36" s="190"/>
      <c r="N36" s="188">
        <v>340</v>
      </c>
      <c r="O36" s="188">
        <v>340</v>
      </c>
      <c r="P36" s="188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42"/>
      <c r="AL36" s="140"/>
      <c r="AM36" s="143"/>
      <c r="AN36" s="231"/>
      <c r="AO36" s="231"/>
      <c r="AP36" s="231"/>
      <c r="AQ36" s="141"/>
      <c r="AR36" s="146"/>
    </row>
    <row r="37" spans="1:44" ht="28.5" x14ac:dyDescent="0.2">
      <c r="A37" s="28"/>
      <c r="B37" s="20"/>
      <c r="C37" s="62"/>
      <c r="D37" s="214"/>
      <c r="E37" s="216"/>
      <c r="F37" s="202"/>
      <c r="G37" s="206"/>
      <c r="H37" s="210"/>
      <c r="I37" s="175" t="s">
        <v>143</v>
      </c>
      <c r="J37" s="120">
        <v>8</v>
      </c>
      <c r="K37" s="120">
        <v>0</v>
      </c>
      <c r="L37" s="121">
        <f t="shared" si="0"/>
        <v>0</v>
      </c>
      <c r="M37" s="196" t="s">
        <v>144</v>
      </c>
      <c r="N37" s="112">
        <v>21</v>
      </c>
      <c r="O37" s="112"/>
      <c r="P37" s="188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42"/>
      <c r="AL37" s="140"/>
      <c r="AM37" s="143"/>
      <c r="AN37" s="231"/>
      <c r="AO37" s="231"/>
      <c r="AP37" s="231"/>
      <c r="AQ37" s="141"/>
      <c r="AR37" s="146"/>
    </row>
    <row r="38" spans="1:44" ht="18.75" customHeight="1" x14ac:dyDescent="0.2">
      <c r="A38" s="28"/>
      <c r="B38" s="20"/>
      <c r="C38" s="62"/>
      <c r="D38" s="214"/>
      <c r="E38" s="216"/>
      <c r="F38" s="202"/>
      <c r="G38" s="206"/>
      <c r="H38" s="210"/>
      <c r="I38" s="189" t="s">
        <v>138</v>
      </c>
      <c r="J38" s="195">
        <v>4</v>
      </c>
      <c r="K38" s="195">
        <v>4</v>
      </c>
      <c r="L38" s="186">
        <v>1</v>
      </c>
      <c r="M38" s="190" t="s">
        <v>139</v>
      </c>
      <c r="N38" s="188">
        <v>8</v>
      </c>
      <c r="O38" s="188">
        <v>8</v>
      </c>
      <c r="P38" s="188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42"/>
      <c r="AL38" s="140"/>
      <c r="AM38" s="143"/>
      <c r="AN38" s="231"/>
      <c r="AO38" s="231"/>
      <c r="AP38" s="231"/>
      <c r="AQ38" s="141"/>
      <c r="AR38" s="146"/>
    </row>
    <row r="39" spans="1:44" ht="18.75" customHeight="1" x14ac:dyDescent="0.2">
      <c r="A39" s="28"/>
      <c r="B39" s="20"/>
      <c r="C39" s="62"/>
      <c r="D39" s="214"/>
      <c r="E39" s="216"/>
      <c r="F39" s="202"/>
      <c r="G39" s="206"/>
      <c r="H39" s="210"/>
      <c r="I39" s="112" t="s">
        <v>84</v>
      </c>
      <c r="J39" s="120">
        <v>1</v>
      </c>
      <c r="K39" s="120">
        <v>0</v>
      </c>
      <c r="L39" s="121">
        <f t="shared" si="0"/>
        <v>0</v>
      </c>
      <c r="M39" s="114" t="s">
        <v>145</v>
      </c>
      <c r="N39" s="112">
        <v>107</v>
      </c>
      <c r="O39" s="112"/>
      <c r="P39" s="188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42"/>
      <c r="AL39" s="140"/>
      <c r="AM39" s="143"/>
      <c r="AN39" s="231"/>
      <c r="AO39" s="231"/>
      <c r="AP39" s="231"/>
      <c r="AQ39" s="141"/>
      <c r="AR39" s="146"/>
    </row>
    <row r="40" spans="1:44" ht="18.75" customHeight="1" x14ac:dyDescent="0.2">
      <c r="A40" s="28"/>
      <c r="B40" s="20"/>
      <c r="C40" s="62"/>
      <c r="D40" s="214"/>
      <c r="E40" s="216"/>
      <c r="F40" s="202"/>
      <c r="G40" s="206"/>
      <c r="H40" s="210"/>
      <c r="I40" s="112" t="s">
        <v>97</v>
      </c>
      <c r="J40" s="120">
        <v>6</v>
      </c>
      <c r="K40" s="120">
        <v>0</v>
      </c>
      <c r="L40" s="121">
        <f t="shared" si="0"/>
        <v>0</v>
      </c>
      <c r="M40" s="114" t="s">
        <v>87</v>
      </c>
      <c r="N40" s="112">
        <v>172</v>
      </c>
      <c r="O40" s="112"/>
      <c r="P40" s="188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89" t="s">
        <v>95</v>
      </c>
      <c r="AG40" s="89" t="s">
        <v>95</v>
      </c>
      <c r="AH40" s="102"/>
      <c r="AI40" s="89" t="s">
        <v>95</v>
      </c>
      <c r="AJ40" s="90" t="s">
        <v>95</v>
      </c>
      <c r="AK40" s="142"/>
      <c r="AL40" s="140"/>
      <c r="AM40" s="143"/>
      <c r="AN40" s="231"/>
      <c r="AO40" s="231"/>
      <c r="AP40" s="231"/>
      <c r="AQ40" s="141"/>
      <c r="AR40" s="146"/>
    </row>
    <row r="41" spans="1:44" ht="18.75" customHeight="1" thickBot="1" x14ac:dyDescent="0.25">
      <c r="A41" s="28"/>
      <c r="B41" s="20"/>
      <c r="C41" s="62"/>
      <c r="D41" s="214"/>
      <c r="E41" s="217"/>
      <c r="F41" s="204"/>
      <c r="G41" s="208"/>
      <c r="H41" s="212"/>
      <c r="I41" s="117" t="s">
        <v>89</v>
      </c>
      <c r="J41" s="122">
        <v>11</v>
      </c>
      <c r="K41" s="122">
        <v>0</v>
      </c>
      <c r="L41" s="123">
        <f t="shared" si="0"/>
        <v>0</v>
      </c>
      <c r="M41" s="119" t="s">
        <v>152</v>
      </c>
      <c r="N41" s="117">
        <v>20</v>
      </c>
      <c r="O41" s="117">
        <v>7</v>
      </c>
      <c r="P41" s="117" t="s">
        <v>91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95" t="s">
        <v>95</v>
      </c>
      <c r="AC41" s="95" t="s">
        <v>95</v>
      </c>
      <c r="AD41" s="95" t="s">
        <v>95</v>
      </c>
      <c r="AE41" s="95" t="s">
        <v>95</v>
      </c>
      <c r="AF41" s="92" t="s">
        <v>95</v>
      </c>
      <c r="AG41" s="31"/>
      <c r="AH41" s="105"/>
      <c r="AI41" s="31"/>
      <c r="AJ41" s="92"/>
      <c r="AK41" s="150"/>
      <c r="AL41" s="151"/>
      <c r="AM41" s="152"/>
      <c r="AN41" s="232"/>
      <c r="AO41" s="232"/>
      <c r="AP41" s="232"/>
      <c r="AQ41" s="153"/>
      <c r="AR41" s="154"/>
    </row>
    <row r="42" spans="1:44" ht="14.25" x14ac:dyDescent="0.2">
      <c r="A42" s="28"/>
      <c r="B42" s="20"/>
      <c r="C42" s="62"/>
      <c r="D42" s="49" t="s">
        <v>39</v>
      </c>
      <c r="E42" s="125" t="s">
        <v>40</v>
      </c>
      <c r="F42" s="124">
        <v>46090</v>
      </c>
      <c r="G42" s="125"/>
      <c r="H42" s="126">
        <v>0.6</v>
      </c>
      <c r="I42" s="125" t="s">
        <v>65</v>
      </c>
      <c r="J42" s="125">
        <v>1</v>
      </c>
      <c r="K42" s="125">
        <v>0</v>
      </c>
      <c r="L42" s="127">
        <f>K42/J42</f>
        <v>0</v>
      </c>
      <c r="M42" s="128"/>
      <c r="N42" s="125">
        <v>18</v>
      </c>
      <c r="O42" s="125"/>
      <c r="P42" s="125" t="s">
        <v>92</v>
      </c>
      <c r="Q42" s="39"/>
      <c r="R42" s="39"/>
      <c r="S42" s="39"/>
      <c r="T42" s="106"/>
      <c r="U42" s="39"/>
      <c r="V42" s="94" t="s">
        <v>95</v>
      </c>
      <c r="W42" s="93" t="s">
        <v>95</v>
      </c>
      <c r="X42" s="39"/>
      <c r="Y42" s="39"/>
      <c r="Z42" s="39"/>
      <c r="AA42" s="106"/>
      <c r="AB42" s="39"/>
      <c r="AC42" s="39"/>
      <c r="AD42" s="39"/>
      <c r="AE42" s="39"/>
      <c r="AF42" s="39"/>
      <c r="AG42" s="39"/>
      <c r="AH42" s="106"/>
      <c r="AI42" s="39"/>
      <c r="AJ42" s="39"/>
      <c r="AK42" s="39"/>
      <c r="AL42" s="39"/>
      <c r="AM42" s="39"/>
      <c r="AN42" s="39"/>
      <c r="AO42" s="106"/>
      <c r="AP42" s="39"/>
      <c r="AQ42" s="39"/>
      <c r="AR42" s="86"/>
    </row>
    <row r="43" spans="1:44" ht="14.25" x14ac:dyDescent="0.2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v>0.6</v>
      </c>
      <c r="I43" s="112" t="s">
        <v>65</v>
      </c>
      <c r="J43" s="112">
        <v>1</v>
      </c>
      <c r="K43" s="112">
        <v>0</v>
      </c>
      <c r="L43" s="113">
        <f>K43/J43</f>
        <v>0</v>
      </c>
      <c r="M43" s="129"/>
      <c r="N43" s="112">
        <v>18</v>
      </c>
      <c r="O43" s="112"/>
      <c r="P43" s="112" t="s">
        <v>92</v>
      </c>
      <c r="Q43" s="21"/>
      <c r="R43" s="21"/>
      <c r="S43" s="21"/>
      <c r="T43" s="102"/>
      <c r="U43" s="21"/>
      <c r="V43" s="89" t="s">
        <v>95</v>
      </c>
      <c r="W43" s="90" t="s">
        <v>95</v>
      </c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9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9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9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9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9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9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9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9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7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30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7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38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38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38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38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38"/>
    </row>
    <row r="59" spans="1:44" hidden="1" x14ac:dyDescent="0.2">
      <c r="A59" s="20"/>
      <c r="B59" s="20"/>
      <c r="C59" s="32"/>
      <c r="D59" s="198" t="s">
        <v>35</v>
      </c>
      <c r="E59" s="198"/>
      <c r="F59" s="25"/>
      <c r="G59" s="21"/>
      <c r="H59" s="21"/>
      <c r="I59" s="21"/>
      <c r="J59" s="21"/>
      <c r="K59" s="21"/>
      <c r="L59" s="50"/>
      <c r="M59" s="238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38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38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198" t="s">
        <v>32</v>
      </c>
      <c r="E64" s="198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199" t="s">
        <v>23</v>
      </c>
      <c r="E68" s="200"/>
    </row>
    <row r="69" spans="3:16" x14ac:dyDescent="0.2">
      <c r="I69" s="3" t="s">
        <v>142</v>
      </c>
      <c r="L69" s="71">
        <f>O69/N69</f>
        <v>0.55764592378195854</v>
      </c>
      <c r="N69">
        <f>SUM(N21:N52)</f>
        <v>2073</v>
      </c>
      <c r="O69">
        <f>SUM(O21:O52)</f>
        <v>1156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63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workbookViewId="0">
      <selection activeCell="D31" sqref="D31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x14ac:dyDescent="0.2">
      <c r="A2" s="131" t="s">
        <v>100</v>
      </c>
      <c r="B2" s="78" t="s">
        <v>101</v>
      </c>
      <c r="C2" s="78" t="s">
        <v>102</v>
      </c>
      <c r="D2" s="79" t="s">
        <v>103</v>
      </c>
    </row>
    <row r="3" spans="1:4" x14ac:dyDescent="0.2">
      <c r="A3" s="132" t="s">
        <v>104</v>
      </c>
      <c r="B3" s="21" t="s">
        <v>127</v>
      </c>
      <c r="C3" s="21" t="s">
        <v>130</v>
      </c>
      <c r="D3" s="83" t="s">
        <v>147</v>
      </c>
    </row>
    <row r="4" spans="1:4" x14ac:dyDescent="0.2">
      <c r="A4" s="132" t="s">
        <v>105</v>
      </c>
      <c r="B4" s="21" t="s">
        <v>127</v>
      </c>
      <c r="C4" s="21" t="s">
        <v>130</v>
      </c>
      <c r="D4" s="83" t="s">
        <v>147</v>
      </c>
    </row>
    <row r="5" spans="1:4" x14ac:dyDescent="0.2">
      <c r="A5" s="132" t="s">
        <v>106</v>
      </c>
      <c r="B5" s="21" t="s">
        <v>127</v>
      </c>
      <c r="C5" s="21" t="s">
        <v>130</v>
      </c>
      <c r="D5" s="83" t="s">
        <v>147</v>
      </c>
    </row>
    <row r="6" spans="1:4" x14ac:dyDescent="0.2">
      <c r="A6" s="132" t="s">
        <v>107</v>
      </c>
      <c r="B6" s="21" t="s">
        <v>127</v>
      </c>
      <c r="C6" s="21" t="s">
        <v>130</v>
      </c>
      <c r="D6" s="81" t="s">
        <v>131</v>
      </c>
    </row>
    <row r="7" spans="1:4" x14ac:dyDescent="0.2">
      <c r="A7" s="132" t="s">
        <v>108</v>
      </c>
      <c r="B7" s="21" t="s">
        <v>127</v>
      </c>
      <c r="C7" s="21" t="s">
        <v>130</v>
      </c>
      <c r="D7" s="81" t="s">
        <v>131</v>
      </c>
    </row>
    <row r="8" spans="1:4" x14ac:dyDescent="0.2">
      <c r="A8" s="132" t="s">
        <v>109</v>
      </c>
      <c r="B8" s="21" t="s">
        <v>127</v>
      </c>
      <c r="C8" s="21" t="s">
        <v>130</v>
      </c>
      <c r="D8" s="81" t="s">
        <v>131</v>
      </c>
    </row>
    <row r="9" spans="1:4" x14ac:dyDescent="0.2">
      <c r="A9" s="132" t="s">
        <v>110</v>
      </c>
      <c r="B9" s="21" t="s">
        <v>129</v>
      </c>
      <c r="C9" s="21" t="s">
        <v>130</v>
      </c>
      <c r="D9" s="83" t="s">
        <v>147</v>
      </c>
    </row>
    <row r="10" spans="1:4" x14ac:dyDescent="0.2">
      <c r="A10" s="132" t="s">
        <v>128</v>
      </c>
      <c r="B10" s="21" t="s">
        <v>129</v>
      </c>
      <c r="C10" s="21" t="s">
        <v>130</v>
      </c>
      <c r="D10" s="83" t="s">
        <v>147</v>
      </c>
    </row>
    <row r="11" spans="1:4" x14ac:dyDescent="0.2">
      <c r="A11" s="132" t="s">
        <v>111</v>
      </c>
      <c r="B11" s="21" t="s">
        <v>129</v>
      </c>
      <c r="C11" s="21" t="s">
        <v>130</v>
      </c>
      <c r="D11" s="83" t="s">
        <v>147</v>
      </c>
    </row>
    <row r="12" spans="1:4" x14ac:dyDescent="0.2">
      <c r="A12" s="132" t="s">
        <v>112</v>
      </c>
      <c r="B12" s="21" t="s">
        <v>129</v>
      </c>
      <c r="C12" s="21" t="s">
        <v>130</v>
      </c>
      <c r="D12" s="83" t="s">
        <v>147</v>
      </c>
    </row>
    <row r="13" spans="1:4" x14ac:dyDescent="0.2">
      <c r="A13" s="132" t="s">
        <v>113</v>
      </c>
      <c r="B13" s="21" t="s">
        <v>129</v>
      </c>
      <c r="C13" s="21" t="s">
        <v>130</v>
      </c>
      <c r="D13" s="83" t="s">
        <v>147</v>
      </c>
    </row>
    <row r="14" spans="1:4" x14ac:dyDescent="0.2">
      <c r="A14" s="132" t="s">
        <v>114</v>
      </c>
      <c r="B14" s="21" t="s">
        <v>129</v>
      </c>
      <c r="C14" s="21" t="s">
        <v>130</v>
      </c>
      <c r="D14" s="83" t="s">
        <v>147</v>
      </c>
    </row>
    <row r="15" spans="1:4" x14ac:dyDescent="0.2">
      <c r="A15" s="132" t="s">
        <v>115</v>
      </c>
      <c r="B15" s="21" t="s">
        <v>127</v>
      </c>
      <c r="C15" s="21" t="s">
        <v>130</v>
      </c>
      <c r="D15" s="81" t="s">
        <v>131</v>
      </c>
    </row>
    <row r="16" spans="1:4" x14ac:dyDescent="0.2">
      <c r="A16" s="132" t="s">
        <v>116</v>
      </c>
      <c r="B16" s="21" t="s">
        <v>127</v>
      </c>
      <c r="C16" s="21" t="s">
        <v>130</v>
      </c>
      <c r="D16" s="81" t="s">
        <v>131</v>
      </c>
    </row>
    <row r="17" spans="1:4" x14ac:dyDescent="0.2">
      <c r="A17" s="132" t="s">
        <v>117</v>
      </c>
      <c r="B17" s="21" t="s">
        <v>127</v>
      </c>
      <c r="C17" s="21" t="s">
        <v>130</v>
      </c>
      <c r="D17" s="81" t="s">
        <v>131</v>
      </c>
    </row>
    <row r="18" spans="1:4" x14ac:dyDescent="0.2">
      <c r="A18" s="132" t="s">
        <v>118</v>
      </c>
      <c r="B18" s="21" t="s">
        <v>127</v>
      </c>
      <c r="C18" s="21" t="s">
        <v>130</v>
      </c>
      <c r="D18" s="81" t="s">
        <v>131</v>
      </c>
    </row>
    <row r="19" spans="1:4" x14ac:dyDescent="0.2">
      <c r="A19" s="132" t="s">
        <v>120</v>
      </c>
      <c r="B19" s="21" t="s">
        <v>127</v>
      </c>
      <c r="C19" s="21" t="s">
        <v>130</v>
      </c>
      <c r="D19" s="81" t="s">
        <v>131</v>
      </c>
    </row>
    <row r="20" spans="1:4" x14ac:dyDescent="0.2">
      <c r="A20" s="132" t="s">
        <v>119</v>
      </c>
      <c r="B20" s="21" t="s">
        <v>129</v>
      </c>
      <c r="C20" s="21" t="s">
        <v>130</v>
      </c>
      <c r="D20" s="81" t="s">
        <v>131</v>
      </c>
    </row>
    <row r="21" spans="1:4" x14ac:dyDescent="0.2">
      <c r="A21" s="132" t="s">
        <v>121</v>
      </c>
      <c r="B21" s="21" t="s">
        <v>129</v>
      </c>
      <c r="C21" s="21" t="s">
        <v>130</v>
      </c>
      <c r="D21" s="81" t="s">
        <v>131</v>
      </c>
    </row>
    <row r="22" spans="1:4" x14ac:dyDescent="0.2">
      <c r="A22" s="132" t="s">
        <v>122</v>
      </c>
      <c r="B22" s="21" t="s">
        <v>129</v>
      </c>
      <c r="C22" s="21" t="s">
        <v>130</v>
      </c>
      <c r="D22" s="81" t="s">
        <v>131</v>
      </c>
    </row>
    <row r="23" spans="1:4" x14ac:dyDescent="0.2">
      <c r="A23" s="132" t="s">
        <v>123</v>
      </c>
      <c r="B23" s="21" t="s">
        <v>129</v>
      </c>
      <c r="C23" s="21" t="s">
        <v>130</v>
      </c>
      <c r="D23" s="81" t="s">
        <v>131</v>
      </c>
    </row>
    <row r="24" spans="1:4" x14ac:dyDescent="0.2">
      <c r="A24" s="132" t="s">
        <v>124</v>
      </c>
      <c r="B24" s="21" t="s">
        <v>129</v>
      </c>
      <c r="C24" s="21" t="s">
        <v>130</v>
      </c>
      <c r="D24" s="81" t="s">
        <v>131</v>
      </c>
    </row>
    <row r="25" spans="1:4" x14ac:dyDescent="0.2">
      <c r="A25" s="132" t="s">
        <v>125</v>
      </c>
      <c r="B25" s="21" t="s">
        <v>127</v>
      </c>
      <c r="C25" s="21" t="s">
        <v>130</v>
      </c>
      <c r="D25" s="81" t="s">
        <v>131</v>
      </c>
    </row>
    <row r="26" spans="1:4" x14ac:dyDescent="0.2">
      <c r="A26" s="132" t="s">
        <v>126</v>
      </c>
      <c r="B26" s="21" t="s">
        <v>127</v>
      </c>
      <c r="C26" s="21" t="s">
        <v>130</v>
      </c>
      <c r="D26" s="81" t="s">
        <v>131</v>
      </c>
    </row>
    <row r="27" spans="1:4" ht="13.5" thickBot="1" x14ac:dyDescent="0.25">
      <c r="A27" s="133" t="s">
        <v>148</v>
      </c>
      <c r="B27" s="31" t="s">
        <v>127</v>
      </c>
      <c r="C27" s="31" t="s">
        <v>130</v>
      </c>
      <c r="D27" s="81" t="s">
        <v>149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2026-02-18T18:46:36Z</cp:lastPrinted>
  <dcterms:created xsi:type="dcterms:W3CDTF">2007-01-25T21:44:56Z</dcterms:created>
  <dcterms:modified xsi:type="dcterms:W3CDTF">2026-02-18T19:12:59Z</dcterms:modified>
</cp:coreProperties>
</file>